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cuments\GitHub\Sandbox\Stack\Estimating\"/>
    </mc:Choice>
  </mc:AlternateContent>
  <bookViews>
    <workbookView xWindow="0" yWindow="0" windowWidth="20490" windowHeight="7530" xr2:uid="{C9CAF444-56F3-46A4-B542-A505968EBB46}"/>
  </bookViews>
  <sheets>
    <sheet name="REPORT SYNC" sheetId="1" r:id="rId1"/>
    <sheet name="Instructions" sheetId="4" r:id="rId2"/>
    <sheet name="Project Pricing" sheetId="2" state="hidden" r:id="rId3"/>
    <sheet name="Variables" sheetId="3" state="hidden" r:id="rId4"/>
  </sheets>
  <functionGroups builtInGroupCount="19"/>
  <definedNames>
    <definedName name="ExternalData_10" localSheetId="0">'REPORT SYNC'!$A$4:$OL$6</definedName>
    <definedName name="ExternalData_100" localSheetId="0">'REPORT SYNC'!$A$4:$OK$6</definedName>
    <definedName name="ExternalData_101" localSheetId="0">'REPORT SYNC'!$A$4:$OK$6</definedName>
    <definedName name="ExternalData_102" localSheetId="0">'REPORT SYNC'!$A$4:$OK$6</definedName>
    <definedName name="ExternalData_103" localSheetId="0">'REPORT SYNC'!$A$4:$OK$6</definedName>
    <definedName name="ExternalData_104" localSheetId="0">'REPORT SYNC'!$A$4:$OK$6</definedName>
    <definedName name="ExternalData_105" localSheetId="0">'REPORT SYNC'!$A$4:$OK$6</definedName>
    <definedName name="ExternalData_106" localSheetId="0">'REPORT SYNC'!$A$4:$OK$6</definedName>
    <definedName name="ExternalData_107" localSheetId="0">'REPORT SYNC'!$A$4:$OK$6</definedName>
    <definedName name="ExternalData_108" localSheetId="0">'REPORT SYNC'!$A$4:$OK$6</definedName>
    <definedName name="ExternalData_109" localSheetId="0">'REPORT SYNC'!$A$4:$OK$6</definedName>
    <definedName name="ExternalData_11" localSheetId="0">'REPORT SYNC'!$A$4:$OL$6</definedName>
    <definedName name="ExternalData_110" localSheetId="0">'REPORT SYNC'!$A$4:$OK$6</definedName>
    <definedName name="ExternalData_111" localSheetId="0">'REPORT SYNC'!$A$4:$OK$6</definedName>
    <definedName name="ExternalData_112" localSheetId="0">'REPORT SYNC'!$A$4:$OL$6</definedName>
    <definedName name="ExternalData_113" localSheetId="0">'REPORT SYNC'!$A$4:$OK$6</definedName>
    <definedName name="ExternalData_114" localSheetId="0">'REPORT SYNC'!$A$4:$OK$6</definedName>
    <definedName name="ExternalData_115" localSheetId="0">'REPORT SYNC'!$A$4:$OP$6</definedName>
    <definedName name="ExternalData_116" localSheetId="0">'REPORT SYNC'!$A$4:$LS$6</definedName>
    <definedName name="ExternalData_117" localSheetId="0">'REPORT SYNC'!$A$4:$OL$6</definedName>
    <definedName name="ExternalData_118" localSheetId="0">'REPORT SYNC'!$A$4:$OK$6</definedName>
    <definedName name="ExternalData_119" localSheetId="0">'REPORT SYNC'!$A$4:$OK$6</definedName>
    <definedName name="ExternalData_12" localSheetId="0">'REPORT SYNC'!$A$4:$OL$6</definedName>
    <definedName name="ExternalData_120" localSheetId="0">'REPORT SYNC'!$A$4:$OL$6</definedName>
    <definedName name="ExternalData_121" localSheetId="0">'REPORT SYNC'!$A$4:$OP$6</definedName>
    <definedName name="ExternalData_122" localSheetId="0">'REPORT SYNC'!$A$4:$C$6</definedName>
    <definedName name="ExternalData_123" localSheetId="0">'REPORT SYNC'!$A$4:$OK$6</definedName>
    <definedName name="ExternalData_124" localSheetId="0">'REPORT SYNC'!$A$4:$OL$6</definedName>
    <definedName name="ExternalData_125" localSheetId="0">'REPORT SYNC'!$A$4:$C$6</definedName>
    <definedName name="ExternalData_126" localSheetId="0">'REPORT SYNC'!$A$4:$C$6</definedName>
    <definedName name="ExternalData_127" localSheetId="0">'REPORT SYNC'!$A$4:$C$6</definedName>
    <definedName name="ExternalData_128" localSheetId="0">'REPORT SYNC'!$A$4:$C$6</definedName>
    <definedName name="ExternalData_129" localSheetId="0">'REPORT SYNC'!$A$4:$C$6</definedName>
    <definedName name="ExternalData_13" localSheetId="0">'REPORT SYNC'!$A$4:$OL$6</definedName>
    <definedName name="ExternalData_130" localSheetId="0">'REPORT SYNC'!$A$4:$C$6</definedName>
    <definedName name="ExternalData_131" localSheetId="0">'REPORT SYNC'!$A$4:$C$6</definedName>
    <definedName name="ExternalData_132" localSheetId="0">'REPORT SYNC'!$A$4:$C$6</definedName>
    <definedName name="ExternalData_133" localSheetId="0">'REPORT SYNC'!$A$4:$OK$6</definedName>
    <definedName name="ExternalData_134" localSheetId="0">'REPORT SYNC'!$A$4:$C$6</definedName>
    <definedName name="ExternalData_135" localSheetId="0">'REPORT SYNC'!$A$4:$C$6</definedName>
    <definedName name="ExternalData_136" localSheetId="0">'REPORT SYNC'!$A$4:$C$6</definedName>
    <definedName name="ExternalData_137" localSheetId="0">'REPORT SYNC'!$A$4:$C$6</definedName>
    <definedName name="ExternalData_138" localSheetId="0">'REPORT SYNC'!$A$4:$C$6</definedName>
    <definedName name="ExternalData_139" localSheetId="0">'REPORT SYNC'!$A$4:$C$6</definedName>
    <definedName name="ExternalData_14" localSheetId="0">'REPORT SYNC'!$A$4:$OL$6</definedName>
    <definedName name="ExternalData_140" localSheetId="0">'REPORT SYNC'!$A$4:$OP$6</definedName>
    <definedName name="ExternalData_141" localSheetId="0">'REPORT SYNC'!$A$4:$OK$6</definedName>
    <definedName name="ExternalData_142" localSheetId="0">'REPORT SYNC'!$A$4:$OL$6</definedName>
    <definedName name="ExternalData_143" localSheetId="0">'REPORT SYNC'!$A$4:$OK$6</definedName>
    <definedName name="ExternalData_144" localSheetId="0">'REPORT SYNC'!$A$4:$OL$6</definedName>
    <definedName name="ExternalData_145" localSheetId="0">'REPORT SYNC'!$A$4:$OK$6</definedName>
    <definedName name="ExternalData_146" localSheetId="0">'REPORT SYNC'!$A$4:$C$6</definedName>
    <definedName name="ExternalData_147" localSheetId="0">'REPORT SYNC'!$A$4:$LS$6</definedName>
    <definedName name="ExternalData_148" localSheetId="0">'REPORT SYNC'!$A$4:$C$6</definedName>
    <definedName name="ExternalData_149" localSheetId="0">'REPORT SYNC'!$A$4:$C$6</definedName>
    <definedName name="ExternalData_15" localSheetId="0">'REPORT SYNC'!$A$4:$OL$6</definedName>
    <definedName name="ExternalData_150" localSheetId="0">'REPORT SYNC'!$A$4:$C$6</definedName>
    <definedName name="ExternalData_151" localSheetId="0">'REPORT SYNC'!$A$4:$OL$6</definedName>
    <definedName name="ExternalData_152" localSheetId="0">'REPORT SYNC'!$A$4:$C$6</definedName>
    <definedName name="ExternalData_153" localSheetId="0">'REPORT SYNC'!$A$4:$OL$6</definedName>
    <definedName name="ExternalData_154" localSheetId="0">'REPORT SYNC'!$A$4:$C$6</definedName>
    <definedName name="ExternalData_155" localSheetId="0">'REPORT SYNC'!$A$4:$OK$6</definedName>
    <definedName name="ExternalData_156" localSheetId="0">'REPORT SYNC'!$A$4:$C$6</definedName>
    <definedName name="ExternalData_157" localSheetId="0">'REPORT SYNC'!$A$4:$C$6</definedName>
    <definedName name="ExternalData_158" localSheetId="0">'REPORT SYNC'!$A$4:$OK$6</definedName>
    <definedName name="ExternalData_159" localSheetId="0">'REPORT SYNC'!$A$4:$OL$6</definedName>
    <definedName name="ExternalData_16" localSheetId="0">'REPORT SYNC'!$A$4:$OL$6</definedName>
    <definedName name="ExternalData_160" localSheetId="0">'REPORT SYNC'!$A$4:$C$6</definedName>
    <definedName name="ExternalData_161" localSheetId="0">'REPORT SYNC'!$A$4:$LS$6</definedName>
    <definedName name="ExternalData_162" localSheetId="0">'REPORT SYNC'!$A$4:$OL$6</definedName>
    <definedName name="ExternalData_163" localSheetId="0">'REPORT SYNC'!$A$4:$LS$6</definedName>
    <definedName name="ExternalData_164" localSheetId="0">'REPORT SYNC'!$A$4:$OL$6</definedName>
    <definedName name="ExternalData_165" localSheetId="0">'REPORT SYNC'!$A$4:$OL$6</definedName>
    <definedName name="ExternalData_166" localSheetId="0">'REPORT SYNC'!$A$4:$OL$6</definedName>
    <definedName name="ExternalData_167" localSheetId="0">'REPORT SYNC'!$A$4:$OL$6</definedName>
    <definedName name="ExternalData_168" localSheetId="0">'REPORT SYNC'!$A$4:$OL$6</definedName>
    <definedName name="ExternalData_169" localSheetId="0">'REPORT SYNC'!$A$4:$OL$6</definedName>
    <definedName name="ExternalData_17" localSheetId="0">'REPORT SYNC'!$A$4:$OL$6</definedName>
    <definedName name="ExternalData_170" localSheetId="0">'REPORT SYNC'!$A$4:$OL$6</definedName>
    <definedName name="ExternalData_171" localSheetId="0">'REPORT SYNC'!$A$4:$OL$6</definedName>
    <definedName name="ExternalData_172" localSheetId="0">'REPORT SYNC'!$A$4:$OL$6</definedName>
    <definedName name="ExternalData_173" localSheetId="0">'REPORT SYNC'!$A$4:$OL$6</definedName>
    <definedName name="ExternalData_174" localSheetId="0">'REPORT SYNC'!$A$4:$OL$6</definedName>
    <definedName name="ExternalData_175" localSheetId="0">'REPORT SYNC'!$A$4:$OL$6</definedName>
    <definedName name="ExternalData_176" localSheetId="0">'REPORT SYNC'!$A$4:$OL$6</definedName>
    <definedName name="ExternalData_177" localSheetId="0">'REPORT SYNC'!$A$4:$OL$6</definedName>
    <definedName name="ExternalData_178" localSheetId="0">'REPORT SYNC'!$A$4:$OL$6</definedName>
    <definedName name="ExternalData_179" localSheetId="0">'REPORT SYNC'!$A$4:$OL$6</definedName>
    <definedName name="ExternalData_18" localSheetId="0">'REPORT SYNC'!$A$4:$OL$6</definedName>
    <definedName name="ExternalData_180" localSheetId="0">'REPORT SYNC'!$A$4:$OL$6</definedName>
    <definedName name="ExternalData_181" localSheetId="0">'REPORT SYNC'!$A$4:$OK$6</definedName>
    <definedName name="ExternalData_182" localSheetId="0">'REPORT SYNC'!$A$4:$OL$6</definedName>
    <definedName name="ExternalData_183" localSheetId="0">'REPORT SYNC'!$A$4:$OL$6</definedName>
    <definedName name="ExternalData_184" localSheetId="0">'REPORT SYNC'!$A$4:$OL$6</definedName>
    <definedName name="ExternalData_185" localSheetId="0">'REPORT SYNC'!$A$4:$OK$6</definedName>
    <definedName name="ExternalData_186" localSheetId="0">'REPORT SYNC'!$A$4:$OP$6</definedName>
    <definedName name="ExternalData_187" localSheetId="0">'REPORT SYNC'!$A$4:$LS$6</definedName>
    <definedName name="ExternalData_188" localSheetId="0">'REPORT SYNC'!$A$4:$OL$6</definedName>
    <definedName name="ExternalData_189" localSheetId="0">'REPORT SYNC'!$A$4:$OK$6</definedName>
    <definedName name="ExternalData_19" localSheetId="0">'REPORT SYNC'!$A$4:$OL$6</definedName>
    <definedName name="ExternalData_190" localSheetId="0">'REPORT SYNC'!$A$4:$OL$6</definedName>
    <definedName name="ExternalData_191" localSheetId="0">'REPORT SYNC'!$A$4:$OK$6</definedName>
    <definedName name="ExternalData_192" localSheetId="0">'REPORT SYNC'!$A$4:$C$6</definedName>
    <definedName name="ExternalData_193" localSheetId="0">'REPORT SYNC'!$A$4:$LS$6</definedName>
    <definedName name="ExternalData_194" localSheetId="0">'REPORT SYNC'!$A$4:$OL$6</definedName>
    <definedName name="ExternalData_195" localSheetId="0">'REPORT SYNC'!$A$4:$OL$6</definedName>
    <definedName name="ExternalData_196" localSheetId="0">'REPORT SYNC'!$A$4:$OL$6</definedName>
    <definedName name="ExternalData_197" localSheetId="0">'REPORT SYNC'!$A$4:$LS$6</definedName>
    <definedName name="ExternalData_198" localSheetId="0">'REPORT SYNC'!$A$4:$OL$6</definedName>
    <definedName name="ExternalData_199" localSheetId="0">'REPORT SYNC'!$A$4:$OL$6</definedName>
    <definedName name="ExternalData_2" localSheetId="0">'REPORT SYNC'!$OM$1:$OS$6</definedName>
    <definedName name="ExternalData_20" localSheetId="0">'REPORT SYNC'!$A$4:$OL$6</definedName>
    <definedName name="ExternalData_200" localSheetId="0">'REPORT SYNC'!$A$4:$C$6</definedName>
    <definedName name="ExternalData_203" localSheetId="0">'REPORT SYNC'!$A$4:$OK$6</definedName>
    <definedName name="ExternalData_204" localSheetId="0">'REPORT SYNC'!$A$4:$OL$6</definedName>
    <definedName name="ExternalData_205" localSheetId="0">'REPORT SYNC'!$A$4:$OL$6</definedName>
    <definedName name="ExternalData_206" localSheetId="0">'REPORT SYNC'!$A$4:$OL$6</definedName>
    <definedName name="ExternalData_207" localSheetId="0">'REPORT SYNC'!$A$4:$OL$6</definedName>
    <definedName name="ExternalData_208" localSheetId="0">'REPORT SYNC'!$A$4:$OL$6</definedName>
    <definedName name="ExternalData_209" localSheetId="0">'REPORT SYNC'!$A$4:$OK$6</definedName>
    <definedName name="ExternalData_21" localSheetId="0">'REPORT SYNC'!$A$4:$OL$6</definedName>
    <definedName name="ExternalData_210" localSheetId="0">'REPORT SYNC'!$A$4:$OH$6</definedName>
    <definedName name="ExternalData_211" localSheetId="0">'REPORT SYNC'!$A$4:$OH$6</definedName>
    <definedName name="ExternalData_212" localSheetId="0">'REPORT SYNC'!$A$4:$OH$6</definedName>
    <definedName name="ExternalData_213" localSheetId="0">'REPORT SYNC'!$A$4:$OG$6</definedName>
    <definedName name="ExternalData_214" localSheetId="0">'REPORT SYNC'!$A$4:$OF$6</definedName>
    <definedName name="ExternalData_215" localSheetId="0">'REPORT SYNC'!$A$4:$OE$6</definedName>
    <definedName name="ExternalData_216" localSheetId="0">'REPORT SYNC'!$A$4:$OD$6</definedName>
    <definedName name="ExternalData_217" localSheetId="0">'REPORT SYNC'!$A$4:$OC$6</definedName>
    <definedName name="ExternalData_218" localSheetId="0">'REPORT SYNC'!$A$4:$OB$6</definedName>
    <definedName name="ExternalData_219" localSheetId="0">'REPORT SYNC'!$A$4:$OA$6</definedName>
    <definedName name="ExternalData_22" localSheetId="0">'REPORT SYNC'!$A$4:$OL$6</definedName>
    <definedName name="ExternalData_220" localSheetId="0">'REPORT SYNC'!$A$4:$NZ$6</definedName>
    <definedName name="ExternalData_221" localSheetId="0">'REPORT SYNC'!$A$4:$NY$6</definedName>
    <definedName name="ExternalData_222" localSheetId="0">'REPORT SYNC'!$A$4:$NX$6</definedName>
    <definedName name="ExternalData_223" localSheetId="0">'REPORT SYNC'!$A$4:$NW$6</definedName>
    <definedName name="ExternalData_224" localSheetId="0">'REPORT SYNC'!$A$4:$NV$6</definedName>
    <definedName name="ExternalData_225" localSheetId="0">'REPORT SYNC'!$A$4:$NU$6</definedName>
    <definedName name="ExternalData_226" localSheetId="0">'REPORT SYNC'!$A$4:$NT$6</definedName>
    <definedName name="ExternalData_227" localSheetId="0">'REPORT SYNC'!$A$4:$NS$6</definedName>
    <definedName name="ExternalData_229" localSheetId="0">'REPORT SYNC'!$A$4:$NR$6</definedName>
    <definedName name="ExternalData_23" localSheetId="0">'REPORT SYNC'!$A$4:$OL$6</definedName>
    <definedName name="ExternalData_230" localSheetId="0">'REPORT SYNC'!$A$4:$NQ$6</definedName>
    <definedName name="ExternalData_231" localSheetId="0">'REPORT SYNC'!$A$4:$NP$6</definedName>
    <definedName name="ExternalData_232" localSheetId="0">'REPORT SYNC'!$A$4:$NO$6</definedName>
    <definedName name="ExternalData_233" localSheetId="0">'REPORT SYNC'!$A$4:$NN$6</definedName>
    <definedName name="ExternalData_234" localSheetId="0">'REPORT SYNC'!$A$4:$NM$6</definedName>
    <definedName name="ExternalData_235" localSheetId="0">'REPORT SYNC'!$A$4:$NL$6</definedName>
    <definedName name="ExternalData_236" localSheetId="0">'REPORT SYNC'!$A$4:$NK$6</definedName>
    <definedName name="ExternalData_237" localSheetId="0">'REPORT SYNC'!$A$4:$NJ$6</definedName>
    <definedName name="ExternalData_238" localSheetId="0">'REPORT SYNC'!$A$4:$NJ$6</definedName>
    <definedName name="ExternalData_239" localSheetId="0">'REPORT SYNC'!$A$4:$NI$6</definedName>
    <definedName name="ExternalData_24" localSheetId="0">'REPORT SYNC'!$A$4:$OL$6</definedName>
    <definedName name="ExternalData_240" localSheetId="0">'REPORT SYNC'!$A$4:$NH$6</definedName>
    <definedName name="ExternalData_241" localSheetId="0">'REPORT SYNC'!$A$4:$NG$6</definedName>
    <definedName name="ExternalData_242" localSheetId="0">'REPORT SYNC'!$A$4:$NF$6</definedName>
    <definedName name="ExternalData_243" localSheetId="0">'REPORT SYNC'!$A$4:$NE$6</definedName>
    <definedName name="ExternalData_244" localSheetId="0">'REPORT SYNC'!$A$4:$ND$6</definedName>
    <definedName name="ExternalData_245" localSheetId="0">'REPORT SYNC'!$A$4:$NC$6</definedName>
    <definedName name="ExternalData_246" localSheetId="0">'REPORT SYNC'!$A$4:$NB$6</definedName>
    <definedName name="ExternalData_247" localSheetId="0">'REPORT SYNC'!$A$4:$NA$6</definedName>
    <definedName name="ExternalData_248" localSheetId="0">'REPORT SYNC'!$A$4:$MZ$6</definedName>
    <definedName name="ExternalData_249" localSheetId="0">'REPORT SYNC'!$A$4:$MY$6</definedName>
    <definedName name="ExternalData_25" localSheetId="0">'REPORT SYNC'!$A$4:$OL$6</definedName>
    <definedName name="ExternalData_250" localSheetId="0">'REPORT SYNC'!$A$4:$MX$6</definedName>
    <definedName name="ExternalData_251" localSheetId="0">'REPORT SYNC'!$A$4:$MW$6</definedName>
    <definedName name="ExternalData_252" localSheetId="0">'REPORT SYNC'!$A$4:$MV$6</definedName>
    <definedName name="ExternalData_253" localSheetId="0">'REPORT SYNC'!$A$4:$MU$6</definedName>
    <definedName name="ExternalData_254" localSheetId="0">'REPORT SYNC'!$A$4:$MT$6</definedName>
    <definedName name="ExternalData_255" localSheetId="0">'REPORT SYNC'!$A$4:$LS$6</definedName>
    <definedName name="ExternalData_256" localSheetId="0">'REPORT SYNC'!$A$4:$MR$6</definedName>
    <definedName name="ExternalData_257" localSheetId="0">'REPORT SYNC'!$A$4:$MQ$6</definedName>
    <definedName name="ExternalData_258" localSheetId="0">'REPORT SYNC'!$A$4:$MP$6</definedName>
    <definedName name="ExternalData_259" localSheetId="0">'REPORT SYNC'!$A$4:$MO$6</definedName>
    <definedName name="ExternalData_26" localSheetId="0">'REPORT SYNC'!$A$4:$OL$6</definedName>
    <definedName name="ExternalData_260" localSheetId="0">'REPORT SYNC'!$A$4:$MN$6</definedName>
    <definedName name="ExternalData_261" localSheetId="0">'REPORT SYNC'!$A$4:$MN$6</definedName>
    <definedName name="ExternalData_262" localSheetId="0">'REPORT SYNC'!$A$4:$MN$6</definedName>
    <definedName name="ExternalData_265" localSheetId="0">'REPORT SYNC'!$A$4:$MN$6</definedName>
    <definedName name="ExternalData_266" localSheetId="0">'REPORT SYNC'!$A$4:$MM$6</definedName>
    <definedName name="ExternalData_267" localSheetId="0">'REPORT SYNC'!$A$4:$ML$6</definedName>
    <definedName name="ExternalData_268" localSheetId="0">'REPORT SYNC'!$A$4:$MK$6</definedName>
    <definedName name="ExternalData_269" localSheetId="0">'REPORT SYNC'!$A$4:$MJ$6</definedName>
    <definedName name="ExternalData_27" localSheetId="0">'REPORT SYNC'!$A$4:$OL$6</definedName>
    <definedName name="ExternalData_270" localSheetId="0">'REPORT SYNC'!$A$4:$MI$6</definedName>
    <definedName name="ExternalData_271" localSheetId="0">'REPORT SYNC'!$A$4:$MH$6</definedName>
    <definedName name="ExternalData_272" localSheetId="0">'REPORT SYNC'!$A$4:$MG$6</definedName>
    <definedName name="ExternalData_273" localSheetId="0">'REPORT SYNC'!$A$4:$MF$6</definedName>
    <definedName name="ExternalData_274" localSheetId="0">'REPORT SYNC'!$A$4:$ME$6</definedName>
    <definedName name="ExternalData_275" localSheetId="0">'REPORT SYNC'!$A$4:$MD$6</definedName>
    <definedName name="ExternalData_276" localSheetId="0">'REPORT SYNC'!$A$4:$MC$6</definedName>
    <definedName name="ExternalData_277" localSheetId="0">'REPORT SYNC'!$A$4:$MB$6</definedName>
    <definedName name="ExternalData_279" localSheetId="0">'REPORT SYNC'!$A$4:$MA$6</definedName>
    <definedName name="ExternalData_28" localSheetId="0">'REPORT SYNC'!$A$4:$OL$6</definedName>
    <definedName name="ExternalData_281" localSheetId="0">'REPORT SYNC'!$A$4:$LZ$6</definedName>
    <definedName name="ExternalData_283" localSheetId="0">'REPORT SYNC'!$A$4:$LY$6</definedName>
    <definedName name="ExternalData_284" localSheetId="0">'REPORT SYNC'!$A$4:$LX$6</definedName>
    <definedName name="ExternalData_285" localSheetId="0">'REPORT SYNC'!$A$4:$LW$6</definedName>
    <definedName name="ExternalData_286" localSheetId="0">'REPORT SYNC'!$A$4:$LU$6</definedName>
    <definedName name="ExternalData_287" localSheetId="0">'REPORT SYNC'!$A$4:$LU$6</definedName>
    <definedName name="ExternalData_288" localSheetId="0">'REPORT SYNC'!$A$4:$LO$6</definedName>
    <definedName name="ExternalData_289" localSheetId="0">'REPORT SYNC'!$A$4:$C$6</definedName>
    <definedName name="ExternalData_29" localSheetId="0">'REPORT SYNC'!$A$4:$OL$6</definedName>
    <definedName name="ExternalData_290" localSheetId="0">'REPORT SYNC'!$A$4:$LQ$6</definedName>
    <definedName name="ExternalData_291" localSheetId="0">'REPORT SYNC'!$A$4:$LQ$6</definedName>
    <definedName name="ExternalData_292" localSheetId="0">'REPORT SYNC'!$A$4:$LL$6</definedName>
    <definedName name="ExternalData_293" localSheetId="0">'REPORT SYNC'!$A$4:$LN$6</definedName>
    <definedName name="ExternalData_294" localSheetId="0">'REPORT SYNC'!$A$4:$LN$6</definedName>
    <definedName name="ExternalData_295" localSheetId="0">'REPORT SYNC'!$A$4:$LL$6</definedName>
    <definedName name="ExternalData_296" localSheetId="0">'REPORT SYNC'!$A$4:$LL$6</definedName>
    <definedName name="ExternalData_297" localSheetId="0">'REPORT SYNC'!$A$4:$LK$6</definedName>
    <definedName name="ExternalData_298" localSheetId="0">'REPORT SYNC'!$A$4:$LJ$6</definedName>
    <definedName name="ExternalData_299" localSheetId="0">'REPORT SYNC'!$A$4:$LI$6</definedName>
    <definedName name="ExternalData_3" localSheetId="0">'REPORT SYNC'!$OM$4:$OS$6</definedName>
    <definedName name="ExternalData_30" localSheetId="0">'REPORT SYNC'!$A$4:$OL$6</definedName>
    <definedName name="ExternalData_300" localSheetId="0">'REPORT SYNC'!$A$4:$LG$6</definedName>
    <definedName name="ExternalData_301" localSheetId="0">'REPORT SYNC'!$A$4:$LG$6</definedName>
    <definedName name="ExternalData_302" localSheetId="0">'REPORT SYNC'!$A$4:$LF$6</definedName>
    <definedName name="ExternalData_303" localSheetId="0">'REPORT SYNC'!$A$4:$LD$6</definedName>
    <definedName name="ExternalData_304" localSheetId="0">'REPORT SYNC'!$A$4:$LD$6</definedName>
    <definedName name="ExternalData_305" localSheetId="0">'REPORT SYNC'!$A$4:$LB$6</definedName>
    <definedName name="ExternalData_306" localSheetId="0">'REPORT SYNC'!$A$4:$LB$6</definedName>
    <definedName name="ExternalData_307" localSheetId="0">'REPORT SYNC'!$A$4:$KV$6</definedName>
    <definedName name="ExternalData_308" localSheetId="0">'REPORT SYNC'!$A$4:$KY$6</definedName>
    <definedName name="ExternalData_309" localSheetId="0">'REPORT SYNC'!$A$4:$KW$6</definedName>
    <definedName name="ExternalData_31" localSheetId="0">'REPORT SYNC'!$A$4:$OL$6</definedName>
    <definedName name="ExternalData_310" localSheetId="0">'REPORT SYNC'!$A$4:$C$6</definedName>
    <definedName name="ExternalData_311" localSheetId="0">'REPORT SYNC'!$A$4:$KV$6</definedName>
    <definedName name="ExternalData_312" localSheetId="0">'REPORT SYNC'!$A$4:$KU$6</definedName>
    <definedName name="ExternalData_313" localSheetId="0">'REPORT SYNC'!$A$4:$KU$6</definedName>
    <definedName name="ExternalData_314" localSheetId="0">'REPORT SYNC'!$A$4:$KT$6</definedName>
    <definedName name="ExternalData_315" localSheetId="0">'REPORT SYNC'!$A$4:$KR$6</definedName>
    <definedName name="ExternalData_316" localSheetId="0">'REPORT SYNC'!$A$4:$KR$6</definedName>
    <definedName name="ExternalData_317" localSheetId="0">'REPORT SYNC'!$A$4:$KP$6</definedName>
    <definedName name="ExternalData_318" localSheetId="0">'REPORT SYNC'!$A$4:$KP$6</definedName>
    <definedName name="ExternalData_319" localSheetId="0">'REPORT SYNC'!$A$4:$KN$6</definedName>
    <definedName name="ExternalData_32" localSheetId="0">'REPORT SYNC'!$A$4:$OL$6</definedName>
    <definedName name="ExternalData_320" localSheetId="0">'REPORT SYNC'!$A$4:$KN$6</definedName>
    <definedName name="ExternalData_321" localSheetId="0">'REPORT SYNC'!$A$4:$KL$6</definedName>
    <definedName name="ExternalData_322" localSheetId="0">'REPORT SYNC'!$A$4:$KL$6</definedName>
    <definedName name="ExternalData_323" localSheetId="0">'REPORT SYNC'!$A$4:$KK$6</definedName>
    <definedName name="ExternalData_324" localSheetId="0">'REPORT SYNC'!$A$4:$KJ$6</definedName>
    <definedName name="ExternalData_325" localSheetId="0">'REPORT SYNC'!$A$4:$KH$6</definedName>
    <definedName name="ExternalData_326" localSheetId="0">'REPORT SYNC'!$A$4:$KG$6</definedName>
    <definedName name="ExternalData_327" localSheetId="0">'REPORT SYNC'!$A$4:$KF$6</definedName>
    <definedName name="ExternalData_328" localSheetId="0">'REPORT SYNC'!$A$4:$KF$6</definedName>
    <definedName name="ExternalData_329" localSheetId="0">'REPORT SYNC'!$A$4:$KE$6</definedName>
    <definedName name="ExternalData_33" localSheetId="0">'REPORT SYNC'!$A$4:$OL$6</definedName>
    <definedName name="ExternalData_330" localSheetId="0">'REPORT SYNC'!$A$4:$KC$6</definedName>
    <definedName name="ExternalData_331" localSheetId="0">'REPORT SYNC'!$A$4:$KB$6</definedName>
    <definedName name="ExternalData_332" localSheetId="0">'REPORT SYNC'!$A$4:$C$6</definedName>
    <definedName name="ExternalData_333" localSheetId="0">'REPORT SYNC'!$A$4:$KA$6</definedName>
    <definedName name="ExternalData_334" localSheetId="0">'REPORT SYNC'!$A$4:$JY$6</definedName>
    <definedName name="ExternalData_335" localSheetId="0">'REPORT SYNC'!$A$4:$JX$6</definedName>
    <definedName name="ExternalData_336" localSheetId="0">'REPORT SYNC'!$A$4:$JW$6</definedName>
    <definedName name="ExternalData_337" localSheetId="0">'REPORT SYNC'!$A$4:$C$6</definedName>
    <definedName name="ExternalData_338" localSheetId="0">'REPORT SYNC'!$A$4:$JU$6</definedName>
    <definedName name="ExternalData_339" localSheetId="0">'REPORT SYNC'!$A$4:$JU$6</definedName>
    <definedName name="ExternalData_34" localSheetId="0">'REPORT SYNC'!$A$4:$OL$6</definedName>
    <definedName name="ExternalData_340" localSheetId="0">'REPORT SYNC'!$A$4:$JP$6</definedName>
    <definedName name="ExternalData_341" localSheetId="0">'REPORT SYNC'!$A$4:$JR$6</definedName>
    <definedName name="ExternalData_342" localSheetId="0">'REPORT SYNC'!$A$4:$JR$6</definedName>
    <definedName name="ExternalData_343" localSheetId="0">'REPORT SYNC'!$A$4:$JP$6</definedName>
    <definedName name="ExternalData_344" localSheetId="0">'REPORT SYNC'!$A$4:$JO$6</definedName>
    <definedName name="ExternalData_345" localSheetId="0">'REPORT SYNC'!$A$4:$JO$6</definedName>
    <definedName name="ExternalData_346" localSheetId="0">'REPORT SYNC'!$A$4:$JN$6</definedName>
    <definedName name="ExternalData_347" localSheetId="0">'REPORT SYNC'!$A$4:$JM$6</definedName>
    <definedName name="ExternalData_348" localSheetId="0">'REPORT SYNC'!$A$4:$JL$6</definedName>
    <definedName name="ExternalData_349" localSheetId="0">'REPORT SYNC'!$A$4:$JJ$6</definedName>
    <definedName name="ExternalData_35" localSheetId="0">'REPORT SYNC'!$A$4:$OL$6</definedName>
    <definedName name="ExternalData_350" localSheetId="0">'REPORT SYNC'!$A$4:$JI$6</definedName>
    <definedName name="ExternalData_351" localSheetId="0">'REPORT SYNC'!$A$4:$JH$6</definedName>
    <definedName name="ExternalData_352" localSheetId="0">'REPORT SYNC'!$A$4:$JI$6</definedName>
    <definedName name="ExternalData_353" localSheetId="0">'REPORT SYNC'!$A$4:$JH$6</definedName>
    <definedName name="ExternalData_354" localSheetId="0">'REPORT SYNC'!$A$4:$JF$6</definedName>
    <definedName name="ExternalData_355" localSheetId="0">'REPORT SYNC'!$A$4:$JE$6</definedName>
    <definedName name="ExternalData_356" localSheetId="0">'REPORT SYNC'!$A$4:$JD$6</definedName>
    <definedName name="ExternalData_357" localSheetId="0">'REPORT SYNC'!$A$4:$JD$6</definedName>
    <definedName name="ExternalData_358" localSheetId="0">'REPORT SYNC'!$A$4:$JB$6</definedName>
    <definedName name="ExternalData_359" localSheetId="0">'REPORT SYNC'!$A$4:$JB$6</definedName>
    <definedName name="ExternalData_36" localSheetId="0">'REPORT SYNC'!$A$4:$OL$6</definedName>
    <definedName name="ExternalData_360" localSheetId="0">'REPORT SYNC'!$A$4:$JA$6</definedName>
    <definedName name="ExternalData_361" localSheetId="0">'REPORT SYNC'!$A$4:$JA$6</definedName>
    <definedName name="ExternalData_362" localSheetId="0">'REPORT SYNC'!$A$4:$JA$6</definedName>
    <definedName name="ExternalData_363" localSheetId="0">'REPORT SYNC'!$A$4:$JA$6</definedName>
    <definedName name="ExternalData_364" localSheetId="0">'REPORT SYNC'!$A$4:$JA$6</definedName>
    <definedName name="ExternalData_365" localSheetId="0">'REPORT SYNC'!$A$4:$IZ$6</definedName>
    <definedName name="ExternalData_366" localSheetId="0">'REPORT SYNC'!$A$4:$IY$6</definedName>
    <definedName name="ExternalData_367" localSheetId="0">'REPORT SYNC'!$A$4:$IX$6</definedName>
    <definedName name="ExternalData_368" localSheetId="0">'REPORT SYNC'!$A$4:$IW$6</definedName>
    <definedName name="ExternalData_369" localSheetId="0">'REPORT SYNC'!$A$4:$IV$6</definedName>
    <definedName name="ExternalData_37" localSheetId="0">'REPORT SYNC'!$A$4:$OL$6</definedName>
    <definedName name="ExternalData_370" localSheetId="0">'REPORT SYNC'!$A$4:$IU$6</definedName>
    <definedName name="ExternalData_371" localSheetId="0">'REPORT SYNC'!$A$4:$IT$6</definedName>
    <definedName name="ExternalData_372" localSheetId="0">'REPORT SYNC'!$A$4:$IS$6</definedName>
    <definedName name="ExternalData_373" localSheetId="0">'REPORT SYNC'!$A$4:$IR$6</definedName>
    <definedName name="ExternalData_374" localSheetId="0">'REPORT SYNC'!$A$4:$IR$6</definedName>
    <definedName name="ExternalData_375" localSheetId="0">'REPORT SYNC'!$A$4:$IR$6</definedName>
    <definedName name="ExternalData_376" localSheetId="0">'REPORT SYNC'!$A$4:$IR$6</definedName>
    <definedName name="ExternalData_377" localSheetId="0">'REPORT SYNC'!$A$4:$IR$6</definedName>
    <definedName name="ExternalData_379" localSheetId="0">'REPORT SYNC'!$A$4:$IR$6</definedName>
    <definedName name="ExternalData_38" localSheetId="0">'REPORT SYNC'!$A$4:$OL$6</definedName>
    <definedName name="ExternalData_380" localSheetId="0">'REPORT SYNC'!$A$4:$IR$6</definedName>
    <definedName name="ExternalData_381" localSheetId="0">'REPORT SYNC'!$A$4:$IR$6</definedName>
    <definedName name="ExternalData_382" localSheetId="0">'REPORT SYNC'!$A$4:$IR$6</definedName>
    <definedName name="ExternalData_383" localSheetId="0">'REPORT SYNC'!$A$4:$IR$6</definedName>
    <definedName name="ExternalData_384" localSheetId="0">'REPORT SYNC'!$A$4:$IR$6</definedName>
    <definedName name="ExternalData_385" localSheetId="0">'REPORT SYNC'!$A$4:$IR$6</definedName>
    <definedName name="ExternalData_386" localSheetId="0">'REPORT SYNC'!$A$4:$IR$6</definedName>
    <definedName name="ExternalData_387" localSheetId="0">'REPORT SYNC'!$A$4:$IR$6</definedName>
    <definedName name="ExternalData_388" localSheetId="0">'REPORT SYNC'!$A$4:$IQ$6</definedName>
    <definedName name="ExternalData_389" localSheetId="0">'REPORT SYNC'!$A$4:$IP$6</definedName>
    <definedName name="ExternalData_39" localSheetId="0">'REPORT SYNC'!$A$4:$OL$6</definedName>
    <definedName name="ExternalData_390" localSheetId="0">'REPORT SYNC'!$A$4:$IO$6</definedName>
    <definedName name="ExternalData_391" localSheetId="0">'REPORT SYNC'!$A$4:$IN$6</definedName>
    <definedName name="ExternalData_392" localSheetId="0">'REPORT SYNC'!$A$4:$IM$6</definedName>
    <definedName name="ExternalData_393" localSheetId="0">'REPORT SYNC'!$A$4:$IL$6</definedName>
    <definedName name="ExternalData_394" localSheetId="0">'REPORT SYNC'!$A$4:$IK$6</definedName>
    <definedName name="ExternalData_395" localSheetId="0">'REPORT SYNC'!$A$4:$IJ$6</definedName>
    <definedName name="ExternalData_396" localSheetId="0">'REPORT SYNC'!$A$4:$II$6</definedName>
    <definedName name="ExternalData_397" localSheetId="0">'REPORT SYNC'!$A$4:$IH$6</definedName>
    <definedName name="ExternalData_398" localSheetId="0">'REPORT SYNC'!$A$4:$IG$6</definedName>
    <definedName name="ExternalData_399" localSheetId="0">'REPORT SYNC'!$A$4:$IF$6</definedName>
    <definedName name="ExternalData_4" localSheetId="0">'REPORT SYNC'!$OM$4:$OS$6</definedName>
    <definedName name="ExternalData_40" localSheetId="0">'REPORT SYNC'!$A$4:$OL$6</definedName>
    <definedName name="ExternalData_400" localSheetId="0">'REPORT SYNC'!$A$4:$IE$6</definedName>
    <definedName name="ExternalData_401" localSheetId="0">'REPORT SYNC'!$A$4:$IC$6</definedName>
    <definedName name="ExternalData_402" localSheetId="0">'REPORT SYNC'!$A$4:$IB$6</definedName>
    <definedName name="ExternalData_403" localSheetId="0">'REPORT SYNC'!$A$4:$IA$6</definedName>
    <definedName name="ExternalData_404" localSheetId="0">'REPORT SYNC'!$A$4:$HZ$6</definedName>
    <definedName name="ExternalData_405" localSheetId="0">'REPORT SYNC'!$A$4:$HY$6</definedName>
    <definedName name="ExternalData_406" localSheetId="0">'REPORT SYNC'!$A$4:$HX$6</definedName>
    <definedName name="ExternalData_407" localSheetId="0">'REPORT SYNC'!$A$4:$HW$6</definedName>
    <definedName name="ExternalData_408" localSheetId="0">'REPORT SYNC'!$A$4:$HT$6</definedName>
    <definedName name="ExternalData_409" localSheetId="0">'REPORT SYNC'!$A$4:$HR$6</definedName>
    <definedName name="ExternalData_41" localSheetId="0">'REPORT SYNC'!$A$4:$OL$6</definedName>
    <definedName name="ExternalData_410" localSheetId="0">'REPORT SYNC'!$A$4:$HP$6</definedName>
    <definedName name="ExternalData_411" localSheetId="0">'REPORT SYNC'!$A$4:$HN$6</definedName>
    <definedName name="ExternalData_412" localSheetId="0">'REPORT SYNC'!$A$4:$HM$6</definedName>
    <definedName name="ExternalData_413" localSheetId="0">'REPORT SYNC'!$A$4:$HK$6</definedName>
    <definedName name="ExternalData_414" localSheetId="0">'REPORT SYNC'!$A$4:$HH$6</definedName>
    <definedName name="ExternalData_415" localSheetId="0">'REPORT SYNC'!$A$4:$C$6</definedName>
    <definedName name="ExternalData_416" localSheetId="0">'REPORT SYNC'!$A$4:$HD$6</definedName>
    <definedName name="ExternalData_417" localSheetId="0">'REPORT SYNC'!$A$4:$HB$6</definedName>
    <definedName name="ExternalData_418" localSheetId="0">'REPORT SYNC'!$A$4:$GZ$6</definedName>
    <definedName name="ExternalData_419" localSheetId="0">'REPORT SYNC'!$A$4:$GX$6</definedName>
    <definedName name="ExternalData_42" localSheetId="0">'REPORT SYNC'!$A$4:$OL$6</definedName>
    <definedName name="ExternalData_420" localSheetId="0">'REPORT SYNC'!$A$4:$GV$6</definedName>
    <definedName name="ExternalData_421" localSheetId="0">'REPORT SYNC'!$A$4:$GT$6</definedName>
    <definedName name="ExternalData_422" localSheetId="0">'REPORT SYNC'!$A$4:$GR$6</definedName>
    <definedName name="ExternalData_423" localSheetId="0">'REPORT SYNC'!$A$4:$C$6</definedName>
    <definedName name="ExternalData_424" localSheetId="0">'REPORT SYNC'!$A$4:$C$6</definedName>
    <definedName name="ExternalData_425" localSheetId="0">'REPORT SYNC'!$A$4:$C$6</definedName>
    <definedName name="ExternalData_426" localSheetId="0">'REPORT SYNC'!$A$4:$C$6</definedName>
    <definedName name="ExternalData_427" localSheetId="0">'REPORT SYNC'!$A$4:$GH$6</definedName>
    <definedName name="ExternalData_428" localSheetId="0">'REPORT SYNC'!$A$4:$C$6</definedName>
    <definedName name="ExternalData_429" localSheetId="0">'REPORT SYNC'!$A$4:$GD$6</definedName>
    <definedName name="ExternalData_43" localSheetId="0">'REPORT SYNC'!$A$4:$OL$6</definedName>
    <definedName name="ExternalData_430" localSheetId="0">'REPORT SYNC'!$A$4:$GB$6</definedName>
    <definedName name="ExternalData_431" localSheetId="0">'REPORT SYNC'!$A$4:$C$6</definedName>
    <definedName name="ExternalData_432" localSheetId="0">'REPORT SYNC'!$A$4:$FX$6</definedName>
    <definedName name="ExternalData_433" localSheetId="0">'REPORT SYNC'!$A$4:$C$6</definedName>
    <definedName name="ExternalData_434" localSheetId="0">'REPORT SYNC'!$A$4:$FT$6</definedName>
    <definedName name="ExternalData_435" localSheetId="0">'REPORT SYNC'!$A$4:$FR$6</definedName>
    <definedName name="ExternalData_436" localSheetId="0">'REPORT SYNC'!$A$4:$FP$6</definedName>
    <definedName name="ExternalData_437" localSheetId="0">'REPORT SYNC'!$A$4:$FN$6</definedName>
    <definedName name="ExternalData_438" localSheetId="0">'REPORT SYNC'!$A$4:$C$6</definedName>
    <definedName name="ExternalData_439" localSheetId="0">'REPORT SYNC'!$A$4:$FJ$6</definedName>
    <definedName name="ExternalData_44" localSheetId="0">'REPORT SYNC'!$A$4:$OL$6</definedName>
    <definedName name="ExternalData_440" localSheetId="0">'REPORT SYNC'!$A$4:$C$6</definedName>
    <definedName name="ExternalData_441" localSheetId="0">'REPORT SYNC'!$A$4:$FF$6</definedName>
    <definedName name="ExternalData_442" localSheetId="0">'REPORT SYNC'!$A$4:$FD$6</definedName>
    <definedName name="ExternalData_443" localSheetId="0">'REPORT SYNC'!$A$4:$FB$6</definedName>
    <definedName name="ExternalData_444" localSheetId="0">'REPORT SYNC'!$A$4:$EZ$6</definedName>
    <definedName name="ExternalData_445" localSheetId="0">'REPORT SYNC'!$A$4:$EX$6</definedName>
    <definedName name="ExternalData_446" localSheetId="0">'REPORT SYNC'!$A$4:$EV$6</definedName>
    <definedName name="ExternalData_447" localSheetId="0">'REPORT SYNC'!$A$4:$ET$6</definedName>
    <definedName name="ExternalData_448" localSheetId="0">'REPORT SYNC'!$A$4:$ER$6</definedName>
    <definedName name="ExternalData_449" localSheetId="0">'REPORT SYNC'!$A$4:$EP$6</definedName>
    <definedName name="ExternalData_45" localSheetId="0">'REPORT SYNC'!$A$4:$OL$6</definedName>
    <definedName name="ExternalData_450" localSheetId="0">'REPORT SYNC'!$A$4:$EN$6</definedName>
    <definedName name="ExternalData_451" localSheetId="0">'REPORT SYNC'!$A$4:$EL$6</definedName>
    <definedName name="ExternalData_452" localSheetId="0">'REPORT SYNC'!$A$4:$C$6</definedName>
    <definedName name="ExternalData_453" localSheetId="0">'REPORT SYNC'!$A$4:$EH$6</definedName>
    <definedName name="ExternalData_454" localSheetId="0">'REPORT SYNC'!$A$4:$C$6</definedName>
    <definedName name="ExternalData_455" localSheetId="0">'REPORT SYNC'!$A$4:$ED$6</definedName>
    <definedName name="ExternalData_456" localSheetId="0">'REPORT SYNC'!$A$4:$EB$6</definedName>
    <definedName name="ExternalData_457" localSheetId="0">'REPORT SYNC'!$A$4:$DZ$6</definedName>
    <definedName name="ExternalData_458" localSheetId="0">'REPORT SYNC'!$A$4:$DX$6</definedName>
    <definedName name="ExternalData_459" localSheetId="0">'REPORT SYNC'!$A$4:$DV$6</definedName>
    <definedName name="ExternalData_46" localSheetId="0">'REPORT SYNC'!$A$4:$OL$6</definedName>
    <definedName name="ExternalData_460" localSheetId="0">'REPORT SYNC'!$A$4:$DT$6</definedName>
    <definedName name="ExternalData_461" localSheetId="0">'REPORT SYNC'!$A$4:$DR$6</definedName>
    <definedName name="ExternalData_462" localSheetId="0">'REPORT SYNC'!$A$4:$DP$6</definedName>
    <definedName name="ExternalData_463" localSheetId="0">'REPORT SYNC'!$A$4:$DN$6</definedName>
    <definedName name="ExternalData_464" localSheetId="0">'REPORT SYNC'!$A$4:$DL$6</definedName>
    <definedName name="ExternalData_465" localSheetId="0">'REPORT SYNC'!$A$4:$DJ$6</definedName>
    <definedName name="ExternalData_466" localSheetId="0">'REPORT SYNC'!$A$4:$DH$6</definedName>
    <definedName name="ExternalData_467" localSheetId="0">'REPORT SYNC'!$A$4:$DF$6</definedName>
    <definedName name="ExternalData_468" localSheetId="0">'REPORT SYNC'!$A$4:$DD$6</definedName>
    <definedName name="ExternalData_469" localSheetId="0">'REPORT SYNC'!$A$4:$C$6</definedName>
    <definedName name="ExternalData_47" localSheetId="0">'REPORT SYNC'!$A$4:$OL$6</definedName>
    <definedName name="ExternalData_470" localSheetId="0">'REPORT SYNC'!$A$4:$CZ$6</definedName>
    <definedName name="ExternalData_471" localSheetId="0">'REPORT SYNC'!$A$4:$C$6</definedName>
    <definedName name="ExternalData_472" localSheetId="0">'REPORT SYNC'!$A$4:$CW$6</definedName>
    <definedName name="ExternalData_473" localSheetId="0">'REPORT SYNC'!$A$4:$CU$6</definedName>
    <definedName name="ExternalData_474" localSheetId="0">'REPORT SYNC'!$A$4:$CR$6</definedName>
    <definedName name="ExternalData_475" localSheetId="0">'REPORT SYNC'!$A$4:$CP$6</definedName>
    <definedName name="ExternalData_476" localSheetId="0">'REPORT SYNC'!$A$4:$CO$6</definedName>
    <definedName name="ExternalData_477" localSheetId="0">'REPORT SYNC'!$A$4:$CM$6</definedName>
    <definedName name="ExternalData_478" localSheetId="0">'REPORT SYNC'!$A$4:$CK$6</definedName>
    <definedName name="ExternalData_479" localSheetId="0">'REPORT SYNC'!$A$4:$CI$6</definedName>
    <definedName name="ExternalData_48" localSheetId="0">'REPORT SYNC'!$A$4:$OL$6</definedName>
    <definedName name="ExternalData_480" localSheetId="0">'REPORT SYNC'!$A$4:$CG$6</definedName>
    <definedName name="ExternalData_481" localSheetId="0">'REPORT SYNC'!$A$4:$CE$6</definedName>
    <definedName name="ExternalData_482" localSheetId="0">'REPORT SYNC'!$A$4:$CC$6</definedName>
    <definedName name="ExternalData_483" localSheetId="0">'REPORT SYNC'!$A$4:$BZ$6</definedName>
    <definedName name="ExternalData_484" localSheetId="0">'REPORT SYNC'!$A$4:$BX$6</definedName>
    <definedName name="ExternalData_485" localSheetId="0">'REPORT SYNC'!$A$4:$BW$6</definedName>
    <definedName name="ExternalData_486" localSheetId="0">'REPORT SYNC'!$A$4:$BT$6</definedName>
    <definedName name="ExternalData_487" localSheetId="0">'REPORT SYNC'!$A$4:$BR$6</definedName>
    <definedName name="ExternalData_488" localSheetId="0">'REPORT SYNC'!$A$4:$BP$6</definedName>
    <definedName name="ExternalData_489" localSheetId="0">'REPORT SYNC'!$A$4:$BN$6</definedName>
    <definedName name="ExternalData_49" localSheetId="0">'REPORT SYNC'!$A$4:$OL$6</definedName>
    <definedName name="ExternalData_490" localSheetId="0">'REPORT SYNC'!$A$4:$BL$6</definedName>
    <definedName name="ExternalData_491" localSheetId="0">'REPORT SYNC'!$A$4:$BJ$6</definedName>
    <definedName name="ExternalData_492" localSheetId="0">'REPORT SYNC'!$A$4:$BH$6</definedName>
    <definedName name="ExternalData_493" localSheetId="0">'REPORT SYNC'!$A$4:$BF$6</definedName>
    <definedName name="ExternalData_494" localSheetId="0">'REPORT SYNC'!$A$4:$BD$6</definedName>
    <definedName name="ExternalData_495" localSheetId="0">'REPORT SYNC'!$A$4:$BB$6</definedName>
    <definedName name="ExternalData_496" localSheetId="0">'REPORT SYNC'!$A$4:$AZ$6</definedName>
    <definedName name="ExternalData_497" localSheetId="0">'REPORT SYNC'!$A$4:$AX$6</definedName>
    <definedName name="ExternalData_498" localSheetId="0">'REPORT SYNC'!$A$4:$C$6</definedName>
    <definedName name="ExternalData_499" localSheetId="0">'REPORT SYNC'!$A$4:$AU$18</definedName>
    <definedName name="ExternalData_5" localSheetId="0">'REPORT SYNC'!$OM$4:$OS$6</definedName>
    <definedName name="ExternalData_50" localSheetId="0">'REPORT SYNC'!$A$4:$OL$6</definedName>
    <definedName name="ExternalData_500" localSheetId="0">'REPORT SYNC'!$A$4:$AR$6</definedName>
    <definedName name="ExternalData_501" localSheetId="0">'REPORT SYNC'!$A$4:$AP$6</definedName>
    <definedName name="ExternalData_502" localSheetId="0">'REPORT SYNC'!$A$4:$C$6</definedName>
    <definedName name="ExternalData_503" localSheetId="0">'REPORT SYNC'!$A$4:$AL$6</definedName>
    <definedName name="ExternalData_504" localSheetId="0">'REPORT SYNC'!$A$4:$AJ$6</definedName>
    <definedName name="ExternalData_505" localSheetId="0">'REPORT SYNC'!$A$4:$AH$6</definedName>
    <definedName name="ExternalData_506" localSheetId="0">'REPORT SYNC'!$A$4:$AF$6</definedName>
    <definedName name="ExternalData_507" localSheetId="0">'REPORT SYNC'!$A$4:$AE$24</definedName>
    <definedName name="ExternalData_508" localSheetId="0">'REPORT SYNC'!$A$4:$AB$6</definedName>
    <definedName name="ExternalData_509" localSheetId="0">'REPORT SYNC'!$A$4:$Z$6</definedName>
    <definedName name="ExternalData_51" localSheetId="0">'REPORT SYNC'!$A$4:$OL$6</definedName>
    <definedName name="ExternalData_510" localSheetId="0">'REPORT SYNC'!$A$4:$X$7</definedName>
    <definedName name="ExternalData_511" localSheetId="0">'REPORT SYNC'!$A$4:$V$8</definedName>
    <definedName name="ExternalData_512" localSheetId="0">'REPORT SYNC'!$A$4:$T$9</definedName>
    <definedName name="ExternalData_513" localSheetId="0">'REPORT SYNC'!$A$4:$R$10</definedName>
    <definedName name="ExternalData_514" localSheetId="0">'REPORT SYNC'!$A$4:$Q$24</definedName>
    <definedName name="ExternalData_515" localSheetId="0">'REPORT SYNC'!$A$4:$O$36</definedName>
    <definedName name="ExternalData_516" localSheetId="0">'REPORT SYNC'!$A$4:$L$11</definedName>
    <definedName name="ExternalData_517" localSheetId="0">'REPORT SYNC'!$A$4:$J$13</definedName>
    <definedName name="ExternalData_518" localSheetId="0">'REPORT SYNC'!$A$4:$H$15</definedName>
    <definedName name="ExternalData_52" localSheetId="0">'REPORT SYNC'!$A$4:$OL$6</definedName>
    <definedName name="ExternalData_53" localSheetId="0">'REPORT SYNC'!$A$4:$OL$6</definedName>
    <definedName name="ExternalData_54" localSheetId="0">'REPORT SYNC'!$A$4:$OL$6</definedName>
    <definedName name="ExternalData_55" localSheetId="0">'REPORT SYNC'!$A$4:$OL$6</definedName>
    <definedName name="ExternalData_56" localSheetId="0">'REPORT SYNC'!$A$4:$OL$6</definedName>
    <definedName name="ExternalData_57" localSheetId="0">'REPORT SYNC'!$A$4:$OL$6</definedName>
    <definedName name="ExternalData_58" localSheetId="0">'REPORT SYNC'!$A$4:$OL$6</definedName>
    <definedName name="ExternalData_6" localSheetId="0">'REPORT SYNC'!$OM$4:$OS$6</definedName>
    <definedName name="ExternalData_61" localSheetId="0">'REPORT SYNC'!$A$4:$OL$6</definedName>
    <definedName name="ExternalData_62" localSheetId="0">'REPORT SYNC'!$A$4:$OL$6</definedName>
    <definedName name="ExternalData_63" localSheetId="0">'REPORT SYNC'!$A$4:$OL$6</definedName>
    <definedName name="ExternalData_64" localSheetId="0">'REPORT SYNC'!$A$4:$OL$6</definedName>
    <definedName name="ExternalData_65" localSheetId="0">'REPORT SYNC'!$A$4:$OL$6</definedName>
    <definedName name="ExternalData_66" localSheetId="0">'REPORT SYNC'!$A$4:$OL$6</definedName>
    <definedName name="ExternalData_67" localSheetId="0">'REPORT SYNC'!$A$4:$OL$6</definedName>
    <definedName name="ExternalData_68" localSheetId="0">'REPORT SYNC'!$A$4:$OL$6</definedName>
    <definedName name="ExternalData_69" localSheetId="0">'REPORT SYNC'!$A$4:$OL$6</definedName>
    <definedName name="ExternalData_7" localSheetId="0">'REPORT SYNC'!$OM$4:$OS$6</definedName>
    <definedName name="ExternalData_70" localSheetId="0">'REPORT SYNC'!$A$4:$OL$6</definedName>
    <definedName name="ExternalData_71" localSheetId="0">'REPORT SYNC'!$A$4:$OL$6</definedName>
    <definedName name="ExternalData_72" localSheetId="0">'REPORT SYNC'!$A$4:$OL$6</definedName>
    <definedName name="ExternalData_73" localSheetId="0">'REPORT SYNC'!$A$4:$OL$6</definedName>
    <definedName name="ExternalData_74" localSheetId="0">'REPORT SYNC'!$A$4:$OL$6</definedName>
    <definedName name="ExternalData_75" localSheetId="0">'REPORT SYNC'!$A$4:$OL$6</definedName>
    <definedName name="ExternalData_76" localSheetId="0">'REPORT SYNC'!$A$4:$OL$6</definedName>
    <definedName name="ExternalData_77" localSheetId="0">'REPORT SYNC'!$A$4:$OL$6</definedName>
    <definedName name="ExternalData_78" localSheetId="0">'REPORT SYNC'!$A$4:$OL$6</definedName>
    <definedName name="ExternalData_79" localSheetId="0">'REPORT SYNC'!$A$4:$OL$6</definedName>
    <definedName name="ExternalData_8" localSheetId="0">'REPORT SYNC'!$A$4:$OL$6</definedName>
    <definedName name="ExternalData_80" localSheetId="0">'REPORT SYNC'!$A$4:$OK$6</definedName>
    <definedName name="ExternalData_81" localSheetId="0">'REPORT SYNC'!$A$4:$OL$6</definedName>
    <definedName name="ExternalData_82" localSheetId="0">'REPORT SYNC'!$A$4:$OP$6</definedName>
    <definedName name="ExternalData_83" localSheetId="0">'REPORT SYNC'!$A$4:$OK$6</definedName>
    <definedName name="ExternalData_84" localSheetId="0">'REPORT SYNC'!$A$4:$OL$6</definedName>
    <definedName name="ExternalData_85" localSheetId="0">'REPORT SYNC'!$A$4:$OL$6</definedName>
    <definedName name="ExternalData_86" localSheetId="0">'REPORT SYNC'!$A$4:$OL$6</definedName>
    <definedName name="ExternalData_87" localSheetId="0">'REPORT SYNC'!$A$4:$OL$6</definedName>
    <definedName name="ExternalData_88" localSheetId="0">'REPORT SYNC'!$A$4:$OL$6</definedName>
    <definedName name="ExternalData_89" localSheetId="0">'REPORT SYNC'!$A$4:$OK$6</definedName>
    <definedName name="ExternalData_9" localSheetId="0">'REPORT SYNC'!$A$4:$OL$6</definedName>
    <definedName name="ExternalData_90" localSheetId="0">'REPORT SYNC'!$A$4:$OK$6</definedName>
    <definedName name="ExternalData_91" localSheetId="0">'REPORT SYNC'!$A$4:$OK$6</definedName>
    <definedName name="ExternalData_92" localSheetId="0">'REPORT SYNC'!$A$4:$OK$6</definedName>
    <definedName name="ExternalData_93" localSheetId="0">'REPORT SYNC'!$A$4:$OK$6</definedName>
    <definedName name="ExternalData_94" localSheetId="0">'REPORT SYNC'!$A$4:$OL$6</definedName>
    <definedName name="ExternalData_95" localSheetId="0">'REPORT SYNC'!$A$4:$OL$6</definedName>
    <definedName name="ExternalData_96" localSheetId="0">'REPORT SYNC'!$A$4:$OL$6</definedName>
    <definedName name="ExternalData_97" localSheetId="0">'REPORT SYNC'!$A$4:$OK$6</definedName>
    <definedName name="ExternalData_98" localSheetId="0">'REPORT SYNC'!$A$4:$OK$6</definedName>
    <definedName name="ExternalData_99" localSheetId="0">'REPORT SYNC'!$A$4:$OK$6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J16" i="1" s="1"/>
  <c r="G16" i="1"/>
  <c r="G13" i="1"/>
  <c r="H13" i="1"/>
  <c r="J13" i="1" s="1"/>
  <c r="G12" i="1"/>
  <c r="H12" i="1"/>
  <c r="J12" i="1" s="1"/>
  <c r="G11" i="1"/>
  <c r="H11" i="1"/>
  <c r="J11" i="1" s="1"/>
  <c r="G10" i="1"/>
  <c r="H10" i="1"/>
  <c r="J10" i="1" s="1"/>
  <c r="G9" i="1"/>
  <c r="H9" i="1"/>
  <c r="J9" i="1" s="1"/>
  <c r="G8" i="1"/>
  <c r="H8" i="1"/>
  <c r="J8" i="1" s="1"/>
  <c r="G7" i="1"/>
  <c r="H7" i="1"/>
  <c r="J7" i="1" s="1"/>
  <c r="G6" i="1"/>
  <c r="H6" i="1"/>
  <c r="J6" i="1" s="1"/>
  <c r="G5" i="1"/>
  <c r="H5" i="1"/>
  <c r="J5" i="1" s="1"/>
  <c r="J19" i="1" s="1"/>
  <c r="J20" i="1" s="1"/>
  <c r="J21" i="1"/>
  <c r="J2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GeometryByTakeoffReport" type="6" refreshedVersion="6" background="1" saveData="1">
    <textPr prompt="0" sourceFile="C:\Users\Owner\Documents\GitHub\Sandbox\Stack\Estimating\GeometryByTakeoffReport.csv" comma="1">
      <textFields>
        <textField/>
      </textFields>
    </textPr>
  </connection>
  <connection id="2" xr16:uid="{00000000-0015-0000-FFFF-FFFF01000000}" name="GeometryByTakeoffReport1" type="6" refreshedVersion="6" background="1" saveData="1">
    <textPr prompt="0" sourceFile="C:\Users\Owner\Documents\GitHub\Sandbox\Stack\Estimating\Reports\GeometryByTakeoffReport.csv" comma="1">
      <textFields>
        <textField/>
      </textFields>
    </textPr>
  </connection>
  <connection id="3" xr16:uid="{00000000-0015-0000-FFFF-FFFF02000000}" name="GeometryByTakeoffReport2" type="6" refreshedVersion="6" background="1" saveData="1">
    <textPr prompt="0" sourceFile="C:\Users\Owner\Documents\GitHub\Sandbox\Stack\Estimating\Reports\GeometryByTakeoffReport.csv" comma="1">
      <textFields>
        <textField/>
      </textFields>
    </textPr>
  </connection>
  <connection id="4" xr16:uid="{00000000-0015-0000-FFFF-FFFF03000000}" name="GeometryByTakeoffReport3" type="6" refreshedVersion="6" background="1" saveData="1">
    <textPr prompt="0" sourceFile="C:\Users\Owner\Documents\GitHub\Sandbox\Stack\Estimating\Reports\GeometryByTakeoffReport.csv" comma="1">
      <textFields>
        <textField/>
      </textFields>
    </textPr>
  </connection>
  <connection id="5" xr16:uid="{00000000-0015-0000-FFFF-FFFF04000000}" name="GeometryByTakeoffReport4" type="6" refreshedVersion="6" background="1" saveData="1">
    <textPr prompt="0" sourceFile="C:\Users\Owner\Documents\GitHub\Sandbox\Stack\Estimating\Reports\GeometryByTakeoffReport.csv" comma="1">
      <textFields>
        <textField/>
      </textFields>
    </textPr>
  </connection>
  <connection id="6" xr16:uid="{00000000-0015-0000-FFFF-FFFF05000000}" name="ItemCostByTakeoffReport" type="6" refreshedVersion="6" background="1" saveData="1">
    <textPr prompt="0" sourceFile="C:\Users\Owner\Documents\GitHub\Sandbox\Stack\Estimating\ItemCostByTakeoffReport.csv" comma="1">
      <textFields>
        <textField/>
      </textFields>
    </textPr>
  </connection>
  <connection id="7" xr16:uid="{00000000-0015-0000-FFFF-FFFF06000000}" name="ItemCostByTakeoffReport1" type="6" refreshedVersion="6" background="1" saveData="1">
    <textPr prompt="0" sourceFile="C:\Users\Owner\Documents\GitHub\Sandbox\Stack\Estimating\ItemCostByTakeoffReport.csv" comma="1">
      <textFields>
        <textField/>
      </textFields>
    </textPr>
  </connection>
  <connection id="8" xr16:uid="{00000000-0015-0000-FFFF-FFFF07000000}" name="ItemCostByTakeoffReport10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9" xr16:uid="{00000000-0015-0000-FFFF-FFFF08000000}" name="ItemCostByTakeoffReport11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10" xr16:uid="{00000000-0015-0000-FFFF-FFFF09000000}" name="ItemCostByTakeoffReport12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11" xr16:uid="{00000000-0015-0000-FFFF-FFFF0A000000}" name="ItemCostByTakeoffReport13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12" xr16:uid="{00000000-0015-0000-FFFF-FFFF0B000000}" name="ItemCostByTakeoffReport14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13" xr16:uid="{00000000-0015-0000-FFFF-FFFF0C000000}" name="ItemCostByTakeoffReport15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14" xr16:uid="{00000000-0015-0000-FFFF-FFFF0D000000}" name="ItemCostByTakeoffReport16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15" xr16:uid="{00000000-0015-0000-FFFF-FFFF0E000000}" name="ItemCostByTakeoffReport17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16" xr16:uid="{00000000-0015-0000-FFFF-FFFF0F000000}" name="ItemCostByTakeoffReport18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17" xr16:uid="{00000000-0015-0000-FFFF-FFFF10000000}" name="ItemCostByTakeoffReport19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18" xr16:uid="{00000000-0015-0000-FFFF-FFFF11000000}" name="ItemCostByTakeoffReport2" type="6" refreshedVersion="6" background="1" saveData="1">
    <textPr prompt="0" sourceFile="C:\Users\Owner\Documents\GitHub\Sandbox\Stack\Estimating\ItemCostByTakeoffReport.csv" comma="1">
      <textFields>
        <textField/>
      </textFields>
    </textPr>
  </connection>
  <connection id="19" xr16:uid="{00000000-0015-0000-FFFF-FFFF12000000}" name="ItemCostByTakeoffReport20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0" xr16:uid="{00000000-0015-0000-FFFF-FFFF13000000}" name="ItemCostByTakeoffReport21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1" xr16:uid="{00000000-0015-0000-FFFF-FFFF14000000}" name="ItemCostByTakeoffReport22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2" xr16:uid="{00000000-0015-0000-FFFF-FFFF15000000}" name="ItemCostByTakeoffReport23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3" xr16:uid="{00000000-0015-0000-FFFF-FFFF16000000}" name="ItemCostByTakeoffReport24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4" xr16:uid="{00000000-0015-0000-FFFF-FFFF17000000}" name="ItemCostByTakeoffReport25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5" xr16:uid="{00000000-0015-0000-FFFF-FFFF18000000}" name="ItemCostByTakeoffReport26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6" xr16:uid="{00000000-0015-0000-FFFF-FFFF19000000}" name="ItemCostByTakeoffReport27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7" xr16:uid="{00000000-0015-0000-FFFF-FFFF1A000000}" name="ItemCostByTakeoffReport28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8" xr16:uid="{00000000-0015-0000-FFFF-FFFF1B000000}" name="ItemCostByTakeoffReport29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29" xr16:uid="{00000000-0015-0000-FFFF-FFFF1C000000}" name="ItemCostByTakeoffReport3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30" xr16:uid="{00000000-0015-0000-FFFF-FFFF1D000000}" name="ItemCostByTakeoffReport30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31" xr16:uid="{00000000-0015-0000-FFFF-FFFF1E000000}" name="ItemCostByTakeoffReport4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32" xr16:uid="{00000000-0015-0000-FFFF-FFFF1F000000}" name="ItemCostByTakeoffReport5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33" xr16:uid="{00000000-0015-0000-FFFF-FFFF20000000}" name="ItemCostByTakeoffReport6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34" xr16:uid="{00000000-0015-0000-FFFF-FFFF21000000}" name="ItemCostByTakeoffReport7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35" xr16:uid="{00000000-0015-0000-FFFF-FFFF22000000}" name="ItemCostByTakeoffReport8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36" xr16:uid="{00000000-0015-0000-FFFF-FFFF23000000}" name="ItemCostByTakeoffReport9" type="6" refreshedVersion="6" background="1" saveData="1">
    <textPr prompt="0" sourceFile="C:\Users\Owner\Documents\GitHub\Sandbox\Stack\Estimating\Reports\ItemCostByTakeoffReport.csv" comma="1">
      <textFields>
        <textField/>
      </textFields>
    </textPr>
  </connection>
  <connection id="37" xr16:uid="{00000000-0015-0000-FFFF-FFFF24000000}" name="ItemCostByTypeReport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38" xr16:uid="{00000000-0015-0000-FFFF-FFFF25000000}" name="ItemCostByTypeReport1" type="6" refreshedVersion="6" background="1" saveData="1">
    <textPr prompt="0" sourceFile="C:\Users\Owner\Downloads\ItemCostByTypeReport.csv" comma="1">
      <textFields>
        <textField/>
      </textFields>
    </textPr>
  </connection>
  <connection id="39" xr16:uid="{00000000-0015-0000-FFFF-FFFF26000000}" name="ItemCostByTypeReport10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40" xr16:uid="{00000000-0015-0000-FFFF-FFFF27000000}" name="ItemCostByTypeReport10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41" xr16:uid="{00000000-0015-0000-FFFF-FFFF28000000}" name="ItemCostByTypeReport10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42" xr16:uid="{00000000-0015-0000-FFFF-FFFF29000000}" name="ItemCostByTypeReport10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43" xr16:uid="{00000000-0015-0000-FFFF-FFFF2A000000}" name="ItemCostByTypeReport10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44" xr16:uid="{00000000-0015-0000-FFFF-FFFF2B000000}" name="ItemCostByTypeReport10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45" xr16:uid="{00000000-0015-0000-FFFF-FFFF2C000000}" name="ItemCostByTypeReport10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46" xr16:uid="{00000000-0015-0000-FFFF-FFFF2D000000}" name="ItemCostByTypeReport10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47" xr16:uid="{00000000-0015-0000-FFFF-FFFF2E000000}" name="ItemCostByTypeReport10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48" xr16:uid="{00000000-0015-0000-FFFF-FFFF2F000000}" name="ItemCostByTypeReport10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49" xr16:uid="{00000000-0015-0000-FFFF-FFFF30000000}" name="ItemCostByTypeReport10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50" xr16:uid="{00000000-0015-0000-FFFF-FFFF31000000}" name="ItemCostByTypeReport11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51" xr16:uid="{00000000-0015-0000-FFFF-FFFF32000000}" name="ItemCostByTypeReport11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52" xr16:uid="{00000000-0015-0000-FFFF-FFFF33000000}" name="ItemCostByTypeReport11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53" xr16:uid="{00000000-0015-0000-FFFF-FFFF34000000}" name="ItemCostByTypeReport11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54" xr16:uid="{00000000-0015-0000-FFFF-FFFF35000000}" name="ItemCostByTypeReport11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55" xr16:uid="{00000000-0015-0000-FFFF-FFFF36000000}" name="ItemCostByTypeReport11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56" xr16:uid="{00000000-0015-0000-FFFF-FFFF37000000}" name="ItemCostByTypeReport11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57" xr16:uid="{00000000-0015-0000-FFFF-FFFF38000000}" name="ItemCostByTypeReport11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58" xr16:uid="{00000000-0015-0000-FFFF-FFFF39000000}" name="ItemCostByTypeReport11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59" xr16:uid="{00000000-0015-0000-FFFF-FFFF3A000000}" name="ItemCostByTypeReport11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60" xr16:uid="{00000000-0015-0000-FFFF-FFFF3B000000}" name="ItemCostByTypeReport11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61" xr16:uid="{00000000-0015-0000-FFFF-FFFF3C000000}" name="ItemCostByTypeReport12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62" xr16:uid="{00000000-0015-0000-FFFF-FFFF3D000000}" name="ItemCostByTypeReport12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63" xr16:uid="{00000000-0015-0000-FFFF-FFFF3E000000}" name="ItemCostByTypeReport12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64" xr16:uid="{00000000-0015-0000-FFFF-FFFF3F000000}" name="ItemCostByTypeReport12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65" xr16:uid="{00000000-0015-0000-FFFF-FFFF40000000}" name="ItemCostByTypeReport12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66" xr16:uid="{00000000-0015-0000-FFFF-FFFF41000000}" name="ItemCostByTypeReport12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67" xr16:uid="{00000000-0015-0000-FFFF-FFFF42000000}" name="ItemCostByTypeReport12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68" xr16:uid="{00000000-0015-0000-FFFF-FFFF43000000}" name="ItemCostByTypeReport12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69" xr16:uid="{00000000-0015-0000-FFFF-FFFF44000000}" name="ItemCostByTypeReport12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70" xr16:uid="{00000000-0015-0000-FFFF-FFFF45000000}" name="ItemCostByTypeReport12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71" xr16:uid="{00000000-0015-0000-FFFF-FFFF46000000}" name="ItemCostByTypeReport12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72" xr16:uid="{00000000-0015-0000-FFFF-FFFF47000000}" name="ItemCostByTypeReport13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73" xr16:uid="{00000000-0015-0000-FFFF-FFFF48000000}" name="ItemCostByTypeReport13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74" xr16:uid="{00000000-0015-0000-FFFF-FFFF49000000}" name="ItemCostByTypeReport13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75" xr16:uid="{00000000-0015-0000-FFFF-FFFF4A000000}" name="ItemCostByTypeReport13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76" xr16:uid="{00000000-0015-0000-FFFF-FFFF4B000000}" name="ItemCostByTypeReport13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77" xr16:uid="{00000000-0015-0000-FFFF-FFFF4C000000}" name="ItemCostByTypeReport13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78" xr16:uid="{00000000-0015-0000-FFFF-FFFF4D000000}" name="ItemCostByTypeReport13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79" xr16:uid="{00000000-0015-0000-FFFF-FFFF4E000000}" name="ItemCostByTypeReport13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80" xr16:uid="{00000000-0015-0000-FFFF-FFFF4F000000}" name="ItemCostByTypeReport13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81" xr16:uid="{00000000-0015-0000-FFFF-FFFF50000000}" name="ItemCostByTypeReport13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82" xr16:uid="{00000000-0015-0000-FFFF-FFFF51000000}" name="ItemCostByTypeReport13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83" xr16:uid="{00000000-0015-0000-FFFF-FFFF52000000}" name="ItemCostByTypeReport14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84" xr16:uid="{00000000-0015-0000-FFFF-FFFF53000000}" name="ItemCostByTypeReport14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85" xr16:uid="{00000000-0015-0000-FFFF-FFFF54000000}" name="ItemCostByTypeReport14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86" xr16:uid="{00000000-0015-0000-FFFF-FFFF55000000}" name="ItemCostByTypeReport14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87" xr16:uid="{00000000-0015-0000-FFFF-FFFF56000000}" name="ItemCostByTypeReport14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88" xr16:uid="{00000000-0015-0000-FFFF-FFFF57000000}" name="ItemCostByTypeReport14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89" xr16:uid="{00000000-0015-0000-FFFF-FFFF58000000}" name="ItemCostByTypeReport14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90" xr16:uid="{00000000-0015-0000-FFFF-FFFF59000000}" name="ItemCostByTypeReport14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91" xr16:uid="{00000000-0015-0000-FFFF-FFFF5A000000}" name="ItemCostByTypeReport14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92" xr16:uid="{00000000-0015-0000-FFFF-FFFF5B000000}" name="ItemCostByTypeReport14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93" xr16:uid="{00000000-0015-0000-FFFF-FFFF5C000000}" name="ItemCostByTypeReport14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94" xr16:uid="{00000000-0015-0000-FFFF-FFFF5D000000}" name="ItemCostByTypeReport15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95" xr16:uid="{00000000-0015-0000-FFFF-FFFF5E000000}" name="ItemCostByTypeReport15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96" xr16:uid="{00000000-0015-0000-FFFF-FFFF5F000000}" name="ItemCostByTypeReport15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97" xr16:uid="{00000000-0015-0000-FFFF-FFFF60000000}" name="ItemCostByTypeReport15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98" xr16:uid="{00000000-0015-0000-FFFF-FFFF61000000}" name="ItemCostByTypeReport15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99" xr16:uid="{00000000-0015-0000-FFFF-FFFF62000000}" name="ItemCostByTypeReport15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00" xr16:uid="{00000000-0015-0000-FFFF-FFFF63000000}" name="ItemCostByTypeReport15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01" xr16:uid="{00000000-0015-0000-FFFF-FFFF64000000}" name="ItemCostByTypeReport15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02" xr16:uid="{00000000-0015-0000-FFFF-FFFF65000000}" name="ItemCostByTypeReport15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03" xr16:uid="{00000000-0015-0000-FFFF-FFFF66000000}" name="ItemCostByTypeReport15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04" xr16:uid="{00000000-0015-0000-FFFF-FFFF67000000}" name="ItemCostByTypeReport15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05" xr16:uid="{00000000-0015-0000-FFFF-FFFF68000000}" name="ItemCostByTypeReport16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06" xr16:uid="{00000000-0015-0000-FFFF-FFFF69000000}" name="ItemCostByTypeReport16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07" xr16:uid="{00000000-0015-0000-FFFF-FFFF6A000000}" name="ItemCostByTypeReport16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08" xr16:uid="{00000000-0015-0000-FFFF-FFFF6B000000}" name="ItemCostByTypeReport16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09" xr16:uid="{00000000-0015-0000-FFFF-FFFF6C000000}" name="ItemCostByTypeReport16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10" xr16:uid="{00000000-0015-0000-FFFF-FFFF6D000000}" name="ItemCostByTypeReport16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11" xr16:uid="{00000000-0015-0000-FFFF-FFFF6E000000}" name="ItemCostByTypeReport16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12" xr16:uid="{00000000-0015-0000-FFFF-FFFF6F000000}" name="ItemCostByTypeReport16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13" xr16:uid="{00000000-0015-0000-FFFF-FFFF70000000}" name="ItemCostByTypeReport16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14" xr16:uid="{00000000-0015-0000-FFFF-FFFF71000000}" name="ItemCostByTypeReport16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15" xr16:uid="{00000000-0015-0000-FFFF-FFFF72000000}" name="ItemCostByTypeReport16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16" xr16:uid="{00000000-0015-0000-FFFF-FFFF73000000}" name="ItemCostByTypeReport17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17" xr16:uid="{00000000-0015-0000-FFFF-FFFF74000000}" name="ItemCostByTypeReport17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18" xr16:uid="{00000000-0015-0000-FFFF-FFFF75000000}" name="ItemCostByTypeReport17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19" xr16:uid="{00000000-0015-0000-FFFF-FFFF76000000}" name="ItemCostByTypeReport17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20" xr16:uid="{00000000-0015-0000-FFFF-FFFF77000000}" name="ItemCostByTypeReport17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21" xr16:uid="{00000000-0015-0000-FFFF-FFFF78000000}" name="ItemCostByTypeReport17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22" xr16:uid="{00000000-0015-0000-FFFF-FFFF79000000}" name="ItemCostByTypeReport17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23" xr16:uid="{00000000-0015-0000-FFFF-FFFF7A000000}" name="ItemCostByTypeReport17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24" xr16:uid="{00000000-0015-0000-FFFF-FFFF7B000000}" name="ItemCostByTypeReport17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25" xr16:uid="{00000000-0015-0000-FFFF-FFFF7C000000}" name="ItemCostByTypeReport17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26" xr16:uid="{00000000-0015-0000-FFFF-FFFF7D000000}" name="ItemCostByTypeReport17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27" xr16:uid="{00000000-0015-0000-FFFF-FFFF7E000000}" name="ItemCostByTypeReport18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28" xr16:uid="{00000000-0015-0000-FFFF-FFFF7F000000}" name="ItemCostByTypeReport18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29" xr16:uid="{00000000-0015-0000-FFFF-FFFF80000000}" name="ItemCostByTypeReport18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30" xr16:uid="{00000000-0015-0000-FFFF-FFFF81000000}" name="ItemCostByTypeReport18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31" xr16:uid="{00000000-0015-0000-FFFF-FFFF82000000}" name="ItemCostByTypeReport18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32" xr16:uid="{00000000-0015-0000-FFFF-FFFF83000000}" name="ItemCostByTypeReport18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33" xr16:uid="{00000000-0015-0000-FFFF-FFFF84000000}" name="ItemCostByTypeReport18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34" xr16:uid="{00000000-0015-0000-FFFF-FFFF85000000}" name="ItemCostByTypeReport18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35" xr16:uid="{00000000-0015-0000-FFFF-FFFF86000000}" name="ItemCostByTypeReport18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36" xr16:uid="{00000000-0015-0000-FFFF-FFFF87000000}" name="ItemCostByTypeReport18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37" xr16:uid="{00000000-0015-0000-FFFF-FFFF88000000}" name="ItemCostByTypeReport18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38" xr16:uid="{00000000-0015-0000-FFFF-FFFF89000000}" name="ItemCostByTypeReport19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39" xr16:uid="{00000000-0015-0000-FFFF-FFFF8A000000}" name="ItemCostByTypeReport19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0" xr16:uid="{00000000-0015-0000-FFFF-FFFF8B000000}" name="ItemCostByTypeReport19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1" xr16:uid="{00000000-0015-0000-FFFF-FFFF8C000000}" name="ItemCostByTypeReport19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2" xr16:uid="{00000000-0015-0000-FFFF-FFFF8D000000}" name="ItemCostByTypeReport19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3" xr16:uid="{00000000-0015-0000-FFFF-FFFF8E000000}" name="ItemCostByTypeReport19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4" xr16:uid="{00000000-0015-0000-FFFF-FFFF8F000000}" name="ItemCostByTypeReport19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5" xr16:uid="{00000000-0015-0000-FFFF-FFFF90000000}" name="ItemCostByTypeReport19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6" xr16:uid="{00000000-0015-0000-FFFF-FFFF91000000}" name="ItemCostByTypeReport19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7" xr16:uid="{00000000-0015-0000-FFFF-FFFF92000000}" name="ItemCostByTypeReport19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8" xr16:uid="{00000000-0015-0000-FFFF-FFFF93000000}" name="ItemCostByTypeReport19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49" xr16:uid="{00000000-0015-0000-FFFF-FFFF94000000}" name="ItemCostByTypeReport2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50" xr16:uid="{00000000-0015-0000-FFFF-FFFF95000000}" name="ItemCostByTypeReport20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51" xr16:uid="{00000000-0015-0000-FFFF-FFFF96000000}" name="ItemCostByTypeReport20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52" xr16:uid="{00000000-0015-0000-FFFF-FFFF97000000}" name="ItemCostByTypeReport20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53" xr16:uid="{00000000-0015-0000-FFFF-FFFF98000000}" name="ItemCostByTypeReport20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54" xr16:uid="{00000000-0015-0000-FFFF-FFFF99000000}" name="ItemCostByTypeReport20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55" xr16:uid="{00000000-0015-0000-FFFF-FFFF9A000000}" name="ItemCostByTypeReport20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56" xr16:uid="{00000000-0015-0000-FFFF-FFFF9B000000}" name="ItemCostByTypeReport20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57" xr16:uid="{00000000-0015-0000-FFFF-FFFF9C000000}" name="ItemCostByTypeReport20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58" xr16:uid="{00000000-0015-0000-FFFF-FFFF9D000000}" name="ItemCostByTypeReport20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59" xr16:uid="{00000000-0015-0000-FFFF-FFFF9E000000}" name="ItemCostByTypeReport20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60" xr16:uid="{00000000-0015-0000-FFFF-FFFF9F000000}" name="ItemCostByTypeReport20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61" xr16:uid="{00000000-0015-0000-FFFF-FFFFA0000000}" name="ItemCostByTypeReport21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62" xr16:uid="{00000000-0015-0000-FFFF-FFFFA1000000}" name="ItemCostByTypeReport21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63" xr16:uid="{00000000-0015-0000-FFFF-FFFFA2000000}" name="ItemCostByTypeReport21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64" xr16:uid="{00000000-0015-0000-FFFF-FFFFA3000000}" name="ItemCostByTypeReport21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65" xr16:uid="{00000000-0015-0000-FFFF-FFFFA4000000}" name="ItemCostByTypeReport21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66" xr16:uid="{00000000-0015-0000-FFFF-FFFFA5000000}" name="ItemCostByTypeReport21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67" xr16:uid="{00000000-0015-0000-FFFF-FFFFA6000000}" name="ItemCostByTypeReport21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68" xr16:uid="{00000000-0015-0000-FFFF-FFFFA7000000}" name="ItemCostByTypeReport21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69" xr16:uid="{00000000-0015-0000-FFFF-FFFFA8000000}" name="ItemCostByTypeReport21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70" xr16:uid="{00000000-0015-0000-FFFF-FFFFA9000000}" name="ItemCostByTypeReport21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71" xr16:uid="{00000000-0015-0000-FFFF-FFFFAA000000}" name="ItemCostByTypeReport21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72" xr16:uid="{00000000-0015-0000-FFFF-FFFFAB000000}" name="ItemCostByTypeReport22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73" xr16:uid="{00000000-0015-0000-FFFF-FFFFAC000000}" name="ItemCostByTypeReport22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74" xr16:uid="{00000000-0015-0000-FFFF-FFFFAD000000}" name="ItemCostByTypeReport22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75" xr16:uid="{00000000-0015-0000-FFFF-FFFFAE000000}" name="ItemCostByTypeReport22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76" xr16:uid="{00000000-0015-0000-FFFF-FFFFAF000000}" name="ItemCostByTypeReport22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77" xr16:uid="{00000000-0015-0000-FFFF-FFFFB0000000}" name="ItemCostByTypeReport22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78" xr16:uid="{00000000-0015-0000-FFFF-FFFFB1000000}" name="ItemCostByTypeReport22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79" xr16:uid="{00000000-0015-0000-FFFF-FFFFB2000000}" name="ItemCostByTypeReport22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80" xr16:uid="{00000000-0015-0000-FFFF-FFFFB3000000}" name="ItemCostByTypeReport22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81" xr16:uid="{00000000-0015-0000-FFFF-FFFFB4000000}" name="ItemCostByTypeReport22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82" xr16:uid="{00000000-0015-0000-FFFF-FFFFB5000000}" name="ItemCostByTypeReport22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83" xr16:uid="{00000000-0015-0000-FFFF-FFFFB6000000}" name="ItemCostByTypeReport23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84" xr16:uid="{00000000-0015-0000-FFFF-FFFFB7000000}" name="ItemCostByTypeReport23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85" xr16:uid="{00000000-0015-0000-FFFF-FFFFB8000000}" name="ItemCostByTypeReport23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86" xr16:uid="{00000000-0015-0000-FFFF-FFFFB9000000}" name="ItemCostByTypeReport23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87" xr16:uid="{00000000-0015-0000-FFFF-FFFFBA000000}" name="ItemCostByTypeReport23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88" xr16:uid="{00000000-0015-0000-FFFF-FFFFBB000000}" name="ItemCostByTypeReport23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89" xr16:uid="{00000000-0015-0000-FFFF-FFFFBC000000}" name="ItemCostByTypeReport23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90" xr16:uid="{00000000-0015-0000-FFFF-FFFFBD000000}" name="ItemCostByTypeReport23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91" xr16:uid="{00000000-0015-0000-FFFF-FFFFBE000000}" name="ItemCostByTypeReport23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92" xr16:uid="{00000000-0015-0000-FFFF-FFFFBF000000}" name="ItemCostByTypeReport23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93" xr16:uid="{00000000-0015-0000-FFFF-FFFFC0000000}" name="ItemCostByTypeReport23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94" xr16:uid="{00000000-0015-0000-FFFF-FFFFC1000000}" name="ItemCostByTypeReport24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195" xr16:uid="{00000000-0015-0000-FFFF-FFFFC2000000}" name="ItemCostByTypeReport24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96" xr16:uid="{00000000-0015-0000-FFFF-FFFFC3000000}" name="ItemCostByTypeReport24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97" xr16:uid="{00000000-0015-0000-FFFF-FFFFC4000000}" name="ItemCostByTypeReport24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98" xr16:uid="{00000000-0015-0000-FFFF-FFFFC5000000}" name="ItemCostByTypeReport24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199" xr16:uid="{00000000-0015-0000-FFFF-FFFFC6000000}" name="ItemCostByTypeReport24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00" xr16:uid="{00000000-0015-0000-FFFF-FFFFC7000000}" name="ItemCostByTypeReport24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01" xr16:uid="{00000000-0015-0000-FFFF-FFFFC8000000}" name="ItemCostByTypeReport24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02" xr16:uid="{00000000-0015-0000-FFFF-FFFFC9000000}" name="ItemCostByTypeReport24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03" xr16:uid="{00000000-0015-0000-FFFF-FFFFCA000000}" name="ItemCostByTypeReport24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04" xr16:uid="{00000000-0015-0000-FFFF-FFFFCB000000}" name="ItemCostByTypeReport24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05" xr16:uid="{00000000-0015-0000-FFFF-FFFFCC000000}" name="ItemCostByTypeReport25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06" xr16:uid="{00000000-0015-0000-FFFF-FFFFCD000000}" name="ItemCostByTypeReport25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07" xr16:uid="{00000000-0015-0000-FFFF-FFFFCE000000}" name="ItemCostByTypeReport25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08" xr16:uid="{00000000-0015-0000-FFFF-FFFFCF000000}" name="ItemCostByTypeReport25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09" xr16:uid="{00000000-0015-0000-FFFF-FFFFD0000000}" name="ItemCostByTypeReport25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10" xr16:uid="{00000000-0015-0000-FFFF-FFFFD1000000}" name="ItemCostByTypeReport25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11" xr16:uid="{00000000-0015-0000-FFFF-FFFFD2000000}" name="ItemCostByTypeReport25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12" xr16:uid="{00000000-0015-0000-FFFF-FFFFD3000000}" name="ItemCostByTypeReport25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13" xr16:uid="{00000000-0015-0000-FFFF-FFFFD4000000}" name="ItemCostByTypeReport25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14" xr16:uid="{00000000-0015-0000-FFFF-FFFFD5000000}" name="ItemCostByTypeReport25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15" xr16:uid="{00000000-0015-0000-FFFF-FFFFD6000000}" name="ItemCostByTypeReport25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16" xr16:uid="{00000000-0015-0000-FFFF-FFFFD7000000}" name="ItemCostByTypeReport26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17" xr16:uid="{00000000-0015-0000-FFFF-FFFFD8000000}" name="ItemCostByTypeReport26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18" xr16:uid="{00000000-0015-0000-FFFF-FFFFD9000000}" name="ItemCostByTypeReport26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19" xr16:uid="{00000000-0015-0000-FFFF-FFFFDA000000}" name="ItemCostByTypeReport27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0" xr16:uid="{00000000-0015-0000-FFFF-FFFFDB000000}" name="ItemCostByTypeReport28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1" xr16:uid="{00000000-0015-0000-FFFF-FFFFDC000000}" name="ItemCostByTypeReport29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2" xr16:uid="{00000000-0015-0000-FFFF-FFFFDD000000}" name="ItemCostByTypeReport3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3" xr16:uid="{00000000-0015-0000-FFFF-FFFFDE000000}" name="ItemCostByTypeReport30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4" xr16:uid="{00000000-0015-0000-FFFF-FFFFDF000000}" name="ItemCostByTypeReport31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5" xr16:uid="{00000000-0015-0000-FFFF-FFFFE0000000}" name="ItemCostByTypeReport32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6" xr16:uid="{00000000-0015-0000-FFFF-FFFFE1000000}" name="ItemCostByTypeReport33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7" xr16:uid="{00000000-0015-0000-FFFF-FFFFE2000000}" name="ItemCostByTypeReport34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8" xr16:uid="{00000000-0015-0000-FFFF-FFFFE3000000}" name="ItemCostByTypeReport35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29" xr16:uid="{00000000-0015-0000-FFFF-FFFFE4000000}" name="ItemCostByTypeReport36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0" xr16:uid="{00000000-0015-0000-FFFF-FFFFE5000000}" name="ItemCostByTypeReport37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1" xr16:uid="{00000000-0015-0000-FFFF-FFFFE6000000}" name="ItemCostByTypeReport38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2" xr16:uid="{00000000-0015-0000-FFFF-FFFFE7000000}" name="ItemCostByTypeReport39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3" xr16:uid="{00000000-0015-0000-FFFF-FFFFE8000000}" name="ItemCostByTypeReport4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4" xr16:uid="{00000000-0015-0000-FFFF-FFFFE9000000}" name="ItemCostByTypeReport40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5" xr16:uid="{00000000-0015-0000-FFFF-FFFFEA000000}" name="ItemCostByTypeReport41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6" xr16:uid="{00000000-0015-0000-FFFF-FFFFEB000000}" name="ItemCostByTypeReport42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7" xr16:uid="{00000000-0015-0000-FFFF-FFFFEC000000}" name="ItemCostByTypeReport43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8" xr16:uid="{00000000-0015-0000-FFFF-FFFFED000000}" name="ItemCostByTypeReport44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39" xr16:uid="{00000000-0015-0000-FFFF-FFFFEE000000}" name="ItemCostByTypeReport45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0" xr16:uid="{00000000-0015-0000-FFFF-FFFFEF000000}" name="ItemCostByTypeReport46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1" xr16:uid="{00000000-0015-0000-FFFF-FFFFF0000000}" name="ItemCostByTypeReport47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2" xr16:uid="{00000000-0015-0000-FFFF-FFFFF1000000}" name="ItemCostByTypeReport48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3" xr16:uid="{00000000-0015-0000-FFFF-FFFFF2000000}" name="ItemCostByTypeReport49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4" xr16:uid="{00000000-0015-0000-FFFF-FFFFF3000000}" name="ItemCostByTypeReport5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5" xr16:uid="{00000000-0015-0000-FFFF-FFFFF4000000}" name="ItemCostByTypeReport50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6" xr16:uid="{00000000-0015-0000-FFFF-FFFFF5000000}" name="ItemCostByTypeReport51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7" xr16:uid="{00000000-0015-0000-FFFF-FFFFF6000000}" name="ItemCostByTypeReport52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8" xr16:uid="{00000000-0015-0000-FFFF-FFFFF7000000}" name="ItemCostByTypeReport53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49" xr16:uid="{00000000-0015-0000-FFFF-FFFFF8000000}" name="ItemCostByTypeReport54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0" xr16:uid="{00000000-0015-0000-FFFF-FFFFF9000000}" name="ItemCostByTypeReport55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1" xr16:uid="{00000000-0015-0000-FFFF-FFFFFA000000}" name="ItemCostByTypeReport56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2" xr16:uid="{00000000-0015-0000-FFFF-FFFFFB000000}" name="ItemCostByTypeReport57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3" xr16:uid="{00000000-0015-0000-FFFF-FFFFFC000000}" name="ItemCostByTypeReport58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4" xr16:uid="{00000000-0015-0000-FFFF-FFFFFD000000}" name="ItemCostByTypeReport59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5" xr16:uid="{00000000-0015-0000-FFFF-FFFFFE000000}" name="ItemCostByTypeReport6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6" xr16:uid="{00000000-0015-0000-FFFF-FFFFFF000000}" name="ItemCostByTypeReport60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7" xr16:uid="{00000000-0015-0000-FFFF-FFFF00010000}" name="ItemCostByTypeReport61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8" xr16:uid="{00000000-0015-0000-FFFF-FFFF01010000}" name="ItemCostByTypeReport62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59" xr16:uid="{00000000-0015-0000-FFFF-FFFF02010000}" name="ItemCostByTypeReport63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0" xr16:uid="{00000000-0015-0000-FFFF-FFFF03010000}" name="ItemCostByTypeReport64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1" xr16:uid="{00000000-0015-0000-FFFF-FFFF04010000}" name="ItemCostByTypeReport65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2" xr16:uid="{00000000-0015-0000-FFFF-FFFF05010000}" name="ItemCostByTypeReport66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3" xr16:uid="{00000000-0015-0000-FFFF-FFFF06010000}" name="ItemCostByTypeReport67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4" xr16:uid="{00000000-0015-0000-FFFF-FFFF07010000}" name="ItemCostByTypeReport68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5" xr16:uid="{00000000-0015-0000-FFFF-FFFF08010000}" name="ItemCostByTypeReport69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6" xr16:uid="{00000000-0015-0000-FFFF-FFFF09010000}" name="ItemCostByTypeReport7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7" xr16:uid="{00000000-0015-0000-FFFF-FFFF0A010000}" name="ItemCostByTypeReport70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8" xr16:uid="{00000000-0015-0000-FFFF-FFFF0B010000}" name="ItemCostByTypeReport71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69" xr16:uid="{00000000-0015-0000-FFFF-FFFF0C010000}" name="ItemCostByTypeReport72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0" xr16:uid="{00000000-0015-0000-FFFF-FFFF0D010000}" name="ItemCostByTypeReport73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1" xr16:uid="{00000000-0015-0000-FFFF-FFFF0E010000}" name="ItemCostByTypeReport74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2" xr16:uid="{00000000-0015-0000-FFFF-FFFF0F010000}" name="ItemCostByTypeReport75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3" xr16:uid="{00000000-0015-0000-FFFF-FFFF10010000}" name="ItemCostByTypeReport76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4" xr16:uid="{00000000-0015-0000-FFFF-FFFF11010000}" name="ItemCostByTypeReport77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5" xr16:uid="{00000000-0015-0000-FFFF-FFFF12010000}" name="ItemCostByTypeReport78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6" xr16:uid="{00000000-0015-0000-FFFF-FFFF13010000}" name="ItemCostByTypeReport79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7" xr16:uid="{00000000-0015-0000-FFFF-FFFF14010000}" name="ItemCostByTypeReport8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8" xr16:uid="{00000000-0015-0000-FFFF-FFFF15010000}" name="ItemCostByTypeReport80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79" xr16:uid="{00000000-0015-0000-FFFF-FFFF16010000}" name="ItemCostByTypeReport81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80" xr16:uid="{00000000-0015-0000-FFFF-FFFF17010000}" name="ItemCostByTypeReport8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81" xr16:uid="{00000000-0015-0000-FFFF-FFFF18010000}" name="ItemCostByTypeReport8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82" xr16:uid="{00000000-0015-0000-FFFF-FFFF19010000}" name="ItemCostByTypeReport8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83" xr16:uid="{00000000-0015-0000-FFFF-FFFF1A010000}" name="ItemCostByTypeReport8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84" xr16:uid="{00000000-0015-0000-FFFF-FFFF1B010000}" name="ItemCostByTypeReport8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85" xr16:uid="{00000000-0015-0000-FFFF-FFFF1C010000}" name="ItemCostByTypeReport8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86" xr16:uid="{00000000-0015-0000-FFFF-FFFF1D010000}" name="ItemCostByTypeReport8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87" xr16:uid="{00000000-0015-0000-FFFF-FFFF1E010000}" name="ItemCostByTypeReport8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88" xr16:uid="{00000000-0015-0000-FFFF-FFFF1F010000}" name="ItemCostByTypeReport9" type="6" refreshedVersion="6" background="1" saveData="1">
    <textPr prompt="0" sourceFile="C:\Users\Owner\Documents\GitHub\Sandbox\Stack\Estimating\ItemCostByTypeReport.csv" comma="1">
      <textFields>
        <textField/>
      </textFields>
    </textPr>
  </connection>
  <connection id="289" xr16:uid="{00000000-0015-0000-FFFF-FFFF20010000}" name="ItemCostByTypeReport90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0" xr16:uid="{00000000-0015-0000-FFFF-FFFF21010000}" name="ItemCostByTypeReport91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1" xr16:uid="{00000000-0015-0000-FFFF-FFFF22010000}" name="ItemCostByTypeReport92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2" xr16:uid="{00000000-0015-0000-FFFF-FFFF23010000}" name="ItemCostByTypeReport93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3" xr16:uid="{00000000-0015-0000-FFFF-FFFF24010000}" name="ItemCostByTypeReport94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4" xr16:uid="{00000000-0015-0000-FFFF-FFFF25010000}" name="ItemCostByTypeReport95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5" xr16:uid="{00000000-0015-0000-FFFF-FFFF26010000}" name="ItemCostByTypeReport96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6" xr16:uid="{00000000-0015-0000-FFFF-FFFF27010000}" name="ItemCostByTypeReport97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7" xr16:uid="{00000000-0015-0000-FFFF-FFFF28010000}" name="ItemCostByTypeReport98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8" xr16:uid="{00000000-0015-0000-FFFF-FFFF29010000}" name="ItemCostByTypeReport99" type="6" refreshedVersion="6" background="1" saveData="1">
    <textPr prompt="0" sourceFile="C:\Users\Owner\Documents\GitHub\Sandbox\Stack\Estimating\Reports\ItemCostByTypeReport.csv" comma="1">
      <textFields>
        <textField/>
      </textFields>
    </textPr>
  </connection>
  <connection id="299" xr16:uid="{00000000-0015-0000-FFFF-FFFF2A010000}" name="ItemCostReport" type="6" refreshedVersion="6" background="1" saveData="1">
    <textPr prompt="0" sourceFile="C:\Users\Owner\Documents\GitHub\Sandbox\Stack\Estimating\ItemCostReport.csv" comma="1">
      <textFields>
        <textField/>
      </textFields>
    </textPr>
  </connection>
  <connection id="300" xr16:uid="{00000000-0015-0000-FFFF-FFFF2B010000}" name="ItemCostReport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01" xr16:uid="{00000000-0015-0000-FFFF-FFFF2C010000}" name="ItemCostReport1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02" xr16:uid="{00000000-0015-0000-FFFF-FFFF2D010000}" name="ItemCostReport10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03" xr16:uid="{00000000-0015-0000-FFFF-FFFF2E010000}" name="ItemCostReport10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04" xr16:uid="{00000000-0015-0000-FFFF-FFFF2F010000}" name="ItemCostReport10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05" xr16:uid="{00000000-0015-0000-FFFF-FFFF30010000}" name="ItemCostReport10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06" xr16:uid="{00000000-0015-0000-FFFF-FFFF31010000}" name="ItemCostReport10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07" xr16:uid="{00000000-0015-0000-FFFF-FFFF32010000}" name="ItemCostReport10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08" xr16:uid="{00000000-0015-0000-FFFF-FFFF33010000}" name="ItemCostReport10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09" xr16:uid="{00000000-0015-0000-FFFF-FFFF34010000}" name="ItemCostReport10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0" xr16:uid="{00000000-0015-0000-FFFF-FFFF35010000}" name="ItemCostReport10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1" xr16:uid="{00000000-0015-0000-FFFF-FFFF36010000}" name="ItemCostReport10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2" xr16:uid="{00000000-0015-0000-FFFF-FFFF37010000}" name="ItemCostReport1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3" xr16:uid="{00000000-0015-0000-FFFF-FFFF38010000}" name="ItemCostReport11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4" xr16:uid="{00000000-0015-0000-FFFF-FFFF39010000}" name="ItemCostReport11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5" xr16:uid="{00000000-0015-0000-FFFF-FFFF3A010000}" name="ItemCostReport11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6" xr16:uid="{00000000-0015-0000-FFFF-FFFF3B010000}" name="ItemCostReport11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7" xr16:uid="{00000000-0015-0000-FFFF-FFFF3C010000}" name="ItemCostReport11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8" xr16:uid="{00000000-0015-0000-FFFF-FFFF3D010000}" name="ItemCostReport11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19" xr16:uid="{00000000-0015-0000-FFFF-FFFF3E010000}" name="ItemCostReport11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0" xr16:uid="{00000000-0015-0000-FFFF-FFFF3F010000}" name="ItemCostReport11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1" xr16:uid="{00000000-0015-0000-FFFF-FFFF40010000}" name="ItemCostReport11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2" xr16:uid="{00000000-0015-0000-FFFF-FFFF41010000}" name="ItemCostReport11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3" xr16:uid="{00000000-0015-0000-FFFF-FFFF42010000}" name="ItemCostReport1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4" xr16:uid="{00000000-0015-0000-FFFF-FFFF43010000}" name="ItemCostReport12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5" xr16:uid="{00000000-0015-0000-FFFF-FFFF44010000}" name="ItemCostReport12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6" xr16:uid="{00000000-0015-0000-FFFF-FFFF45010000}" name="ItemCostReport12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7" xr16:uid="{00000000-0015-0000-FFFF-FFFF46010000}" name="ItemCostReport12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8" xr16:uid="{26982F8D-35A4-4832-97FF-9C79FC674726}" name="ItemCostReport12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29" xr16:uid="{4CD941A6-2CBB-4A4C-83B5-0F089868E7C8}" name="ItemCostReport12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0" xr16:uid="{00000000-0015-0000-FFFF-FFFF47010000}" name="ItemCostReport1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1" xr16:uid="{00000000-0015-0000-FFFF-FFFF48010000}" name="ItemCostReport1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2" xr16:uid="{00000000-0015-0000-FFFF-FFFF49010000}" name="ItemCostReport1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3" xr16:uid="{00000000-0015-0000-FFFF-FFFF4A010000}" name="ItemCostReport1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4" xr16:uid="{00000000-0015-0000-FFFF-FFFF4B010000}" name="ItemCostReport1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5" xr16:uid="{00000000-0015-0000-FFFF-FFFF4C010000}" name="ItemCostReport1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6" xr16:uid="{00000000-0015-0000-FFFF-FFFF4D010000}" name="ItemCostReport1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7" xr16:uid="{00000000-0015-0000-FFFF-FFFF4E010000}" name="ItemCostReport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8" xr16:uid="{00000000-0015-0000-FFFF-FFFF4F010000}" name="ItemCostReport2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39" xr16:uid="{00000000-0015-0000-FFFF-FFFF50010000}" name="ItemCostReport2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0" xr16:uid="{00000000-0015-0000-FFFF-FFFF51010000}" name="ItemCostReport2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1" xr16:uid="{00000000-0015-0000-FFFF-FFFF52010000}" name="ItemCostReport2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2" xr16:uid="{00000000-0015-0000-FFFF-FFFF53010000}" name="ItemCostReport2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3" xr16:uid="{00000000-0015-0000-FFFF-FFFF54010000}" name="ItemCostReport2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4" xr16:uid="{00000000-0015-0000-FFFF-FFFF55010000}" name="ItemCostReport2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5" xr16:uid="{00000000-0015-0000-FFFF-FFFF56010000}" name="ItemCostReport2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6" xr16:uid="{00000000-0015-0000-FFFF-FFFF57010000}" name="ItemCostReport2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7" xr16:uid="{00000000-0015-0000-FFFF-FFFF58010000}" name="ItemCostReport2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8" xr16:uid="{00000000-0015-0000-FFFF-FFFF59010000}" name="ItemCostReport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49" xr16:uid="{00000000-0015-0000-FFFF-FFFF5A010000}" name="ItemCostReport3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0" xr16:uid="{00000000-0015-0000-FFFF-FFFF5B010000}" name="ItemCostReport3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1" xr16:uid="{00000000-0015-0000-FFFF-FFFF5C010000}" name="ItemCostReport3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2" xr16:uid="{00000000-0015-0000-FFFF-FFFF5D010000}" name="ItemCostReport3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3" xr16:uid="{00000000-0015-0000-FFFF-FFFF5E010000}" name="ItemCostReport3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4" xr16:uid="{00000000-0015-0000-FFFF-FFFF5F010000}" name="ItemCostReport3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5" xr16:uid="{00000000-0015-0000-FFFF-FFFF60010000}" name="ItemCostReport3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6" xr16:uid="{00000000-0015-0000-FFFF-FFFF61010000}" name="ItemCostReport3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7" xr16:uid="{00000000-0015-0000-FFFF-FFFF62010000}" name="ItemCostReport3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8" xr16:uid="{00000000-0015-0000-FFFF-FFFF63010000}" name="ItemCostReport3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59" xr16:uid="{00000000-0015-0000-FFFF-FFFF64010000}" name="ItemCostReport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0" xr16:uid="{00000000-0015-0000-FFFF-FFFF65010000}" name="ItemCostReport4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1" xr16:uid="{00000000-0015-0000-FFFF-FFFF66010000}" name="ItemCostReport4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2" xr16:uid="{00000000-0015-0000-FFFF-FFFF67010000}" name="ItemCostReport4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3" xr16:uid="{00000000-0015-0000-FFFF-FFFF68010000}" name="ItemCostReport4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4" xr16:uid="{00000000-0015-0000-FFFF-FFFF69010000}" name="ItemCostReport4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5" xr16:uid="{00000000-0015-0000-FFFF-FFFF6A010000}" name="ItemCostReport4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6" xr16:uid="{00000000-0015-0000-FFFF-FFFF6B010000}" name="ItemCostReport4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7" xr16:uid="{00000000-0015-0000-FFFF-FFFF6C010000}" name="ItemCostReport4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8" xr16:uid="{00000000-0015-0000-FFFF-FFFF6D010000}" name="ItemCostReport4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69" xr16:uid="{00000000-0015-0000-FFFF-FFFF6E010000}" name="ItemCostReport4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0" xr16:uid="{00000000-0015-0000-FFFF-FFFF6F010000}" name="ItemCostReport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1" xr16:uid="{00000000-0015-0000-FFFF-FFFF70010000}" name="ItemCostReport5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2" xr16:uid="{00000000-0015-0000-FFFF-FFFF71010000}" name="ItemCostReport5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3" xr16:uid="{00000000-0015-0000-FFFF-FFFF72010000}" name="ItemCostReport5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4" xr16:uid="{00000000-0015-0000-FFFF-FFFF73010000}" name="ItemCostReport5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5" xr16:uid="{00000000-0015-0000-FFFF-FFFF74010000}" name="ItemCostReport5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6" xr16:uid="{00000000-0015-0000-FFFF-FFFF75010000}" name="ItemCostReport5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7" xr16:uid="{00000000-0015-0000-FFFF-FFFF76010000}" name="ItemCostReport5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8" xr16:uid="{00000000-0015-0000-FFFF-FFFF77010000}" name="ItemCostReport5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79" xr16:uid="{00000000-0015-0000-FFFF-FFFF78010000}" name="ItemCostReport5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0" xr16:uid="{00000000-0015-0000-FFFF-FFFF79010000}" name="ItemCostReport5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1" xr16:uid="{00000000-0015-0000-FFFF-FFFF7A010000}" name="ItemCostReport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2" xr16:uid="{00000000-0015-0000-FFFF-FFFF7B010000}" name="ItemCostReport6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3" xr16:uid="{00000000-0015-0000-FFFF-FFFF7C010000}" name="ItemCostReport6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4" xr16:uid="{00000000-0015-0000-FFFF-FFFF7D010000}" name="ItemCostReport6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5" xr16:uid="{00000000-0015-0000-FFFF-FFFF7E010000}" name="ItemCostReport6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6" xr16:uid="{00000000-0015-0000-FFFF-FFFF7F010000}" name="ItemCostReport6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7" xr16:uid="{00000000-0015-0000-FFFF-FFFF80010000}" name="ItemCostReport6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8" xr16:uid="{00000000-0015-0000-FFFF-FFFF81010000}" name="ItemCostReport6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89" xr16:uid="{00000000-0015-0000-FFFF-FFFF82010000}" name="ItemCostReport6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0" xr16:uid="{00000000-0015-0000-FFFF-FFFF83010000}" name="ItemCostReport6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1" xr16:uid="{00000000-0015-0000-FFFF-FFFF84010000}" name="ItemCostReport6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2" xr16:uid="{00000000-0015-0000-FFFF-FFFF85010000}" name="ItemCostReport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3" xr16:uid="{00000000-0015-0000-FFFF-FFFF86010000}" name="ItemCostReport7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4" xr16:uid="{00000000-0015-0000-FFFF-FFFF87010000}" name="ItemCostReport7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5" xr16:uid="{00000000-0015-0000-FFFF-FFFF88010000}" name="ItemCostReport7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6" xr16:uid="{00000000-0015-0000-FFFF-FFFF89010000}" name="ItemCostReport7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7" xr16:uid="{00000000-0015-0000-FFFF-FFFF8A010000}" name="ItemCostReport7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8" xr16:uid="{00000000-0015-0000-FFFF-FFFF8B010000}" name="ItemCostReport7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399" xr16:uid="{00000000-0015-0000-FFFF-FFFF8C010000}" name="ItemCostReport7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0" xr16:uid="{00000000-0015-0000-FFFF-FFFF8D010000}" name="ItemCostReport7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1" xr16:uid="{00000000-0015-0000-FFFF-FFFF8E010000}" name="ItemCostReport7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2" xr16:uid="{00000000-0015-0000-FFFF-FFFF8F010000}" name="ItemCostReport7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3" xr16:uid="{00000000-0015-0000-FFFF-FFFF90010000}" name="ItemCostReport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4" xr16:uid="{00000000-0015-0000-FFFF-FFFF91010000}" name="ItemCostReport8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5" xr16:uid="{00000000-0015-0000-FFFF-FFFF92010000}" name="ItemCostReport8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6" xr16:uid="{00000000-0015-0000-FFFF-FFFF93010000}" name="ItemCostReport8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7" xr16:uid="{00000000-0015-0000-FFFF-FFFF94010000}" name="ItemCostReport8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8" xr16:uid="{00000000-0015-0000-FFFF-FFFF95010000}" name="ItemCostReport8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09" xr16:uid="{00000000-0015-0000-FFFF-FFFF96010000}" name="ItemCostReport8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0" xr16:uid="{00000000-0015-0000-FFFF-FFFF97010000}" name="ItemCostReport8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1" xr16:uid="{00000000-0015-0000-FFFF-FFFF98010000}" name="ItemCostReport8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2" xr16:uid="{00000000-0015-0000-FFFF-FFFF99010000}" name="ItemCostReport8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3" xr16:uid="{00000000-0015-0000-FFFF-FFFF9A010000}" name="ItemCostReport8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4" xr16:uid="{00000000-0015-0000-FFFF-FFFF9B010000}" name="ItemCostReport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5" xr16:uid="{00000000-0015-0000-FFFF-FFFF9C010000}" name="ItemCostReport90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6" xr16:uid="{00000000-0015-0000-FFFF-FFFF9D010000}" name="ItemCostReport91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7" xr16:uid="{00000000-0015-0000-FFFF-FFFF9E010000}" name="ItemCostReport92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8" xr16:uid="{00000000-0015-0000-FFFF-FFFF9F010000}" name="ItemCostReport93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19" xr16:uid="{00000000-0015-0000-FFFF-FFFFA0010000}" name="ItemCostReport94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20" xr16:uid="{00000000-0015-0000-FFFF-FFFFA1010000}" name="ItemCostReport95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21" xr16:uid="{00000000-0015-0000-FFFF-FFFFA2010000}" name="ItemCostReport96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22" xr16:uid="{00000000-0015-0000-FFFF-FFFFA3010000}" name="ItemCostReport97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23" xr16:uid="{00000000-0015-0000-FFFF-FFFFA4010000}" name="ItemCostReport98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24" xr16:uid="{00000000-0015-0000-FFFF-FFFFA5010000}" name="ItemCostReport99" type="6" refreshedVersion="6" background="1" saveData="1">
    <textPr prompt="0" sourceFile="C:\Users\Owner\Documents\GitHub\Sandbox\Stack\Estimating\Reports\ItemCostReport.csv" comma="1">
      <textFields>
        <textField/>
      </textFields>
    </textPr>
  </connection>
  <connection id="425" xr16:uid="{00000000-0015-0000-FFFF-FFFFA6010000}" name="ItemListReport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26" xr16:uid="{00000000-0015-0000-FFFF-FFFFA7010000}" name="ItemListReport1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27" xr16:uid="{00000000-0015-0000-FFFF-FFFFA8010000}" name="ItemListReport10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28" xr16:uid="{00000000-0015-0000-FFFF-FFFFA9010000}" name="ItemListReport11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29" xr16:uid="{00000000-0015-0000-FFFF-FFFFAA010000}" name="ItemListReport12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0" xr16:uid="{00000000-0015-0000-FFFF-FFFFAB010000}" name="ItemListReport13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1" xr16:uid="{00000000-0015-0000-FFFF-FFFFAC010000}" name="ItemListReport14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2" xr16:uid="{00000000-0015-0000-FFFF-FFFFAD010000}" name="ItemListReport15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3" xr16:uid="{00000000-0015-0000-FFFF-FFFFAE010000}" name="ItemListReport16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4" xr16:uid="{00000000-0015-0000-FFFF-FFFFAF010000}" name="ItemListReport17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5" xr16:uid="{00000000-0015-0000-FFFF-FFFFB0010000}" name="ItemListReport18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6" xr16:uid="{00000000-0015-0000-FFFF-FFFFB1010000}" name="ItemListReport19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7" xr16:uid="{00000000-0015-0000-FFFF-FFFFB2010000}" name="ItemListReport2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8" xr16:uid="{00000000-0015-0000-FFFF-FFFFB3010000}" name="ItemListReport20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39" xr16:uid="{00000000-0015-0000-FFFF-FFFFB4010000}" name="ItemListReport21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0" xr16:uid="{00000000-0015-0000-FFFF-FFFFB5010000}" name="ItemListReport22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1" xr16:uid="{00000000-0015-0000-FFFF-FFFFB6010000}" name="ItemListReport23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2" xr16:uid="{00000000-0015-0000-FFFF-FFFFB7010000}" name="ItemListReport24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3" xr16:uid="{00000000-0015-0000-FFFF-FFFFB8010000}" name="ItemListReport25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4" xr16:uid="{00000000-0015-0000-FFFF-FFFFB9010000}" name="ItemListReport26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5" xr16:uid="{00000000-0015-0000-FFFF-FFFFBA010000}" name="ItemListReport27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6" xr16:uid="{00000000-0015-0000-FFFF-FFFFBB010000}" name="ItemListReport28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7" xr16:uid="{00000000-0015-0000-FFFF-FFFFBC010000}" name="ItemListReport29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8" xr16:uid="{00000000-0015-0000-FFFF-FFFFBD010000}" name="ItemListReport3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49" xr16:uid="{00000000-0015-0000-FFFF-FFFFBE010000}" name="ItemListReport30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0" xr16:uid="{00000000-0015-0000-FFFF-FFFFBF010000}" name="ItemListReport31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1" xr16:uid="{00000000-0015-0000-FFFF-FFFFC0010000}" name="ItemListReport32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2" xr16:uid="{00000000-0015-0000-FFFF-FFFFC1010000}" name="ItemListReport33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3" xr16:uid="{00000000-0015-0000-FFFF-FFFFC2010000}" name="ItemListReport34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4" xr16:uid="{00000000-0015-0000-FFFF-FFFFC3010000}" name="ItemListReport35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5" xr16:uid="{00000000-0015-0000-FFFF-FFFFC4010000}" name="ItemListReport36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6" xr16:uid="{00000000-0015-0000-FFFF-FFFFC5010000}" name="ItemListReport37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7" xr16:uid="{00000000-0015-0000-FFFF-FFFFC6010000}" name="ItemListReport38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8" xr16:uid="{00000000-0015-0000-FFFF-FFFFC7010000}" name="ItemListReport39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59" xr16:uid="{00000000-0015-0000-FFFF-FFFFC8010000}" name="ItemListReport4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0" xr16:uid="{00000000-0015-0000-FFFF-FFFFC9010000}" name="ItemListReport40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1" xr16:uid="{00000000-0015-0000-FFFF-FFFFCA010000}" name="ItemListReport41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2" xr16:uid="{00000000-0015-0000-FFFF-FFFFCB010000}" name="ItemListReport42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3" xr16:uid="{00000000-0015-0000-FFFF-FFFFCC010000}" name="ItemListReport43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4" xr16:uid="{00000000-0015-0000-FFFF-FFFFCD010000}" name="ItemListReport44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5" xr16:uid="{00000000-0015-0000-FFFF-FFFFCE010000}" name="ItemListReport45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6" xr16:uid="{00000000-0015-0000-FFFF-FFFFCF010000}" name="ItemListReport5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7" xr16:uid="{00000000-0015-0000-FFFF-FFFFD0010000}" name="ItemListReport6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8" xr16:uid="{00000000-0015-0000-FFFF-FFFFD1010000}" name="ItemListReport7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69" xr16:uid="{00000000-0015-0000-FFFF-FFFFD2010000}" name="ItemListReport8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70" xr16:uid="{00000000-0015-0000-FFFF-FFFFD3010000}" name="ItemListReport9" type="6" refreshedVersion="6" background="1" saveData="1">
    <textPr prompt="0" sourceFile="C:\Users\Owner\Documents\GitHub\Sandbox\Stack\Estimating\Reports\ItemListReport.csv" comma="1">
      <textFields>
        <textField/>
      </textFields>
    </textPr>
  </connection>
  <connection id="471" xr16:uid="{00000000-0015-0000-FFFF-FFFFD4010000}" name="Takeoff Quantity Report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72" xr16:uid="{00000000-0015-0000-FFFF-FFFFD5010000}" name="Takeoff Quantity Report1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73" xr16:uid="{00000000-0015-0000-FFFF-FFFFD6010000}" name="Takeoff Quantity Report10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74" xr16:uid="{00000000-0015-0000-FFFF-FFFFD7010000}" name="Takeoff Quantity Report11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75" xr16:uid="{00000000-0015-0000-FFFF-FFFFD8010000}" name="Takeoff Quantity Report2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76" xr16:uid="{00000000-0015-0000-FFFF-FFFFD9010000}" name="Takeoff Quantity Report3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77" xr16:uid="{00000000-0015-0000-FFFF-FFFFDA010000}" name="Takeoff Quantity Report4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78" xr16:uid="{00000000-0015-0000-FFFF-FFFFDB010000}" name="Takeoff Quantity Report5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79" xr16:uid="{00000000-0015-0000-FFFF-FFFFDC010000}" name="Takeoff Quantity Report6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80" xr16:uid="{00000000-0015-0000-FFFF-FFFFDD010000}" name="Takeoff Quantity Report7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81" xr16:uid="{00000000-0015-0000-FFFF-FFFFDE010000}" name="Takeoff Quantity Report8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82" xr16:uid="{00000000-0015-0000-FFFF-FFFFDF010000}" name="Takeoff Quantity Report9" type="6" refreshedVersion="6" background="1" saveData="1">
    <textPr prompt="0" sourceFile="C:\Users\Owner\Documents\GitHub\Sandbox\Stack\Estimating\Reports\Takeoff Quantity Report.csv" comma="1">
      <textFields>
        <textField/>
      </textFields>
    </textPr>
  </connection>
  <connection id="483" xr16:uid="{00000000-0015-0000-FFFF-FFFFE0010000}" name="TakeoffSummaryReport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84" xr16:uid="{00000000-0015-0000-FFFF-FFFFE1010000}" name="TakeoffSummaryReport1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85" xr16:uid="{00000000-0015-0000-FFFF-FFFFE2010000}" name="TakeoffSummaryReport10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86" xr16:uid="{00000000-0015-0000-FFFF-FFFFE3010000}" name="TakeoffSummaryReport11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87" xr16:uid="{00000000-0015-0000-FFFF-FFFFE4010000}" name="TakeoffSummaryReport12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88" xr16:uid="{00000000-0015-0000-FFFF-FFFFE5010000}" name="TakeoffSummaryReport13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89" xr16:uid="{00000000-0015-0000-FFFF-FFFFE6010000}" name="TakeoffSummaryReport14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0" xr16:uid="{00000000-0015-0000-FFFF-FFFFE7010000}" name="TakeoffSummaryReport15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1" xr16:uid="{00000000-0015-0000-FFFF-FFFFE8010000}" name="TakeoffSummaryReport16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2" xr16:uid="{00000000-0015-0000-FFFF-FFFFE9010000}" name="TakeoffSummaryReport17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3" xr16:uid="{00000000-0015-0000-FFFF-FFFFEA010000}" name="TakeoffSummaryReport18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4" xr16:uid="{00000000-0015-0000-FFFF-FFFFEB010000}" name="TakeoffSummaryReport19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5" xr16:uid="{00000000-0015-0000-FFFF-FFFFEC010000}" name="TakeoffSummaryReport2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6" xr16:uid="{00000000-0015-0000-FFFF-FFFFED010000}" name="TakeoffSummaryReport20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7" xr16:uid="{00000000-0015-0000-FFFF-FFFFEE010000}" name="TakeoffSummaryReport21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8" xr16:uid="{00000000-0015-0000-FFFF-FFFFEF010000}" name="TakeoffSummaryReport22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499" xr16:uid="{00000000-0015-0000-FFFF-FFFFF0010000}" name="TakeoffSummaryReport23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500" xr16:uid="{00000000-0015-0000-FFFF-FFFFF1010000}" name="TakeoffSummaryReport3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501" xr16:uid="{00000000-0015-0000-FFFF-FFFFF2010000}" name="TakeoffSummaryReport4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502" xr16:uid="{00000000-0015-0000-FFFF-FFFFF3010000}" name="TakeoffSummaryReport5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503" xr16:uid="{00000000-0015-0000-FFFF-FFFFF4010000}" name="TakeoffSummaryReport6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504" xr16:uid="{00000000-0015-0000-FFFF-FFFFF5010000}" name="TakeoffSummaryReport7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505" xr16:uid="{00000000-0015-0000-FFFF-FFFFF6010000}" name="TakeoffSummaryReport8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  <connection id="506" xr16:uid="{00000000-0015-0000-FFFF-FFFFF7010000}" name="TakeoffSummaryReport9" type="6" refreshedVersion="6" background="1" saveData="1">
    <textPr prompt="0" sourceFile="C:\Users\Owner\Documents\GitHub\Sandbox\Stack\Estimating\Reports\TakeoffSummaryReport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<sst xmlns="http://schemas.openxmlformats.org/spreadsheetml/2006/main" count="69" uniqueCount="34">
  <si>
    <t>Import CSV button will import data from STACK. Reset From button deletes everything. Gray data fields from STACK are locked, white fields are editable.</t>
  </si>
  <si>
    <t>Instructions For Use:</t>
  </si>
  <si>
    <t>Name</t>
  </si>
  <si>
    <t>Cost Type</t>
  </si>
  <si>
    <t>Unit Cost</t>
  </si>
  <si>
    <t>Qty</t>
  </si>
  <si>
    <t>Unit</t>
  </si>
  <si>
    <t>Screws Pro-Twist #7 7/16"</t>
  </si>
  <si>
    <t>Material</t>
  </si>
  <si>
    <t>Box of 1000</t>
  </si>
  <si>
    <t>2-1/2 in x 20 gauge track</t>
  </si>
  <si>
    <t>LF</t>
  </si>
  <si>
    <t>Primer Interior Latex</t>
  </si>
  <si>
    <t>Gallons</t>
  </si>
  <si>
    <t>Interior Enamel Oil Base Semi-Gloss</t>
  </si>
  <si>
    <t>09.21.01 (1)Carpenter</t>
  </si>
  <si>
    <t>Crew Hours</t>
  </si>
  <si>
    <t>4 in x 14 gauge - 10 ft high</t>
  </si>
  <si>
    <t>EA</t>
  </si>
  <si>
    <t>Powder Activated Fastener 3/4"</t>
  </si>
  <si>
    <t>Box of 100</t>
  </si>
  <si>
    <t>09.90.07 (7) Painters</t>
  </si>
  <si>
    <t>PT-13</t>
  </si>
  <si>
    <t>Waste</t>
  </si>
  <si>
    <t>Adjusted Qty</t>
  </si>
  <si>
    <t>Adjusted Cost</t>
  </si>
  <si>
    <t>Markup</t>
  </si>
  <si>
    <t>Total</t>
  </si>
  <si>
    <t>Notes</t>
  </si>
  <si>
    <t>Miscellaneous</t>
  </si>
  <si>
    <t>Subtotal</t>
  </si>
  <si>
    <t>Overhead</t>
  </si>
  <si>
    <t>Profit Margin</t>
  </si>
  <si>
    <t>Total Project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</si>
</sst>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E8C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6889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ck">
        <color rgb="FF068894"/>
      </left>
      <right style="thick">
        <color rgb="FF068894"/>
      </right>
      <top style="thick">
        <color rgb="FF068894"/>
      </top>
      <bottom style="thick">
        <color rgb="FF06889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2" xfId="0" applyFill="1" applyBorder="1" applyProtection="1"/>
    <xf numFmtId="0" fontId="0" fillId="0" borderId="0" xfId="0" applyFill="1" applyBorder="1" applyProtection="1"/>
    <xf numFmtId="0" fontId="0" fillId="0" borderId="0" xfId="0" applyFill="1" applyBorder="1" applyProtection="1"/>
    <xf numFmtId="0" fontId="0" fillId="2" borderId="3" xfId="0" applyFill="1" applyBorder="1" applyProtection="1"/>
    <xf numFmtId="0" fontId="2" fillId="2" borderId="1" xfId="0" applyFont="1" applyFill="1" applyBorder="1" applyAlignment="1" applyProtection="1">
      <alignment horizontal="center"/>
    </xf>
    <xf numFmtId="0" fontId="0" fillId="0" borderId="0" xfId="0" applyProtection="1"/>
    <xf numFmtId="0" fontId="3" fillId="0" borderId="0" xfId="0" applyFont="1" applyProtection="1"/>
    <xf numFmtId="0" fontId="4" fillId="0" borderId="0" xfId="0" applyFont="1" applyProtection="1"/>
    <xf numFmtId="0" fontId="4" fillId="3" borderId="4" xfId="0" applyFont="1" applyFill="1" applyBorder="1" applyProtection="1"/>
    <xf numFmtId="0" fontId="4" fillId="4" borderId="4" xfId="0" applyFont="1" applyFill="1" applyBorder="1" applyProtection="1"/>
    <xf numFmtId="0" fontId="5" fillId="0" borderId="0" xfId="0" applyFont="1" applyProtection="1"/>
    <xf numFmtId="0" fontId="5" fillId="5" borderId="5" xfId="0" applyFont="1" applyFill="1" applyBorder="1" applyProtection="1"/>
    <xf numFmtId="0" fontId="5" fillId="6" borderId="5" xfId="0" applyFont="1" applyFill="1" applyBorder="1" applyProtection="1">
      <protection locked="0"/>
    </xf>
    <xf numFmtId="164" fontId="5" fillId="6" borderId="5" xfId="0" applyNumberFormat="1" applyFont="1" applyFill="1" applyBorder="1" applyProtection="1">
      <protection locked="0"/>
    </xf>
    <xf numFmtId="164" fontId="5" fillId="5" borderId="5" xfId="0" applyNumberFormat="1" applyFont="1" applyFill="1" applyBorder="1" applyProtection="1"/>
    <xf numFmtId="165" fontId="5" fillId="6" borderId="5" xfId="0" applyNumberFormat="1" applyFont="1" applyFill="1" applyBorder="1" applyProtection="1">
      <protection locked="0"/>
    </xf>
    <xf numFmtId="0" fontId="0" fillId="0" borderId="4" xfId="0" applyBorder="1" applyProtection="1"/>
    <xf numFmtId="0" fontId="0" fillId="0" borderId="6" xfId="0" applyBorder="1" applyProtection="1"/>
    <xf numFmtId="0" fontId="0" fillId="0" borderId="0" xfId="0" applyBorder="1" applyProtection="1"/>
    <xf numFmtId="164" fontId="3" fillId="5" borderId="0" xfId="0" applyNumberFormat="1" applyFont="1" applyFill="1" applyProtection="1"/>
    <xf numFmtId="164" fontId="3" fillId="5" borderId="6" xfId="0" applyNumberFormat="1" applyFont="1" applyFill="1" applyBorder="1" applyProtection="1"/>
    <xf numFmtId="0" fontId="3" fillId="0" borderId="0" xfId="0" applyFont="1" applyProtection="1"/>
    <xf numFmtId="0" fontId="3" fillId="0" borderId="9" xfId="0" applyFont="1" applyBorder="1" applyProtection="1"/>
    <xf numFmtId="0" fontId="3" fillId="0" borderId="7" xfId="0" applyFont="1" applyBorder="1" applyProtection="1"/>
    <xf numFmtId="0" fontId="3" fillId="0" borderId="4" xfId="0" applyFont="1" applyBorder="1" applyProtection="1"/>
    <xf numFmtId="0" fontId="3" fillId="0" borderId="6" xfId="0" applyFont="1" applyBorder="1" applyProtection="1"/>
    <xf numFmtId="0" fontId="3" fillId="0" borderId="8" xfId="0" applyFont="1" applyBorder="1" applyProtection="1"/>
    <xf numFmtId="0" fontId="0" fillId="0" borderId="0" xfId="0" applyAlignment="1" applyProtection="1">
      <alignment horizontal="center" wrapText="1"/>
    </xf>
    <xf numFmtId="0" fontId="2" fillId="0" borderId="0" xfId="0" applyFont="1" applyFill="1" applyBorder="1" applyAlignment="1" applyProtection="1">
      <alignment horizontal="center"/>
    </xf>
    <xf numFmtId="165" fontId="3" fillId="0" borderId="10" xfId="0" applyNumberFormat="1" applyFont="1" applyFill="1" applyBorder="1" applyProtection="1">
      <protection locked="0"/>
    </xf>
    <xf numFmtId="164" fontId="3" fillId="0" borderId="0" xfId="0" applyNumberFormat="1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0</xdr:row>
          <xdr:rowOff>95250</xdr:rowOff>
        </xdr:from>
        <xdr:to>
          <xdr:col>6</xdr:col>
          <xdr:colOff>676275</xdr:colOff>
          <xdr:row>1</xdr:row>
          <xdr:rowOff>95250</xdr:rowOff>
        </xdr:to>
        <xdr:sp macro="" textlink="">
          <xdr:nvSpPr>
            <xdr:cNvPr id="1026" name="ResetForm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95250</xdr:rowOff>
        </xdr:from>
        <xdr:to>
          <xdr:col>4</xdr:col>
          <xdr:colOff>238125</xdr:colOff>
          <xdr:row>1</xdr:row>
          <xdr:rowOff>95250</xdr:rowOff>
        </xdr:to>
        <xdr:sp macro="" textlink="">
          <xdr:nvSpPr>
            <xdr:cNvPr id="1027" name="ImportCSV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028" name="Add_Item_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8" connectionId="329" xr16:uid="{AC8A2559-670C-4983-8DDC-125D217920F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7" connectionId="328" xr16:uid="{EFC6702E-57E7-425D-A161-8C98FCA574F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" connectionId="384" xr16:uid="{00000000-0016-0000-0000-0000F701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" connectionId="160" xr16:uid="{00000000-0016-0000-0000-0000F601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18" xr16:uid="{00000000-0016-0000-0000-0000F501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7" connectionId="215" xr16:uid="{00000000-0016-0000-0000-0000F401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1" connectionId="211" xr16:uid="{00000000-0016-0000-0000-0000F301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260" xr16:uid="{00000000-0016-0000-0000-0000F201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" connectionId="458" xr16:uid="{00000000-0016-0000-0000-0000F101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" connectionId="125" xr16:uid="{00000000-0016-0000-0000-0000F001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2" connectionId="212" xr16:uid="{00000000-0016-0000-0000-0000EF01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4" xr16:uid="{00000000-0016-0000-0000-0000EE01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" connectionId="175" xr16:uid="{00000000-0016-0000-0000-0000ED01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3" connectionId="308" xr16:uid="{00000000-0016-0000-0000-0000EC01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" connectionId="451" xr16:uid="{00000000-0016-0000-0000-0000EB01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" connectionId="352" xr16:uid="{00000000-0016-0000-0000-0000EA01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" connectionId="456" xr16:uid="{00000000-0016-0000-0000-0000E901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69" xr16:uid="{00000000-0016-0000-0000-0000E801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280" xr16:uid="{00000000-0016-0000-0000-0000E701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4" connectionId="309" xr16:uid="{00000000-0016-0000-0000-0000E601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" connectionId="460" xr16:uid="{00000000-0016-0000-0000-0000E501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241" xr16:uid="{00000000-0016-0000-0000-0000E401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55" xr16:uid="{00000000-0016-0000-0000-0000E301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" connectionId="338" xr16:uid="{00000000-0016-0000-0000-0000E201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231" xr16:uid="{00000000-0016-0000-0000-0000E101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" connectionId="356" xr16:uid="{00000000-0016-0000-0000-0000E001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435" xr16:uid="{00000000-0016-0000-0000-0000DF01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" connectionId="181" xr16:uid="{00000000-0016-0000-0000-0000DE01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468" xr16:uid="{00000000-0016-0000-0000-0000DD01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493" xr16:uid="{00000000-0016-0000-0000-0000DC01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" connectionId="124" xr16:uid="{00000000-0016-0000-0000-0000DB01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" connectionId="119" xr16:uid="{00000000-0016-0000-0000-0000DA01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" connectionId="335" xr16:uid="{00000000-0016-0000-0000-0000D901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261" xr16:uid="{00000000-0016-0000-0000-0000D801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" connectionId="499" xr16:uid="{00000000-0016-0000-0000-0000D701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" connectionId="374" xr16:uid="{00000000-0016-0000-0000-0000D601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268" xr16:uid="{00000000-0016-0000-0000-0000D501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5" connectionId="218" xr16:uid="{00000000-0016-0000-0000-0000D401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" connectionId="78" xr16:uid="{00000000-0016-0000-0000-0000D301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" connectionId="363" xr16:uid="{00000000-0016-0000-0000-0000D201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475" xr16:uid="{00000000-0016-0000-0000-0000D101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" connectionId="30" xr16:uid="{00000000-0016-0000-0000-0000D001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490" xr16:uid="{00000000-0016-0000-0000-0000CF01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" connectionId="386" xr16:uid="{00000000-0016-0000-0000-0000CE01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239" xr16:uid="{00000000-0016-0000-0000-0000CD01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" connectionId="195" xr16:uid="{00000000-0016-0000-0000-0000CC01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505" xr16:uid="{00000000-0016-0000-0000-0000CB01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" connectionId="179" xr16:uid="{00000000-0016-0000-0000-0000CA01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" connectionId="108" xr16:uid="{00000000-0016-0000-0000-0000C901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" connectionId="450" xr16:uid="{00000000-0016-0000-0000-0000C801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22" xr16:uid="{00000000-0016-0000-0000-0000C701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" connectionId="390" xr16:uid="{00000000-0016-0000-0000-0000C601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488" xr16:uid="{00000000-0016-0000-0000-0000C501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" connectionId="132" xr16:uid="{00000000-0016-0000-0000-0000C401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7" connectionId="207" xr16:uid="{00000000-0016-0000-0000-0000C301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29" xr16:uid="{00000000-0016-0000-0000-0000C201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" connectionId="345" xr16:uid="{00000000-0016-0000-0000-0000C101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403" xr16:uid="{00000000-0016-0000-0000-0000C001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433" xr16:uid="{00000000-0016-0000-0000-0000BF01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52" xr16:uid="{00000000-0016-0000-0000-0000BE01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496" xr16:uid="{00000000-0016-0000-0000-0000BD01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" connectionId="193" xr16:uid="{00000000-0016-0000-0000-0000BC01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483" xr16:uid="{00000000-0016-0000-0000-0000BB01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440" xr16:uid="{00000000-0016-0000-0000-0000BA01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" connectionId="158" xr16:uid="{00000000-0016-0000-0000-0000B901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289" xr16:uid="{00000000-0016-0000-0000-0000B801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" connectionId="354" xr16:uid="{00000000-0016-0000-0000-0000B701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359" xr16:uid="{00000000-0016-0000-0000-0000B601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" connectionId="141" xr16:uid="{00000000-0016-0000-0000-0000B501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23" xr16:uid="{00000000-0016-0000-0000-0000B401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" connectionId="331" xr16:uid="{00000000-0016-0000-0000-0000B301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8" connectionId="208" xr16:uid="{00000000-0016-0000-0000-0000B201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6" connectionId="424" xr16:uid="{00000000-0016-0000-0000-0000B101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47" xr16:uid="{00000000-0016-0000-0000-0000B001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59" xr16:uid="{00000000-0016-0000-0000-0000AF01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" connectionId="128" xr16:uid="{00000000-0016-0000-0000-0000AE01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35" xr16:uid="{00000000-0016-0000-0000-0000AD01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" connectionId="169" xr16:uid="{00000000-0016-0000-0000-0000AC01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" connectionId="349" xr16:uid="{00000000-0016-0000-0000-0000AB01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" connectionId="383" xr16:uid="{00000000-0016-0000-0000-0000AA01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" connectionId="106" xr16:uid="{00000000-0016-0000-0000-0000A901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13" xr16:uid="{00000000-0016-0000-0000-0000A801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271" xr16:uid="{00000000-0016-0000-0000-0000A701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51" xr16:uid="{00000000-0016-0000-0000-0000A601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8" xr16:uid="{00000000-0016-0000-0000-0000A501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" connectionId="334" xr16:uid="{00000000-0016-0000-0000-0000A401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" connectionId="174" xr16:uid="{00000000-0016-0000-0000-0000A301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392" xr16:uid="{00000000-0016-0000-0000-0000A201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" connectionId="184" xr16:uid="{00000000-0016-0000-0000-0000A101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" connectionId="154" xr16:uid="{00000000-0016-0000-0000-0000A001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" connectionId="339" xr16:uid="{00000000-0016-0000-0000-00009F01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486" xr16:uid="{00000000-0016-0000-0000-00009E01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" connectionId="143" xr16:uid="{00000000-0016-0000-0000-00009D01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478" xr16:uid="{00000000-0016-0000-0000-00009C01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300" xr16:uid="{00000000-0016-0000-0000-00009B01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" connectionId="402" xr16:uid="{00000000-0016-0000-0000-00009A01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21" xr16:uid="{00000000-0016-0000-0000-00009901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323" xr16:uid="{00000000-0016-0000-0000-00009801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495" xr16:uid="{00000000-0016-0000-0000-00009701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56" xr16:uid="{00000000-0016-0000-0000-00009601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" connectionId="115" xr16:uid="{00000000-0016-0000-0000-00009501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" connectionId="400" xr16:uid="{00000000-0016-0000-0000-00009401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" connectionId="26" xr16:uid="{00000000-0016-0000-0000-00009301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" connectionId="151" xr16:uid="{00000000-0016-0000-0000-00009201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" connectionId="95" xr16:uid="{00000000-0016-0000-0000-00009101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6" connectionId="311" xr16:uid="{00000000-0016-0000-0000-00009001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" connectionId="482" xr16:uid="{00000000-0016-0000-0000-00008F01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" connectionId="100" xr16:uid="{00000000-0016-0000-0000-00008E01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54" xr16:uid="{00000000-0016-0000-0000-00008D01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428" xr16:uid="{00000000-0016-0000-0000-00008C01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265" xr16:uid="{00000000-0016-0000-0000-00008B01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" connectionId="366" xr16:uid="{00000000-0016-0000-0000-00008A01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246" xr16:uid="{00000000-0016-0000-0000-00008901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" connectionId="109" xr16:uid="{00000000-0016-0000-0000-00008801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1" connectionId="315" xr16:uid="{00000000-0016-0000-0000-00008701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" connectionId="360" xr16:uid="{00000000-0016-0000-0000-00008601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294" xr16:uid="{00000000-0016-0000-0000-00008501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" connectionId="405" xr16:uid="{00000000-0016-0000-0000-00008401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" connectionId="123" xr16:uid="{00000000-0016-0000-0000-00008301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301" xr16:uid="{00000000-0016-0000-0000-00008201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299" xr16:uid="{00000000-0016-0000-0000-00008101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" connectionId="197" xr16:uid="{00000000-0016-0000-0000-00008001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" connectionId="148" xr16:uid="{00000000-0016-0000-0000-00007F01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" connectionId="351" xr16:uid="{00000000-0016-0000-0000-00007E01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" connectionId="350" xr16:uid="{00000000-0016-0000-0000-00007D01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283" xr16:uid="{00000000-0016-0000-0000-00007C01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" connectionId="446" xr16:uid="{00000000-0016-0000-0000-00007B01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" connectionId="379" xr16:uid="{00000000-0016-0000-0000-00007A01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5" xr16:uid="{00000000-0016-0000-0000-00007901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8" xr16:uid="{00000000-0016-0000-0000-00007801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" connectionId="93" xr16:uid="{00000000-0016-0000-0000-00007701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506" xr16:uid="{00000000-0016-0000-0000-00007601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" connectionId="142" xr16:uid="{00000000-0016-0000-0000-00007501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" connectionId="481" xr16:uid="{00000000-0016-0000-0000-00007401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" connectionId="397" xr16:uid="{00000000-0016-0000-0000-00007301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4" connectionId="413" xr16:uid="{00000000-0016-0000-0000-00007201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" connectionId="135" xr16:uid="{00000000-0016-0000-0000-00007101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" connectionId="24" xr16:uid="{00000000-0016-0000-0000-00007001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425" xr16:uid="{00000000-0016-0000-0000-00006F01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63" xr16:uid="{00000000-0016-0000-0000-00006E01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77" xr16:uid="{00000000-0016-0000-0000-00006D01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62" xr16:uid="{00000000-0016-0000-0000-00006C01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472" xr16:uid="{00000000-0016-0000-0000-00006B01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" connectionId="196" xr16:uid="{00000000-0016-0000-0000-00006A01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471" xr16:uid="{00000000-0016-0000-0000-00006901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267" xr16:uid="{00000000-0016-0000-0000-00006801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60" xr16:uid="{00000000-0016-0000-0000-00006701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" connectionId="188" xr16:uid="{00000000-0016-0000-0000-00006601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64" xr16:uid="{00000000-0016-0000-0000-00006501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276" xr16:uid="{00000000-0016-0000-0000-00006401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432" xr16:uid="{00000000-0016-0000-0000-00006301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10" xr16:uid="{00000000-0016-0000-0000-00006201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" connectionId="407" xr16:uid="{00000000-0016-0000-0000-00006101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9" xr16:uid="{00000000-0016-0000-0000-00006001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" connectionId="178" xr16:uid="{00000000-0016-0000-0000-00005F01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291" xr16:uid="{00000000-0016-0000-0000-00005E01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" connectionId="82" xr16:uid="{00000000-0016-0000-0000-00005D01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242" xr16:uid="{00000000-0016-0000-0000-00005C01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" connectionId="376" xr16:uid="{00000000-0016-0000-0000-00005B01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1" xr16:uid="{00000000-0016-0000-0000-00005A01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" connectionId="453" xr16:uid="{00000000-0016-0000-0000-00005901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" connectionId="81" xr16:uid="{00000000-0016-0000-0000-00005801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" connectionId="332" xr16:uid="{00000000-0016-0000-0000-00005701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" connectionId="122" xr16:uid="{00000000-0016-0000-0000-00005601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36" xr16:uid="{00000000-0016-0000-0000-000055010000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" connectionId="170" xr16:uid="{00000000-0016-0000-0000-00005401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" connectionId="474" xr16:uid="{00000000-0016-0000-0000-00005301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" connectionId="180" xr16:uid="{00000000-0016-0000-0000-00005201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" connectionId="199" xr16:uid="{00000000-0016-0000-0000-00005101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" connectionId="136" xr16:uid="{00000000-0016-0000-0000-00005001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" connectionId="455" xr16:uid="{00000000-0016-0000-0000-00004F01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3" xr16:uid="{00000000-0016-0000-0000-00004E01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8" connectionId="418" xr16:uid="{00000000-0016-0000-0000-00004D010000}" autoFormatId="0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489" xr16:uid="{00000000-0016-0000-0000-00004C010000}" autoFormatId="0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263" xr16:uid="{00000000-0016-0000-0000-00004B010000}" autoFormatId="0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" connectionId="177" xr16:uid="{00000000-0016-0000-0000-00004A010000}" autoFormatId="0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503" xr16:uid="{00000000-0016-0000-0000-000049010000}" autoFormatId="0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" connectionId="395" xr16:uid="{00000000-0016-0000-0000-000048010000}" autoFormatId="0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88" xr16:uid="{00000000-0016-0000-0000-000047010000}" autoFormatId="0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17" xr16:uid="{00000000-0016-0000-0000-000046010000}" autoFormatId="0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" connectionId="391" xr16:uid="{00000000-0016-0000-0000-000045010000}" autoFormatId="0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" connectionId="79" xr16:uid="{00000000-0016-0000-0000-000044010000}" autoFormatId="0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" connectionId="202" xr16:uid="{00000000-0016-0000-0000-000043010000}" autoFormatId="0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7" xr16:uid="{00000000-0016-0000-0000-000042010000}" autoFormatId="0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34" xr16:uid="{00000000-0016-0000-0000-000041010000}" autoFormatId="0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2" xr16:uid="{00000000-0016-0000-0000-000040010000}" autoFormatId="0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279" xr16:uid="{00000000-0016-0000-0000-00003F010000}" autoFormatId="0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" connectionId="385" xr16:uid="{00000000-0016-0000-0000-00003E010000}" autoFormatId="0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500" xr16:uid="{00000000-0016-0000-0000-00003D010000}" autoFormatId="0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22" xr16:uid="{00000000-0016-0000-0000-00003C010000}" autoFormatId="0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426" xr16:uid="{00000000-0016-0000-0000-00003B010000}" autoFormatId="0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" connectionId="77" xr16:uid="{00000000-0016-0000-0000-00003A010000}" autoFormatId="0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14" xr16:uid="{00000000-0016-0000-0000-000039010000}" autoFormatId="0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70" xr16:uid="{00000000-0016-0000-0000-000038010000}" autoFormatId="0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" connectionId="76" xr16:uid="{00000000-0016-0000-0000-000037010000}" autoFormatId="0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11" xr16:uid="{00000000-0016-0000-0000-000036010000}" autoFormatId="0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" connectionId="113" xr16:uid="{00000000-0016-0000-0000-000035010000}" autoFormatId="0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12" xr16:uid="{00000000-0016-0000-0000-000034010000}" autoFormatId="0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2" connectionId="307" xr16:uid="{00000000-0016-0000-0000-000033010000}" autoFormatId="0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" connectionId="114" xr16:uid="{00000000-0016-0000-0000-000032010000}" autoFormatId="0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" connectionId="398" xr16:uid="{00000000-0016-0000-0000-000031010000}" autoFormatId="0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66" xr16:uid="{00000000-0016-0000-0000-000030010000}" autoFormatId="0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" connectionId="88" xr16:uid="{00000000-0016-0000-0000-00002F010000}" autoFormatId="0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" connectionId="342" xr16:uid="{00000000-0016-0000-0000-00002E010000}" autoFormatId="0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" connectionId="23" xr16:uid="{00000000-0016-0000-0000-00002D010000}" autoFormatId="0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" connectionId="185" xr16:uid="{00000000-0016-0000-0000-00002C010000}" autoFormatId="0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" connectionId="412" xr16:uid="{00000000-0016-0000-0000-00002B010000}" autoFormatId="0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502" xr16:uid="{00000000-0016-0000-0000-00002A010000}" autoFormatId="0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5" connectionId="310" xr16:uid="{00000000-0016-0000-0000-000029010000}" autoFormatId="0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441" xr16:uid="{00000000-0016-0000-0000-000028010000}" autoFormatId="0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243" xr16:uid="{00000000-0016-0000-0000-000027010000}" autoFormatId="0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" connectionId="121" xr16:uid="{00000000-0016-0000-0000-000026010000}" autoFormatId="0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" connectionId="371" xr16:uid="{00000000-0016-0000-0000-000025010000}" autoFormatId="0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5" connectionId="318" xr16:uid="{00000000-0016-0000-0000-000024010000}" autoFormatId="0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" connectionId="173" xr16:uid="{00000000-0016-0000-0000-000023010000}" autoFormatId="0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21" xr16:uid="{00000000-0016-0000-0000-000022010000}" autoFormatId="0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438" xr16:uid="{00000000-0016-0000-0000-000021010000}" autoFormatId="0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" connectionId="378" xr16:uid="{00000000-0016-0000-0000-000020010000}" autoFormatId="0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448" xr16:uid="{00000000-0016-0000-0000-00001F010000}" autoFormatId="0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247" xr16:uid="{00000000-0016-0000-0000-00001E010000}" autoFormatId="0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" connectionId="387" xr16:uid="{00000000-0016-0000-0000-00001D010000}" autoFormatId="0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" connectionId="343" xr16:uid="{00000000-0016-0000-0000-00001C010000}" autoFormatId="0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16" xr16:uid="{00000000-0016-0000-0000-00001B010000}" autoFormatId="0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256" xr16:uid="{00000000-0016-0000-0000-00001A010000}" autoFormatId="0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6" connectionId="319" xr16:uid="{00000000-0016-0000-0000-000019010000}" autoFormatId="0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" connectionId="409" xr16:uid="{00000000-0016-0000-0000-000018010000}" autoFormatId="0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4" xr16:uid="{00000000-0016-0000-0000-000017010000}" autoFormatId="0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53" xr16:uid="{00000000-0016-0000-0000-000016010000}" autoFormatId="0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250" xr16:uid="{00000000-0016-0000-0000-000015010000}" autoFormatId="0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" connectionId="461" xr16:uid="{00000000-0016-0000-0000-000014010000}" autoFormatId="0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252" xr16:uid="{00000000-0016-0000-0000-000013010000}" autoFormatId="0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273" xr16:uid="{00000000-0016-0000-0000-000012010000}" autoFormatId="0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" connectionId="163" xr16:uid="{00000000-0016-0000-0000-000011010000}" autoFormatId="0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" connectionId="346" xr16:uid="{00000000-0016-0000-0000-000010010000}" autoFormatId="0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" connectionId="147" xr16:uid="{00000000-0016-0000-0000-00000F010000}" autoFormatId="0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348" xr16:uid="{00000000-0016-0000-0000-00000E010000}" autoFormatId="0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226" xr16:uid="{00000000-0016-0000-0000-00000D010000}" autoFormatId="0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7" xr16:uid="{00000000-0016-0000-0000-00000C010000}" autoFormatId="0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9" connectionId="321" xr16:uid="{00000000-0016-0000-0000-00000B010000}" autoFormatId="0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3" connectionId="316" xr16:uid="{00000000-0016-0000-0000-00000A010000}" autoFormatId="0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492" xr16:uid="{00000000-0016-0000-0000-000009010000}" autoFormatId="0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0" connectionId="305" xr16:uid="{00000000-0016-0000-0000-000008010000}" autoFormatId="0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" connectionId="190" xr16:uid="{00000000-0016-0000-0000-000007010000}" autoFormatId="0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27" xr16:uid="{00000000-0016-0000-0000-000006010000}" autoFormatId="0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4" connectionId="217" xr16:uid="{00000000-0016-0000-0000-000005010000}" autoFormatId="0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442" xr16:uid="{00000000-0016-0000-0000-000004010000}" autoFormatId="0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15" xr16:uid="{00000000-0016-0000-0000-000003010000}" autoFormatId="0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272" xr16:uid="{00000000-0016-0000-0000-000002010000}" autoFormatId="0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229" xr16:uid="{00000000-0016-0000-0000-000001010000}" autoFormatId="0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4" xr16:uid="{00000000-0016-0000-0000-000000010000}" autoFormatId="0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" connectionId="201" xr16:uid="{00000000-0016-0000-0000-0000FF000000}" autoFormatId="0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" connectionId="182" xr16:uid="{00000000-0016-0000-0000-0000FE000000}" autoFormatId="0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262" xr16:uid="{00000000-0016-0000-0000-0000FD000000}" autoFormatId="0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25" xr16:uid="{00000000-0016-0000-0000-0000FC000000}" autoFormatId="0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269" xr16:uid="{00000000-0016-0000-0000-0000FB000000}" autoFormatId="0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9" connectionId="214" xr16:uid="{00000000-0016-0000-0000-0000FA000000}" autoFormatId="0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" connectionId="101" xr16:uid="{00000000-0016-0000-0000-0000F9000000}" autoFormatId="0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" connectionId="454" xr16:uid="{00000000-0016-0000-0000-0000F8000000}" autoFormatId="0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285" xr16:uid="{00000000-0016-0000-0000-0000F7000000}" autoFormatId="0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" connectionId="155" xr16:uid="{00000000-0016-0000-0000-0000F6000000}" autoFormatId="0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0" xr16:uid="{00000000-0016-0000-0000-0000F5000000}" autoFormatId="0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295" xr16:uid="{00000000-0016-0000-0000-0000F4000000}" autoFormatId="0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20" xr16:uid="{00000000-0016-0000-0000-0000F3000000}" autoFormatId="0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" connectionId="447" xr16:uid="{00000000-0016-0000-0000-0000F2000000}" autoFormatId="0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9" connectionId="209" xr16:uid="{00000000-0016-0000-0000-0000F1000000}" autoFormatId="0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5" xr16:uid="{00000000-0016-0000-0000-0000F0000000}" autoFormatId="0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" connectionId="89" xr16:uid="{00000000-0016-0000-0000-0000EF000000}" autoFormatId="0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" connectionId="449" xr16:uid="{00000000-0016-0000-0000-0000EE000000}" autoFormatId="0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237" xr16:uid="{00000000-0016-0000-0000-0000ED000000}" autoFormatId="0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" connectionId="372" xr16:uid="{00000000-0016-0000-0000-0000EC000000}" autoFormatId="0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8" connectionId="320" xr16:uid="{00000000-0016-0000-0000-0000EB000000}" autoFormatId="0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" connectionId="388" xr16:uid="{00000000-0016-0000-0000-0000EA000000}" autoFormatId="0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281" xr16:uid="{00000000-0016-0000-0000-0000E9000000}" autoFormatId="0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33" xr16:uid="{00000000-0016-0000-0000-0000E8000000}" autoFormatId="0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67" xr16:uid="{00000000-0016-0000-0000-0000E7000000}" autoFormatId="0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" connectionId="480" xr16:uid="{00000000-0016-0000-0000-0000E6000000}" autoFormatId="0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" connectionId="200" xr16:uid="{00000000-0016-0000-0000-0000E5000000}" autoFormatId="0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" connectionId="341" xr16:uid="{00000000-0016-0000-0000-0000E4000000}" autoFormatId="0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2" xr16:uid="{00000000-0016-0000-0000-0000E3000000}" autoFormatId="0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485" xr16:uid="{00000000-0016-0000-0000-0000E2000000}" autoFormatId="0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284" xr16:uid="{00000000-0016-0000-0000-0000E1000000}" autoFormatId="0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44" xr16:uid="{00000000-0016-0000-0000-0000E0000000}" autoFormatId="0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282" xr16:uid="{00000000-0016-0000-0000-0000DF000000}" autoFormatId="0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" connectionId="362" xr16:uid="{00000000-0016-0000-0000-0000DE000000}" autoFormatId="0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" connectionId="333" xr16:uid="{00000000-0016-0000-0000-0000DD000000}" autoFormatId="0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414" xr16:uid="{00000000-0016-0000-0000-0000DC000000}" autoFormatId="0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" connectionId="96" xr16:uid="{00000000-0016-0000-0000-0000DB000000}" autoFormatId="0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" connectionId="87" xr16:uid="{00000000-0016-0000-0000-0000DA000000}" autoFormatId="0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430" xr16:uid="{00000000-0016-0000-0000-0000D9000000}" autoFormatId="0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" connectionId="144" xr16:uid="{00000000-0016-0000-0000-0000D8000000}" autoFormatId="0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" connectionId="457" xr16:uid="{00000000-0016-0000-0000-0000D7000000}" autoFormatId="0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38" xr16:uid="{00000000-0016-0000-0000-0000D6000000}" autoFormatId="0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" connectionId="192" xr16:uid="{00000000-0016-0000-0000-0000D5000000}" autoFormatId="0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484" xr16:uid="{00000000-0016-0000-0000-0000D4000000}" autoFormatId="0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459" xr16:uid="{00000000-0016-0000-0000-0000D3000000}" autoFormatId="0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7" connectionId="417" xr16:uid="{00000000-0016-0000-0000-0000D2000000}" autoFormatId="0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9" xr16:uid="{00000000-0016-0000-0000-0000D1000000}" autoFormatId="0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" connectionId="25" xr16:uid="{00000000-0016-0000-0000-0000D0000000}" autoFormatId="0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249" xr16:uid="{00000000-0016-0000-0000-0000CF000000}" autoFormatId="0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" connectionId="358" xr16:uid="{00000000-0016-0000-0000-0000CE000000}" autoFormatId="0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3" xr16:uid="{00000000-0016-0000-0000-0000CD000000}" autoFormatId="0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1" connectionId="306" xr16:uid="{00000000-0016-0000-0000-0000CC000000}" autoFormatId="0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" connectionId="107" xr16:uid="{00000000-0016-0000-0000-0000CB000000}" autoFormatId="0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" connectionId="167" xr16:uid="{00000000-0016-0000-0000-0000CA000000}" autoFormatId="0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494" xr16:uid="{00000000-0016-0000-0000-0000C9000000}" autoFormatId="0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" connectionId="84" xr16:uid="{00000000-0016-0000-0000-0000C8000000}" autoFormatId="0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33" xr16:uid="{00000000-0016-0000-0000-0000C7000000}" autoFormatId="0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251" xr16:uid="{00000000-0016-0000-0000-0000C6000000}" autoFormatId="0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" connectionId="157" xr16:uid="{00000000-0016-0000-0000-0000C5000000}" autoFormatId="0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49" xr16:uid="{00000000-0016-0000-0000-0000C4000000}" autoFormatId="0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312" xr16:uid="{00000000-0016-0000-0000-0000C3000000}" autoFormatId="0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" connectionId="410" xr16:uid="{00000000-0016-0000-0000-0000C2000000}" autoFormatId="0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9" connectionId="462" xr16:uid="{00000000-0016-0000-0000-0000C1000000}" autoFormatId="0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" connectionId="347" xr16:uid="{00000000-0016-0000-0000-0000C0000000}" autoFormatId="0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" connectionId="92" xr16:uid="{00000000-0016-0000-0000-0000BF000000}" autoFormatId="0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497" xr16:uid="{00000000-0016-0000-0000-0000BE000000}" autoFormatId="0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" connectionId="336" xr16:uid="{00000000-0016-0000-0000-0000BD000000}" autoFormatId="0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297" xr16:uid="{00000000-0016-0000-0000-0000BC000000}" autoFormatId="0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436" xr16:uid="{00000000-0016-0000-0000-0000BB000000}" autoFormatId="0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" connectionId="75" xr16:uid="{00000000-0016-0000-0000-0000BA000000}" autoFormatId="0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" connectionId="90" xr16:uid="{00000000-0016-0000-0000-0000B9000000}" autoFormatId="0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234" xr16:uid="{00000000-0016-0000-0000-0000B8000000}" autoFormatId="0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469" xr16:uid="{00000000-0016-0000-0000-0000B7000000}" autoFormatId="0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48" xr16:uid="{00000000-0016-0000-0000-0000B6000000}" autoFormatId="0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68" xr16:uid="{00000000-0016-0000-0000-0000B5000000}" autoFormatId="0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19" xr16:uid="{00000000-0016-0000-0000-0000B4000000}" autoFormatId="0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" connectionId="27" xr16:uid="{00000000-0016-0000-0000-0000B3000000}" autoFormatId="0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" connectionId="189" xr16:uid="{00000000-0016-0000-0000-0000B2000000}" autoFormatId="0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245" xr16:uid="{00000000-0016-0000-0000-0000B1000000}" autoFormatId="0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6" connectionId="416" xr16:uid="{00000000-0016-0000-0000-0000B0000000}" autoFormatId="0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" connectionId="131" xr16:uid="{00000000-0016-0000-0000-0000AF000000}" autoFormatId="0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" connectionId="98" xr16:uid="{00000000-0016-0000-0000-0000AE000000}" autoFormatId="0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46" xr16:uid="{00000000-0016-0000-0000-0000AD000000}" autoFormatId="0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2" xr16:uid="{00000000-0016-0000-0000-0000AC000000}" autoFormatId="0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504" xr16:uid="{00000000-0016-0000-0000-0000AB000000}" autoFormatId="0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" connectionId="74" xr16:uid="{00000000-0016-0000-0000-0000AA000000}" autoFormatId="0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" connectionId="389" xr16:uid="{00000000-0016-0000-0000-0000A9000000}" autoFormatId="0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" connectionId="133" xr16:uid="{00000000-0016-0000-0000-0000A8000000}" autoFormatId="0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298" xr16:uid="{00000000-0016-0000-0000-0000A7000000}" autoFormatId="0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57" xr16:uid="{00000000-0016-0000-0000-0000A6000000}" autoFormatId="0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429" xr16:uid="{00000000-0016-0000-0000-0000A5000000}" autoFormatId="0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" connectionId="118" xr16:uid="{00000000-0016-0000-0000-0000A4000000}" autoFormatId="0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" connectionId="145" xr16:uid="{00000000-0016-0000-0000-0000A3000000}" autoFormatId="0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" connectionId="117" xr16:uid="{00000000-0016-0000-0000-0000A2000000}" autoFormatId="0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292" xr16:uid="{00000000-0016-0000-0000-0000A1000000}" autoFormatId="0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236" xr16:uid="{00000000-0016-0000-0000-0000A0000000}" autoFormatId="0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370" xr16:uid="{00000000-0016-0000-0000-00009F000000}" autoFormatId="0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479" xr16:uid="{00000000-0016-0000-0000-00009E000000}" autoFormatId="0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3" connectionId="326" xr16:uid="{00000000-0016-0000-0000-00009D000000}" autoFormatId="0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" connectionId="408" xr16:uid="{00000000-0016-0000-0000-00009C000000}" autoFormatId="0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" connectionId="97" xr16:uid="{00000000-0016-0000-0000-00009B000000}" autoFormatId="0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" connectionId="364" xr16:uid="{00000000-0016-0000-0000-00009A000000}" autoFormatId="0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" connectionId="176" xr16:uid="{00000000-0016-0000-0000-000099000000}" autoFormatId="0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466" xr16:uid="{00000000-0016-0000-0000-000098000000}" autoFormatId="0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" connectionId="134" xr16:uid="{00000000-0016-0000-0000-000097000000}" autoFormatId="0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" connectionId="369" xr16:uid="{00000000-0016-0000-0000-000096000000}" autoFormatId="0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" connectionId="394" xr16:uid="{00000000-0016-0000-0000-000095000000}" autoFormatId="0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1" xr16:uid="{00000000-0016-0000-0000-000094000000}" autoFormatId="0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287" xr16:uid="{00000000-0016-0000-0000-000093000000}" autoFormatId="0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" connectionId="401" xr16:uid="{00000000-0016-0000-0000-000092000000}" autoFormatId="0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32" xr16:uid="{00000000-0016-0000-0000-000091000000}" autoFormatId="0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439" xr16:uid="{00000000-0016-0000-0000-000090000000}" autoFormatId="0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31" xr16:uid="{00000000-0016-0000-0000-00008F000000}" autoFormatId="0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" connectionId="152" xr16:uid="{00000000-0016-0000-0000-00008E000000}" autoFormatId="0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" connectionId="137" xr16:uid="{00000000-0016-0000-0000-00008D000000}" autoFormatId="0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5" connectionId="421" xr16:uid="{00000000-0016-0000-0000-00008C000000}" autoFormatId="0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467" xr16:uid="{00000000-0016-0000-0000-00008B000000}" autoFormatId="0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" connectionId="164" xr16:uid="{00000000-0016-0000-0000-00008A000000}" autoFormatId="0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0" connectionId="314" xr16:uid="{00000000-0016-0000-0000-000089000000}" autoFormatId="0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4" connectionId="317" xr16:uid="{00000000-0016-0000-0000-000088000000}" autoFormatId="0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487" xr16:uid="{00000000-0016-0000-0000-000087000000}" autoFormatId="0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" connectionId="80" xr16:uid="{00000000-0016-0000-0000-000086000000}" autoFormatId="0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" connectionId="406" xr16:uid="{00000000-0016-0000-0000-000085000000}" autoFormatId="0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" connectionId="140" xr16:uid="{00000000-0016-0000-0000-000084000000}" autoFormatId="0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" connectionId="404" xr16:uid="{00000000-0016-0000-0000-000083000000}" autoFormatId="0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9" connectionId="304" xr16:uid="{00000000-0016-0000-0000-000082000000}" autoFormatId="0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65" xr16:uid="{00000000-0016-0000-0000-000081000000}" autoFormatId="0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330" xr16:uid="{00000000-0016-0000-0000-000080000000}" autoFormatId="0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2" connectionId="325" xr16:uid="{00000000-0016-0000-0000-00007F000000}" autoFormatId="0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73" xr16:uid="{00000000-0016-0000-0000-00007E000000}" autoFormatId="0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55" xr16:uid="{00000000-0016-0000-0000-00007D000000}" autoFormatId="0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" connectionId="382" xr16:uid="{00000000-0016-0000-0000-00007C000000}" autoFormatId="0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" connectionId="361" xr16:uid="{00000000-0016-0000-0000-00007B000000}" autoFormatId="0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42" xr16:uid="{00000000-0016-0000-0000-00007A000000}" autoFormatId="0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259" xr16:uid="{00000000-0016-0000-0000-000079000000}" autoFormatId="0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253" xr16:uid="{00000000-0016-0000-0000-000078000000}" autoFormatId="0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" connectionId="355" xr16:uid="{00000000-0016-0000-0000-000077000000}" autoFormatId="0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434" xr16:uid="{00000000-0016-0000-0000-000076000000}" autoFormatId="0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71" xr16:uid="{00000000-0016-0000-0000-000075000000}" autoFormatId="0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230" xr16:uid="{00000000-0016-0000-0000-000074000000}" autoFormatId="0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" connectionId="102" xr16:uid="{00000000-0016-0000-0000-000073000000}" autoFormatId="0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278" xr16:uid="{00000000-0016-0000-0000-000072000000}" autoFormatId="0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19" xr16:uid="{00000000-0016-0000-0000-000071000000}" autoFormatId="0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" connectionId="110" xr16:uid="{00000000-0016-0000-0000-000070000000}" autoFormatId="0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264" xr16:uid="{00000000-0016-0000-0000-00006F000000}" autoFormatId="0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0" xr16:uid="{00000000-0016-0000-0000-00006E000000}" autoFormatId="0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" connectionId="162" xr16:uid="{00000000-0016-0000-0000-00006D000000}" autoFormatId="0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7" xr16:uid="{00000000-0016-0000-0000-00006C000000}" autoFormatId="0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" connectionId="120" xr16:uid="{00000000-0016-0000-0000-00006B000000}" autoFormatId="0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498" xr16:uid="{00000000-0016-0000-0000-00006A000000}" autoFormatId="0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" connectionId="344" xr16:uid="{00000000-0016-0000-0000-000069000000}" autoFormatId="0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" connectionId="373" xr16:uid="{00000000-0016-0000-0000-000068000000}" autoFormatId="0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40" xr16:uid="{00000000-0016-0000-0000-000067000000}" autoFormatId="0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" connectionId="357" xr16:uid="{00000000-0016-0000-0000-000066000000}" autoFormatId="0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" connectionId="126" xr16:uid="{00000000-0016-0000-0000-000065000000}" autoFormatId="0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" connectionId="159" xr16:uid="{00000000-0016-0000-0000-000064000000}" autoFormatId="0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" connectionId="86" xr16:uid="{00000000-0016-0000-0000-000063000000}" autoFormatId="0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" connectionId="112" xr16:uid="{00000000-0016-0000-0000-000062000000}" autoFormatId="0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" connectionId="165" xr16:uid="{00000000-0016-0000-0000-000061000000}" autoFormatId="0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" connectionId="399" xr16:uid="{00000000-0016-0000-0000-000060000000}" autoFormatId="0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44" xr16:uid="{00000000-0016-0000-0000-00005F000000}" autoFormatId="0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5" connectionId="415" xr16:uid="{00000000-0016-0000-0000-00005E000000}" autoFormatId="0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5" connectionId="213" xr16:uid="{00000000-0016-0000-0000-00005D000000}" autoFormatId="0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" connectionId="396" xr16:uid="{00000000-0016-0000-0000-00005C000000}" autoFormatId="0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" connectionId="91" xr16:uid="{00000000-0016-0000-0000-00005B000000}" autoFormatId="0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501" xr16:uid="{00000000-0016-0000-0000-00005A000000}" autoFormatId="0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" connectionId="340" xr16:uid="{00000000-0016-0000-0000-000059000000}" autoFormatId="0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" connectionId="130" xr16:uid="{00000000-0016-0000-0000-000058000000}" autoFormatId="0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" connectionId="129" xr16:uid="{00000000-0016-0000-0000-000057000000}" autoFormatId="0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" connectionId="375" xr16:uid="{00000000-0016-0000-0000-000056000000}" autoFormatId="0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" connectionId="168" xr16:uid="{00000000-0016-0000-0000-000055000000}" autoFormatId="0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" connectionId="99" xr16:uid="{00000000-0016-0000-0000-000054000000}" autoFormatId="0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6" xr16:uid="{00000000-0016-0000-0000-000053000000}" autoFormatId="0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41" xr16:uid="{00000000-0016-0000-0000-000052000000}" autoFormatId="0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" connectionId="139" xr16:uid="{00000000-0016-0000-0000-000051000000}" autoFormatId="0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431" xr16:uid="{00000000-0016-0000-0000-000050000000}" autoFormatId="0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0" connectionId="419" xr16:uid="{00000000-0016-0000-0000-00004F000000}" autoFormatId="0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293" xr16:uid="{00000000-0016-0000-0000-00004E000000}" autoFormatId="0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" connectionId="103" xr16:uid="{00000000-0016-0000-0000-00004D000000}" autoFormatId="0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275" xr16:uid="{00000000-0016-0000-0000-00004C000000}" autoFormatId="0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337" xr16:uid="{00000000-0016-0000-0000-00004B000000}" autoFormatId="0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248" xr16:uid="{00000000-0016-0000-0000-00004A000000}" autoFormatId="0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437" xr16:uid="{00000000-0016-0000-0000-000049000000}" autoFormatId="0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" connectionId="377" xr16:uid="{00000000-0016-0000-0000-000048000000}" autoFormatId="0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" connectionId="445" xr16:uid="{00000000-0016-0000-0000-000047000000}" autoFormatId="0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286" xr16:uid="{00000000-0016-0000-0000-000046000000}" autoFormatId="0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" connectionId="444" xr16:uid="{00000000-0016-0000-0000-000045000000}" autoFormatId="0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8" connectionId="303" xr16:uid="{00000000-0016-0000-0000-000044000000}" autoFormatId="0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" connectionId="473" xr16:uid="{00000000-0016-0000-0000-000043000000}" autoFormatId="0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258" xr16:uid="{00000000-0016-0000-0000-000042000000}" autoFormatId="0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6" connectionId="327" xr16:uid="{00000000-0016-0000-0000-000041000000}" autoFormatId="0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3" xr16:uid="{00000000-0016-0000-0000-000040000000}" autoFormatId="0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7" connectionId="302" xr16:uid="{00000000-0016-0000-0000-00003F000000}" autoFormatId="0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1" connectionId="324" xr16:uid="{00000000-0016-0000-0000-00003E000000}" autoFormatId="0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43" xr16:uid="{00000000-0016-0000-0000-00003D000000}" autoFormatId="0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8" connectionId="464" xr16:uid="{00000000-0016-0000-0000-00003C000000}" autoFormatId="0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" connectionId="198" xr16:uid="{00000000-0016-0000-0000-00003B000000}" autoFormatId="0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" connectionId="368" xr16:uid="{00000000-0016-0000-0000-00003A000000}" autoFormatId="0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66" xr16:uid="{00000000-0016-0000-0000-000039000000}" autoFormatId="0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228" xr16:uid="{00000000-0016-0000-0000-000038000000}" autoFormatId="0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4" connectionId="423" xr16:uid="{00000000-0016-0000-0000-000037000000}" autoFormatId="0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" connectionId="111" xr16:uid="{00000000-0016-0000-0000-000036000000}" autoFormatId="0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232" xr16:uid="{00000000-0016-0000-0000-000035000000}" autoFormatId="0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" connectionId="191" xr16:uid="{00000000-0016-0000-0000-000034000000}" autoFormatId="0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238" xr16:uid="{00000000-0016-0000-0000-000033000000}" autoFormatId="0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" connectionId="380" xr16:uid="{00000000-0016-0000-0000-000032000000}" autoFormatId="0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2" connectionId="203" xr16:uid="{00000000-0016-0000-0000-000031000000}" autoFormatId="0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" connectionId="171" xr16:uid="{00000000-0016-0000-0000-000030000000}" autoFormatId="0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470" xr16:uid="{00000000-0016-0000-0000-00002F000000}" autoFormatId="0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240" xr16:uid="{00000000-0016-0000-0000-00002E000000}" autoFormatId="0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381" xr16:uid="{00000000-0016-0000-0000-00002D000000}" autoFormatId="0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" connectionId="153" xr16:uid="{00000000-0016-0000-0000-00002C000000}" autoFormatId="0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2" connectionId="465" xr16:uid="{00000000-0016-0000-0000-00002B000000}" autoFormatId="0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" connectionId="411" xr16:uid="{00000000-0016-0000-0000-00002A000000}" autoFormatId="0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257" xr16:uid="{00000000-0016-0000-0000-000029000000}" autoFormatId="0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476" xr16:uid="{00000000-0016-0000-0000-000028000000}" autoFormatId="0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7" connectionId="313" xr16:uid="{00000000-0016-0000-0000-000027000000}" autoFormatId="0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9" xr16:uid="{00000000-0016-0000-0000-000026000000}" autoFormatId="0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1" xr16:uid="{00000000-0016-0000-0000-000025000000}" autoFormatId="0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" connectionId="353" xr16:uid="{00000000-0016-0000-0000-000024000000}" autoFormatId="0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45" xr16:uid="{00000000-0016-0000-0000-000023000000}" autoFormatId="0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235" xr16:uid="{00000000-0016-0000-0000-000022000000}" autoFormatId="0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" connectionId="166" xr16:uid="{00000000-0016-0000-0000-000021000000}" autoFormatId="0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" connectionId="186" xr16:uid="{00000000-0016-0000-0000-000020000000}" autoFormatId="0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491" xr16:uid="{00000000-0016-0000-0000-00001F000000}" autoFormatId="0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3" connectionId="204" xr16:uid="{00000000-0016-0000-0000-00001E000000}" autoFormatId="0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58" xr16:uid="{00000000-0016-0000-0000-00001D000000}" autoFormatId="0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5" xr16:uid="{00000000-0016-0000-0000-00001C000000}" autoFormatId="0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" connectionId="393" xr16:uid="{00000000-0016-0000-0000-00001B000000}" autoFormatId="0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" connectionId="367" xr16:uid="{00000000-0016-0000-0000-00001A000000}" autoFormatId="0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" connectionId="28" xr16:uid="{00000000-0016-0000-0000-000019000000}" autoFormatId="0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0" connectionId="210" xr16:uid="{00000000-0016-0000-0000-000018000000}" autoFormatId="0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20" xr16:uid="{00000000-0016-0000-0000-000017000000}" autoFormatId="0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254" xr16:uid="{00000000-0016-0000-0000-000016000000}" autoFormatId="0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6" xr16:uid="{00000000-0016-0000-0000-000015000000}" autoFormatId="0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477" xr16:uid="{00000000-0016-0000-0000-000014000000}" autoFormatId="0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427" xr16:uid="{00000000-0016-0000-0000-000013000000}" autoFormatId="0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" connectionId="452" xr16:uid="{00000000-0016-0000-0000-000012000000}" autoFormatId="0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1" connectionId="463" xr16:uid="{00000000-0016-0000-0000-000011000000}" autoFormatId="0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270" xr16:uid="{00000000-0016-0000-0000-000010000000}" autoFormatId="0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290" xr16:uid="{00000000-0016-0000-0000-00000F000000}" autoFormatId="0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274" xr16:uid="{00000000-0016-0000-0000-00000E000000}" autoFormatId="0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" connectionId="146" xr16:uid="{00000000-0016-0000-0000-00000D000000}" autoFormatId="0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6" xr16:uid="{00000000-0016-0000-0000-00000C000000}" autoFormatId="0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4" connectionId="420" xr16:uid="{00000000-0016-0000-0000-00000B000000}" autoFormatId="0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" connectionId="365" xr16:uid="{00000000-0016-0000-0000-00000A000000}" autoFormatId="0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296" xr16:uid="{00000000-0016-0000-0000-000009000000}" autoFormatId="0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0" connectionId="322" xr16:uid="{00000000-0016-0000-0000-000008000000}" autoFormatId="0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6" connectionId="206" xr16:uid="{00000000-0016-0000-0000-000007000000}" autoFormatId="0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24" xr16:uid="{00000000-0016-0000-0000-000006000000}" autoFormatId="0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443" xr16:uid="{00000000-0016-0000-0000-000005000000}" autoFormatId="0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3" connectionId="422" xr16:uid="{00000000-0016-0000-0000-000004000000}" autoFormatId="0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" connectionId="156" xr16:uid="{00000000-0016-0000-0000-000003000000}" autoFormatId="0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" connectionId="104" xr16:uid="{00000000-0016-0000-0000-000002000000}" autoFormatId="0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" connectionId="85" xr16:uid="{00000000-0016-0000-0000-000001000000}" autoFormatId="0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" connectionId="187" xr16:uid="{00000000-0016-0000-0000-000000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6D62A63-D8AB-4581-B6A4-29BE52AF4FD9}">
  <we:reference id="wa104381262" version="1.0.0.0" store="en-US" storeType="OMEX"/>
  <we:alternateReferences>
    <we:reference id="wa104381262" version="1.0.0.0" store="WA104381262" storeType="OMEX"/>
  </we:alternateReferences>
  <we:properties/>
  <we:bindings>
    <we:binding id="'REPORT SYNC'!A3:project-955877:takeoff-3295493:name-3295493" type="matrix" appref="{42DB936C-9510-4E03-A055-9CD16324B05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1.xml"/><Relationship Id="rId299" Type="http://schemas.openxmlformats.org/officeDocument/2006/relationships/queryTable" Target="../queryTables/queryTable293.xml"/><Relationship Id="rId21" Type="http://schemas.openxmlformats.org/officeDocument/2006/relationships/queryTable" Target="../queryTables/queryTable15.xml"/><Relationship Id="rId63" Type="http://schemas.openxmlformats.org/officeDocument/2006/relationships/queryTable" Target="../queryTables/queryTable57.xml"/><Relationship Id="rId159" Type="http://schemas.openxmlformats.org/officeDocument/2006/relationships/queryTable" Target="../queryTables/queryTable153.xml"/><Relationship Id="rId324" Type="http://schemas.openxmlformats.org/officeDocument/2006/relationships/queryTable" Target="../queryTables/queryTable318.xml"/><Relationship Id="rId366" Type="http://schemas.openxmlformats.org/officeDocument/2006/relationships/queryTable" Target="../queryTables/queryTable360.xml"/><Relationship Id="rId170" Type="http://schemas.openxmlformats.org/officeDocument/2006/relationships/queryTable" Target="../queryTables/queryTable164.xml"/><Relationship Id="rId226" Type="http://schemas.openxmlformats.org/officeDocument/2006/relationships/queryTable" Target="../queryTables/queryTable220.xml"/><Relationship Id="rId433" Type="http://schemas.openxmlformats.org/officeDocument/2006/relationships/queryTable" Target="../queryTables/queryTable427.xml"/><Relationship Id="rId268" Type="http://schemas.openxmlformats.org/officeDocument/2006/relationships/queryTable" Target="../queryTables/queryTable262.xml"/><Relationship Id="rId475" Type="http://schemas.openxmlformats.org/officeDocument/2006/relationships/queryTable" Target="../queryTables/queryTable469.xml"/><Relationship Id="rId32" Type="http://schemas.openxmlformats.org/officeDocument/2006/relationships/queryTable" Target="../queryTables/queryTable26.xml"/><Relationship Id="rId74" Type="http://schemas.openxmlformats.org/officeDocument/2006/relationships/queryTable" Target="../queryTables/queryTable68.xml"/><Relationship Id="rId128" Type="http://schemas.openxmlformats.org/officeDocument/2006/relationships/queryTable" Target="../queryTables/queryTable122.xml"/><Relationship Id="rId335" Type="http://schemas.openxmlformats.org/officeDocument/2006/relationships/queryTable" Target="../queryTables/queryTable329.xml"/><Relationship Id="rId377" Type="http://schemas.openxmlformats.org/officeDocument/2006/relationships/queryTable" Target="../queryTables/queryTable371.xml"/><Relationship Id="rId500" Type="http://schemas.openxmlformats.org/officeDocument/2006/relationships/queryTable" Target="../queryTables/queryTable494.xml"/><Relationship Id="rId5" Type="http://schemas.openxmlformats.org/officeDocument/2006/relationships/ctrlProp" Target="../ctrlProps/ctrlProp2.xml"/><Relationship Id="rId181" Type="http://schemas.openxmlformats.org/officeDocument/2006/relationships/queryTable" Target="../queryTables/queryTable175.xml"/><Relationship Id="rId237" Type="http://schemas.openxmlformats.org/officeDocument/2006/relationships/queryTable" Target="../queryTables/queryTable231.xml"/><Relationship Id="rId402" Type="http://schemas.openxmlformats.org/officeDocument/2006/relationships/queryTable" Target="../queryTables/queryTable396.xml"/><Relationship Id="rId279" Type="http://schemas.openxmlformats.org/officeDocument/2006/relationships/queryTable" Target="../queryTables/queryTable273.xml"/><Relationship Id="rId444" Type="http://schemas.openxmlformats.org/officeDocument/2006/relationships/queryTable" Target="../queryTables/queryTable438.xml"/><Relationship Id="rId486" Type="http://schemas.openxmlformats.org/officeDocument/2006/relationships/queryTable" Target="../queryTables/queryTable480.xml"/><Relationship Id="rId43" Type="http://schemas.openxmlformats.org/officeDocument/2006/relationships/queryTable" Target="../queryTables/queryTable37.xml"/><Relationship Id="rId139" Type="http://schemas.openxmlformats.org/officeDocument/2006/relationships/queryTable" Target="../queryTables/queryTable133.xml"/><Relationship Id="rId290" Type="http://schemas.openxmlformats.org/officeDocument/2006/relationships/queryTable" Target="../queryTables/queryTable284.xml"/><Relationship Id="rId304" Type="http://schemas.openxmlformats.org/officeDocument/2006/relationships/queryTable" Target="../queryTables/queryTable298.xml"/><Relationship Id="rId346" Type="http://schemas.openxmlformats.org/officeDocument/2006/relationships/queryTable" Target="../queryTables/queryTable340.xml"/><Relationship Id="rId388" Type="http://schemas.openxmlformats.org/officeDocument/2006/relationships/queryTable" Target="../queryTables/queryTable382.xml"/><Relationship Id="rId511" Type="http://schemas.openxmlformats.org/officeDocument/2006/relationships/queryTable" Target="../queryTables/queryTable505.xml"/><Relationship Id="rId85" Type="http://schemas.openxmlformats.org/officeDocument/2006/relationships/queryTable" Target="../queryTables/queryTable79.xml"/><Relationship Id="rId150" Type="http://schemas.openxmlformats.org/officeDocument/2006/relationships/queryTable" Target="../queryTables/queryTable144.xml"/><Relationship Id="rId192" Type="http://schemas.openxmlformats.org/officeDocument/2006/relationships/queryTable" Target="../queryTables/queryTable186.xml"/><Relationship Id="rId206" Type="http://schemas.openxmlformats.org/officeDocument/2006/relationships/queryTable" Target="../queryTables/queryTable200.xml"/><Relationship Id="rId413" Type="http://schemas.openxmlformats.org/officeDocument/2006/relationships/queryTable" Target="../queryTables/queryTable407.xml"/><Relationship Id="rId248" Type="http://schemas.openxmlformats.org/officeDocument/2006/relationships/queryTable" Target="../queryTables/queryTable242.xml"/><Relationship Id="rId455" Type="http://schemas.openxmlformats.org/officeDocument/2006/relationships/queryTable" Target="../queryTables/queryTable449.xml"/><Relationship Id="rId497" Type="http://schemas.openxmlformats.org/officeDocument/2006/relationships/queryTable" Target="../queryTables/queryTable491.xml"/><Relationship Id="rId12" Type="http://schemas.openxmlformats.org/officeDocument/2006/relationships/queryTable" Target="../queryTables/queryTable6.xml"/><Relationship Id="rId108" Type="http://schemas.openxmlformats.org/officeDocument/2006/relationships/queryTable" Target="../queryTables/queryTable102.xml"/><Relationship Id="rId315" Type="http://schemas.openxmlformats.org/officeDocument/2006/relationships/queryTable" Target="../queryTables/queryTable309.xml"/><Relationship Id="rId357" Type="http://schemas.openxmlformats.org/officeDocument/2006/relationships/queryTable" Target="../queryTables/queryTable351.xml"/><Relationship Id="rId54" Type="http://schemas.openxmlformats.org/officeDocument/2006/relationships/queryTable" Target="../queryTables/queryTable48.xml"/><Relationship Id="rId96" Type="http://schemas.openxmlformats.org/officeDocument/2006/relationships/queryTable" Target="../queryTables/queryTable90.xml"/><Relationship Id="rId161" Type="http://schemas.openxmlformats.org/officeDocument/2006/relationships/queryTable" Target="../queryTables/queryTable155.xml"/><Relationship Id="rId217" Type="http://schemas.openxmlformats.org/officeDocument/2006/relationships/queryTable" Target="../queryTables/queryTable211.xml"/><Relationship Id="rId399" Type="http://schemas.openxmlformats.org/officeDocument/2006/relationships/queryTable" Target="../queryTables/queryTable393.xml"/><Relationship Id="rId259" Type="http://schemas.openxmlformats.org/officeDocument/2006/relationships/queryTable" Target="../queryTables/queryTable253.xml"/><Relationship Id="rId424" Type="http://schemas.openxmlformats.org/officeDocument/2006/relationships/queryTable" Target="../queryTables/queryTable418.xml"/><Relationship Id="rId466" Type="http://schemas.openxmlformats.org/officeDocument/2006/relationships/queryTable" Target="../queryTables/queryTable460.xml"/><Relationship Id="rId23" Type="http://schemas.openxmlformats.org/officeDocument/2006/relationships/queryTable" Target="../queryTables/queryTable17.xml"/><Relationship Id="rId119" Type="http://schemas.openxmlformats.org/officeDocument/2006/relationships/queryTable" Target="../queryTables/queryTable113.xml"/><Relationship Id="rId270" Type="http://schemas.openxmlformats.org/officeDocument/2006/relationships/queryTable" Target="../queryTables/queryTable264.xml"/><Relationship Id="rId326" Type="http://schemas.openxmlformats.org/officeDocument/2006/relationships/queryTable" Target="../queryTables/queryTable320.xml"/><Relationship Id="rId65" Type="http://schemas.openxmlformats.org/officeDocument/2006/relationships/queryTable" Target="../queryTables/queryTable59.xml"/><Relationship Id="rId130" Type="http://schemas.openxmlformats.org/officeDocument/2006/relationships/queryTable" Target="../queryTables/queryTable124.xml"/><Relationship Id="rId368" Type="http://schemas.openxmlformats.org/officeDocument/2006/relationships/queryTable" Target="../queryTables/queryTable362.xml"/><Relationship Id="rId172" Type="http://schemas.openxmlformats.org/officeDocument/2006/relationships/queryTable" Target="../queryTables/queryTable166.xml"/><Relationship Id="rId228" Type="http://schemas.openxmlformats.org/officeDocument/2006/relationships/queryTable" Target="../queryTables/queryTable222.xml"/><Relationship Id="rId435" Type="http://schemas.openxmlformats.org/officeDocument/2006/relationships/queryTable" Target="../queryTables/queryTable429.xml"/><Relationship Id="rId477" Type="http://schemas.openxmlformats.org/officeDocument/2006/relationships/queryTable" Target="../queryTables/queryTable471.xml"/><Relationship Id="rId281" Type="http://schemas.openxmlformats.org/officeDocument/2006/relationships/queryTable" Target="../queryTables/queryTable275.xml"/><Relationship Id="rId337" Type="http://schemas.openxmlformats.org/officeDocument/2006/relationships/queryTable" Target="../queryTables/queryTable331.xml"/><Relationship Id="rId502" Type="http://schemas.openxmlformats.org/officeDocument/2006/relationships/queryTable" Target="../queryTables/queryTable496.xml"/><Relationship Id="rId34" Type="http://schemas.openxmlformats.org/officeDocument/2006/relationships/queryTable" Target="../queryTables/queryTable28.xml"/><Relationship Id="rId76" Type="http://schemas.openxmlformats.org/officeDocument/2006/relationships/queryTable" Target="../queryTables/queryTable70.xml"/><Relationship Id="rId141" Type="http://schemas.openxmlformats.org/officeDocument/2006/relationships/queryTable" Target="../queryTables/queryTable135.xml"/><Relationship Id="rId379" Type="http://schemas.openxmlformats.org/officeDocument/2006/relationships/queryTable" Target="../queryTables/queryTable373.xml"/><Relationship Id="rId7" Type="http://schemas.openxmlformats.org/officeDocument/2006/relationships/queryTable" Target="../queryTables/queryTable1.xml"/><Relationship Id="rId183" Type="http://schemas.openxmlformats.org/officeDocument/2006/relationships/queryTable" Target="../queryTables/queryTable177.xml"/><Relationship Id="rId239" Type="http://schemas.openxmlformats.org/officeDocument/2006/relationships/queryTable" Target="../queryTables/queryTable233.xml"/><Relationship Id="rId390" Type="http://schemas.openxmlformats.org/officeDocument/2006/relationships/queryTable" Target="../queryTables/queryTable384.xml"/><Relationship Id="rId404" Type="http://schemas.openxmlformats.org/officeDocument/2006/relationships/queryTable" Target="../queryTables/queryTable398.xml"/><Relationship Id="rId446" Type="http://schemas.openxmlformats.org/officeDocument/2006/relationships/queryTable" Target="../queryTables/queryTable440.xml"/><Relationship Id="rId250" Type="http://schemas.openxmlformats.org/officeDocument/2006/relationships/queryTable" Target="../queryTables/queryTable244.xml"/><Relationship Id="rId292" Type="http://schemas.openxmlformats.org/officeDocument/2006/relationships/queryTable" Target="../queryTables/queryTable286.xml"/><Relationship Id="rId306" Type="http://schemas.openxmlformats.org/officeDocument/2006/relationships/queryTable" Target="../queryTables/queryTable300.xml"/><Relationship Id="rId488" Type="http://schemas.openxmlformats.org/officeDocument/2006/relationships/queryTable" Target="../queryTables/queryTable482.xml"/><Relationship Id="rId45" Type="http://schemas.openxmlformats.org/officeDocument/2006/relationships/queryTable" Target="../queryTables/queryTable39.xml"/><Relationship Id="rId87" Type="http://schemas.openxmlformats.org/officeDocument/2006/relationships/queryTable" Target="../queryTables/queryTable81.xml"/><Relationship Id="rId110" Type="http://schemas.openxmlformats.org/officeDocument/2006/relationships/queryTable" Target="../queryTables/queryTable104.xml"/><Relationship Id="rId348" Type="http://schemas.openxmlformats.org/officeDocument/2006/relationships/queryTable" Target="../queryTables/queryTable342.xml"/><Relationship Id="rId152" Type="http://schemas.openxmlformats.org/officeDocument/2006/relationships/queryTable" Target="../queryTables/queryTable146.xml"/><Relationship Id="rId194" Type="http://schemas.openxmlformats.org/officeDocument/2006/relationships/queryTable" Target="../queryTables/queryTable188.xml"/><Relationship Id="rId208" Type="http://schemas.openxmlformats.org/officeDocument/2006/relationships/queryTable" Target="../queryTables/queryTable202.xml"/><Relationship Id="rId415" Type="http://schemas.openxmlformats.org/officeDocument/2006/relationships/queryTable" Target="../queryTables/queryTable409.xml"/><Relationship Id="rId457" Type="http://schemas.openxmlformats.org/officeDocument/2006/relationships/queryTable" Target="../queryTables/queryTable451.xml"/><Relationship Id="rId240" Type="http://schemas.openxmlformats.org/officeDocument/2006/relationships/queryTable" Target="../queryTables/queryTable234.xml"/><Relationship Id="rId261" Type="http://schemas.openxmlformats.org/officeDocument/2006/relationships/queryTable" Target="../queryTables/queryTable255.xml"/><Relationship Id="rId478" Type="http://schemas.openxmlformats.org/officeDocument/2006/relationships/queryTable" Target="../queryTables/queryTable472.xml"/><Relationship Id="rId499" Type="http://schemas.openxmlformats.org/officeDocument/2006/relationships/queryTable" Target="../queryTables/queryTable493.xml"/><Relationship Id="rId14" Type="http://schemas.openxmlformats.org/officeDocument/2006/relationships/queryTable" Target="../queryTables/queryTable8.xml"/><Relationship Id="rId35" Type="http://schemas.openxmlformats.org/officeDocument/2006/relationships/queryTable" Target="../queryTables/queryTable29.xml"/><Relationship Id="rId56" Type="http://schemas.openxmlformats.org/officeDocument/2006/relationships/queryTable" Target="../queryTables/queryTable50.xml"/><Relationship Id="rId77" Type="http://schemas.openxmlformats.org/officeDocument/2006/relationships/queryTable" Target="../queryTables/queryTable71.xml"/><Relationship Id="rId100" Type="http://schemas.openxmlformats.org/officeDocument/2006/relationships/queryTable" Target="../queryTables/queryTable94.xml"/><Relationship Id="rId282" Type="http://schemas.openxmlformats.org/officeDocument/2006/relationships/queryTable" Target="../queryTables/queryTable276.xml"/><Relationship Id="rId317" Type="http://schemas.openxmlformats.org/officeDocument/2006/relationships/queryTable" Target="../queryTables/queryTable311.xml"/><Relationship Id="rId338" Type="http://schemas.openxmlformats.org/officeDocument/2006/relationships/queryTable" Target="../queryTables/queryTable332.xml"/><Relationship Id="rId359" Type="http://schemas.openxmlformats.org/officeDocument/2006/relationships/queryTable" Target="../queryTables/queryTable353.xml"/><Relationship Id="rId503" Type="http://schemas.openxmlformats.org/officeDocument/2006/relationships/queryTable" Target="../queryTables/queryTable497.xml"/><Relationship Id="rId8" Type="http://schemas.openxmlformats.org/officeDocument/2006/relationships/queryTable" Target="../queryTables/queryTable2.xml"/><Relationship Id="rId98" Type="http://schemas.openxmlformats.org/officeDocument/2006/relationships/queryTable" Target="../queryTables/queryTable92.xml"/><Relationship Id="rId121" Type="http://schemas.openxmlformats.org/officeDocument/2006/relationships/queryTable" Target="../queryTables/queryTable115.xml"/><Relationship Id="rId142" Type="http://schemas.openxmlformats.org/officeDocument/2006/relationships/queryTable" Target="../queryTables/queryTable136.xml"/><Relationship Id="rId163" Type="http://schemas.openxmlformats.org/officeDocument/2006/relationships/queryTable" Target="../queryTables/queryTable157.xml"/><Relationship Id="rId184" Type="http://schemas.openxmlformats.org/officeDocument/2006/relationships/queryTable" Target="../queryTables/queryTable178.xml"/><Relationship Id="rId219" Type="http://schemas.openxmlformats.org/officeDocument/2006/relationships/queryTable" Target="../queryTables/queryTable213.xml"/><Relationship Id="rId370" Type="http://schemas.openxmlformats.org/officeDocument/2006/relationships/queryTable" Target="../queryTables/queryTable364.xml"/><Relationship Id="rId391" Type="http://schemas.openxmlformats.org/officeDocument/2006/relationships/queryTable" Target="../queryTables/queryTable385.xml"/><Relationship Id="rId405" Type="http://schemas.openxmlformats.org/officeDocument/2006/relationships/queryTable" Target="../queryTables/queryTable399.xml"/><Relationship Id="rId426" Type="http://schemas.openxmlformats.org/officeDocument/2006/relationships/queryTable" Target="../queryTables/queryTable420.xml"/><Relationship Id="rId447" Type="http://schemas.openxmlformats.org/officeDocument/2006/relationships/queryTable" Target="../queryTables/queryTable441.xml"/><Relationship Id="rId230" Type="http://schemas.openxmlformats.org/officeDocument/2006/relationships/queryTable" Target="../queryTables/queryTable224.xml"/><Relationship Id="rId251" Type="http://schemas.openxmlformats.org/officeDocument/2006/relationships/queryTable" Target="../queryTables/queryTable245.xml"/><Relationship Id="rId468" Type="http://schemas.openxmlformats.org/officeDocument/2006/relationships/queryTable" Target="../queryTables/queryTable462.xml"/><Relationship Id="rId489" Type="http://schemas.openxmlformats.org/officeDocument/2006/relationships/queryTable" Target="../queryTables/queryTable483.xml"/><Relationship Id="rId25" Type="http://schemas.openxmlformats.org/officeDocument/2006/relationships/queryTable" Target="../queryTables/queryTable19.xml"/><Relationship Id="rId46" Type="http://schemas.openxmlformats.org/officeDocument/2006/relationships/queryTable" Target="../queryTables/queryTable40.xml"/><Relationship Id="rId67" Type="http://schemas.openxmlformats.org/officeDocument/2006/relationships/queryTable" Target="../queryTables/queryTable61.xml"/><Relationship Id="rId272" Type="http://schemas.openxmlformats.org/officeDocument/2006/relationships/queryTable" Target="../queryTables/queryTable266.xml"/><Relationship Id="rId293" Type="http://schemas.openxmlformats.org/officeDocument/2006/relationships/queryTable" Target="../queryTables/queryTable287.xml"/><Relationship Id="rId307" Type="http://schemas.openxmlformats.org/officeDocument/2006/relationships/queryTable" Target="../queryTables/queryTable301.xml"/><Relationship Id="rId328" Type="http://schemas.openxmlformats.org/officeDocument/2006/relationships/queryTable" Target="../queryTables/queryTable322.xml"/><Relationship Id="rId349" Type="http://schemas.openxmlformats.org/officeDocument/2006/relationships/queryTable" Target="../queryTables/queryTable343.xml"/><Relationship Id="rId88" Type="http://schemas.openxmlformats.org/officeDocument/2006/relationships/queryTable" Target="../queryTables/queryTable82.xml"/><Relationship Id="rId111" Type="http://schemas.openxmlformats.org/officeDocument/2006/relationships/queryTable" Target="../queryTables/queryTable105.xml"/><Relationship Id="rId132" Type="http://schemas.openxmlformats.org/officeDocument/2006/relationships/queryTable" Target="../queryTables/queryTable126.xml"/><Relationship Id="rId153" Type="http://schemas.openxmlformats.org/officeDocument/2006/relationships/queryTable" Target="../queryTables/queryTable147.xml"/><Relationship Id="rId174" Type="http://schemas.openxmlformats.org/officeDocument/2006/relationships/queryTable" Target="../queryTables/queryTable168.xml"/><Relationship Id="rId195" Type="http://schemas.openxmlformats.org/officeDocument/2006/relationships/queryTable" Target="../queryTables/queryTable189.xml"/><Relationship Id="rId209" Type="http://schemas.openxmlformats.org/officeDocument/2006/relationships/queryTable" Target="../queryTables/queryTable203.xml"/><Relationship Id="rId360" Type="http://schemas.openxmlformats.org/officeDocument/2006/relationships/queryTable" Target="../queryTables/queryTable354.xml"/><Relationship Id="rId381" Type="http://schemas.openxmlformats.org/officeDocument/2006/relationships/queryTable" Target="../queryTables/queryTable375.xml"/><Relationship Id="rId416" Type="http://schemas.openxmlformats.org/officeDocument/2006/relationships/queryTable" Target="../queryTables/queryTable410.xml"/><Relationship Id="rId220" Type="http://schemas.openxmlformats.org/officeDocument/2006/relationships/queryTable" Target="../queryTables/queryTable214.xml"/><Relationship Id="rId241" Type="http://schemas.openxmlformats.org/officeDocument/2006/relationships/queryTable" Target="../queryTables/queryTable235.xml"/><Relationship Id="rId437" Type="http://schemas.openxmlformats.org/officeDocument/2006/relationships/queryTable" Target="../queryTables/queryTable431.xml"/><Relationship Id="rId458" Type="http://schemas.openxmlformats.org/officeDocument/2006/relationships/queryTable" Target="../queryTables/queryTable452.xml"/><Relationship Id="rId479" Type="http://schemas.openxmlformats.org/officeDocument/2006/relationships/queryTable" Target="../queryTables/queryTable473.xml"/><Relationship Id="rId15" Type="http://schemas.openxmlformats.org/officeDocument/2006/relationships/queryTable" Target="../queryTables/queryTable9.xml"/><Relationship Id="rId36" Type="http://schemas.openxmlformats.org/officeDocument/2006/relationships/queryTable" Target="../queryTables/queryTable30.xml"/><Relationship Id="rId57" Type="http://schemas.openxmlformats.org/officeDocument/2006/relationships/queryTable" Target="../queryTables/queryTable51.xml"/><Relationship Id="rId262" Type="http://schemas.openxmlformats.org/officeDocument/2006/relationships/queryTable" Target="../queryTables/queryTable256.xml"/><Relationship Id="rId283" Type="http://schemas.openxmlformats.org/officeDocument/2006/relationships/queryTable" Target="../queryTables/queryTable277.xml"/><Relationship Id="rId318" Type="http://schemas.openxmlformats.org/officeDocument/2006/relationships/queryTable" Target="../queryTables/queryTable312.xml"/><Relationship Id="rId339" Type="http://schemas.openxmlformats.org/officeDocument/2006/relationships/queryTable" Target="../queryTables/queryTable333.xml"/><Relationship Id="rId490" Type="http://schemas.openxmlformats.org/officeDocument/2006/relationships/queryTable" Target="../queryTables/queryTable484.xml"/><Relationship Id="rId504" Type="http://schemas.openxmlformats.org/officeDocument/2006/relationships/queryTable" Target="../queryTables/queryTable498.xml"/><Relationship Id="rId78" Type="http://schemas.openxmlformats.org/officeDocument/2006/relationships/queryTable" Target="../queryTables/queryTable72.xml"/><Relationship Id="rId99" Type="http://schemas.openxmlformats.org/officeDocument/2006/relationships/queryTable" Target="../queryTables/queryTable93.xml"/><Relationship Id="rId101" Type="http://schemas.openxmlformats.org/officeDocument/2006/relationships/queryTable" Target="../queryTables/queryTable95.xml"/><Relationship Id="rId122" Type="http://schemas.openxmlformats.org/officeDocument/2006/relationships/queryTable" Target="../queryTables/queryTable116.xml"/><Relationship Id="rId143" Type="http://schemas.openxmlformats.org/officeDocument/2006/relationships/queryTable" Target="../queryTables/queryTable137.xml"/><Relationship Id="rId164" Type="http://schemas.openxmlformats.org/officeDocument/2006/relationships/queryTable" Target="../queryTables/queryTable158.xml"/><Relationship Id="rId185" Type="http://schemas.openxmlformats.org/officeDocument/2006/relationships/queryTable" Target="../queryTables/queryTable179.xml"/><Relationship Id="rId350" Type="http://schemas.openxmlformats.org/officeDocument/2006/relationships/queryTable" Target="../queryTables/queryTable344.xml"/><Relationship Id="rId371" Type="http://schemas.openxmlformats.org/officeDocument/2006/relationships/queryTable" Target="../queryTables/queryTable365.xml"/><Relationship Id="rId406" Type="http://schemas.openxmlformats.org/officeDocument/2006/relationships/queryTable" Target="../queryTables/queryTable400.xml"/><Relationship Id="rId9" Type="http://schemas.openxmlformats.org/officeDocument/2006/relationships/queryTable" Target="../queryTables/queryTable3.xml"/><Relationship Id="rId210" Type="http://schemas.openxmlformats.org/officeDocument/2006/relationships/queryTable" Target="../queryTables/queryTable204.xml"/><Relationship Id="rId392" Type="http://schemas.openxmlformats.org/officeDocument/2006/relationships/queryTable" Target="../queryTables/queryTable386.xml"/><Relationship Id="rId427" Type="http://schemas.openxmlformats.org/officeDocument/2006/relationships/queryTable" Target="../queryTables/queryTable421.xml"/><Relationship Id="rId448" Type="http://schemas.openxmlformats.org/officeDocument/2006/relationships/queryTable" Target="../queryTables/queryTable442.xml"/><Relationship Id="rId469" Type="http://schemas.openxmlformats.org/officeDocument/2006/relationships/queryTable" Target="../queryTables/queryTable463.xml"/><Relationship Id="rId26" Type="http://schemas.openxmlformats.org/officeDocument/2006/relationships/queryTable" Target="../queryTables/queryTable20.xml"/><Relationship Id="rId231" Type="http://schemas.openxmlformats.org/officeDocument/2006/relationships/queryTable" Target="../queryTables/queryTable225.xml"/><Relationship Id="rId252" Type="http://schemas.openxmlformats.org/officeDocument/2006/relationships/queryTable" Target="../queryTables/queryTable246.xml"/><Relationship Id="rId273" Type="http://schemas.openxmlformats.org/officeDocument/2006/relationships/queryTable" Target="../queryTables/queryTable267.xml"/><Relationship Id="rId294" Type="http://schemas.openxmlformats.org/officeDocument/2006/relationships/queryTable" Target="../queryTables/queryTable288.xml"/><Relationship Id="rId308" Type="http://schemas.openxmlformats.org/officeDocument/2006/relationships/queryTable" Target="../queryTables/queryTable302.xml"/><Relationship Id="rId329" Type="http://schemas.openxmlformats.org/officeDocument/2006/relationships/queryTable" Target="../queryTables/queryTable323.xml"/><Relationship Id="rId480" Type="http://schemas.openxmlformats.org/officeDocument/2006/relationships/queryTable" Target="../queryTables/queryTable474.xml"/><Relationship Id="rId47" Type="http://schemas.openxmlformats.org/officeDocument/2006/relationships/queryTable" Target="../queryTables/queryTable41.xml"/><Relationship Id="rId68" Type="http://schemas.openxmlformats.org/officeDocument/2006/relationships/queryTable" Target="../queryTables/queryTable62.xml"/><Relationship Id="rId89" Type="http://schemas.openxmlformats.org/officeDocument/2006/relationships/queryTable" Target="../queryTables/queryTable83.xml"/><Relationship Id="rId112" Type="http://schemas.openxmlformats.org/officeDocument/2006/relationships/queryTable" Target="../queryTables/queryTable106.xml"/><Relationship Id="rId133" Type="http://schemas.openxmlformats.org/officeDocument/2006/relationships/queryTable" Target="../queryTables/queryTable127.xml"/><Relationship Id="rId154" Type="http://schemas.openxmlformats.org/officeDocument/2006/relationships/queryTable" Target="../queryTables/queryTable148.xml"/><Relationship Id="rId175" Type="http://schemas.openxmlformats.org/officeDocument/2006/relationships/queryTable" Target="../queryTables/queryTable169.xml"/><Relationship Id="rId340" Type="http://schemas.openxmlformats.org/officeDocument/2006/relationships/queryTable" Target="../queryTables/queryTable334.xml"/><Relationship Id="rId361" Type="http://schemas.openxmlformats.org/officeDocument/2006/relationships/queryTable" Target="../queryTables/queryTable355.xml"/><Relationship Id="rId196" Type="http://schemas.openxmlformats.org/officeDocument/2006/relationships/queryTable" Target="../queryTables/queryTable190.xml"/><Relationship Id="rId200" Type="http://schemas.openxmlformats.org/officeDocument/2006/relationships/queryTable" Target="../queryTables/queryTable194.xml"/><Relationship Id="rId382" Type="http://schemas.openxmlformats.org/officeDocument/2006/relationships/queryTable" Target="../queryTables/queryTable376.xml"/><Relationship Id="rId417" Type="http://schemas.openxmlformats.org/officeDocument/2006/relationships/queryTable" Target="../queryTables/queryTable411.xml"/><Relationship Id="rId438" Type="http://schemas.openxmlformats.org/officeDocument/2006/relationships/queryTable" Target="../queryTables/queryTable432.xml"/><Relationship Id="rId459" Type="http://schemas.openxmlformats.org/officeDocument/2006/relationships/queryTable" Target="../queryTables/queryTable453.xml"/><Relationship Id="rId16" Type="http://schemas.openxmlformats.org/officeDocument/2006/relationships/queryTable" Target="../queryTables/queryTable10.xml"/><Relationship Id="rId221" Type="http://schemas.openxmlformats.org/officeDocument/2006/relationships/queryTable" Target="../queryTables/queryTable215.xml"/><Relationship Id="rId242" Type="http://schemas.openxmlformats.org/officeDocument/2006/relationships/queryTable" Target="../queryTables/queryTable236.xml"/><Relationship Id="rId263" Type="http://schemas.openxmlformats.org/officeDocument/2006/relationships/queryTable" Target="../queryTables/queryTable257.xml"/><Relationship Id="rId284" Type="http://schemas.openxmlformats.org/officeDocument/2006/relationships/queryTable" Target="../queryTables/queryTable278.xml"/><Relationship Id="rId319" Type="http://schemas.openxmlformats.org/officeDocument/2006/relationships/queryTable" Target="../queryTables/queryTable313.xml"/><Relationship Id="rId470" Type="http://schemas.openxmlformats.org/officeDocument/2006/relationships/queryTable" Target="../queryTables/queryTable464.xml"/><Relationship Id="rId491" Type="http://schemas.openxmlformats.org/officeDocument/2006/relationships/queryTable" Target="../queryTables/queryTable485.xml"/><Relationship Id="rId505" Type="http://schemas.openxmlformats.org/officeDocument/2006/relationships/queryTable" Target="../queryTables/queryTable499.xml"/><Relationship Id="rId37" Type="http://schemas.openxmlformats.org/officeDocument/2006/relationships/queryTable" Target="../queryTables/queryTable31.xml"/><Relationship Id="rId58" Type="http://schemas.openxmlformats.org/officeDocument/2006/relationships/queryTable" Target="../queryTables/queryTable52.xml"/><Relationship Id="rId79" Type="http://schemas.openxmlformats.org/officeDocument/2006/relationships/queryTable" Target="../queryTables/queryTable73.xml"/><Relationship Id="rId102" Type="http://schemas.openxmlformats.org/officeDocument/2006/relationships/queryTable" Target="../queryTables/queryTable96.xml"/><Relationship Id="rId123" Type="http://schemas.openxmlformats.org/officeDocument/2006/relationships/queryTable" Target="../queryTables/queryTable117.xml"/><Relationship Id="rId144" Type="http://schemas.openxmlformats.org/officeDocument/2006/relationships/queryTable" Target="../queryTables/queryTable138.xml"/><Relationship Id="rId330" Type="http://schemas.openxmlformats.org/officeDocument/2006/relationships/queryTable" Target="../queryTables/queryTable324.xml"/><Relationship Id="rId90" Type="http://schemas.openxmlformats.org/officeDocument/2006/relationships/queryTable" Target="../queryTables/queryTable84.xml"/><Relationship Id="rId165" Type="http://schemas.openxmlformats.org/officeDocument/2006/relationships/queryTable" Target="../queryTables/queryTable159.xml"/><Relationship Id="rId186" Type="http://schemas.openxmlformats.org/officeDocument/2006/relationships/queryTable" Target="../queryTables/queryTable180.xml"/><Relationship Id="rId351" Type="http://schemas.openxmlformats.org/officeDocument/2006/relationships/queryTable" Target="../queryTables/queryTable345.xml"/><Relationship Id="rId372" Type="http://schemas.openxmlformats.org/officeDocument/2006/relationships/queryTable" Target="../queryTables/queryTable366.xml"/><Relationship Id="rId393" Type="http://schemas.openxmlformats.org/officeDocument/2006/relationships/queryTable" Target="../queryTables/queryTable387.xml"/><Relationship Id="rId407" Type="http://schemas.openxmlformats.org/officeDocument/2006/relationships/queryTable" Target="../queryTables/queryTable401.xml"/><Relationship Id="rId428" Type="http://schemas.openxmlformats.org/officeDocument/2006/relationships/queryTable" Target="../queryTables/queryTable422.xml"/><Relationship Id="rId449" Type="http://schemas.openxmlformats.org/officeDocument/2006/relationships/queryTable" Target="../queryTables/queryTable443.xml"/><Relationship Id="rId211" Type="http://schemas.openxmlformats.org/officeDocument/2006/relationships/queryTable" Target="../queryTables/queryTable205.xml"/><Relationship Id="rId232" Type="http://schemas.openxmlformats.org/officeDocument/2006/relationships/queryTable" Target="../queryTables/queryTable226.xml"/><Relationship Id="rId253" Type="http://schemas.openxmlformats.org/officeDocument/2006/relationships/queryTable" Target="../queryTables/queryTable247.xml"/><Relationship Id="rId274" Type="http://schemas.openxmlformats.org/officeDocument/2006/relationships/queryTable" Target="../queryTables/queryTable268.xml"/><Relationship Id="rId295" Type="http://schemas.openxmlformats.org/officeDocument/2006/relationships/queryTable" Target="../queryTables/queryTable289.xml"/><Relationship Id="rId309" Type="http://schemas.openxmlformats.org/officeDocument/2006/relationships/queryTable" Target="../queryTables/queryTable303.xml"/><Relationship Id="rId460" Type="http://schemas.openxmlformats.org/officeDocument/2006/relationships/queryTable" Target="../queryTables/queryTable454.xml"/><Relationship Id="rId481" Type="http://schemas.openxmlformats.org/officeDocument/2006/relationships/queryTable" Target="../queryTables/queryTable475.xml"/><Relationship Id="rId27" Type="http://schemas.openxmlformats.org/officeDocument/2006/relationships/queryTable" Target="../queryTables/queryTable21.xml"/><Relationship Id="rId48" Type="http://schemas.openxmlformats.org/officeDocument/2006/relationships/queryTable" Target="../queryTables/queryTable42.xml"/><Relationship Id="rId69" Type="http://schemas.openxmlformats.org/officeDocument/2006/relationships/queryTable" Target="../queryTables/queryTable63.xml"/><Relationship Id="rId113" Type="http://schemas.openxmlformats.org/officeDocument/2006/relationships/queryTable" Target="../queryTables/queryTable107.xml"/><Relationship Id="rId134" Type="http://schemas.openxmlformats.org/officeDocument/2006/relationships/queryTable" Target="../queryTables/queryTable128.xml"/><Relationship Id="rId320" Type="http://schemas.openxmlformats.org/officeDocument/2006/relationships/queryTable" Target="../queryTables/queryTable314.xml"/><Relationship Id="rId80" Type="http://schemas.openxmlformats.org/officeDocument/2006/relationships/queryTable" Target="../queryTables/queryTable74.xml"/><Relationship Id="rId155" Type="http://schemas.openxmlformats.org/officeDocument/2006/relationships/queryTable" Target="../queryTables/queryTable149.xml"/><Relationship Id="rId176" Type="http://schemas.openxmlformats.org/officeDocument/2006/relationships/queryTable" Target="../queryTables/queryTable170.xml"/><Relationship Id="rId197" Type="http://schemas.openxmlformats.org/officeDocument/2006/relationships/queryTable" Target="../queryTables/queryTable191.xml"/><Relationship Id="rId341" Type="http://schemas.openxmlformats.org/officeDocument/2006/relationships/queryTable" Target="../queryTables/queryTable335.xml"/><Relationship Id="rId362" Type="http://schemas.openxmlformats.org/officeDocument/2006/relationships/queryTable" Target="../queryTables/queryTable356.xml"/><Relationship Id="rId383" Type="http://schemas.openxmlformats.org/officeDocument/2006/relationships/queryTable" Target="../queryTables/queryTable377.xml"/><Relationship Id="rId418" Type="http://schemas.openxmlformats.org/officeDocument/2006/relationships/queryTable" Target="../queryTables/queryTable412.xml"/><Relationship Id="rId439" Type="http://schemas.openxmlformats.org/officeDocument/2006/relationships/queryTable" Target="../queryTables/queryTable433.xml"/><Relationship Id="rId201" Type="http://schemas.openxmlformats.org/officeDocument/2006/relationships/queryTable" Target="../queryTables/queryTable195.xml"/><Relationship Id="rId222" Type="http://schemas.openxmlformats.org/officeDocument/2006/relationships/queryTable" Target="../queryTables/queryTable216.xml"/><Relationship Id="rId243" Type="http://schemas.openxmlformats.org/officeDocument/2006/relationships/queryTable" Target="../queryTables/queryTable237.xml"/><Relationship Id="rId264" Type="http://schemas.openxmlformats.org/officeDocument/2006/relationships/queryTable" Target="../queryTables/queryTable258.xml"/><Relationship Id="rId285" Type="http://schemas.openxmlformats.org/officeDocument/2006/relationships/queryTable" Target="../queryTables/queryTable279.xml"/><Relationship Id="rId450" Type="http://schemas.openxmlformats.org/officeDocument/2006/relationships/queryTable" Target="../queryTables/queryTable444.xml"/><Relationship Id="rId471" Type="http://schemas.openxmlformats.org/officeDocument/2006/relationships/queryTable" Target="../queryTables/queryTable465.xml"/><Relationship Id="rId506" Type="http://schemas.openxmlformats.org/officeDocument/2006/relationships/queryTable" Target="../queryTables/queryTable500.xml"/><Relationship Id="rId17" Type="http://schemas.openxmlformats.org/officeDocument/2006/relationships/queryTable" Target="../queryTables/queryTable11.xml"/><Relationship Id="rId38" Type="http://schemas.openxmlformats.org/officeDocument/2006/relationships/queryTable" Target="../queryTables/queryTable32.xml"/><Relationship Id="rId59" Type="http://schemas.openxmlformats.org/officeDocument/2006/relationships/queryTable" Target="../queryTables/queryTable53.xml"/><Relationship Id="rId103" Type="http://schemas.openxmlformats.org/officeDocument/2006/relationships/queryTable" Target="../queryTables/queryTable97.xml"/><Relationship Id="rId124" Type="http://schemas.openxmlformats.org/officeDocument/2006/relationships/queryTable" Target="../queryTables/queryTable118.xml"/><Relationship Id="rId310" Type="http://schemas.openxmlformats.org/officeDocument/2006/relationships/queryTable" Target="../queryTables/queryTable304.xml"/><Relationship Id="rId492" Type="http://schemas.openxmlformats.org/officeDocument/2006/relationships/queryTable" Target="../queryTables/queryTable486.xml"/><Relationship Id="rId70" Type="http://schemas.openxmlformats.org/officeDocument/2006/relationships/queryTable" Target="../queryTables/queryTable64.xml"/><Relationship Id="rId91" Type="http://schemas.openxmlformats.org/officeDocument/2006/relationships/queryTable" Target="../queryTables/queryTable85.xml"/><Relationship Id="rId145" Type="http://schemas.openxmlformats.org/officeDocument/2006/relationships/queryTable" Target="../queryTables/queryTable139.xml"/><Relationship Id="rId166" Type="http://schemas.openxmlformats.org/officeDocument/2006/relationships/queryTable" Target="../queryTables/queryTable160.xml"/><Relationship Id="rId187" Type="http://schemas.openxmlformats.org/officeDocument/2006/relationships/queryTable" Target="../queryTables/queryTable181.xml"/><Relationship Id="rId331" Type="http://schemas.openxmlformats.org/officeDocument/2006/relationships/queryTable" Target="../queryTables/queryTable325.xml"/><Relationship Id="rId352" Type="http://schemas.openxmlformats.org/officeDocument/2006/relationships/queryTable" Target="../queryTables/queryTable346.xml"/><Relationship Id="rId373" Type="http://schemas.openxmlformats.org/officeDocument/2006/relationships/queryTable" Target="../queryTables/queryTable367.xml"/><Relationship Id="rId394" Type="http://schemas.openxmlformats.org/officeDocument/2006/relationships/queryTable" Target="../queryTables/queryTable388.xml"/><Relationship Id="rId408" Type="http://schemas.openxmlformats.org/officeDocument/2006/relationships/queryTable" Target="../queryTables/queryTable402.xml"/><Relationship Id="rId429" Type="http://schemas.openxmlformats.org/officeDocument/2006/relationships/queryTable" Target="../queryTables/queryTable423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206.xml"/><Relationship Id="rId233" Type="http://schemas.openxmlformats.org/officeDocument/2006/relationships/queryTable" Target="../queryTables/queryTable227.xml"/><Relationship Id="rId254" Type="http://schemas.openxmlformats.org/officeDocument/2006/relationships/queryTable" Target="../queryTables/queryTable248.xml"/><Relationship Id="rId440" Type="http://schemas.openxmlformats.org/officeDocument/2006/relationships/queryTable" Target="../queryTables/queryTable434.xml"/><Relationship Id="rId28" Type="http://schemas.openxmlformats.org/officeDocument/2006/relationships/queryTable" Target="../queryTables/queryTable22.xml"/><Relationship Id="rId49" Type="http://schemas.openxmlformats.org/officeDocument/2006/relationships/queryTable" Target="../queryTables/queryTable43.xml"/><Relationship Id="rId114" Type="http://schemas.openxmlformats.org/officeDocument/2006/relationships/queryTable" Target="../queryTables/queryTable108.xml"/><Relationship Id="rId275" Type="http://schemas.openxmlformats.org/officeDocument/2006/relationships/queryTable" Target="../queryTables/queryTable269.xml"/><Relationship Id="rId296" Type="http://schemas.openxmlformats.org/officeDocument/2006/relationships/queryTable" Target="../queryTables/queryTable290.xml"/><Relationship Id="rId300" Type="http://schemas.openxmlformats.org/officeDocument/2006/relationships/queryTable" Target="../queryTables/queryTable294.xml"/><Relationship Id="rId461" Type="http://schemas.openxmlformats.org/officeDocument/2006/relationships/queryTable" Target="../queryTables/queryTable455.xml"/><Relationship Id="rId482" Type="http://schemas.openxmlformats.org/officeDocument/2006/relationships/queryTable" Target="../queryTables/queryTable476.xml"/><Relationship Id="rId60" Type="http://schemas.openxmlformats.org/officeDocument/2006/relationships/queryTable" Target="../queryTables/queryTable54.xml"/><Relationship Id="rId81" Type="http://schemas.openxmlformats.org/officeDocument/2006/relationships/queryTable" Target="../queryTables/queryTable75.xml"/><Relationship Id="rId135" Type="http://schemas.openxmlformats.org/officeDocument/2006/relationships/queryTable" Target="../queryTables/queryTable129.xml"/><Relationship Id="rId156" Type="http://schemas.openxmlformats.org/officeDocument/2006/relationships/queryTable" Target="../queryTables/queryTable150.xml"/><Relationship Id="rId177" Type="http://schemas.openxmlformats.org/officeDocument/2006/relationships/queryTable" Target="../queryTables/queryTable171.xml"/><Relationship Id="rId198" Type="http://schemas.openxmlformats.org/officeDocument/2006/relationships/queryTable" Target="../queryTables/queryTable192.xml"/><Relationship Id="rId321" Type="http://schemas.openxmlformats.org/officeDocument/2006/relationships/queryTable" Target="../queryTables/queryTable315.xml"/><Relationship Id="rId342" Type="http://schemas.openxmlformats.org/officeDocument/2006/relationships/queryTable" Target="../queryTables/queryTable336.xml"/><Relationship Id="rId363" Type="http://schemas.openxmlformats.org/officeDocument/2006/relationships/queryTable" Target="../queryTables/queryTable357.xml"/><Relationship Id="rId384" Type="http://schemas.openxmlformats.org/officeDocument/2006/relationships/queryTable" Target="../queryTables/queryTable378.xml"/><Relationship Id="rId419" Type="http://schemas.openxmlformats.org/officeDocument/2006/relationships/queryTable" Target="../queryTables/queryTable413.xml"/><Relationship Id="rId202" Type="http://schemas.openxmlformats.org/officeDocument/2006/relationships/queryTable" Target="../queryTables/queryTable196.xml"/><Relationship Id="rId223" Type="http://schemas.openxmlformats.org/officeDocument/2006/relationships/queryTable" Target="../queryTables/queryTable217.xml"/><Relationship Id="rId244" Type="http://schemas.openxmlformats.org/officeDocument/2006/relationships/queryTable" Target="../queryTables/queryTable238.xml"/><Relationship Id="rId430" Type="http://schemas.openxmlformats.org/officeDocument/2006/relationships/queryTable" Target="../queryTables/queryTable424.xml"/><Relationship Id="rId18" Type="http://schemas.openxmlformats.org/officeDocument/2006/relationships/queryTable" Target="../queryTables/queryTable12.xml"/><Relationship Id="rId39" Type="http://schemas.openxmlformats.org/officeDocument/2006/relationships/queryTable" Target="../queryTables/queryTable33.xml"/><Relationship Id="rId265" Type="http://schemas.openxmlformats.org/officeDocument/2006/relationships/queryTable" Target="../queryTables/queryTable259.xml"/><Relationship Id="rId286" Type="http://schemas.openxmlformats.org/officeDocument/2006/relationships/queryTable" Target="../queryTables/queryTable280.xml"/><Relationship Id="rId451" Type="http://schemas.openxmlformats.org/officeDocument/2006/relationships/queryTable" Target="../queryTables/queryTable445.xml"/><Relationship Id="rId472" Type="http://schemas.openxmlformats.org/officeDocument/2006/relationships/queryTable" Target="../queryTables/queryTable466.xml"/><Relationship Id="rId493" Type="http://schemas.openxmlformats.org/officeDocument/2006/relationships/queryTable" Target="../queryTables/queryTable487.xml"/><Relationship Id="rId507" Type="http://schemas.openxmlformats.org/officeDocument/2006/relationships/queryTable" Target="../queryTables/queryTable501.xml"/><Relationship Id="rId50" Type="http://schemas.openxmlformats.org/officeDocument/2006/relationships/queryTable" Target="../queryTables/queryTable44.xml"/><Relationship Id="rId104" Type="http://schemas.openxmlformats.org/officeDocument/2006/relationships/queryTable" Target="../queryTables/queryTable98.xml"/><Relationship Id="rId125" Type="http://schemas.openxmlformats.org/officeDocument/2006/relationships/queryTable" Target="../queryTables/queryTable119.xml"/><Relationship Id="rId146" Type="http://schemas.openxmlformats.org/officeDocument/2006/relationships/queryTable" Target="../queryTables/queryTable140.xml"/><Relationship Id="rId167" Type="http://schemas.openxmlformats.org/officeDocument/2006/relationships/queryTable" Target="../queryTables/queryTable161.xml"/><Relationship Id="rId188" Type="http://schemas.openxmlformats.org/officeDocument/2006/relationships/queryTable" Target="../queryTables/queryTable182.xml"/><Relationship Id="rId311" Type="http://schemas.openxmlformats.org/officeDocument/2006/relationships/queryTable" Target="../queryTables/queryTable305.xml"/><Relationship Id="rId332" Type="http://schemas.openxmlformats.org/officeDocument/2006/relationships/queryTable" Target="../queryTables/queryTable326.xml"/><Relationship Id="rId353" Type="http://schemas.openxmlformats.org/officeDocument/2006/relationships/queryTable" Target="../queryTables/queryTable347.xml"/><Relationship Id="rId374" Type="http://schemas.openxmlformats.org/officeDocument/2006/relationships/queryTable" Target="../queryTables/queryTable368.xml"/><Relationship Id="rId395" Type="http://schemas.openxmlformats.org/officeDocument/2006/relationships/queryTable" Target="../queryTables/queryTable389.xml"/><Relationship Id="rId409" Type="http://schemas.openxmlformats.org/officeDocument/2006/relationships/queryTable" Target="../queryTables/queryTable403.xml"/><Relationship Id="rId71" Type="http://schemas.openxmlformats.org/officeDocument/2006/relationships/queryTable" Target="../queryTables/queryTable65.xml"/><Relationship Id="rId92" Type="http://schemas.openxmlformats.org/officeDocument/2006/relationships/queryTable" Target="../queryTables/queryTable86.xml"/><Relationship Id="rId213" Type="http://schemas.openxmlformats.org/officeDocument/2006/relationships/queryTable" Target="../queryTables/queryTable207.xml"/><Relationship Id="rId234" Type="http://schemas.openxmlformats.org/officeDocument/2006/relationships/queryTable" Target="../queryTables/queryTable228.xml"/><Relationship Id="rId420" Type="http://schemas.openxmlformats.org/officeDocument/2006/relationships/queryTable" Target="../queryTables/queryTable41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3.xml"/><Relationship Id="rId255" Type="http://schemas.openxmlformats.org/officeDocument/2006/relationships/queryTable" Target="../queryTables/queryTable249.xml"/><Relationship Id="rId276" Type="http://schemas.openxmlformats.org/officeDocument/2006/relationships/queryTable" Target="../queryTables/queryTable270.xml"/><Relationship Id="rId297" Type="http://schemas.openxmlformats.org/officeDocument/2006/relationships/queryTable" Target="../queryTables/queryTable291.xml"/><Relationship Id="rId441" Type="http://schemas.openxmlformats.org/officeDocument/2006/relationships/queryTable" Target="../queryTables/queryTable435.xml"/><Relationship Id="rId462" Type="http://schemas.openxmlformats.org/officeDocument/2006/relationships/queryTable" Target="../queryTables/queryTable456.xml"/><Relationship Id="rId483" Type="http://schemas.openxmlformats.org/officeDocument/2006/relationships/queryTable" Target="../queryTables/queryTable477.xml"/><Relationship Id="rId40" Type="http://schemas.openxmlformats.org/officeDocument/2006/relationships/queryTable" Target="../queryTables/queryTable34.xml"/><Relationship Id="rId115" Type="http://schemas.openxmlformats.org/officeDocument/2006/relationships/queryTable" Target="../queryTables/queryTable109.xml"/><Relationship Id="rId136" Type="http://schemas.openxmlformats.org/officeDocument/2006/relationships/queryTable" Target="../queryTables/queryTable130.xml"/><Relationship Id="rId157" Type="http://schemas.openxmlformats.org/officeDocument/2006/relationships/queryTable" Target="../queryTables/queryTable151.xml"/><Relationship Id="rId178" Type="http://schemas.openxmlformats.org/officeDocument/2006/relationships/queryTable" Target="../queryTables/queryTable172.xml"/><Relationship Id="rId301" Type="http://schemas.openxmlformats.org/officeDocument/2006/relationships/queryTable" Target="../queryTables/queryTable295.xml"/><Relationship Id="rId322" Type="http://schemas.openxmlformats.org/officeDocument/2006/relationships/queryTable" Target="../queryTables/queryTable316.xml"/><Relationship Id="rId343" Type="http://schemas.openxmlformats.org/officeDocument/2006/relationships/queryTable" Target="../queryTables/queryTable337.xml"/><Relationship Id="rId364" Type="http://schemas.openxmlformats.org/officeDocument/2006/relationships/queryTable" Target="../queryTables/queryTable358.xml"/><Relationship Id="rId61" Type="http://schemas.openxmlformats.org/officeDocument/2006/relationships/queryTable" Target="../queryTables/queryTable55.xml"/><Relationship Id="rId82" Type="http://schemas.openxmlformats.org/officeDocument/2006/relationships/queryTable" Target="../queryTables/queryTable76.xml"/><Relationship Id="rId199" Type="http://schemas.openxmlformats.org/officeDocument/2006/relationships/queryTable" Target="../queryTables/queryTable193.xml"/><Relationship Id="rId203" Type="http://schemas.openxmlformats.org/officeDocument/2006/relationships/queryTable" Target="../queryTables/queryTable197.xml"/><Relationship Id="rId385" Type="http://schemas.openxmlformats.org/officeDocument/2006/relationships/queryTable" Target="../queryTables/queryTable379.xml"/><Relationship Id="rId19" Type="http://schemas.openxmlformats.org/officeDocument/2006/relationships/queryTable" Target="../queryTables/queryTable13.xml"/><Relationship Id="rId224" Type="http://schemas.openxmlformats.org/officeDocument/2006/relationships/queryTable" Target="../queryTables/queryTable218.xml"/><Relationship Id="rId245" Type="http://schemas.openxmlformats.org/officeDocument/2006/relationships/queryTable" Target="../queryTables/queryTable239.xml"/><Relationship Id="rId266" Type="http://schemas.openxmlformats.org/officeDocument/2006/relationships/queryTable" Target="../queryTables/queryTable260.xml"/><Relationship Id="rId287" Type="http://schemas.openxmlformats.org/officeDocument/2006/relationships/queryTable" Target="../queryTables/queryTable281.xml"/><Relationship Id="rId410" Type="http://schemas.openxmlformats.org/officeDocument/2006/relationships/queryTable" Target="../queryTables/queryTable404.xml"/><Relationship Id="rId431" Type="http://schemas.openxmlformats.org/officeDocument/2006/relationships/queryTable" Target="../queryTables/queryTable425.xml"/><Relationship Id="rId452" Type="http://schemas.openxmlformats.org/officeDocument/2006/relationships/queryTable" Target="../queryTables/queryTable446.xml"/><Relationship Id="rId473" Type="http://schemas.openxmlformats.org/officeDocument/2006/relationships/queryTable" Target="../queryTables/queryTable467.xml"/><Relationship Id="rId494" Type="http://schemas.openxmlformats.org/officeDocument/2006/relationships/queryTable" Target="../queryTables/queryTable488.xml"/><Relationship Id="rId508" Type="http://schemas.openxmlformats.org/officeDocument/2006/relationships/queryTable" Target="../queryTables/queryTable502.xml"/><Relationship Id="rId30" Type="http://schemas.openxmlformats.org/officeDocument/2006/relationships/queryTable" Target="../queryTables/queryTable24.xml"/><Relationship Id="rId105" Type="http://schemas.openxmlformats.org/officeDocument/2006/relationships/queryTable" Target="../queryTables/queryTable99.xml"/><Relationship Id="rId126" Type="http://schemas.openxmlformats.org/officeDocument/2006/relationships/queryTable" Target="../queryTables/queryTable120.xml"/><Relationship Id="rId147" Type="http://schemas.openxmlformats.org/officeDocument/2006/relationships/queryTable" Target="../queryTables/queryTable141.xml"/><Relationship Id="rId168" Type="http://schemas.openxmlformats.org/officeDocument/2006/relationships/queryTable" Target="../queryTables/queryTable162.xml"/><Relationship Id="rId312" Type="http://schemas.openxmlformats.org/officeDocument/2006/relationships/queryTable" Target="../queryTables/queryTable306.xml"/><Relationship Id="rId333" Type="http://schemas.openxmlformats.org/officeDocument/2006/relationships/queryTable" Target="../queryTables/queryTable327.xml"/><Relationship Id="rId354" Type="http://schemas.openxmlformats.org/officeDocument/2006/relationships/queryTable" Target="../queryTables/queryTable348.xml"/><Relationship Id="rId51" Type="http://schemas.openxmlformats.org/officeDocument/2006/relationships/queryTable" Target="../queryTables/queryTable45.xml"/><Relationship Id="rId72" Type="http://schemas.openxmlformats.org/officeDocument/2006/relationships/queryTable" Target="../queryTables/queryTable66.xml"/><Relationship Id="rId93" Type="http://schemas.openxmlformats.org/officeDocument/2006/relationships/queryTable" Target="../queryTables/queryTable87.xml"/><Relationship Id="rId189" Type="http://schemas.openxmlformats.org/officeDocument/2006/relationships/queryTable" Target="../queryTables/queryTable183.xml"/><Relationship Id="rId375" Type="http://schemas.openxmlformats.org/officeDocument/2006/relationships/queryTable" Target="../queryTables/queryTable369.xml"/><Relationship Id="rId396" Type="http://schemas.openxmlformats.org/officeDocument/2006/relationships/queryTable" Target="../queryTables/queryTable390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208.xml"/><Relationship Id="rId235" Type="http://schemas.openxmlformats.org/officeDocument/2006/relationships/queryTable" Target="../queryTables/queryTable229.xml"/><Relationship Id="rId256" Type="http://schemas.openxmlformats.org/officeDocument/2006/relationships/queryTable" Target="../queryTables/queryTable250.xml"/><Relationship Id="rId277" Type="http://schemas.openxmlformats.org/officeDocument/2006/relationships/queryTable" Target="../queryTables/queryTable271.xml"/><Relationship Id="rId298" Type="http://schemas.openxmlformats.org/officeDocument/2006/relationships/queryTable" Target="../queryTables/queryTable292.xml"/><Relationship Id="rId400" Type="http://schemas.openxmlformats.org/officeDocument/2006/relationships/queryTable" Target="../queryTables/queryTable394.xml"/><Relationship Id="rId421" Type="http://schemas.openxmlformats.org/officeDocument/2006/relationships/queryTable" Target="../queryTables/queryTable415.xml"/><Relationship Id="rId442" Type="http://schemas.openxmlformats.org/officeDocument/2006/relationships/queryTable" Target="../queryTables/queryTable436.xml"/><Relationship Id="rId463" Type="http://schemas.openxmlformats.org/officeDocument/2006/relationships/queryTable" Target="../queryTables/queryTable457.xml"/><Relationship Id="rId484" Type="http://schemas.openxmlformats.org/officeDocument/2006/relationships/queryTable" Target="../queryTables/queryTable478.xml"/><Relationship Id="rId116" Type="http://schemas.openxmlformats.org/officeDocument/2006/relationships/queryTable" Target="../queryTables/queryTable110.xml"/><Relationship Id="rId137" Type="http://schemas.openxmlformats.org/officeDocument/2006/relationships/queryTable" Target="../queryTables/queryTable131.xml"/><Relationship Id="rId158" Type="http://schemas.openxmlformats.org/officeDocument/2006/relationships/queryTable" Target="../queryTables/queryTable152.xml"/><Relationship Id="rId302" Type="http://schemas.openxmlformats.org/officeDocument/2006/relationships/queryTable" Target="../queryTables/queryTable296.xml"/><Relationship Id="rId323" Type="http://schemas.openxmlformats.org/officeDocument/2006/relationships/queryTable" Target="../queryTables/queryTable317.xml"/><Relationship Id="rId344" Type="http://schemas.openxmlformats.org/officeDocument/2006/relationships/queryTable" Target="../queryTables/queryTable338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62" Type="http://schemas.openxmlformats.org/officeDocument/2006/relationships/queryTable" Target="../queryTables/queryTable56.xml"/><Relationship Id="rId83" Type="http://schemas.openxmlformats.org/officeDocument/2006/relationships/queryTable" Target="../queryTables/queryTable77.xml"/><Relationship Id="rId179" Type="http://schemas.openxmlformats.org/officeDocument/2006/relationships/queryTable" Target="../queryTables/queryTable173.xml"/><Relationship Id="rId365" Type="http://schemas.openxmlformats.org/officeDocument/2006/relationships/queryTable" Target="../queryTables/queryTable359.xml"/><Relationship Id="rId386" Type="http://schemas.openxmlformats.org/officeDocument/2006/relationships/queryTable" Target="../queryTables/queryTable380.xml"/><Relationship Id="rId190" Type="http://schemas.openxmlformats.org/officeDocument/2006/relationships/queryTable" Target="../queryTables/queryTable184.xml"/><Relationship Id="rId204" Type="http://schemas.openxmlformats.org/officeDocument/2006/relationships/queryTable" Target="../queryTables/queryTable198.xml"/><Relationship Id="rId225" Type="http://schemas.openxmlformats.org/officeDocument/2006/relationships/queryTable" Target="../queryTables/queryTable219.xml"/><Relationship Id="rId246" Type="http://schemas.openxmlformats.org/officeDocument/2006/relationships/queryTable" Target="../queryTables/queryTable240.xml"/><Relationship Id="rId267" Type="http://schemas.openxmlformats.org/officeDocument/2006/relationships/queryTable" Target="../queryTables/queryTable261.xml"/><Relationship Id="rId288" Type="http://schemas.openxmlformats.org/officeDocument/2006/relationships/queryTable" Target="../queryTables/queryTable282.xml"/><Relationship Id="rId411" Type="http://schemas.openxmlformats.org/officeDocument/2006/relationships/queryTable" Target="../queryTables/queryTable405.xml"/><Relationship Id="rId432" Type="http://schemas.openxmlformats.org/officeDocument/2006/relationships/queryTable" Target="../queryTables/queryTable426.xml"/><Relationship Id="rId453" Type="http://schemas.openxmlformats.org/officeDocument/2006/relationships/queryTable" Target="../queryTables/queryTable447.xml"/><Relationship Id="rId474" Type="http://schemas.openxmlformats.org/officeDocument/2006/relationships/queryTable" Target="../queryTables/queryTable468.xml"/><Relationship Id="rId509" Type="http://schemas.openxmlformats.org/officeDocument/2006/relationships/queryTable" Target="../queryTables/queryTable503.xml"/><Relationship Id="rId106" Type="http://schemas.openxmlformats.org/officeDocument/2006/relationships/queryTable" Target="../queryTables/queryTable100.xml"/><Relationship Id="rId127" Type="http://schemas.openxmlformats.org/officeDocument/2006/relationships/queryTable" Target="../queryTables/queryTable121.xml"/><Relationship Id="rId313" Type="http://schemas.openxmlformats.org/officeDocument/2006/relationships/queryTable" Target="../queryTables/queryTable307.xml"/><Relationship Id="rId495" Type="http://schemas.openxmlformats.org/officeDocument/2006/relationships/queryTable" Target="../queryTables/queryTable489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52" Type="http://schemas.openxmlformats.org/officeDocument/2006/relationships/queryTable" Target="../queryTables/queryTable46.xml"/><Relationship Id="rId73" Type="http://schemas.openxmlformats.org/officeDocument/2006/relationships/queryTable" Target="../queryTables/queryTable67.xml"/><Relationship Id="rId94" Type="http://schemas.openxmlformats.org/officeDocument/2006/relationships/queryTable" Target="../queryTables/queryTable88.xml"/><Relationship Id="rId148" Type="http://schemas.openxmlformats.org/officeDocument/2006/relationships/queryTable" Target="../queryTables/queryTable142.xml"/><Relationship Id="rId169" Type="http://schemas.openxmlformats.org/officeDocument/2006/relationships/queryTable" Target="../queryTables/queryTable163.xml"/><Relationship Id="rId334" Type="http://schemas.openxmlformats.org/officeDocument/2006/relationships/queryTable" Target="../queryTables/queryTable328.xml"/><Relationship Id="rId355" Type="http://schemas.openxmlformats.org/officeDocument/2006/relationships/queryTable" Target="../queryTables/queryTable349.xml"/><Relationship Id="rId376" Type="http://schemas.openxmlformats.org/officeDocument/2006/relationships/queryTable" Target="../queryTables/queryTable370.xml"/><Relationship Id="rId397" Type="http://schemas.openxmlformats.org/officeDocument/2006/relationships/queryTable" Target="../queryTables/queryTable391.xml"/><Relationship Id="rId4" Type="http://schemas.openxmlformats.org/officeDocument/2006/relationships/ctrlProp" Target="../ctrlProps/ctrlProp1.xml"/><Relationship Id="rId180" Type="http://schemas.openxmlformats.org/officeDocument/2006/relationships/queryTable" Target="../queryTables/queryTable174.xml"/><Relationship Id="rId215" Type="http://schemas.openxmlformats.org/officeDocument/2006/relationships/queryTable" Target="../queryTables/queryTable209.xml"/><Relationship Id="rId236" Type="http://schemas.openxmlformats.org/officeDocument/2006/relationships/queryTable" Target="../queryTables/queryTable230.xml"/><Relationship Id="rId257" Type="http://schemas.openxmlformats.org/officeDocument/2006/relationships/queryTable" Target="../queryTables/queryTable251.xml"/><Relationship Id="rId278" Type="http://schemas.openxmlformats.org/officeDocument/2006/relationships/queryTable" Target="../queryTables/queryTable272.xml"/><Relationship Id="rId401" Type="http://schemas.openxmlformats.org/officeDocument/2006/relationships/queryTable" Target="../queryTables/queryTable395.xml"/><Relationship Id="rId422" Type="http://schemas.openxmlformats.org/officeDocument/2006/relationships/queryTable" Target="../queryTables/queryTable416.xml"/><Relationship Id="rId443" Type="http://schemas.openxmlformats.org/officeDocument/2006/relationships/queryTable" Target="../queryTables/queryTable437.xml"/><Relationship Id="rId464" Type="http://schemas.openxmlformats.org/officeDocument/2006/relationships/queryTable" Target="../queryTables/queryTable458.xml"/><Relationship Id="rId303" Type="http://schemas.openxmlformats.org/officeDocument/2006/relationships/queryTable" Target="../queryTables/queryTable297.xml"/><Relationship Id="rId485" Type="http://schemas.openxmlformats.org/officeDocument/2006/relationships/queryTable" Target="../queryTables/queryTable479.xml"/><Relationship Id="rId42" Type="http://schemas.openxmlformats.org/officeDocument/2006/relationships/queryTable" Target="../queryTables/queryTable36.xml"/><Relationship Id="rId84" Type="http://schemas.openxmlformats.org/officeDocument/2006/relationships/queryTable" Target="../queryTables/queryTable78.xml"/><Relationship Id="rId138" Type="http://schemas.openxmlformats.org/officeDocument/2006/relationships/queryTable" Target="../queryTables/queryTable132.xml"/><Relationship Id="rId345" Type="http://schemas.openxmlformats.org/officeDocument/2006/relationships/queryTable" Target="../queryTables/queryTable339.xml"/><Relationship Id="rId387" Type="http://schemas.openxmlformats.org/officeDocument/2006/relationships/queryTable" Target="../queryTables/queryTable381.xml"/><Relationship Id="rId510" Type="http://schemas.openxmlformats.org/officeDocument/2006/relationships/queryTable" Target="../queryTables/queryTable504.xml"/><Relationship Id="rId191" Type="http://schemas.openxmlformats.org/officeDocument/2006/relationships/queryTable" Target="../queryTables/queryTable185.xml"/><Relationship Id="rId205" Type="http://schemas.openxmlformats.org/officeDocument/2006/relationships/queryTable" Target="../queryTables/queryTable199.xml"/><Relationship Id="rId247" Type="http://schemas.openxmlformats.org/officeDocument/2006/relationships/queryTable" Target="../queryTables/queryTable241.xml"/><Relationship Id="rId412" Type="http://schemas.openxmlformats.org/officeDocument/2006/relationships/queryTable" Target="../queryTables/queryTable406.xml"/><Relationship Id="rId107" Type="http://schemas.openxmlformats.org/officeDocument/2006/relationships/queryTable" Target="../queryTables/queryTable101.xml"/><Relationship Id="rId289" Type="http://schemas.openxmlformats.org/officeDocument/2006/relationships/queryTable" Target="../queryTables/queryTable283.xml"/><Relationship Id="rId454" Type="http://schemas.openxmlformats.org/officeDocument/2006/relationships/queryTable" Target="../queryTables/queryTable448.xml"/><Relationship Id="rId496" Type="http://schemas.openxmlformats.org/officeDocument/2006/relationships/queryTable" Target="../queryTables/queryTable490.xml"/><Relationship Id="rId11" Type="http://schemas.openxmlformats.org/officeDocument/2006/relationships/queryTable" Target="../queryTables/queryTable5.xml"/><Relationship Id="rId53" Type="http://schemas.openxmlformats.org/officeDocument/2006/relationships/queryTable" Target="../queryTables/queryTable47.xml"/><Relationship Id="rId149" Type="http://schemas.openxmlformats.org/officeDocument/2006/relationships/queryTable" Target="../queryTables/queryTable143.xml"/><Relationship Id="rId314" Type="http://schemas.openxmlformats.org/officeDocument/2006/relationships/queryTable" Target="../queryTables/queryTable308.xml"/><Relationship Id="rId356" Type="http://schemas.openxmlformats.org/officeDocument/2006/relationships/queryTable" Target="../queryTables/queryTable350.xml"/><Relationship Id="rId398" Type="http://schemas.openxmlformats.org/officeDocument/2006/relationships/queryTable" Target="../queryTables/queryTable392.xml"/><Relationship Id="rId95" Type="http://schemas.openxmlformats.org/officeDocument/2006/relationships/queryTable" Target="../queryTables/queryTable89.xml"/><Relationship Id="rId160" Type="http://schemas.openxmlformats.org/officeDocument/2006/relationships/queryTable" Target="../queryTables/queryTable154.xml"/><Relationship Id="rId216" Type="http://schemas.openxmlformats.org/officeDocument/2006/relationships/queryTable" Target="../queryTables/queryTable210.xml"/><Relationship Id="rId423" Type="http://schemas.openxmlformats.org/officeDocument/2006/relationships/queryTable" Target="../queryTables/queryTable417.xml"/><Relationship Id="rId258" Type="http://schemas.openxmlformats.org/officeDocument/2006/relationships/queryTable" Target="../queryTables/queryTable252.xml"/><Relationship Id="rId465" Type="http://schemas.openxmlformats.org/officeDocument/2006/relationships/queryTable" Target="../queryTables/queryTable459.xml"/><Relationship Id="rId22" Type="http://schemas.openxmlformats.org/officeDocument/2006/relationships/queryTable" Target="../queryTables/queryTable16.xml"/><Relationship Id="rId64" Type="http://schemas.openxmlformats.org/officeDocument/2006/relationships/queryTable" Target="../queryTables/queryTable58.xml"/><Relationship Id="rId118" Type="http://schemas.openxmlformats.org/officeDocument/2006/relationships/queryTable" Target="../queryTables/queryTable112.xml"/><Relationship Id="rId325" Type="http://schemas.openxmlformats.org/officeDocument/2006/relationships/queryTable" Target="../queryTables/queryTable319.xml"/><Relationship Id="rId367" Type="http://schemas.openxmlformats.org/officeDocument/2006/relationships/queryTable" Target="../queryTables/queryTable361.xml"/><Relationship Id="rId171" Type="http://schemas.openxmlformats.org/officeDocument/2006/relationships/queryTable" Target="../queryTables/queryTable165.xml"/><Relationship Id="rId227" Type="http://schemas.openxmlformats.org/officeDocument/2006/relationships/queryTable" Target="../queryTables/queryTable221.xml"/><Relationship Id="rId269" Type="http://schemas.openxmlformats.org/officeDocument/2006/relationships/queryTable" Target="../queryTables/queryTable263.xml"/><Relationship Id="rId434" Type="http://schemas.openxmlformats.org/officeDocument/2006/relationships/queryTable" Target="../queryTables/queryTable428.xml"/><Relationship Id="rId476" Type="http://schemas.openxmlformats.org/officeDocument/2006/relationships/queryTable" Target="../queryTables/queryTable470.xml"/><Relationship Id="rId33" Type="http://schemas.openxmlformats.org/officeDocument/2006/relationships/queryTable" Target="../queryTables/queryTable27.xml"/><Relationship Id="rId129" Type="http://schemas.openxmlformats.org/officeDocument/2006/relationships/queryTable" Target="../queryTables/queryTable123.xml"/><Relationship Id="rId280" Type="http://schemas.openxmlformats.org/officeDocument/2006/relationships/queryTable" Target="../queryTables/queryTable274.xml"/><Relationship Id="rId336" Type="http://schemas.openxmlformats.org/officeDocument/2006/relationships/queryTable" Target="../queryTables/queryTable330.xml"/><Relationship Id="rId501" Type="http://schemas.openxmlformats.org/officeDocument/2006/relationships/queryTable" Target="../queryTables/queryTable495.xml"/><Relationship Id="rId75" Type="http://schemas.openxmlformats.org/officeDocument/2006/relationships/queryTable" Target="../queryTables/queryTable69.xml"/><Relationship Id="rId140" Type="http://schemas.openxmlformats.org/officeDocument/2006/relationships/queryTable" Target="../queryTables/queryTable134.xml"/><Relationship Id="rId182" Type="http://schemas.openxmlformats.org/officeDocument/2006/relationships/queryTable" Target="../queryTables/queryTable176.xml"/><Relationship Id="rId378" Type="http://schemas.openxmlformats.org/officeDocument/2006/relationships/queryTable" Target="../queryTables/queryTable372.xml"/><Relationship Id="rId403" Type="http://schemas.openxmlformats.org/officeDocument/2006/relationships/queryTable" Target="../queryTables/queryTable397.xml"/><Relationship Id="rId6" Type="http://schemas.openxmlformats.org/officeDocument/2006/relationships/ctrlProp" Target="../ctrlProps/ctrlProp3.xml"/><Relationship Id="rId238" Type="http://schemas.openxmlformats.org/officeDocument/2006/relationships/queryTable" Target="../queryTables/queryTable232.xml"/><Relationship Id="rId445" Type="http://schemas.openxmlformats.org/officeDocument/2006/relationships/queryTable" Target="../queryTables/queryTable439.xml"/><Relationship Id="rId487" Type="http://schemas.openxmlformats.org/officeDocument/2006/relationships/queryTable" Target="../queryTables/queryTable481.xml"/><Relationship Id="rId291" Type="http://schemas.openxmlformats.org/officeDocument/2006/relationships/queryTable" Target="../queryTables/queryTable285.xml"/><Relationship Id="rId305" Type="http://schemas.openxmlformats.org/officeDocument/2006/relationships/queryTable" Target="../queryTables/queryTable299.xml"/><Relationship Id="rId347" Type="http://schemas.openxmlformats.org/officeDocument/2006/relationships/queryTable" Target="../queryTables/queryTable341.xml"/><Relationship Id="rId512" Type="http://schemas.openxmlformats.org/officeDocument/2006/relationships/queryTable" Target="../queryTables/queryTable506.xml"/><Relationship Id="rId44" Type="http://schemas.openxmlformats.org/officeDocument/2006/relationships/queryTable" Target="../queryTables/queryTable38.xml"/><Relationship Id="rId86" Type="http://schemas.openxmlformats.org/officeDocument/2006/relationships/queryTable" Target="../queryTables/queryTable80.xml"/><Relationship Id="rId151" Type="http://schemas.openxmlformats.org/officeDocument/2006/relationships/queryTable" Target="../queryTables/queryTable145.xml"/><Relationship Id="rId389" Type="http://schemas.openxmlformats.org/officeDocument/2006/relationships/queryTable" Target="../queryTables/queryTable383.xml"/><Relationship Id="rId193" Type="http://schemas.openxmlformats.org/officeDocument/2006/relationships/queryTable" Target="../queryTables/queryTable187.xml"/><Relationship Id="rId207" Type="http://schemas.openxmlformats.org/officeDocument/2006/relationships/queryTable" Target="../queryTables/queryTable201.xml"/><Relationship Id="rId249" Type="http://schemas.openxmlformats.org/officeDocument/2006/relationships/queryTable" Target="../queryTables/queryTable243.xml"/><Relationship Id="rId414" Type="http://schemas.openxmlformats.org/officeDocument/2006/relationships/queryTable" Target="../queryTables/queryTable408.xml"/><Relationship Id="rId456" Type="http://schemas.openxmlformats.org/officeDocument/2006/relationships/queryTable" Target="../queryTables/queryTable450.xml"/><Relationship Id="rId498" Type="http://schemas.openxmlformats.org/officeDocument/2006/relationships/queryTable" Target="../queryTables/queryTable492.xml"/><Relationship Id="rId13" Type="http://schemas.openxmlformats.org/officeDocument/2006/relationships/queryTable" Target="../queryTables/queryTable7.xml"/><Relationship Id="rId109" Type="http://schemas.openxmlformats.org/officeDocument/2006/relationships/queryTable" Target="../queryTables/queryTable103.xml"/><Relationship Id="rId260" Type="http://schemas.openxmlformats.org/officeDocument/2006/relationships/queryTable" Target="../queryTables/queryTable254.xml"/><Relationship Id="rId316" Type="http://schemas.openxmlformats.org/officeDocument/2006/relationships/queryTable" Target="../queryTables/queryTable310.xml"/><Relationship Id="rId55" Type="http://schemas.openxmlformats.org/officeDocument/2006/relationships/queryTable" Target="../queryTables/queryTable49.xml"/><Relationship Id="rId97" Type="http://schemas.openxmlformats.org/officeDocument/2006/relationships/queryTable" Target="../queryTables/queryTable91.xml"/><Relationship Id="rId120" Type="http://schemas.openxmlformats.org/officeDocument/2006/relationships/queryTable" Target="../queryTables/queryTable114.xml"/><Relationship Id="rId358" Type="http://schemas.openxmlformats.org/officeDocument/2006/relationships/queryTable" Target="../queryTables/queryTable352.xml"/><Relationship Id="rId162" Type="http://schemas.openxmlformats.org/officeDocument/2006/relationships/queryTable" Target="../queryTables/queryTable156.xml"/><Relationship Id="rId218" Type="http://schemas.openxmlformats.org/officeDocument/2006/relationships/queryTable" Target="../queryTables/queryTable212.xml"/><Relationship Id="rId425" Type="http://schemas.openxmlformats.org/officeDocument/2006/relationships/queryTable" Target="../queryTables/queryTable419.xml"/><Relationship Id="rId467" Type="http://schemas.openxmlformats.org/officeDocument/2006/relationships/queryTable" Target="../queryTables/queryTable461.xml"/><Relationship Id="rId271" Type="http://schemas.openxmlformats.org/officeDocument/2006/relationships/queryTable" Target="../queryTables/queryTable265.xml"/><Relationship Id="rId24" Type="http://schemas.openxmlformats.org/officeDocument/2006/relationships/queryTable" Target="../queryTables/queryTable18.xml"/><Relationship Id="rId66" Type="http://schemas.openxmlformats.org/officeDocument/2006/relationships/queryTable" Target="../queryTables/queryTable60.xml"/><Relationship Id="rId131" Type="http://schemas.openxmlformats.org/officeDocument/2006/relationships/queryTable" Target="../queryTables/queryTable125.xml"/><Relationship Id="rId327" Type="http://schemas.openxmlformats.org/officeDocument/2006/relationships/queryTable" Target="../queryTables/queryTable321.xml"/><Relationship Id="rId369" Type="http://schemas.openxmlformats.org/officeDocument/2006/relationships/queryTable" Target="../queryTables/queryTable363.xml"/><Relationship Id="rId173" Type="http://schemas.openxmlformats.org/officeDocument/2006/relationships/queryTable" Target="../queryTables/queryTable167.xml"/><Relationship Id="rId229" Type="http://schemas.openxmlformats.org/officeDocument/2006/relationships/queryTable" Target="../queryTables/queryTable223.xml"/><Relationship Id="rId380" Type="http://schemas.openxmlformats.org/officeDocument/2006/relationships/queryTable" Target="../queryTables/queryTable374.xml"/><Relationship Id="rId436" Type="http://schemas.openxmlformats.org/officeDocument/2006/relationships/queryTable" Target="../queryTables/queryTable4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DA270-383C-4E03-AEB3-ABB017E9C70F}">
  <sheetPr codeName="Sheet1"/>
  <dimension ref="A1:M117"/>
  <sheetViews>
    <sheetView tabSelected="1" zoomScaleNormal="100" workbookViewId="0">
      <selection activeCell="I21" sqref="I21"/>
    </sheetView>
  </sheetViews>
  <sheetFormatPr defaultColWidth="0" defaultRowHeight="15" zeroHeight="1" x14ac:dyDescent="0.25"/>
  <cols>
    <col min="1" max="1" width="33.28515625" style="6" bestFit="1" customWidth="1"/>
    <col min="2" max="11" width="15.7109375" style="6" customWidth="1"/>
    <col min="12" max="16384" width="15.7109375" style="6" hidden="1"/>
  </cols>
  <sheetData>
    <row r="1" spans="1:13" s="3" customForma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s="3" customFormat="1" x14ac:dyDescent="0.25">
      <c r="A2" s="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s="3" customFormat="1" x14ac:dyDescent="0.25">
      <c r="A3" s="5" t="s">
        <v>0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</row>
    <row r="4" spans="1:13" s="8" customFormat="1" x14ac:dyDescent="0.25">
      <c r="A4" s="9" t="s">
        <v>2</v>
      </c>
      <c r="B4" s="9" t="s">
        <v>3</v>
      </c>
      <c r="C4" s="10" t="s">
        <v>4</v>
      </c>
      <c r="D4" s="9" t="s">
        <v>5</v>
      </c>
      <c r="E4" s="9" t="s">
        <v>6</v>
      </c>
      <c r="F4" s="10" t="s">
        <v>23</v>
      </c>
      <c r="G4" s="9" t="s">
        <v>24</v>
      </c>
      <c r="H4" s="9" t="s">
        <v>25</v>
      </c>
      <c r="I4" s="10" t="s">
        <v>26</v>
      </c>
      <c r="J4" s="9" t="s">
        <v>27</v>
      </c>
      <c r="K4" s="10" t="s">
        <v>28</v>
      </c>
    </row>
    <row r="5" spans="1:13" s="11" customFormat="1" x14ac:dyDescent="0.25">
      <c r="A5" s="12" t="s">
        <v>7</v>
      </c>
      <c r="B5" s="12" t="s">
        <v>8</v>
      </c>
      <c r="C5" s="14">
        <v>0</v>
      </c>
      <c r="D5" s="12">
        <v>0.05</v>
      </c>
      <c r="E5" s="12" t="s">
        <v>9</v>
      </c>
      <c r="F5" s="16">
        <v>0</v>
      </c>
      <c r="G5" s="12">
        <f ca="1">ROUND(INDIRECT(ADDRESS(5,4))*(1+INDIRECT(ADDRESS(5,6))),2)</f>
        <v>0.05</v>
      </c>
      <c r="H5" s="15">
        <f ca="1">(1+INDIRECT(ADDRESS(5, 6)))*INDIRECT(ADDRESS(5, 3))*INDIRECT(ADDRESS(5, 4))</f>
        <v>0</v>
      </c>
      <c r="I5" s="16">
        <v>0</v>
      </c>
      <c r="J5" s="15">
        <f ca="1">INDIRECT(ADDRESS(5,8))*(1+INDIRECT(ADDRESS(5,9)))</f>
        <v>0</v>
      </c>
      <c r="K5" s="13"/>
    </row>
    <row r="6" spans="1:13" s="11" customFormat="1" x14ac:dyDescent="0.25">
      <c r="A6" s="12" t="s">
        <v>10</v>
      </c>
      <c r="B6" s="12" t="s">
        <v>8</v>
      </c>
      <c r="C6" s="14">
        <v>0</v>
      </c>
      <c r="D6" s="12">
        <v>387.17</v>
      </c>
      <c r="E6" s="12" t="s">
        <v>11</v>
      </c>
      <c r="F6" s="16">
        <v>0</v>
      </c>
      <c r="G6" s="12">
        <f ca="1">ROUND(INDIRECT(ADDRESS(6,4))*(1+INDIRECT(ADDRESS(6,6))),2)</f>
        <v>387.17</v>
      </c>
      <c r="H6" s="15">
        <f ca="1">(1+INDIRECT(ADDRESS(6, 6)))*INDIRECT(ADDRESS(6, 3))*INDIRECT(ADDRESS(6, 4))</f>
        <v>0</v>
      </c>
      <c r="I6" s="16">
        <v>0</v>
      </c>
      <c r="J6" s="15">
        <f ca="1">INDIRECT(ADDRESS(6,8))*(1+INDIRECT(ADDRESS(6,9)))</f>
        <v>0</v>
      </c>
      <c r="K6" s="13"/>
    </row>
    <row r="7" spans="1:13" s="11" customFormat="1" x14ac:dyDescent="0.25">
      <c r="A7" s="12" t="s">
        <v>12</v>
      </c>
      <c r="B7" s="12" t="s">
        <v>8</v>
      </c>
      <c r="C7" s="14">
        <v>0</v>
      </c>
      <c r="D7" s="12">
        <v>0</v>
      </c>
      <c r="E7" s="12" t="s">
        <v>13</v>
      </c>
      <c r="F7" s="16">
        <v>0</v>
      </c>
      <c r="G7" s="12">
        <f ca="1">ROUND(INDIRECT(ADDRESS(7,4))*(1+INDIRECT(ADDRESS(7,6))),2)</f>
        <v>0</v>
      </c>
      <c r="H7" s="15">
        <f ca="1">(1+INDIRECT(ADDRESS(7, 6)))*INDIRECT(ADDRESS(7, 3))*INDIRECT(ADDRESS(7, 4))</f>
        <v>0</v>
      </c>
      <c r="I7" s="16">
        <v>0</v>
      </c>
      <c r="J7" s="15">
        <f ca="1">INDIRECT(ADDRESS(7,8))*(1+INDIRECT(ADDRESS(7,9)))</f>
        <v>0</v>
      </c>
      <c r="K7" s="13"/>
    </row>
    <row r="8" spans="1:13" s="11" customFormat="1" x14ac:dyDescent="0.25">
      <c r="A8" s="12" t="s">
        <v>14</v>
      </c>
      <c r="B8" s="12" t="s">
        <v>8</v>
      </c>
      <c r="C8" s="14">
        <v>0</v>
      </c>
      <c r="D8" s="12">
        <v>0</v>
      </c>
      <c r="E8" s="12" t="s">
        <v>13</v>
      </c>
      <c r="F8" s="16">
        <v>0</v>
      </c>
      <c r="G8" s="12">
        <f ca="1">ROUND(INDIRECT(ADDRESS(8,4))*(1+INDIRECT(ADDRESS(8,6))),2)</f>
        <v>0</v>
      </c>
      <c r="H8" s="15">
        <f ca="1">(1+INDIRECT(ADDRESS(8, 6)))*INDIRECT(ADDRESS(8, 3))*INDIRECT(ADDRESS(8, 4))</f>
        <v>0</v>
      </c>
      <c r="I8" s="16">
        <v>0</v>
      </c>
      <c r="J8" s="15">
        <f ca="1">INDIRECT(ADDRESS(8,8))*(1+INDIRECT(ADDRESS(8,9)))</f>
        <v>0</v>
      </c>
      <c r="K8" s="13"/>
    </row>
    <row r="9" spans="1:13" s="11" customFormat="1" x14ac:dyDescent="0.25">
      <c r="A9" s="12" t="s">
        <v>15</v>
      </c>
      <c r="B9" s="12" t="s">
        <v>16</v>
      </c>
      <c r="C9" s="14">
        <v>0</v>
      </c>
      <c r="D9" s="12">
        <v>36.869999999999997</v>
      </c>
      <c r="E9" s="12" t="s">
        <v>16</v>
      </c>
      <c r="F9" s="16">
        <v>0</v>
      </c>
      <c r="G9" s="12">
        <f ca="1">ROUND(INDIRECT(ADDRESS(9,4))*(1+INDIRECT(ADDRESS(9,6))),2)</f>
        <v>36.869999999999997</v>
      </c>
      <c r="H9" s="15">
        <f ca="1">(1+INDIRECT(ADDRESS(9, 6)))*INDIRECT(ADDRESS(9, 3))*INDIRECT(ADDRESS(9, 4))</f>
        <v>0</v>
      </c>
      <c r="I9" s="16">
        <v>0</v>
      </c>
      <c r="J9" s="15">
        <f ca="1">INDIRECT(ADDRESS(9,8))*(1+INDIRECT(ADDRESS(9,9)))</f>
        <v>0</v>
      </c>
      <c r="K9" s="13"/>
    </row>
    <row r="10" spans="1:13" s="11" customFormat="1" x14ac:dyDescent="0.25">
      <c r="A10" s="12" t="s">
        <v>17</v>
      </c>
      <c r="B10" s="12" t="s">
        <v>8</v>
      </c>
      <c r="C10" s="14">
        <v>0</v>
      </c>
      <c r="D10" s="12">
        <v>145.19</v>
      </c>
      <c r="E10" s="12" t="s">
        <v>18</v>
      </c>
      <c r="F10" s="16">
        <v>0.03</v>
      </c>
      <c r="G10" s="12">
        <f ca="1">ROUND(INDIRECT(ADDRESS(10,4))*(1+INDIRECT(ADDRESS(10,6))),2)</f>
        <v>149.55000000000001</v>
      </c>
      <c r="H10" s="15">
        <f ca="1">(1+INDIRECT(ADDRESS(10, 6)))*INDIRECT(ADDRESS(10, 3))*INDIRECT(ADDRESS(10, 4))</f>
        <v>0</v>
      </c>
      <c r="I10" s="16">
        <v>0</v>
      </c>
      <c r="J10" s="15">
        <f ca="1">INDIRECT(ADDRESS(10,8))*(1+INDIRECT(ADDRESS(10,9)))</f>
        <v>0</v>
      </c>
      <c r="K10" s="13"/>
    </row>
    <row r="11" spans="1:13" s="11" customFormat="1" x14ac:dyDescent="0.25">
      <c r="A11" s="12" t="s">
        <v>19</v>
      </c>
      <c r="B11" s="12" t="s">
        <v>8</v>
      </c>
      <c r="C11" s="14">
        <v>0</v>
      </c>
      <c r="D11" s="12">
        <v>0.92</v>
      </c>
      <c r="E11" s="12" t="s">
        <v>20</v>
      </c>
      <c r="F11" s="16">
        <v>0.01</v>
      </c>
      <c r="G11" s="12">
        <f ca="1">ROUND(INDIRECT(ADDRESS(11,4))*(1+INDIRECT(ADDRESS(11,6))),2)</f>
        <v>0.93</v>
      </c>
      <c r="H11" s="15">
        <f ca="1">(1+INDIRECT(ADDRESS(11, 6)))*INDIRECT(ADDRESS(11, 3))*INDIRECT(ADDRESS(11, 4))</f>
        <v>0</v>
      </c>
      <c r="I11" s="16">
        <v>0</v>
      </c>
      <c r="J11" s="15">
        <f ca="1">INDIRECT(ADDRESS(11,8))*(1+INDIRECT(ADDRESS(11,9)))</f>
        <v>0</v>
      </c>
      <c r="K11" s="13"/>
    </row>
    <row r="12" spans="1:13" s="11" customFormat="1" x14ac:dyDescent="0.25">
      <c r="A12" s="12" t="s">
        <v>21</v>
      </c>
      <c r="B12" s="12" t="s">
        <v>16</v>
      </c>
      <c r="C12" s="14">
        <v>0</v>
      </c>
      <c r="D12" s="12">
        <v>0</v>
      </c>
      <c r="E12" s="12" t="s">
        <v>16</v>
      </c>
      <c r="F12" s="16">
        <v>0</v>
      </c>
      <c r="G12" s="12">
        <f ca="1">ROUND(INDIRECT(ADDRESS(12,4))*(1+INDIRECT(ADDRESS(12,6))),2)</f>
        <v>0</v>
      </c>
      <c r="H12" s="15">
        <f ca="1">(1+INDIRECT(ADDRESS(12, 6)))*INDIRECT(ADDRESS(12, 3))*INDIRECT(ADDRESS(12, 4))</f>
        <v>0</v>
      </c>
      <c r="I12" s="16">
        <v>0</v>
      </c>
      <c r="J12" s="15">
        <f ca="1">INDIRECT(ADDRESS(12,8))*(1+INDIRECT(ADDRESS(12,9)))</f>
        <v>0</v>
      </c>
      <c r="K12" s="13"/>
    </row>
    <row r="13" spans="1:13" s="11" customFormat="1" x14ac:dyDescent="0.25">
      <c r="A13" s="12" t="s">
        <v>22</v>
      </c>
      <c r="B13" s="12" t="s">
        <v>8</v>
      </c>
      <c r="C13" s="14">
        <v>0</v>
      </c>
      <c r="D13" s="12">
        <v>0</v>
      </c>
      <c r="E13" s="12" t="s">
        <v>13</v>
      </c>
      <c r="F13" s="16">
        <v>0</v>
      </c>
      <c r="G13" s="12">
        <f ca="1">ROUND(INDIRECT(ADDRESS(13,4))*(1+INDIRECT(ADDRESS(13,6))),2)</f>
        <v>0</v>
      </c>
      <c r="H13" s="15">
        <f ca="1">(1+INDIRECT(ADDRESS(13, 6)))*INDIRECT(ADDRESS(13, 3))*INDIRECT(ADDRESS(13, 4))</f>
        <v>0</v>
      </c>
      <c r="I13" s="16">
        <v>0</v>
      </c>
      <c r="J13" s="15">
        <f ca="1">INDIRECT(ADDRESS(13,8))*(1+INDIRECT(ADDRESS(13,9)))</f>
        <v>0</v>
      </c>
      <c r="K13" s="13"/>
    </row>
    <row r="14" spans="1:13" s="7" customFormat="1" x14ac:dyDescent="0.25">
      <c r="A14" s="7" t="s">
        <v>29</v>
      </c>
    </row>
    <row r="15" spans="1:13" s="8" customFormat="1" x14ac:dyDescent="0.25">
      <c r="A15" s="9" t="s">
        <v>2</v>
      </c>
      <c r="B15" s="9" t="s">
        <v>3</v>
      </c>
      <c r="C15" s="10" t="s">
        <v>4</v>
      </c>
      <c r="D15" s="9" t="s">
        <v>5</v>
      </c>
      <c r="E15" s="9" t="s">
        <v>6</v>
      </c>
      <c r="F15" s="10" t="s">
        <v>23</v>
      </c>
      <c r="G15" s="9" t="s">
        <v>24</v>
      </c>
      <c r="H15" s="9" t="s">
        <v>25</v>
      </c>
      <c r="I15" s="10" t="s">
        <v>26</v>
      </c>
      <c r="J15" s="9" t="s">
        <v>27</v>
      </c>
      <c r="K15" s="10" t="s">
        <v>28</v>
      </c>
    </row>
    <row r="16" spans="1:13" s="11" customFormat="1" x14ac:dyDescent="0.25">
      <c r="A16" s="13"/>
      <c r="B16" s="13"/>
      <c r="C16" s="14"/>
      <c r="D16" s="13"/>
      <c r="E16" s="13"/>
      <c r="F16" s="16"/>
      <c r="G16" s="12">
        <f ca="1">ROUND(INDIRECT(ADDRESS(16,4))*(1+INDIRECT(ADDRESS(16,6))),2)</f>
        <v>0</v>
      </c>
      <c r="H16" s="15">
        <f ca="1">(1+INDIRECT(ADDRESS(16, 6)))*INDIRECT(ADDRESS(16, 3))*INDIRECT(ADDRESS(16, 4))</f>
        <v>0</v>
      </c>
      <c r="I16" s="16"/>
      <c r="J16" s="15">
        <f ca="1">INDIRECT(ADDRESS(16,8))*(1+INDIRECT(ADDRESS(16,9)))</f>
        <v>0</v>
      </c>
      <c r="K16" s="13"/>
    </row>
    <row r="17" spans="1:11" x14ac:dyDescent="0.25"/>
    <row r="18" spans="1:11" x14ac:dyDescent="0.25">
      <c r="A18" s="17"/>
      <c r="B18" s="17"/>
      <c r="C18" s="17"/>
      <c r="D18" s="17"/>
      <c r="E18" s="17"/>
      <c r="F18" s="17"/>
      <c r="G18" s="17"/>
      <c r="H18" s="17"/>
      <c r="I18" s="19"/>
      <c r="J18" s="17"/>
      <c r="K18" s="17"/>
    </row>
    <row r="19" spans="1:11" ht="15.75" thickBot="1" x14ac:dyDescent="0.3">
      <c r="A19" s="23" t="s">
        <v>30</v>
      </c>
      <c r="B19" s="23"/>
      <c r="C19" s="23"/>
      <c r="D19" s="23"/>
      <c r="E19" s="23"/>
      <c r="F19" s="23"/>
      <c r="G19" s="23"/>
      <c r="H19" s="23"/>
      <c r="I19" s="24"/>
      <c r="J19" s="20">
        <f ca="1">SUM(INDIRECT(ADDRESS(4,10)):INDIRECT(ADDRESS(17,10)))</f>
        <v>0</v>
      </c>
    </row>
    <row r="20" spans="1:11" ht="16.5" thickTop="1" thickBot="1" x14ac:dyDescent="0.3">
      <c r="A20" s="22" t="s">
        <v>31</v>
      </c>
      <c r="B20" s="22"/>
      <c r="C20" s="22"/>
      <c r="D20" s="22"/>
      <c r="E20" s="22"/>
      <c r="F20" s="22"/>
      <c r="G20" s="22"/>
      <c r="H20" s="22"/>
      <c r="I20" s="30">
        <v>0.01</v>
      </c>
      <c r="J20" s="31">
        <f ca="1">INDIRECT(ADDRESS(19,10))*INDIRECT(ADDRESS(20,9))</f>
        <v>0</v>
      </c>
    </row>
    <row r="21" spans="1:11" ht="16.5" thickTop="1" thickBot="1" x14ac:dyDescent="0.3">
      <c r="A21" s="25" t="s">
        <v>32</v>
      </c>
      <c r="B21" s="25"/>
      <c r="C21" s="25"/>
      <c r="D21" s="25"/>
      <c r="E21" s="25"/>
      <c r="F21" s="25"/>
      <c r="G21" s="25"/>
      <c r="H21" s="25"/>
      <c r="I21" s="30">
        <v>0.14000000000000001</v>
      </c>
      <c r="J21" s="31">
        <f ca="1">(INDIRECT(ADDRESS(19,10))+INDIRECT(ADDRESS(20,10)))*INDIRECT(ADDRESS(21,9))/(1-INDIRECT(ADDRESS(21,9)))</f>
        <v>0</v>
      </c>
    </row>
    <row r="22" spans="1:11" ht="15.75" thickTop="1" x14ac:dyDescent="0.25">
      <c r="A22" s="26" t="s">
        <v>33</v>
      </c>
      <c r="B22" s="26"/>
      <c r="C22" s="26"/>
      <c r="D22" s="26"/>
      <c r="E22" s="26"/>
      <c r="F22" s="26"/>
      <c r="G22" s="26"/>
      <c r="H22" s="26"/>
      <c r="I22" s="27"/>
      <c r="J22" s="21">
        <f ca="1">INDIRECT(ADDRESS(19,10))+INDIRECT(ADDRESS(20,10))+INDIRECT(ADDRESS(21,10))</f>
        <v>0</v>
      </c>
      <c r="K22" s="18"/>
    </row>
    <row r="23" spans="1:11" x14ac:dyDescent="0.25"/>
    <row r="24" spans="1:1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</row>
    <row r="25" spans="1:11" hidden="1" x14ac:dyDescent="0.25"/>
    <row r="26" spans="1:11" hidden="1" x14ac:dyDescent="0.25"/>
    <row r="27" spans="1:11" hidden="1" x14ac:dyDescent="0.25"/>
    <row r="28" spans="1:11" hidden="1" x14ac:dyDescent="0.25"/>
    <row r="29" spans="1:11" hidden="1" x14ac:dyDescent="0.25"/>
    <row r="30" spans="1:11" hidden="1" x14ac:dyDescent="0.25"/>
    <row r="31" spans="1:11" hidden="1" x14ac:dyDescent="0.25"/>
    <row r="32" spans="1:11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heet="1" objects="1" scenarios="1"/>
  <mergeCells count="8">
    <mergeCell ref="A21:H21"/>
    <mergeCell ref="A22:I22"/>
    <mergeCell ref="A24:K24"/>
    <mergeCell ref="A1:M1"/>
    <mergeCell ref="A2:M2"/>
    <mergeCell ref="A3:M3"/>
    <mergeCell ref="A19:I19"/>
    <mergeCell ref="A20:H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ResetFormbutton">
              <controlPr defaultSize="0" print="0" autoFill="0" autoPict="0" macro="[0]!Sheet1.reset_button">
                <anchor moveWithCells="1">
                  <from>
                    <xdr:col>5</xdr:col>
                    <xdr:colOff>685800</xdr:colOff>
                    <xdr:row>0</xdr:row>
                    <xdr:rowOff>95250</xdr:rowOff>
                  </from>
                  <to>
                    <xdr:col>6</xdr:col>
                    <xdr:colOff>676275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ImportCSVbutton">
              <controlPr defaultSize="0" print="0" autoFill="0" autoPict="0" macro="[0]!Sheet1.CSV_Import">
                <anchor moveWithCells="1">
                  <from>
                    <xdr:col>3</xdr:col>
                    <xdr:colOff>247650</xdr:colOff>
                    <xdr:row>0</xdr:row>
                    <xdr:rowOff>95250</xdr:rowOff>
                  </from>
                  <to>
                    <xdr:col>4</xdr:col>
                    <xdr:colOff>238125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Add_Item_button">
              <controlPr defaultSize="0" print="0" autoFill="0" autoPict="0" macro="[0]!Sheet1.add_user_input_row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F7C9EE02-42E1-4005-9D12-6889AFFD525C}">
      <x15:webExtensions xmlns:xm="http://schemas.microsoft.com/office/excel/2006/main">
        <x15:webExtension appRef="{42DB936C-9510-4E03-A055-9CD16324B05D}">
          <xm:f>'REPORT SYNC'!OT3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364B7-54AC-43CD-8E70-A5D34B902AB4}">
  <sheetPr codeName="Sheet4"/>
  <dimension ref="A1"/>
  <sheetViews>
    <sheetView workbookViewId="0"/>
  </sheetViews>
  <sheetFormatPr defaultRowHeight="15" x14ac:dyDescent="0.25"/>
  <sheetData>
    <row r="1" spans="1:1" x14ac:dyDescent="0.25">
      <c r="A1" t="s">
        <v>1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AB09E-D1B5-49DB-9D49-4565A762C051}">
  <sheetPr codeName="Sheet2"/>
  <dimension ref="A1:D2"/>
  <sheetViews>
    <sheetView workbookViewId="0">
      <selection activeCell="B2" sqref="B2"/>
    </sheetView>
  </sheetViews>
  <sheetFormatPr defaultRowHeight="15" x14ac:dyDescent="0.25"/>
  <sheetData>
    <row r="1" spans="1:4" x14ac:dyDescent="0.25">
      <c r="A1" t="s">
        <v>17</v>
      </c>
      <c r="B1">
        <v>0</v>
      </c>
      <c r="C1">
        <v>0.03</v>
      </c>
      <c r="D1">
        <v>0</v>
      </c>
    </row>
    <row r="2" spans="1:4" x14ac:dyDescent="0.25">
      <c r="A2" t="s">
        <v>19</v>
      </c>
      <c r="B2">
        <v>0</v>
      </c>
      <c r="C2">
        <v>0.01</v>
      </c>
      <c r="D2">
        <v>0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0F37-8F62-4FB0-8FC1-C6DA97941B28}">
  <sheetPr codeName="Sheet3"/>
  <dimension ref="A1:C13"/>
  <sheetViews>
    <sheetView workbookViewId="0">
      <selection activeCell="R3" sqref="R3"/>
    </sheetView>
  </sheetViews>
  <sheetFormatPr defaultRowHeight="15" x14ac:dyDescent="0.25"/>
  <sheetData>
    <row r="1" spans="1:3" x14ac:dyDescent="0.25">
      <c r="A1">
        <v>13</v>
      </c>
      <c r="C1" t="s">
        <v>2</v>
      </c>
    </row>
    <row r="2" spans="1:3" x14ac:dyDescent="0.25">
      <c r="A2">
        <v>11</v>
      </c>
      <c r="C2" t="s">
        <v>3</v>
      </c>
    </row>
    <row r="3" spans="1:3" x14ac:dyDescent="0.25">
      <c r="A3">
        <v>10</v>
      </c>
      <c r="C3" t="s">
        <v>4</v>
      </c>
    </row>
    <row r="4" spans="1:3" x14ac:dyDescent="0.25">
      <c r="A4">
        <v>3</v>
      </c>
      <c r="C4" t="s">
        <v>5</v>
      </c>
    </row>
    <row r="5" spans="1:3" x14ac:dyDescent="0.25">
      <c r="A5">
        <v>4</v>
      </c>
      <c r="C5" t="s">
        <v>6</v>
      </c>
    </row>
    <row r="6" spans="1:3" x14ac:dyDescent="0.25">
      <c r="A6">
        <v>8</v>
      </c>
      <c r="C6" t="s">
        <v>23</v>
      </c>
    </row>
    <row r="7" spans="1:3" x14ac:dyDescent="0.25">
      <c r="A7">
        <v>6</v>
      </c>
      <c r="C7" t="s">
        <v>24</v>
      </c>
    </row>
    <row r="8" spans="1:3" x14ac:dyDescent="0.25">
      <c r="A8">
        <v>9</v>
      </c>
      <c r="C8" t="s">
        <v>25</v>
      </c>
    </row>
    <row r="9" spans="1:3" x14ac:dyDescent="0.25">
      <c r="A9">
        <v>11</v>
      </c>
      <c r="C9" t="s">
        <v>26</v>
      </c>
    </row>
    <row r="10" spans="1:3" x14ac:dyDescent="0.25">
      <c r="A10">
        <v>9</v>
      </c>
      <c r="C10" t="s">
        <v>27</v>
      </c>
    </row>
    <row r="11" spans="1:3" x14ac:dyDescent="0.25">
      <c r="A11">
        <v>9</v>
      </c>
      <c r="C11" t="s">
        <v>28</v>
      </c>
    </row>
    <row r="13" spans="1:3" x14ac:dyDescent="0.25">
      <c r="A1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506</vt:i4>
      </vt:variant>
    </vt:vector>
  </HeadingPairs>
  <TitlesOfParts>
    <vt:vector size="510" baseType="lpstr">
      <vt:lpstr>REPORT SYNC</vt:lpstr>
      <vt:lpstr>Instructions</vt:lpstr>
      <vt:lpstr>Project Pricing</vt:lpstr>
      <vt:lpstr>Variables</vt:lpstr>
      <vt:lpstr>'REPORT SYNC'!ExternalData_10</vt:lpstr>
      <vt:lpstr>'REPORT SYNC'!ExternalData_100</vt:lpstr>
      <vt:lpstr>'REPORT SYNC'!ExternalData_101</vt:lpstr>
      <vt:lpstr>'REPORT SYNC'!ExternalData_102</vt:lpstr>
      <vt:lpstr>'REPORT SYNC'!ExternalData_103</vt:lpstr>
      <vt:lpstr>'REPORT SYNC'!ExternalData_104</vt:lpstr>
      <vt:lpstr>'REPORT SYNC'!ExternalData_105</vt:lpstr>
      <vt:lpstr>'REPORT SYNC'!ExternalData_106</vt:lpstr>
      <vt:lpstr>'REPORT SYNC'!ExternalData_107</vt:lpstr>
      <vt:lpstr>'REPORT SYNC'!ExternalData_108</vt:lpstr>
      <vt:lpstr>'REPORT SYNC'!ExternalData_109</vt:lpstr>
      <vt:lpstr>'REPORT SYNC'!ExternalData_11</vt:lpstr>
      <vt:lpstr>'REPORT SYNC'!ExternalData_110</vt:lpstr>
      <vt:lpstr>'REPORT SYNC'!ExternalData_111</vt:lpstr>
      <vt:lpstr>'REPORT SYNC'!ExternalData_112</vt:lpstr>
      <vt:lpstr>'REPORT SYNC'!ExternalData_113</vt:lpstr>
      <vt:lpstr>'REPORT SYNC'!ExternalData_114</vt:lpstr>
      <vt:lpstr>'REPORT SYNC'!ExternalData_115</vt:lpstr>
      <vt:lpstr>'REPORT SYNC'!ExternalData_116</vt:lpstr>
      <vt:lpstr>'REPORT SYNC'!ExternalData_117</vt:lpstr>
      <vt:lpstr>'REPORT SYNC'!ExternalData_118</vt:lpstr>
      <vt:lpstr>'REPORT SYNC'!ExternalData_119</vt:lpstr>
      <vt:lpstr>'REPORT SYNC'!ExternalData_12</vt:lpstr>
      <vt:lpstr>'REPORT SYNC'!ExternalData_120</vt:lpstr>
      <vt:lpstr>'REPORT SYNC'!ExternalData_121</vt:lpstr>
      <vt:lpstr>'REPORT SYNC'!ExternalData_122</vt:lpstr>
      <vt:lpstr>'REPORT SYNC'!ExternalData_123</vt:lpstr>
      <vt:lpstr>'REPORT SYNC'!ExternalData_124</vt:lpstr>
      <vt:lpstr>'REPORT SYNC'!ExternalData_125</vt:lpstr>
      <vt:lpstr>'REPORT SYNC'!ExternalData_126</vt:lpstr>
      <vt:lpstr>'REPORT SYNC'!ExternalData_127</vt:lpstr>
      <vt:lpstr>'REPORT SYNC'!ExternalData_128</vt:lpstr>
      <vt:lpstr>'REPORT SYNC'!ExternalData_129</vt:lpstr>
      <vt:lpstr>'REPORT SYNC'!ExternalData_13</vt:lpstr>
      <vt:lpstr>'REPORT SYNC'!ExternalData_130</vt:lpstr>
      <vt:lpstr>'REPORT SYNC'!ExternalData_131</vt:lpstr>
      <vt:lpstr>'REPORT SYNC'!ExternalData_132</vt:lpstr>
      <vt:lpstr>'REPORT SYNC'!ExternalData_133</vt:lpstr>
      <vt:lpstr>'REPORT SYNC'!ExternalData_134</vt:lpstr>
      <vt:lpstr>'REPORT SYNC'!ExternalData_135</vt:lpstr>
      <vt:lpstr>'REPORT SYNC'!ExternalData_136</vt:lpstr>
      <vt:lpstr>'REPORT SYNC'!ExternalData_137</vt:lpstr>
      <vt:lpstr>'REPORT SYNC'!ExternalData_138</vt:lpstr>
      <vt:lpstr>'REPORT SYNC'!ExternalData_139</vt:lpstr>
      <vt:lpstr>'REPORT SYNC'!ExternalData_14</vt:lpstr>
      <vt:lpstr>'REPORT SYNC'!ExternalData_140</vt:lpstr>
      <vt:lpstr>'REPORT SYNC'!ExternalData_141</vt:lpstr>
      <vt:lpstr>'REPORT SYNC'!ExternalData_142</vt:lpstr>
      <vt:lpstr>'REPORT SYNC'!ExternalData_143</vt:lpstr>
      <vt:lpstr>'REPORT SYNC'!ExternalData_144</vt:lpstr>
      <vt:lpstr>'REPORT SYNC'!ExternalData_145</vt:lpstr>
      <vt:lpstr>'REPORT SYNC'!ExternalData_146</vt:lpstr>
      <vt:lpstr>'REPORT SYNC'!ExternalData_147</vt:lpstr>
      <vt:lpstr>'REPORT SYNC'!ExternalData_148</vt:lpstr>
      <vt:lpstr>'REPORT SYNC'!ExternalData_149</vt:lpstr>
      <vt:lpstr>'REPORT SYNC'!ExternalData_15</vt:lpstr>
      <vt:lpstr>'REPORT SYNC'!ExternalData_150</vt:lpstr>
      <vt:lpstr>'REPORT SYNC'!ExternalData_151</vt:lpstr>
      <vt:lpstr>'REPORT SYNC'!ExternalData_152</vt:lpstr>
      <vt:lpstr>'REPORT SYNC'!ExternalData_153</vt:lpstr>
      <vt:lpstr>'REPORT SYNC'!ExternalData_154</vt:lpstr>
      <vt:lpstr>'REPORT SYNC'!ExternalData_155</vt:lpstr>
      <vt:lpstr>'REPORT SYNC'!ExternalData_156</vt:lpstr>
      <vt:lpstr>'REPORT SYNC'!ExternalData_157</vt:lpstr>
      <vt:lpstr>'REPORT SYNC'!ExternalData_158</vt:lpstr>
      <vt:lpstr>'REPORT SYNC'!ExternalData_159</vt:lpstr>
      <vt:lpstr>'REPORT SYNC'!ExternalData_16</vt:lpstr>
      <vt:lpstr>'REPORT SYNC'!ExternalData_160</vt:lpstr>
      <vt:lpstr>'REPORT SYNC'!ExternalData_161</vt:lpstr>
      <vt:lpstr>'REPORT SYNC'!ExternalData_162</vt:lpstr>
      <vt:lpstr>'REPORT SYNC'!ExternalData_163</vt:lpstr>
      <vt:lpstr>'REPORT SYNC'!ExternalData_164</vt:lpstr>
      <vt:lpstr>'REPORT SYNC'!ExternalData_165</vt:lpstr>
      <vt:lpstr>'REPORT SYNC'!ExternalData_166</vt:lpstr>
      <vt:lpstr>'REPORT SYNC'!ExternalData_167</vt:lpstr>
      <vt:lpstr>'REPORT SYNC'!ExternalData_168</vt:lpstr>
      <vt:lpstr>'REPORT SYNC'!ExternalData_169</vt:lpstr>
      <vt:lpstr>'REPORT SYNC'!ExternalData_17</vt:lpstr>
      <vt:lpstr>'REPORT SYNC'!ExternalData_170</vt:lpstr>
      <vt:lpstr>'REPORT SYNC'!ExternalData_171</vt:lpstr>
      <vt:lpstr>'REPORT SYNC'!ExternalData_172</vt:lpstr>
      <vt:lpstr>'REPORT SYNC'!ExternalData_173</vt:lpstr>
      <vt:lpstr>'REPORT SYNC'!ExternalData_174</vt:lpstr>
      <vt:lpstr>'REPORT SYNC'!ExternalData_175</vt:lpstr>
      <vt:lpstr>'REPORT SYNC'!ExternalData_176</vt:lpstr>
      <vt:lpstr>'REPORT SYNC'!ExternalData_177</vt:lpstr>
      <vt:lpstr>'REPORT SYNC'!ExternalData_178</vt:lpstr>
      <vt:lpstr>'REPORT SYNC'!ExternalData_179</vt:lpstr>
      <vt:lpstr>'REPORT SYNC'!ExternalData_18</vt:lpstr>
      <vt:lpstr>'REPORT SYNC'!ExternalData_180</vt:lpstr>
      <vt:lpstr>'REPORT SYNC'!ExternalData_181</vt:lpstr>
      <vt:lpstr>'REPORT SYNC'!ExternalData_182</vt:lpstr>
      <vt:lpstr>'REPORT SYNC'!ExternalData_183</vt:lpstr>
      <vt:lpstr>'REPORT SYNC'!ExternalData_184</vt:lpstr>
      <vt:lpstr>'REPORT SYNC'!ExternalData_185</vt:lpstr>
      <vt:lpstr>'REPORT SYNC'!ExternalData_186</vt:lpstr>
      <vt:lpstr>'REPORT SYNC'!ExternalData_187</vt:lpstr>
      <vt:lpstr>'REPORT SYNC'!ExternalData_188</vt:lpstr>
      <vt:lpstr>'REPORT SYNC'!ExternalData_189</vt:lpstr>
      <vt:lpstr>'REPORT SYNC'!ExternalData_19</vt:lpstr>
      <vt:lpstr>'REPORT SYNC'!ExternalData_190</vt:lpstr>
      <vt:lpstr>'REPORT SYNC'!ExternalData_191</vt:lpstr>
      <vt:lpstr>'REPORT SYNC'!ExternalData_192</vt:lpstr>
      <vt:lpstr>'REPORT SYNC'!ExternalData_193</vt:lpstr>
      <vt:lpstr>'REPORT SYNC'!ExternalData_194</vt:lpstr>
      <vt:lpstr>'REPORT SYNC'!ExternalData_195</vt:lpstr>
      <vt:lpstr>'REPORT SYNC'!ExternalData_196</vt:lpstr>
      <vt:lpstr>'REPORT SYNC'!ExternalData_197</vt:lpstr>
      <vt:lpstr>'REPORT SYNC'!ExternalData_198</vt:lpstr>
      <vt:lpstr>'REPORT SYNC'!ExternalData_199</vt:lpstr>
      <vt:lpstr>'REPORT SYNC'!ExternalData_2</vt:lpstr>
      <vt:lpstr>'REPORT SYNC'!ExternalData_20</vt:lpstr>
      <vt:lpstr>'REPORT SYNC'!ExternalData_200</vt:lpstr>
      <vt:lpstr>'REPORT SYNC'!ExternalData_203</vt:lpstr>
      <vt:lpstr>'REPORT SYNC'!ExternalData_204</vt:lpstr>
      <vt:lpstr>'REPORT SYNC'!ExternalData_205</vt:lpstr>
      <vt:lpstr>'REPORT SYNC'!ExternalData_206</vt:lpstr>
      <vt:lpstr>'REPORT SYNC'!ExternalData_207</vt:lpstr>
      <vt:lpstr>'REPORT SYNC'!ExternalData_208</vt:lpstr>
      <vt:lpstr>'REPORT SYNC'!ExternalData_209</vt:lpstr>
      <vt:lpstr>'REPORT SYNC'!ExternalData_21</vt:lpstr>
      <vt:lpstr>'REPORT SYNC'!ExternalData_210</vt:lpstr>
      <vt:lpstr>'REPORT SYNC'!ExternalData_211</vt:lpstr>
      <vt:lpstr>'REPORT SYNC'!ExternalData_212</vt:lpstr>
      <vt:lpstr>'REPORT SYNC'!ExternalData_213</vt:lpstr>
      <vt:lpstr>'REPORT SYNC'!ExternalData_214</vt:lpstr>
      <vt:lpstr>'REPORT SYNC'!ExternalData_215</vt:lpstr>
      <vt:lpstr>'REPORT SYNC'!ExternalData_216</vt:lpstr>
      <vt:lpstr>'REPORT SYNC'!ExternalData_217</vt:lpstr>
      <vt:lpstr>'REPORT SYNC'!ExternalData_218</vt:lpstr>
      <vt:lpstr>'REPORT SYNC'!ExternalData_219</vt:lpstr>
      <vt:lpstr>'REPORT SYNC'!ExternalData_22</vt:lpstr>
      <vt:lpstr>'REPORT SYNC'!ExternalData_220</vt:lpstr>
      <vt:lpstr>'REPORT SYNC'!ExternalData_221</vt:lpstr>
      <vt:lpstr>'REPORT SYNC'!ExternalData_222</vt:lpstr>
      <vt:lpstr>'REPORT SYNC'!ExternalData_223</vt:lpstr>
      <vt:lpstr>'REPORT SYNC'!ExternalData_224</vt:lpstr>
      <vt:lpstr>'REPORT SYNC'!ExternalData_225</vt:lpstr>
      <vt:lpstr>'REPORT SYNC'!ExternalData_226</vt:lpstr>
      <vt:lpstr>'REPORT SYNC'!ExternalData_227</vt:lpstr>
      <vt:lpstr>'REPORT SYNC'!ExternalData_229</vt:lpstr>
      <vt:lpstr>'REPORT SYNC'!ExternalData_23</vt:lpstr>
      <vt:lpstr>'REPORT SYNC'!ExternalData_230</vt:lpstr>
      <vt:lpstr>'REPORT SYNC'!ExternalData_231</vt:lpstr>
      <vt:lpstr>'REPORT SYNC'!ExternalData_232</vt:lpstr>
      <vt:lpstr>'REPORT SYNC'!ExternalData_233</vt:lpstr>
      <vt:lpstr>'REPORT SYNC'!ExternalData_234</vt:lpstr>
      <vt:lpstr>'REPORT SYNC'!ExternalData_235</vt:lpstr>
      <vt:lpstr>'REPORT SYNC'!ExternalData_236</vt:lpstr>
      <vt:lpstr>'REPORT SYNC'!ExternalData_237</vt:lpstr>
      <vt:lpstr>'REPORT SYNC'!ExternalData_238</vt:lpstr>
      <vt:lpstr>'REPORT SYNC'!ExternalData_239</vt:lpstr>
      <vt:lpstr>'REPORT SYNC'!ExternalData_24</vt:lpstr>
      <vt:lpstr>'REPORT SYNC'!ExternalData_240</vt:lpstr>
      <vt:lpstr>'REPORT SYNC'!ExternalData_241</vt:lpstr>
      <vt:lpstr>'REPORT SYNC'!ExternalData_242</vt:lpstr>
      <vt:lpstr>'REPORT SYNC'!ExternalData_243</vt:lpstr>
      <vt:lpstr>'REPORT SYNC'!ExternalData_244</vt:lpstr>
      <vt:lpstr>'REPORT SYNC'!ExternalData_245</vt:lpstr>
      <vt:lpstr>'REPORT SYNC'!ExternalData_246</vt:lpstr>
      <vt:lpstr>'REPORT SYNC'!ExternalData_247</vt:lpstr>
      <vt:lpstr>'REPORT SYNC'!ExternalData_248</vt:lpstr>
      <vt:lpstr>'REPORT SYNC'!ExternalData_249</vt:lpstr>
      <vt:lpstr>'REPORT SYNC'!ExternalData_25</vt:lpstr>
      <vt:lpstr>'REPORT SYNC'!ExternalData_250</vt:lpstr>
      <vt:lpstr>'REPORT SYNC'!ExternalData_251</vt:lpstr>
      <vt:lpstr>'REPORT SYNC'!ExternalData_252</vt:lpstr>
      <vt:lpstr>'REPORT SYNC'!ExternalData_253</vt:lpstr>
      <vt:lpstr>'REPORT SYNC'!ExternalData_254</vt:lpstr>
      <vt:lpstr>'REPORT SYNC'!ExternalData_255</vt:lpstr>
      <vt:lpstr>'REPORT SYNC'!ExternalData_256</vt:lpstr>
      <vt:lpstr>'REPORT SYNC'!ExternalData_257</vt:lpstr>
      <vt:lpstr>'REPORT SYNC'!ExternalData_258</vt:lpstr>
      <vt:lpstr>'REPORT SYNC'!ExternalData_259</vt:lpstr>
      <vt:lpstr>'REPORT SYNC'!ExternalData_26</vt:lpstr>
      <vt:lpstr>'REPORT SYNC'!ExternalData_260</vt:lpstr>
      <vt:lpstr>'REPORT SYNC'!ExternalData_261</vt:lpstr>
      <vt:lpstr>'REPORT SYNC'!ExternalData_262</vt:lpstr>
      <vt:lpstr>'REPORT SYNC'!ExternalData_265</vt:lpstr>
      <vt:lpstr>'REPORT SYNC'!ExternalData_266</vt:lpstr>
      <vt:lpstr>'REPORT SYNC'!ExternalData_267</vt:lpstr>
      <vt:lpstr>'REPORT SYNC'!ExternalData_268</vt:lpstr>
      <vt:lpstr>'REPORT SYNC'!ExternalData_269</vt:lpstr>
      <vt:lpstr>'REPORT SYNC'!ExternalData_27</vt:lpstr>
      <vt:lpstr>'REPORT SYNC'!ExternalData_270</vt:lpstr>
      <vt:lpstr>'REPORT SYNC'!ExternalData_271</vt:lpstr>
      <vt:lpstr>'REPORT SYNC'!ExternalData_272</vt:lpstr>
      <vt:lpstr>'REPORT SYNC'!ExternalData_273</vt:lpstr>
      <vt:lpstr>'REPORT SYNC'!ExternalData_274</vt:lpstr>
      <vt:lpstr>'REPORT SYNC'!ExternalData_275</vt:lpstr>
      <vt:lpstr>'REPORT SYNC'!ExternalData_276</vt:lpstr>
      <vt:lpstr>'REPORT SYNC'!ExternalData_277</vt:lpstr>
      <vt:lpstr>'REPORT SYNC'!ExternalData_279</vt:lpstr>
      <vt:lpstr>'REPORT SYNC'!ExternalData_28</vt:lpstr>
      <vt:lpstr>'REPORT SYNC'!ExternalData_281</vt:lpstr>
      <vt:lpstr>'REPORT SYNC'!ExternalData_283</vt:lpstr>
      <vt:lpstr>'REPORT SYNC'!ExternalData_284</vt:lpstr>
      <vt:lpstr>'REPORT SYNC'!ExternalData_285</vt:lpstr>
      <vt:lpstr>'REPORT SYNC'!ExternalData_286</vt:lpstr>
      <vt:lpstr>'REPORT SYNC'!ExternalData_287</vt:lpstr>
      <vt:lpstr>'REPORT SYNC'!ExternalData_288</vt:lpstr>
      <vt:lpstr>'REPORT SYNC'!ExternalData_289</vt:lpstr>
      <vt:lpstr>'REPORT SYNC'!ExternalData_29</vt:lpstr>
      <vt:lpstr>'REPORT SYNC'!ExternalData_290</vt:lpstr>
      <vt:lpstr>'REPORT SYNC'!ExternalData_291</vt:lpstr>
      <vt:lpstr>'REPORT SYNC'!ExternalData_292</vt:lpstr>
      <vt:lpstr>'REPORT SYNC'!ExternalData_293</vt:lpstr>
      <vt:lpstr>'REPORT SYNC'!ExternalData_294</vt:lpstr>
      <vt:lpstr>'REPORT SYNC'!ExternalData_295</vt:lpstr>
      <vt:lpstr>'REPORT SYNC'!ExternalData_296</vt:lpstr>
      <vt:lpstr>'REPORT SYNC'!ExternalData_297</vt:lpstr>
      <vt:lpstr>'REPORT SYNC'!ExternalData_298</vt:lpstr>
      <vt:lpstr>'REPORT SYNC'!ExternalData_299</vt:lpstr>
      <vt:lpstr>'REPORT SYNC'!ExternalData_3</vt:lpstr>
      <vt:lpstr>'REPORT SYNC'!ExternalData_30</vt:lpstr>
      <vt:lpstr>'REPORT SYNC'!ExternalData_300</vt:lpstr>
      <vt:lpstr>'REPORT SYNC'!ExternalData_301</vt:lpstr>
      <vt:lpstr>'REPORT SYNC'!ExternalData_302</vt:lpstr>
      <vt:lpstr>'REPORT SYNC'!ExternalData_303</vt:lpstr>
      <vt:lpstr>'REPORT SYNC'!ExternalData_304</vt:lpstr>
      <vt:lpstr>'REPORT SYNC'!ExternalData_305</vt:lpstr>
      <vt:lpstr>'REPORT SYNC'!ExternalData_306</vt:lpstr>
      <vt:lpstr>'REPORT SYNC'!ExternalData_307</vt:lpstr>
      <vt:lpstr>'REPORT SYNC'!ExternalData_308</vt:lpstr>
      <vt:lpstr>'REPORT SYNC'!ExternalData_309</vt:lpstr>
      <vt:lpstr>'REPORT SYNC'!ExternalData_31</vt:lpstr>
      <vt:lpstr>'REPORT SYNC'!ExternalData_310</vt:lpstr>
      <vt:lpstr>'REPORT SYNC'!ExternalData_311</vt:lpstr>
      <vt:lpstr>'REPORT SYNC'!ExternalData_312</vt:lpstr>
      <vt:lpstr>'REPORT SYNC'!ExternalData_313</vt:lpstr>
      <vt:lpstr>'REPORT SYNC'!ExternalData_314</vt:lpstr>
      <vt:lpstr>'REPORT SYNC'!ExternalData_315</vt:lpstr>
      <vt:lpstr>'REPORT SYNC'!ExternalData_316</vt:lpstr>
      <vt:lpstr>'REPORT SYNC'!ExternalData_317</vt:lpstr>
      <vt:lpstr>'REPORT SYNC'!ExternalData_318</vt:lpstr>
      <vt:lpstr>'REPORT SYNC'!ExternalData_319</vt:lpstr>
      <vt:lpstr>'REPORT SYNC'!ExternalData_32</vt:lpstr>
      <vt:lpstr>'REPORT SYNC'!ExternalData_320</vt:lpstr>
      <vt:lpstr>'REPORT SYNC'!ExternalData_321</vt:lpstr>
      <vt:lpstr>'REPORT SYNC'!ExternalData_322</vt:lpstr>
      <vt:lpstr>'REPORT SYNC'!ExternalData_323</vt:lpstr>
      <vt:lpstr>'REPORT SYNC'!ExternalData_324</vt:lpstr>
      <vt:lpstr>'REPORT SYNC'!ExternalData_325</vt:lpstr>
      <vt:lpstr>'REPORT SYNC'!ExternalData_326</vt:lpstr>
      <vt:lpstr>'REPORT SYNC'!ExternalData_327</vt:lpstr>
      <vt:lpstr>'REPORT SYNC'!ExternalData_328</vt:lpstr>
      <vt:lpstr>'REPORT SYNC'!ExternalData_329</vt:lpstr>
      <vt:lpstr>'REPORT SYNC'!ExternalData_33</vt:lpstr>
      <vt:lpstr>'REPORT SYNC'!ExternalData_330</vt:lpstr>
      <vt:lpstr>'REPORT SYNC'!ExternalData_331</vt:lpstr>
      <vt:lpstr>'REPORT SYNC'!ExternalData_332</vt:lpstr>
      <vt:lpstr>'REPORT SYNC'!ExternalData_333</vt:lpstr>
      <vt:lpstr>'REPORT SYNC'!ExternalData_334</vt:lpstr>
      <vt:lpstr>'REPORT SYNC'!ExternalData_335</vt:lpstr>
      <vt:lpstr>'REPORT SYNC'!ExternalData_336</vt:lpstr>
      <vt:lpstr>'REPORT SYNC'!ExternalData_337</vt:lpstr>
      <vt:lpstr>'REPORT SYNC'!ExternalData_338</vt:lpstr>
      <vt:lpstr>'REPORT SYNC'!ExternalData_339</vt:lpstr>
      <vt:lpstr>'REPORT SYNC'!ExternalData_34</vt:lpstr>
      <vt:lpstr>'REPORT SYNC'!ExternalData_340</vt:lpstr>
      <vt:lpstr>'REPORT SYNC'!ExternalData_341</vt:lpstr>
      <vt:lpstr>'REPORT SYNC'!ExternalData_342</vt:lpstr>
      <vt:lpstr>'REPORT SYNC'!ExternalData_343</vt:lpstr>
      <vt:lpstr>'REPORT SYNC'!ExternalData_344</vt:lpstr>
      <vt:lpstr>'REPORT SYNC'!ExternalData_345</vt:lpstr>
      <vt:lpstr>'REPORT SYNC'!ExternalData_346</vt:lpstr>
      <vt:lpstr>'REPORT SYNC'!ExternalData_347</vt:lpstr>
      <vt:lpstr>'REPORT SYNC'!ExternalData_348</vt:lpstr>
      <vt:lpstr>'REPORT SYNC'!ExternalData_349</vt:lpstr>
      <vt:lpstr>'REPORT SYNC'!ExternalData_35</vt:lpstr>
      <vt:lpstr>'REPORT SYNC'!ExternalData_350</vt:lpstr>
      <vt:lpstr>'REPORT SYNC'!ExternalData_351</vt:lpstr>
      <vt:lpstr>'REPORT SYNC'!ExternalData_352</vt:lpstr>
      <vt:lpstr>'REPORT SYNC'!ExternalData_353</vt:lpstr>
      <vt:lpstr>'REPORT SYNC'!ExternalData_354</vt:lpstr>
      <vt:lpstr>'REPORT SYNC'!ExternalData_355</vt:lpstr>
      <vt:lpstr>'REPORT SYNC'!ExternalData_356</vt:lpstr>
      <vt:lpstr>'REPORT SYNC'!ExternalData_357</vt:lpstr>
      <vt:lpstr>'REPORT SYNC'!ExternalData_358</vt:lpstr>
      <vt:lpstr>'REPORT SYNC'!ExternalData_359</vt:lpstr>
      <vt:lpstr>'REPORT SYNC'!ExternalData_36</vt:lpstr>
      <vt:lpstr>'REPORT SYNC'!ExternalData_360</vt:lpstr>
      <vt:lpstr>'REPORT SYNC'!ExternalData_361</vt:lpstr>
      <vt:lpstr>'REPORT SYNC'!ExternalData_362</vt:lpstr>
      <vt:lpstr>'REPORT SYNC'!ExternalData_363</vt:lpstr>
      <vt:lpstr>'REPORT SYNC'!ExternalData_364</vt:lpstr>
      <vt:lpstr>'REPORT SYNC'!ExternalData_365</vt:lpstr>
      <vt:lpstr>'REPORT SYNC'!ExternalData_366</vt:lpstr>
      <vt:lpstr>'REPORT SYNC'!ExternalData_367</vt:lpstr>
      <vt:lpstr>'REPORT SYNC'!ExternalData_368</vt:lpstr>
      <vt:lpstr>'REPORT SYNC'!ExternalData_369</vt:lpstr>
      <vt:lpstr>'REPORT SYNC'!ExternalData_37</vt:lpstr>
      <vt:lpstr>'REPORT SYNC'!ExternalData_370</vt:lpstr>
      <vt:lpstr>'REPORT SYNC'!ExternalData_371</vt:lpstr>
      <vt:lpstr>'REPORT SYNC'!ExternalData_372</vt:lpstr>
      <vt:lpstr>'REPORT SYNC'!ExternalData_373</vt:lpstr>
      <vt:lpstr>'REPORT SYNC'!ExternalData_374</vt:lpstr>
      <vt:lpstr>'REPORT SYNC'!ExternalData_375</vt:lpstr>
      <vt:lpstr>'REPORT SYNC'!ExternalData_376</vt:lpstr>
      <vt:lpstr>'REPORT SYNC'!ExternalData_377</vt:lpstr>
      <vt:lpstr>'REPORT SYNC'!ExternalData_379</vt:lpstr>
      <vt:lpstr>'REPORT SYNC'!ExternalData_38</vt:lpstr>
      <vt:lpstr>'REPORT SYNC'!ExternalData_380</vt:lpstr>
      <vt:lpstr>'REPORT SYNC'!ExternalData_381</vt:lpstr>
      <vt:lpstr>'REPORT SYNC'!ExternalData_382</vt:lpstr>
      <vt:lpstr>'REPORT SYNC'!ExternalData_383</vt:lpstr>
      <vt:lpstr>'REPORT SYNC'!ExternalData_384</vt:lpstr>
      <vt:lpstr>'REPORT SYNC'!ExternalData_385</vt:lpstr>
      <vt:lpstr>'REPORT SYNC'!ExternalData_386</vt:lpstr>
      <vt:lpstr>'REPORT SYNC'!ExternalData_387</vt:lpstr>
      <vt:lpstr>'REPORT SYNC'!ExternalData_388</vt:lpstr>
      <vt:lpstr>'REPORT SYNC'!ExternalData_389</vt:lpstr>
      <vt:lpstr>'REPORT SYNC'!ExternalData_39</vt:lpstr>
      <vt:lpstr>'REPORT SYNC'!ExternalData_390</vt:lpstr>
      <vt:lpstr>'REPORT SYNC'!ExternalData_391</vt:lpstr>
      <vt:lpstr>'REPORT SYNC'!ExternalData_392</vt:lpstr>
      <vt:lpstr>'REPORT SYNC'!ExternalData_393</vt:lpstr>
      <vt:lpstr>'REPORT SYNC'!ExternalData_394</vt:lpstr>
      <vt:lpstr>'REPORT SYNC'!ExternalData_395</vt:lpstr>
      <vt:lpstr>'REPORT SYNC'!ExternalData_396</vt:lpstr>
      <vt:lpstr>'REPORT SYNC'!ExternalData_397</vt:lpstr>
      <vt:lpstr>'REPORT SYNC'!ExternalData_398</vt:lpstr>
      <vt:lpstr>'REPORT SYNC'!ExternalData_399</vt:lpstr>
      <vt:lpstr>'REPORT SYNC'!ExternalData_4</vt:lpstr>
      <vt:lpstr>'REPORT SYNC'!ExternalData_40</vt:lpstr>
      <vt:lpstr>'REPORT SYNC'!ExternalData_400</vt:lpstr>
      <vt:lpstr>'REPORT SYNC'!ExternalData_401</vt:lpstr>
      <vt:lpstr>'REPORT SYNC'!ExternalData_402</vt:lpstr>
      <vt:lpstr>'REPORT SYNC'!ExternalData_403</vt:lpstr>
      <vt:lpstr>'REPORT SYNC'!ExternalData_404</vt:lpstr>
      <vt:lpstr>'REPORT SYNC'!ExternalData_405</vt:lpstr>
      <vt:lpstr>'REPORT SYNC'!ExternalData_406</vt:lpstr>
      <vt:lpstr>'REPORT SYNC'!ExternalData_407</vt:lpstr>
      <vt:lpstr>'REPORT SYNC'!ExternalData_408</vt:lpstr>
      <vt:lpstr>'REPORT SYNC'!ExternalData_409</vt:lpstr>
      <vt:lpstr>'REPORT SYNC'!ExternalData_41</vt:lpstr>
      <vt:lpstr>'REPORT SYNC'!ExternalData_410</vt:lpstr>
      <vt:lpstr>'REPORT SYNC'!ExternalData_411</vt:lpstr>
      <vt:lpstr>'REPORT SYNC'!ExternalData_412</vt:lpstr>
      <vt:lpstr>'REPORT SYNC'!ExternalData_413</vt:lpstr>
      <vt:lpstr>'REPORT SYNC'!ExternalData_414</vt:lpstr>
      <vt:lpstr>'REPORT SYNC'!ExternalData_415</vt:lpstr>
      <vt:lpstr>'REPORT SYNC'!ExternalData_416</vt:lpstr>
      <vt:lpstr>'REPORT SYNC'!ExternalData_417</vt:lpstr>
      <vt:lpstr>'REPORT SYNC'!ExternalData_418</vt:lpstr>
      <vt:lpstr>'REPORT SYNC'!ExternalData_419</vt:lpstr>
      <vt:lpstr>'REPORT SYNC'!ExternalData_42</vt:lpstr>
      <vt:lpstr>'REPORT SYNC'!ExternalData_420</vt:lpstr>
      <vt:lpstr>'REPORT SYNC'!ExternalData_421</vt:lpstr>
      <vt:lpstr>'REPORT SYNC'!ExternalData_422</vt:lpstr>
      <vt:lpstr>'REPORT SYNC'!ExternalData_423</vt:lpstr>
      <vt:lpstr>'REPORT SYNC'!ExternalData_424</vt:lpstr>
      <vt:lpstr>'REPORT SYNC'!ExternalData_425</vt:lpstr>
      <vt:lpstr>'REPORT SYNC'!ExternalData_426</vt:lpstr>
      <vt:lpstr>'REPORT SYNC'!ExternalData_427</vt:lpstr>
      <vt:lpstr>'REPORT SYNC'!ExternalData_428</vt:lpstr>
      <vt:lpstr>'REPORT SYNC'!ExternalData_429</vt:lpstr>
      <vt:lpstr>'REPORT SYNC'!ExternalData_43</vt:lpstr>
      <vt:lpstr>'REPORT SYNC'!ExternalData_430</vt:lpstr>
      <vt:lpstr>'REPORT SYNC'!ExternalData_431</vt:lpstr>
      <vt:lpstr>'REPORT SYNC'!ExternalData_432</vt:lpstr>
      <vt:lpstr>'REPORT SYNC'!ExternalData_433</vt:lpstr>
      <vt:lpstr>'REPORT SYNC'!ExternalData_434</vt:lpstr>
      <vt:lpstr>'REPORT SYNC'!ExternalData_435</vt:lpstr>
      <vt:lpstr>'REPORT SYNC'!ExternalData_436</vt:lpstr>
      <vt:lpstr>'REPORT SYNC'!ExternalData_437</vt:lpstr>
      <vt:lpstr>'REPORT SYNC'!ExternalData_438</vt:lpstr>
      <vt:lpstr>'REPORT SYNC'!ExternalData_439</vt:lpstr>
      <vt:lpstr>'REPORT SYNC'!ExternalData_44</vt:lpstr>
      <vt:lpstr>'REPORT SYNC'!ExternalData_440</vt:lpstr>
      <vt:lpstr>'REPORT SYNC'!ExternalData_441</vt:lpstr>
      <vt:lpstr>'REPORT SYNC'!ExternalData_442</vt:lpstr>
      <vt:lpstr>'REPORT SYNC'!ExternalData_443</vt:lpstr>
      <vt:lpstr>'REPORT SYNC'!ExternalData_444</vt:lpstr>
      <vt:lpstr>'REPORT SYNC'!ExternalData_445</vt:lpstr>
      <vt:lpstr>'REPORT SYNC'!ExternalData_446</vt:lpstr>
      <vt:lpstr>'REPORT SYNC'!ExternalData_447</vt:lpstr>
      <vt:lpstr>'REPORT SYNC'!ExternalData_448</vt:lpstr>
      <vt:lpstr>'REPORT SYNC'!ExternalData_449</vt:lpstr>
      <vt:lpstr>'REPORT SYNC'!ExternalData_45</vt:lpstr>
      <vt:lpstr>'REPORT SYNC'!ExternalData_450</vt:lpstr>
      <vt:lpstr>'REPORT SYNC'!ExternalData_451</vt:lpstr>
      <vt:lpstr>'REPORT SYNC'!ExternalData_452</vt:lpstr>
      <vt:lpstr>'REPORT SYNC'!ExternalData_453</vt:lpstr>
      <vt:lpstr>'REPORT SYNC'!ExternalData_454</vt:lpstr>
      <vt:lpstr>'REPORT SYNC'!ExternalData_455</vt:lpstr>
      <vt:lpstr>'REPORT SYNC'!ExternalData_456</vt:lpstr>
      <vt:lpstr>'REPORT SYNC'!ExternalData_457</vt:lpstr>
      <vt:lpstr>'REPORT SYNC'!ExternalData_458</vt:lpstr>
      <vt:lpstr>'REPORT SYNC'!ExternalData_459</vt:lpstr>
      <vt:lpstr>'REPORT SYNC'!ExternalData_46</vt:lpstr>
      <vt:lpstr>'REPORT SYNC'!ExternalData_460</vt:lpstr>
      <vt:lpstr>'REPORT SYNC'!ExternalData_461</vt:lpstr>
      <vt:lpstr>'REPORT SYNC'!ExternalData_462</vt:lpstr>
      <vt:lpstr>'REPORT SYNC'!ExternalData_463</vt:lpstr>
      <vt:lpstr>'REPORT SYNC'!ExternalData_464</vt:lpstr>
      <vt:lpstr>'REPORT SYNC'!ExternalData_465</vt:lpstr>
      <vt:lpstr>'REPORT SYNC'!ExternalData_466</vt:lpstr>
      <vt:lpstr>'REPORT SYNC'!ExternalData_467</vt:lpstr>
      <vt:lpstr>'REPORT SYNC'!ExternalData_468</vt:lpstr>
      <vt:lpstr>'REPORT SYNC'!ExternalData_469</vt:lpstr>
      <vt:lpstr>'REPORT SYNC'!ExternalData_47</vt:lpstr>
      <vt:lpstr>'REPORT SYNC'!ExternalData_470</vt:lpstr>
      <vt:lpstr>'REPORT SYNC'!ExternalData_471</vt:lpstr>
      <vt:lpstr>'REPORT SYNC'!ExternalData_472</vt:lpstr>
      <vt:lpstr>'REPORT SYNC'!ExternalData_473</vt:lpstr>
      <vt:lpstr>'REPORT SYNC'!ExternalData_474</vt:lpstr>
      <vt:lpstr>'REPORT SYNC'!ExternalData_475</vt:lpstr>
      <vt:lpstr>'REPORT SYNC'!ExternalData_476</vt:lpstr>
      <vt:lpstr>'REPORT SYNC'!ExternalData_477</vt:lpstr>
      <vt:lpstr>'REPORT SYNC'!ExternalData_478</vt:lpstr>
      <vt:lpstr>'REPORT SYNC'!ExternalData_479</vt:lpstr>
      <vt:lpstr>'REPORT SYNC'!ExternalData_48</vt:lpstr>
      <vt:lpstr>'REPORT SYNC'!ExternalData_480</vt:lpstr>
      <vt:lpstr>'REPORT SYNC'!ExternalData_481</vt:lpstr>
      <vt:lpstr>'REPORT SYNC'!ExternalData_482</vt:lpstr>
      <vt:lpstr>'REPORT SYNC'!ExternalData_483</vt:lpstr>
      <vt:lpstr>'REPORT SYNC'!ExternalData_484</vt:lpstr>
      <vt:lpstr>'REPORT SYNC'!ExternalData_485</vt:lpstr>
      <vt:lpstr>'REPORT SYNC'!ExternalData_486</vt:lpstr>
      <vt:lpstr>'REPORT SYNC'!ExternalData_487</vt:lpstr>
      <vt:lpstr>'REPORT SYNC'!ExternalData_488</vt:lpstr>
      <vt:lpstr>'REPORT SYNC'!ExternalData_489</vt:lpstr>
      <vt:lpstr>'REPORT SYNC'!ExternalData_49</vt:lpstr>
      <vt:lpstr>'REPORT SYNC'!ExternalData_490</vt:lpstr>
      <vt:lpstr>'REPORT SYNC'!ExternalData_491</vt:lpstr>
      <vt:lpstr>'REPORT SYNC'!ExternalData_492</vt:lpstr>
      <vt:lpstr>'REPORT SYNC'!ExternalData_493</vt:lpstr>
      <vt:lpstr>'REPORT SYNC'!ExternalData_494</vt:lpstr>
      <vt:lpstr>'REPORT SYNC'!ExternalData_495</vt:lpstr>
      <vt:lpstr>'REPORT SYNC'!ExternalData_496</vt:lpstr>
      <vt:lpstr>'REPORT SYNC'!ExternalData_497</vt:lpstr>
      <vt:lpstr>'REPORT SYNC'!ExternalData_498</vt:lpstr>
      <vt:lpstr>'REPORT SYNC'!ExternalData_499</vt:lpstr>
      <vt:lpstr>'REPORT SYNC'!ExternalData_5</vt:lpstr>
      <vt:lpstr>'REPORT SYNC'!ExternalData_50</vt:lpstr>
      <vt:lpstr>'REPORT SYNC'!ExternalData_500</vt:lpstr>
      <vt:lpstr>'REPORT SYNC'!ExternalData_501</vt:lpstr>
      <vt:lpstr>'REPORT SYNC'!ExternalData_502</vt:lpstr>
      <vt:lpstr>'REPORT SYNC'!ExternalData_503</vt:lpstr>
      <vt:lpstr>'REPORT SYNC'!ExternalData_504</vt:lpstr>
      <vt:lpstr>'REPORT SYNC'!ExternalData_505</vt:lpstr>
      <vt:lpstr>'REPORT SYNC'!ExternalData_506</vt:lpstr>
      <vt:lpstr>'REPORT SYNC'!ExternalData_507</vt:lpstr>
      <vt:lpstr>'REPORT SYNC'!ExternalData_508</vt:lpstr>
      <vt:lpstr>'REPORT SYNC'!ExternalData_509</vt:lpstr>
      <vt:lpstr>'REPORT SYNC'!ExternalData_51</vt:lpstr>
      <vt:lpstr>'REPORT SYNC'!ExternalData_510</vt:lpstr>
      <vt:lpstr>'REPORT SYNC'!ExternalData_511</vt:lpstr>
      <vt:lpstr>'REPORT SYNC'!ExternalData_512</vt:lpstr>
      <vt:lpstr>'REPORT SYNC'!ExternalData_513</vt:lpstr>
      <vt:lpstr>'REPORT SYNC'!ExternalData_514</vt:lpstr>
      <vt:lpstr>'REPORT SYNC'!ExternalData_515</vt:lpstr>
      <vt:lpstr>'REPORT SYNC'!ExternalData_516</vt:lpstr>
      <vt:lpstr>'REPORT SYNC'!ExternalData_517</vt:lpstr>
      <vt:lpstr>'REPORT SYNC'!ExternalData_518</vt:lpstr>
      <vt:lpstr>'REPORT SYNC'!ExternalData_52</vt:lpstr>
      <vt:lpstr>'REPORT SYNC'!ExternalData_53</vt:lpstr>
      <vt:lpstr>'REPORT SYNC'!ExternalData_54</vt:lpstr>
      <vt:lpstr>'REPORT SYNC'!ExternalData_55</vt:lpstr>
      <vt:lpstr>'REPORT SYNC'!ExternalData_56</vt:lpstr>
      <vt:lpstr>'REPORT SYNC'!ExternalData_57</vt:lpstr>
      <vt:lpstr>'REPORT SYNC'!ExternalData_58</vt:lpstr>
      <vt:lpstr>'REPORT SYNC'!ExternalData_6</vt:lpstr>
      <vt:lpstr>'REPORT SYNC'!ExternalData_61</vt:lpstr>
      <vt:lpstr>'REPORT SYNC'!ExternalData_62</vt:lpstr>
      <vt:lpstr>'REPORT SYNC'!ExternalData_63</vt:lpstr>
      <vt:lpstr>'REPORT SYNC'!ExternalData_64</vt:lpstr>
      <vt:lpstr>'REPORT SYNC'!ExternalData_65</vt:lpstr>
      <vt:lpstr>'REPORT SYNC'!ExternalData_66</vt:lpstr>
      <vt:lpstr>'REPORT SYNC'!ExternalData_67</vt:lpstr>
      <vt:lpstr>'REPORT SYNC'!ExternalData_68</vt:lpstr>
      <vt:lpstr>'REPORT SYNC'!ExternalData_69</vt:lpstr>
      <vt:lpstr>'REPORT SYNC'!ExternalData_7</vt:lpstr>
      <vt:lpstr>'REPORT SYNC'!ExternalData_70</vt:lpstr>
      <vt:lpstr>'REPORT SYNC'!ExternalData_71</vt:lpstr>
      <vt:lpstr>'REPORT SYNC'!ExternalData_72</vt:lpstr>
      <vt:lpstr>'REPORT SYNC'!ExternalData_73</vt:lpstr>
      <vt:lpstr>'REPORT SYNC'!ExternalData_74</vt:lpstr>
      <vt:lpstr>'REPORT SYNC'!ExternalData_75</vt:lpstr>
      <vt:lpstr>'REPORT SYNC'!ExternalData_76</vt:lpstr>
      <vt:lpstr>'REPORT SYNC'!ExternalData_77</vt:lpstr>
      <vt:lpstr>'REPORT SYNC'!ExternalData_78</vt:lpstr>
      <vt:lpstr>'REPORT SYNC'!ExternalData_79</vt:lpstr>
      <vt:lpstr>'REPORT SYNC'!ExternalData_8</vt:lpstr>
      <vt:lpstr>'REPORT SYNC'!ExternalData_80</vt:lpstr>
      <vt:lpstr>'REPORT SYNC'!ExternalData_81</vt:lpstr>
      <vt:lpstr>'REPORT SYNC'!ExternalData_82</vt:lpstr>
      <vt:lpstr>'REPORT SYNC'!ExternalData_83</vt:lpstr>
      <vt:lpstr>'REPORT SYNC'!ExternalData_84</vt:lpstr>
      <vt:lpstr>'REPORT SYNC'!ExternalData_85</vt:lpstr>
      <vt:lpstr>'REPORT SYNC'!ExternalData_86</vt:lpstr>
      <vt:lpstr>'REPORT SYNC'!ExternalData_87</vt:lpstr>
      <vt:lpstr>'REPORT SYNC'!ExternalData_88</vt:lpstr>
      <vt:lpstr>'REPORT SYNC'!ExternalData_89</vt:lpstr>
      <vt:lpstr>'REPORT SYNC'!ExternalData_9</vt:lpstr>
      <vt:lpstr>'REPORT SYNC'!ExternalData_90</vt:lpstr>
      <vt:lpstr>'REPORT SYNC'!ExternalData_91</vt:lpstr>
      <vt:lpstr>'REPORT SYNC'!ExternalData_92</vt:lpstr>
      <vt:lpstr>'REPORT SYNC'!ExternalData_93</vt:lpstr>
      <vt:lpstr>'REPORT SYNC'!ExternalData_94</vt:lpstr>
      <vt:lpstr>'REPORT SYNC'!ExternalData_95</vt:lpstr>
      <vt:lpstr>'REPORT SYNC'!ExternalData_96</vt:lpstr>
      <vt:lpstr>'REPORT SYNC'!ExternalData_97</vt:lpstr>
      <vt:lpstr>'REPORT SYNC'!ExternalData_98</vt:lpstr>
      <vt:lpstr>'REPORT SYNC'!ExternalData_99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Capecchi</dc:creator>
  <cp:lastModifiedBy>Bill Capecchi</cp:lastModifiedBy>
  <dcterms:created xsi:type="dcterms:W3CDTF">2017-12-10T15:07:59Z</dcterms:created>
  <dcterms:modified xsi:type="dcterms:W3CDTF">2018-01-22T21:03:20Z</dcterms:modified>
</cp:coreProperties>
</file>