
<file path=[Content_Types].xml><?xml version="1.0" encoding="utf-8"?>
<Types xmlns="http://schemas.openxmlformats.org/package/2006/content-types">
  <Default Extension="xml" ContentType="application/xml"/>
  <Default Extension="jpeg" ContentType="image/jpeg"/>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6812" codeName="{8C4F1C90-05EB-6A55-5F09-09C24B55AC0B}"/>
  <workbookPr codeName="ThisWorkbook" autoCompressPictures="0"/>
  <mc:AlternateContent xmlns:mc="http://schemas.openxmlformats.org/markup-compatibility/2006">
    <mc:Choice Requires="x15">
      <x15ac:absPath xmlns:x15ac="http://schemas.microsoft.com/office/spreadsheetml/2010/11/ac" url="/Volumes/Share/Sales/"/>
    </mc:Choice>
  </mc:AlternateContent>
  <bookViews>
    <workbookView xWindow="0" yWindow="460" windowWidth="28800" windowHeight="16480" firstSheet="4" activeTab="5"/>
  </bookViews>
  <sheets>
    <sheet name="Job Info" sheetId="4" r:id="rId1"/>
    <sheet name="Crew Builder" sheetId="5" r:id="rId2"/>
    <sheet name="Admin Set Up" sheetId="2" r:id="rId3"/>
    <sheet name="Take Off" sheetId="11" r:id="rId4"/>
    <sheet name="Misc Take Off" sheetId="25" r:id="rId5"/>
    <sheet name="Base Estimate" sheetId="12" r:id="rId6"/>
    <sheet name="Alternate Estimate" sheetId="23" r:id="rId7"/>
    <sheet name="Equipment" sheetId="9" r:id="rId8"/>
    <sheet name="Support" sheetId="1" r:id="rId9"/>
    <sheet name="New Proposal" sheetId="24" r:id="rId10"/>
    <sheet name="Proposal" sheetId="16" r:id="rId11"/>
    <sheet name="Hour Tracking" sheetId="17" r:id="rId12"/>
    <sheet name="Summary" sheetId="15" r:id="rId13"/>
    <sheet name="CO Set Up" sheetId="20" r:id="rId14"/>
    <sheet name="Change Order" sheetId="19" r:id="rId15"/>
    <sheet name="CO Log" sheetId="22" r:id="rId16"/>
    <sheet name="CR Template" sheetId="21" r:id="rId17"/>
    <sheet name="Data" sheetId="3" r:id="rId18"/>
    <sheet name="Labor Burden" sheetId="7" r:id="rId19"/>
    <sheet name="Labor Rates" sheetId="14" r:id="rId20"/>
    <sheet name="Labor Calc" sheetId="6" r:id="rId21"/>
    <sheet name="Job Analysis" sheetId="18" r:id="rId22"/>
    <sheet name="OH&amp;P" sheetId="8" r:id="rId23"/>
    <sheet name="Notes" sheetId="10" r:id="rId24"/>
    <sheet name="Product" sheetId="13" r:id="rId25"/>
  </sheets>
  <externalReferences>
    <externalReference r:id="rId26"/>
    <externalReference r:id="rId27"/>
    <externalReference r:id="rId28"/>
  </externalReferences>
  <definedNames>
    <definedName name="ABL">Data!$A$60:$A$61</definedName>
    <definedName name="address">'Job Info'!$C$20:$C$21</definedName>
    <definedName name="Alts">Data!$A$68:$A$77</definedName>
    <definedName name="city">'Job Info'!$D$20:$D$21</definedName>
    <definedName name="client">'Job Info'!$A$20:$A$21</definedName>
    <definedName name="coe" localSheetId="15">[1]Data!$A$21:$A$27</definedName>
    <definedName name="coe">Data!$A$21:$A$27</definedName>
    <definedName name="cologic" localSheetId="15">[1]Data!$A$48:$A$51</definedName>
    <definedName name="cologic">Data!$A$48:$A$51</definedName>
    <definedName name="cond" localSheetId="16">[2]Data!$A$50:$A$51</definedName>
    <definedName name="cond">[3]Data!$A$9:$A$10</definedName>
    <definedName name="contact">'Job Info'!$B$20:$B$21</definedName>
    <definedName name="cotrack" localSheetId="15">[1]Data!$A$54:$A$57</definedName>
    <definedName name="cotrack">Data!$A$54:$A$57</definedName>
    <definedName name="cs" localSheetId="15">[1]Data!$A$12:$A$17</definedName>
    <definedName name="cs">Data!$A$12:$A$17</definedName>
    <definedName name="dur">[3]Data!$A$13:$A$15</definedName>
    <definedName name="email">'[3]Company Data'!$B$18:$B$22</definedName>
    <definedName name="ename">'[3]Company Data'!$A$18:$A$22</definedName>
    <definedName name="ephone">'[3]Company Data'!$C$18:$C$22</definedName>
    <definedName name="equip">[2]Data!$A$62:$A$66</definedName>
    <definedName name="etitle">'[3]Company Data'!$D$18:$D$22</definedName>
    <definedName name="excl">Data!$A$80:$A$89</definedName>
    <definedName name="item">[3]Systems!$A$2:$A$10</definedName>
    <definedName name="lic">Data!$A$92:$A$95</definedName>
    <definedName name="lifts">[2]Data!$A$54:$A$59</definedName>
    <definedName name="location" localSheetId="15">[1]Data!$A$41:$A$45</definedName>
    <definedName name="location">Data!$A$41:$A$45</definedName>
    <definedName name="logic" localSheetId="15">[1]Data!$A$2:$A$3</definedName>
    <definedName name="logic">Data!$A$2:$A$3</definedName>
    <definedName name="material" localSheetId="15">[1]Product!$A$2:$A$10</definedName>
    <definedName name="material">Product!$A$2:$A$6</definedName>
    <definedName name="method">[3]Data!$A$2:$A$6</definedName>
    <definedName name="ot">[2]Data!$A$75:$A$76</definedName>
    <definedName name="_xlnm.Print_Area" localSheetId="15">'CO Log'!$A$1:$G$29</definedName>
    <definedName name="_xlnm.Print_Area" localSheetId="16">'CR Template'!$A$1:$L$33</definedName>
    <definedName name="_xlnm.Print_Area" localSheetId="9">'New Proposal'!$A$1:$N$50</definedName>
    <definedName name="product">[3]Systems!$A$28:$A$33</definedName>
    <definedName name="shift" localSheetId="16">[2]Data!$A$8:$A$11</definedName>
    <definedName name="shift">[3]Data!$A$18:$A$20</definedName>
    <definedName name="state">[3]Data!$A$23:$A$26</definedName>
    <definedName name="status">[2]Data!$A$69:$A$71</definedName>
    <definedName name="substrate">[3]Systems!$A$14:$A$20</definedName>
    <definedName name="system">[2]Data!$A$14:$A$47</definedName>
    <definedName name="terms">[2]Data!$A$2:$A$5</definedName>
    <definedName name="um">[2]Data!$A$79:$A$82</definedName>
    <definedName name="uofm" localSheetId="15">[1]Data!$A$30:$A$33</definedName>
    <definedName name="uofm">Data!$A$30:$A$33</definedName>
    <definedName name="uom">[3]Systems!$A$23:$A$25</definedName>
    <definedName name="ww" localSheetId="15">[1]Data!$A$36:$A$38</definedName>
    <definedName name="ww">Data!$A$36:$A$38</definedName>
  </definedNames>
  <calcPr calcId="15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F44" i="24" l="1"/>
  <c r="B11" i="5"/>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P137" i="11"/>
  <c r="AP138" i="11"/>
  <c r="AP139" i="11"/>
  <c r="AP140" i="11"/>
  <c r="AP141" i="11"/>
  <c r="AP142" i="11"/>
  <c r="AP143" i="11"/>
  <c r="AP144" i="11"/>
  <c r="AP145" i="11"/>
  <c r="AP146" i="11"/>
  <c r="AP147" i="11"/>
  <c r="AP148" i="11"/>
  <c r="AP149" i="11"/>
  <c r="AP150" i="11"/>
  <c r="AP151" i="11"/>
  <c r="AP152" i="11"/>
  <c r="AP153" i="11"/>
  <c r="AP154" i="11"/>
  <c r="AP155" i="11"/>
  <c r="AP156" i="11"/>
  <c r="AP157" i="11"/>
  <c r="AP158" i="11"/>
  <c r="AP159" i="11"/>
  <c r="AP160" i="11"/>
  <c r="AP161" i="11"/>
  <c r="AP162" i="11"/>
  <c r="AP163" i="11"/>
  <c r="AP164" i="11"/>
  <c r="AP165" i="11"/>
  <c r="AP166" i="11"/>
  <c r="AP167" i="11"/>
  <c r="AP168" i="11"/>
  <c r="AP169" i="11"/>
  <c r="AP170" i="11"/>
  <c r="AP171" i="11"/>
  <c r="AP172" i="11"/>
  <c r="AP173" i="11"/>
  <c r="AP174" i="11"/>
  <c r="AP175" i="11"/>
  <c r="AP176" i="11"/>
  <c r="AP177" i="11"/>
  <c r="AP178" i="11"/>
  <c r="AP179" i="11"/>
  <c r="AP180" i="11"/>
  <c r="AP181" i="11"/>
  <c r="AP182" i="11"/>
  <c r="AP183" i="11"/>
  <c r="AP184" i="11"/>
  <c r="AP185" i="11"/>
  <c r="AP186" i="11"/>
  <c r="AP187" i="11"/>
  <c r="AP188" i="11"/>
  <c r="AP189" i="11"/>
  <c r="AP190" i="11"/>
  <c r="AP191" i="11"/>
  <c r="AP192" i="11"/>
  <c r="AP193" i="11"/>
  <c r="AP194" i="11"/>
  <c r="AP195" i="11"/>
  <c r="AP196" i="11"/>
  <c r="AP197" i="11"/>
  <c r="AP198" i="11"/>
  <c r="AP199" i="11"/>
  <c r="AP200" i="11"/>
  <c r="AP201" i="11"/>
  <c r="AP202" i="11"/>
  <c r="AP203" i="11"/>
  <c r="AP204" i="11"/>
  <c r="AP205" i="11"/>
  <c r="AP206" i="11"/>
  <c r="AP207" i="11"/>
  <c r="AP208" i="11"/>
  <c r="AP209" i="11"/>
  <c r="AP210" i="11"/>
  <c r="AP211" i="11"/>
  <c r="AP212" i="11"/>
  <c r="AP213" i="11"/>
  <c r="AP214" i="11"/>
  <c r="AP215" i="11"/>
  <c r="AP216" i="11"/>
  <c r="AP217" i="11"/>
  <c r="AP218" i="11"/>
  <c r="AP219" i="11"/>
  <c r="AP220" i="11"/>
  <c r="AP221" i="11"/>
  <c r="AP222" i="11"/>
  <c r="AP223" i="11"/>
  <c r="AP224" i="11"/>
  <c r="AP225" i="11"/>
  <c r="AP226" i="11"/>
  <c r="AP227" i="11"/>
  <c r="AP228" i="11"/>
  <c r="AP229" i="11"/>
  <c r="AP230" i="11"/>
  <c r="AP231" i="11"/>
  <c r="AP232" i="11"/>
  <c r="AP233" i="11"/>
  <c r="AP234" i="11"/>
  <c r="AP235" i="11"/>
  <c r="AP236" i="11"/>
  <c r="AP237" i="11"/>
  <c r="AP238" i="11"/>
  <c r="AP239" i="11"/>
  <c r="AP240" i="11"/>
  <c r="AP241" i="11"/>
  <c r="AP242" i="11"/>
  <c r="AP243" i="11"/>
  <c r="AP244" i="11"/>
  <c r="AP245" i="11"/>
  <c r="AP246" i="11"/>
  <c r="AP247" i="11"/>
  <c r="AP248" i="11"/>
  <c r="AP249" i="11"/>
  <c r="AP250" i="11"/>
  <c r="AP251" i="11"/>
  <c r="AP252" i="11"/>
  <c r="AP253" i="11"/>
  <c r="AP254" i="11"/>
  <c r="AP255" i="11"/>
  <c r="AP256" i="11"/>
  <c r="AP257" i="11"/>
  <c r="AP258" i="11"/>
  <c r="AP259" i="11"/>
  <c r="AP260" i="11"/>
  <c r="AP261" i="11"/>
  <c r="AP262" i="11"/>
  <c r="AP263" i="11"/>
  <c r="AP264" i="11"/>
  <c r="AP265" i="11"/>
  <c r="AP266" i="11"/>
  <c r="AP267" i="11"/>
  <c r="AP268" i="11"/>
  <c r="AP269" i="11"/>
  <c r="AP270" i="11"/>
  <c r="AP271" i="11"/>
  <c r="AP272" i="11"/>
  <c r="AP273" i="11"/>
  <c r="AP274" i="11"/>
  <c r="AP275" i="11"/>
  <c r="AP276" i="11"/>
  <c r="AP277" i="11"/>
  <c r="AP278" i="11"/>
  <c r="AP279" i="11"/>
  <c r="AP280" i="11"/>
  <c r="AP281" i="11"/>
  <c r="AP282" i="11"/>
  <c r="AP283" i="11"/>
  <c r="AP284" i="11"/>
  <c r="AP285" i="11"/>
  <c r="AP286" i="11"/>
  <c r="AP287" i="11"/>
  <c r="AP288" i="11"/>
  <c r="AP289" i="11"/>
  <c r="AP290" i="11"/>
  <c r="AP291" i="11"/>
  <c r="AP292" i="11"/>
  <c r="AP293" i="11"/>
  <c r="AP294" i="11"/>
  <c r="AP295" i="11"/>
  <c r="AP296" i="11"/>
  <c r="AP297" i="11"/>
  <c r="AP298" i="11"/>
  <c r="AP299" i="11"/>
  <c r="AP300" i="11"/>
  <c r="AP301" i="11"/>
  <c r="AP302" i="11"/>
  <c r="AP303" i="11"/>
  <c r="AP304" i="11"/>
  <c r="AP305" i="11"/>
  <c r="AP306" i="11"/>
  <c r="AP307" i="11"/>
  <c r="AP308" i="11"/>
  <c r="AP309" i="11"/>
  <c r="AP310" i="11"/>
  <c r="AP311" i="11"/>
  <c r="AP312" i="11"/>
  <c r="AP313" i="11"/>
  <c r="AP314" i="11"/>
  <c r="AP315" i="11"/>
  <c r="AP316" i="11"/>
  <c r="AP317" i="11"/>
  <c r="AP318" i="11"/>
  <c r="AP319" i="11"/>
  <c r="AP320" i="11"/>
  <c r="AP321" i="11"/>
  <c r="AP322" i="11"/>
  <c r="AP323" i="11"/>
  <c r="AP324" i="11"/>
  <c r="AP325" i="11"/>
  <c r="AP326" i="11"/>
  <c r="AP327" i="11"/>
  <c r="AP328" i="11"/>
  <c r="AP329" i="11"/>
  <c r="AP330" i="11"/>
  <c r="AP331" i="11"/>
  <c r="AP332" i="11"/>
  <c r="AP333" i="11"/>
  <c r="AP334" i="11"/>
  <c r="AP335" i="11"/>
  <c r="AP336" i="11"/>
  <c r="AP337" i="11"/>
  <c r="AP338" i="11"/>
  <c r="AP339" i="11"/>
  <c r="AP340" i="11"/>
  <c r="AP341" i="11"/>
  <c r="AP342" i="11"/>
  <c r="AP343" i="11"/>
  <c r="AP344" i="11"/>
  <c r="AP345" i="11"/>
  <c r="AP346" i="11"/>
  <c r="AP347" i="11"/>
  <c r="AP348" i="11"/>
  <c r="AP349" i="11"/>
  <c r="AP350" i="11"/>
  <c r="AP351" i="11"/>
  <c r="AP352" i="11"/>
  <c r="AP353" i="11"/>
  <c r="AP354" i="11"/>
  <c r="AP355" i="11"/>
  <c r="AP356" i="11"/>
  <c r="AP357" i="11"/>
  <c r="AP358" i="11"/>
  <c r="AP359" i="11"/>
  <c r="AP360" i="11"/>
  <c r="AP361" i="11"/>
  <c r="AP362" i="11"/>
  <c r="AP363" i="11"/>
  <c r="AP364" i="11"/>
  <c r="AP365" i="11"/>
  <c r="AP366" i="11"/>
  <c r="AP367" i="11"/>
  <c r="AP368" i="11"/>
  <c r="AP369" i="11"/>
  <c r="AP370" i="11"/>
  <c r="AP371" i="11"/>
  <c r="AP372" i="11"/>
  <c r="AP373" i="11"/>
  <c r="F374" i="11"/>
  <c r="AP374" i="11"/>
  <c r="AP375" i="11"/>
  <c r="AP376" i="11"/>
  <c r="AP377" i="11"/>
  <c r="AP378" i="11"/>
  <c r="AP379" i="11"/>
  <c r="AP380" i="11"/>
  <c r="AP381" i="11"/>
  <c r="AP382" i="11"/>
  <c r="AP383" i="11"/>
  <c r="AP384" i="11"/>
  <c r="AP385" i="11"/>
  <c r="AP386" i="11"/>
  <c r="AP387" i="11"/>
  <c r="AP388" i="11"/>
  <c r="AP389" i="11"/>
  <c r="AP390" i="11"/>
  <c r="AP391" i="11"/>
  <c r="AP392" i="11"/>
  <c r="AP393" i="11"/>
  <c r="AP394" i="11"/>
  <c r="AP395" i="11"/>
  <c r="AP396" i="11"/>
  <c r="AP397" i="11"/>
  <c r="AP398" i="11"/>
  <c r="F399" i="11"/>
  <c r="AP399" i="11"/>
  <c r="AP400" i="11"/>
  <c r="AP401" i="11"/>
  <c r="AP402" i="11"/>
  <c r="AP403" i="11"/>
  <c r="AP404" i="11"/>
  <c r="AP405" i="11"/>
  <c r="AP406" i="11"/>
  <c r="AP407" i="11"/>
  <c r="AP408" i="11"/>
  <c r="AP409" i="11"/>
  <c r="AP410" i="11"/>
  <c r="AP411" i="11"/>
  <c r="AP412" i="11"/>
  <c r="AP413" i="11"/>
  <c r="AP414" i="11"/>
  <c r="AP415" i="11"/>
  <c r="AP416" i="11"/>
  <c r="AP417" i="11"/>
  <c r="AP418" i="11"/>
  <c r="AP419" i="11"/>
  <c r="AP420" i="11"/>
  <c r="AP421" i="11"/>
  <c r="AP422" i="11"/>
  <c r="AP423" i="11"/>
  <c r="AP424" i="11"/>
  <c r="AP425" i="11"/>
  <c r="AP426" i="11"/>
  <c r="AP427" i="11"/>
  <c r="AP428" i="11"/>
  <c r="AP429" i="11"/>
  <c r="AP430" i="11"/>
  <c r="AP431" i="11"/>
  <c r="AP432" i="11"/>
  <c r="AP433" i="11"/>
  <c r="AP434" i="11"/>
  <c r="AP435" i="11"/>
  <c r="AP436" i="11"/>
  <c r="AP437" i="11"/>
  <c r="AP438" i="11"/>
  <c r="AP439" i="11"/>
  <c r="AP440" i="11"/>
  <c r="AP441" i="11"/>
  <c r="AP442" i="11"/>
  <c r="AP443" i="11"/>
  <c r="AP444" i="11"/>
  <c r="AP445" i="11"/>
  <c r="AP446" i="11"/>
  <c r="AP447" i="11"/>
  <c r="AP448" i="11"/>
  <c r="AP449" i="11"/>
  <c r="AP450" i="11"/>
  <c r="AP451" i="11"/>
  <c r="AP452" i="11"/>
  <c r="AP453" i="11"/>
  <c r="AP454" i="11"/>
  <c r="AP455" i="11"/>
  <c r="AP456" i="11"/>
  <c r="AP457" i="11"/>
  <c r="AP458" i="11"/>
  <c r="AP459" i="11"/>
  <c r="AP460" i="11"/>
  <c r="AP461" i="11"/>
  <c r="AP462" i="11"/>
  <c r="AP463" i="11"/>
  <c r="AP464" i="11"/>
  <c r="AP465" i="11"/>
  <c r="AP466" i="11"/>
  <c r="AP467" i="11"/>
  <c r="AP468" i="11"/>
  <c r="AP469" i="11"/>
  <c r="AP470" i="11"/>
  <c r="AP471" i="11"/>
  <c r="AP472" i="11"/>
  <c r="AP473" i="11"/>
  <c r="AP474" i="11"/>
  <c r="AP475" i="11"/>
  <c r="AP476" i="11"/>
  <c r="AP477" i="11"/>
  <c r="AP478" i="11"/>
  <c r="AP479" i="11"/>
  <c r="AP480" i="11"/>
  <c r="AP481" i="11"/>
  <c r="AP482" i="11"/>
  <c r="AP483" i="11"/>
  <c r="AP484" i="11"/>
  <c r="AP485" i="11"/>
  <c r="AP486" i="11"/>
  <c r="AP487" i="11"/>
  <c r="AP488" i="11"/>
  <c r="AP489" i="11"/>
  <c r="AP490" i="11"/>
  <c r="AP491" i="11"/>
  <c r="AP492" i="11"/>
  <c r="AP493" i="11"/>
  <c r="AP494" i="11"/>
  <c r="AP495" i="11"/>
  <c r="AP496" i="11"/>
  <c r="AP497" i="11"/>
  <c r="AP498" i="11"/>
  <c r="AP499" i="11"/>
  <c r="AP500" i="11"/>
  <c r="AP501" i="11"/>
  <c r="AP502" i="11"/>
  <c r="AP503" i="11"/>
  <c r="AP504" i="11"/>
  <c r="AP505" i="11"/>
  <c r="AP506" i="11"/>
  <c r="AP507" i="11"/>
  <c r="AP508" i="11"/>
  <c r="AP509" i="11"/>
  <c r="AP510" i="11"/>
  <c r="AP511" i="11"/>
  <c r="AP512" i="11"/>
  <c r="AP513" i="11"/>
  <c r="AP514" i="11"/>
  <c r="AP515" i="11"/>
  <c r="AP516" i="11"/>
  <c r="AP517" i="11"/>
  <c r="AP518" i="11"/>
  <c r="AP519" i="11"/>
  <c r="AP520" i="11"/>
  <c r="AP521" i="11"/>
  <c r="AP522" i="11"/>
  <c r="AP523" i="11"/>
  <c r="AP524" i="11"/>
  <c r="AP525" i="11"/>
  <c r="AP526" i="11"/>
  <c r="AP527" i="11"/>
  <c r="AP528" i="11"/>
  <c r="AP529" i="11"/>
  <c r="AP530" i="11"/>
  <c r="AP531" i="11"/>
  <c r="AP532" i="11"/>
  <c r="AP533" i="11"/>
  <c r="AP534" i="11"/>
  <c r="AP535" i="11"/>
  <c r="AP536" i="11"/>
  <c r="AP537" i="11"/>
  <c r="AP538" i="11"/>
  <c r="AP539" i="11"/>
  <c r="AP540" i="11"/>
  <c r="AP541" i="11"/>
  <c r="AP542" i="11"/>
  <c r="AP543" i="11"/>
  <c r="AP544" i="11"/>
  <c r="AP545" i="11"/>
  <c r="AP546" i="11"/>
  <c r="AP547" i="11"/>
  <c r="AP548" i="11"/>
  <c r="AP549" i="11"/>
  <c r="AP550" i="11"/>
  <c r="AP551" i="11"/>
  <c r="AP552" i="11"/>
  <c r="AP553" i="11"/>
  <c r="AP554" i="11"/>
  <c r="AP555" i="11"/>
  <c r="AP556" i="11"/>
  <c r="AP557" i="11"/>
  <c r="AP558" i="11"/>
  <c r="AP559" i="11"/>
  <c r="AP560" i="11"/>
  <c r="AP561" i="11"/>
  <c r="AP562" i="11"/>
  <c r="AP563" i="11"/>
  <c r="AP564" i="11"/>
  <c r="AP565" i="11"/>
  <c r="AP566" i="11"/>
  <c r="AP567" i="11"/>
  <c r="AP568" i="11"/>
  <c r="AP569" i="11"/>
  <c r="AP570" i="11"/>
  <c r="AP571" i="11"/>
  <c r="AP572" i="11"/>
  <c r="AP573" i="11"/>
  <c r="AP574" i="11"/>
  <c r="AP575" i="11"/>
  <c r="AP576" i="11"/>
  <c r="AP577" i="11"/>
  <c r="AP578" i="11"/>
  <c r="AP579" i="11"/>
  <c r="AP580" i="11"/>
  <c r="AP581" i="11"/>
  <c r="AP582" i="11"/>
  <c r="AP583" i="11"/>
  <c r="AP584" i="11"/>
  <c r="AP585" i="11"/>
  <c r="AP586" i="11"/>
  <c r="AP587" i="11"/>
  <c r="AP588" i="11"/>
  <c r="AP589" i="11"/>
  <c r="AP590" i="11"/>
  <c r="AP591" i="11"/>
  <c r="AP592" i="11"/>
  <c r="AP593" i="11"/>
  <c r="AP594" i="11"/>
  <c r="AP595" i="11"/>
  <c r="AP596" i="11"/>
  <c r="AP597" i="11"/>
  <c r="AP598" i="11"/>
  <c r="AP599" i="11"/>
  <c r="AP600" i="11"/>
  <c r="AP601" i="11"/>
  <c r="AP602" i="11"/>
  <c r="AP603" i="11"/>
  <c r="AP604" i="11"/>
  <c r="AP605" i="11"/>
  <c r="AP606" i="11"/>
  <c r="AP607" i="11"/>
  <c r="AP608" i="11"/>
  <c r="AP609" i="11"/>
  <c r="AP610" i="11"/>
  <c r="AP611" i="11"/>
  <c r="AP612" i="11"/>
  <c r="AP613" i="11"/>
  <c r="AP614" i="11"/>
  <c r="AP615" i="11"/>
  <c r="AP616" i="11"/>
  <c r="AP617" i="11"/>
  <c r="AP618" i="11"/>
  <c r="AP619" i="11"/>
  <c r="AP620" i="11"/>
  <c r="AP621" i="11"/>
  <c r="AP622" i="11"/>
  <c r="AP623" i="11"/>
  <c r="AP624" i="11"/>
  <c r="AP625" i="11"/>
  <c r="AP626" i="11"/>
  <c r="AP627" i="11"/>
  <c r="AP628" i="11"/>
  <c r="AP629" i="11"/>
  <c r="AP630" i="11"/>
  <c r="AP631" i="11"/>
  <c r="AP632" i="11"/>
  <c r="AP633" i="11"/>
  <c r="AP634" i="11"/>
  <c r="AP635" i="11"/>
  <c r="AP636" i="11"/>
  <c r="AP637" i="11"/>
  <c r="AP638" i="11"/>
  <c r="AP639" i="11"/>
  <c r="AP640" i="11"/>
  <c r="AP641" i="11"/>
  <c r="AP642" i="11"/>
  <c r="AP643" i="11"/>
  <c r="AP644" i="11"/>
  <c r="AP645" i="11"/>
  <c r="AP646" i="11"/>
  <c r="AP647" i="11"/>
  <c r="AP648" i="11"/>
  <c r="AP649" i="11"/>
  <c r="AP650" i="11"/>
  <c r="AP651" i="11"/>
  <c r="AP652" i="11"/>
  <c r="AP653" i="11"/>
  <c r="AP654" i="11"/>
  <c r="AP655" i="11"/>
  <c r="AP656" i="11"/>
  <c r="AP657" i="11"/>
  <c r="AP658" i="11"/>
  <c r="AP659" i="11"/>
  <c r="AP660" i="11"/>
  <c r="AP661" i="11"/>
  <c r="AP662" i="11"/>
  <c r="AP663" i="11"/>
  <c r="AP664" i="11"/>
  <c r="AP665" i="11"/>
  <c r="AP666" i="11"/>
  <c r="AP667" i="11"/>
  <c r="AP668" i="11"/>
  <c r="AP669" i="11"/>
  <c r="AP670" i="11"/>
  <c r="AP671" i="11"/>
  <c r="AP672" i="11"/>
  <c r="AP673" i="11"/>
  <c r="AP674" i="11"/>
  <c r="AP675" i="11"/>
  <c r="AP676" i="11"/>
  <c r="AP677" i="11"/>
  <c r="AP678" i="11"/>
  <c r="AP679" i="11"/>
  <c r="AP680" i="11"/>
  <c r="AP681" i="11"/>
  <c r="AP682" i="11"/>
  <c r="AP683" i="11"/>
  <c r="AP684" i="11"/>
  <c r="AP685" i="11"/>
  <c r="AP686" i="11"/>
  <c r="AP687" i="11"/>
  <c r="AP688" i="11"/>
  <c r="AP689" i="11"/>
  <c r="AP690" i="11"/>
  <c r="AP691" i="11"/>
  <c r="AP692" i="11"/>
  <c r="AP693" i="11"/>
  <c r="AP694" i="11"/>
  <c r="AP695" i="11"/>
  <c r="AP696" i="11"/>
  <c r="AP697" i="11"/>
  <c r="AP698" i="11"/>
  <c r="AP699" i="11"/>
  <c r="AP700" i="11"/>
  <c r="AP701" i="11"/>
  <c r="AP702" i="11"/>
  <c r="AP703" i="11"/>
  <c r="AP704" i="11"/>
  <c r="AP705" i="11"/>
  <c r="AP706" i="11"/>
  <c r="AP707" i="11"/>
  <c r="AP708" i="11"/>
  <c r="AP709" i="11"/>
  <c r="AP710" i="11"/>
  <c r="AP711" i="11"/>
  <c r="AP712" i="11"/>
  <c r="AP713" i="11"/>
  <c r="AP714" i="11"/>
  <c r="AP715" i="11"/>
  <c r="AP716" i="11"/>
  <c r="AP717" i="11"/>
  <c r="AP718" i="11"/>
  <c r="AP719" i="11"/>
  <c r="AP720" i="11"/>
  <c r="AP721" i="11"/>
  <c r="AP722" i="11"/>
  <c r="AP723" i="11"/>
  <c r="AP724" i="11"/>
  <c r="AP725" i="11"/>
  <c r="AP726" i="11"/>
  <c r="AP727" i="11"/>
  <c r="AP728" i="11"/>
  <c r="AP729" i="11"/>
  <c r="AP730" i="11"/>
  <c r="AP731" i="11"/>
  <c r="AP732" i="11"/>
  <c r="AP733" i="11"/>
  <c r="AP734" i="11"/>
  <c r="AP735" i="11"/>
  <c r="AP736" i="11"/>
  <c r="AP737" i="11"/>
  <c r="AP738" i="11"/>
  <c r="AP739" i="11"/>
  <c r="AP740" i="11"/>
  <c r="AP741" i="11"/>
  <c r="AP742" i="11"/>
  <c r="AP743" i="11"/>
  <c r="AP744" i="11"/>
  <c r="AP745" i="11"/>
  <c r="AP746" i="11"/>
  <c r="AP747" i="11"/>
  <c r="AP748" i="11"/>
  <c r="AP749" i="11"/>
  <c r="AP750" i="11"/>
  <c r="AP751" i="11"/>
  <c r="AP752" i="11"/>
  <c r="AP753" i="11"/>
  <c r="AP754" i="11"/>
  <c r="AP755" i="11"/>
  <c r="AP756" i="11"/>
  <c r="AP757" i="11"/>
  <c r="AP758" i="11"/>
  <c r="AP759" i="11"/>
  <c r="AP760" i="11"/>
  <c r="AP761" i="11"/>
  <c r="AP762" i="11"/>
  <c r="AP763" i="11"/>
  <c r="AP764" i="11"/>
  <c r="AP765" i="11"/>
  <c r="AP766" i="11"/>
  <c r="AP767" i="11"/>
  <c r="AP768" i="11"/>
  <c r="AP769" i="11"/>
  <c r="AP770" i="11"/>
  <c r="AP771" i="11"/>
  <c r="AP772" i="11"/>
  <c r="AP773" i="11"/>
  <c r="AP774" i="11"/>
  <c r="AP775" i="11"/>
  <c r="AP776" i="11"/>
  <c r="AP777" i="11"/>
  <c r="AP778" i="11"/>
  <c r="AP779" i="11"/>
  <c r="AP780" i="11"/>
  <c r="AP781" i="11"/>
  <c r="AP782" i="11"/>
  <c r="AP783" i="11"/>
  <c r="AP784" i="11"/>
  <c r="AP785" i="11"/>
  <c r="AP786" i="11"/>
  <c r="AP787" i="11"/>
  <c r="AP788" i="11"/>
  <c r="AP789" i="11"/>
  <c r="AP790" i="11"/>
  <c r="AP791" i="11"/>
  <c r="AP792" i="11"/>
  <c r="AP793" i="11"/>
  <c r="AP794" i="11"/>
  <c r="AP795" i="11"/>
  <c r="AP796" i="11"/>
  <c r="AP797" i="11"/>
  <c r="AP798" i="11"/>
  <c r="AP799" i="11"/>
  <c r="AP800" i="11"/>
  <c r="AP801" i="11"/>
  <c r="AP802" i="11"/>
  <c r="AP803" i="11"/>
  <c r="AP804" i="11"/>
  <c r="AP805" i="11"/>
  <c r="AP806" i="11"/>
  <c r="AP807" i="11"/>
  <c r="AP808" i="11"/>
  <c r="AP809" i="11"/>
  <c r="AP810" i="11"/>
  <c r="AP811" i="11"/>
  <c r="AP812" i="11"/>
  <c r="AP813" i="11"/>
  <c r="AP814" i="11"/>
  <c r="AP815" i="11"/>
  <c r="AP816" i="11"/>
  <c r="AP817" i="11"/>
  <c r="AP818" i="11"/>
  <c r="AP819" i="11"/>
  <c r="AP820" i="11"/>
  <c r="AP821" i="11"/>
  <c r="AP822" i="11"/>
  <c r="AP823" i="11"/>
  <c r="AP824" i="11"/>
  <c r="AP825" i="11"/>
  <c r="AP826" i="11"/>
  <c r="AP827" i="11"/>
  <c r="AP828" i="11"/>
  <c r="AP829" i="11"/>
  <c r="AP830" i="11"/>
  <c r="AP831" i="11"/>
  <c r="AP832" i="11"/>
  <c r="AP833" i="11"/>
  <c r="AP834" i="11"/>
  <c r="AP835" i="11"/>
  <c r="AP836" i="11"/>
  <c r="AP837" i="11"/>
  <c r="AP838" i="11"/>
  <c r="AP839" i="11"/>
  <c r="AP840" i="11"/>
  <c r="AP841" i="11"/>
  <c r="AP842" i="11"/>
  <c r="AP843" i="11"/>
  <c r="AP844" i="11"/>
  <c r="AP845" i="11"/>
  <c r="AP846" i="11"/>
  <c r="AP847" i="11"/>
  <c r="AP848" i="11"/>
  <c r="AP849" i="11"/>
  <c r="AP850" i="11"/>
  <c r="AP851" i="11"/>
  <c r="AP852" i="11"/>
  <c r="AP853" i="11"/>
  <c r="AP854" i="11"/>
  <c r="AP855" i="11"/>
  <c r="AP856" i="11"/>
  <c r="AP857" i="11"/>
  <c r="AP858" i="11"/>
  <c r="AP859" i="11"/>
  <c r="AP860" i="11"/>
  <c r="AP861" i="11"/>
  <c r="AP862" i="11"/>
  <c r="AP863" i="11"/>
  <c r="AP864" i="11"/>
  <c r="AP865" i="11"/>
  <c r="AP866" i="11"/>
  <c r="AP867" i="11"/>
  <c r="AP868" i="11"/>
  <c r="AP869" i="11"/>
  <c r="AP870" i="11"/>
  <c r="AP871" i="11"/>
  <c r="AP872" i="11"/>
  <c r="AP873" i="11"/>
  <c r="AP874" i="11"/>
  <c r="AP875" i="11"/>
  <c r="AP876" i="11"/>
  <c r="AP877" i="11"/>
  <c r="AP878" i="11"/>
  <c r="AP879" i="11"/>
  <c r="AP880" i="11"/>
  <c r="AP881" i="11"/>
  <c r="AP882" i="11"/>
  <c r="AP883" i="11"/>
  <c r="AP884" i="11"/>
  <c r="AP885" i="11"/>
  <c r="AP886" i="11"/>
  <c r="AP887" i="11"/>
  <c r="AP888" i="11"/>
  <c r="AP889" i="11"/>
  <c r="AP890" i="11"/>
  <c r="AP891" i="11"/>
  <c r="AP892" i="11"/>
  <c r="AP893" i="11"/>
  <c r="AP894" i="11"/>
  <c r="AP895" i="11"/>
  <c r="AP896" i="11"/>
  <c r="AP897" i="11"/>
  <c r="AP898" i="11"/>
  <c r="AP899" i="11"/>
  <c r="AP900" i="11"/>
  <c r="AP901" i="11"/>
  <c r="AP902" i="11"/>
  <c r="AP903" i="11"/>
  <c r="AP904" i="11"/>
  <c r="AP905" i="11"/>
  <c r="AP906" i="11"/>
  <c r="AP907" i="11"/>
  <c r="AP908" i="11"/>
  <c r="AP909" i="11"/>
  <c r="AP910" i="11"/>
  <c r="AP911" i="11"/>
  <c r="AP912" i="11"/>
  <c r="AP913" i="11"/>
  <c r="AP914" i="11"/>
  <c r="AP915" i="11"/>
  <c r="AP916" i="11"/>
  <c r="AP917" i="11"/>
  <c r="AP918" i="11"/>
  <c r="AP919" i="11"/>
  <c r="AP920" i="11"/>
  <c r="AP921" i="11"/>
  <c r="AP922" i="11"/>
  <c r="AP923" i="11"/>
  <c r="AP924" i="11"/>
  <c r="AP925" i="11"/>
  <c r="AP926" i="11"/>
  <c r="AP927" i="11"/>
  <c r="AP928" i="11"/>
  <c r="AP929" i="11"/>
  <c r="AP930" i="11"/>
  <c r="AP931" i="11"/>
  <c r="AP932" i="11"/>
  <c r="AP933" i="11"/>
  <c r="AP934" i="11"/>
  <c r="AP935" i="11"/>
  <c r="AP936" i="11"/>
  <c r="AP937" i="11"/>
  <c r="AP938" i="11"/>
  <c r="AP939" i="11"/>
  <c r="AP940" i="11"/>
  <c r="AP941" i="11"/>
  <c r="AP942" i="11"/>
  <c r="AP943" i="11"/>
  <c r="AP944" i="11"/>
  <c r="AP945" i="11"/>
  <c r="AP946" i="11"/>
  <c r="AP947" i="11"/>
  <c r="AP948" i="11"/>
  <c r="AP949" i="11"/>
  <c r="AP950" i="11"/>
  <c r="AP951" i="11"/>
  <c r="AP952" i="11"/>
  <c r="AP953" i="11"/>
  <c r="AP954" i="11"/>
  <c r="AP955" i="11"/>
  <c r="AP956" i="11"/>
  <c r="AP957" i="11"/>
  <c r="AP958" i="11"/>
  <c r="AP959" i="11"/>
  <c r="AP960" i="11"/>
  <c r="AP961" i="11"/>
  <c r="AP962" i="11"/>
  <c r="AP963" i="11"/>
  <c r="AP964" i="11"/>
  <c r="AP965" i="11"/>
  <c r="AP966" i="11"/>
  <c r="AP967" i="11"/>
  <c r="AP968" i="11"/>
  <c r="AP969" i="11"/>
  <c r="AP970" i="11"/>
  <c r="AP971" i="11"/>
  <c r="AP972" i="11"/>
  <c r="AP973" i="11"/>
  <c r="AP974" i="11"/>
  <c r="AP975" i="11"/>
  <c r="AP976" i="11"/>
  <c r="AP978" i="11"/>
  <c r="AP979" i="11"/>
  <c r="AP980" i="11"/>
  <c r="AP981" i="11"/>
  <c r="AP982" i="11"/>
  <c r="AP983" i="11"/>
  <c r="AP984" i="11"/>
  <c r="AP985" i="11"/>
  <c r="AP986" i="11"/>
  <c r="AP987" i="11"/>
  <c r="AP988" i="11"/>
  <c r="AP989" i="11"/>
  <c r="AP990" i="11"/>
  <c r="AP991" i="11"/>
  <c r="AP992" i="11"/>
  <c r="AP993" i="11"/>
  <c r="AP994" i="11"/>
  <c r="AP995" i="11"/>
  <c r="AP996" i="11"/>
  <c r="AP997" i="11"/>
  <c r="AP998" i="11"/>
  <c r="AP999" i="11"/>
  <c r="AP1000" i="11"/>
  <c r="AP1001" i="11"/>
  <c r="AP1002" i="11"/>
  <c r="AP1003" i="11"/>
  <c r="AP1004" i="11"/>
  <c r="AP1005" i="11"/>
  <c r="AP1006" i="11"/>
  <c r="AP1007" i="11"/>
  <c r="AP1008" i="11"/>
  <c r="AP1009" i="11"/>
  <c r="AP1010" i="11"/>
  <c r="AP1011" i="11"/>
  <c r="AP1012" i="11"/>
  <c r="AP1013" i="11"/>
  <c r="AP1014" i="11"/>
  <c r="AP1015" i="11"/>
  <c r="AP1016" i="11"/>
  <c r="AP1017" i="11"/>
  <c r="AP1018" i="11"/>
  <c r="AP1019" i="11"/>
  <c r="AP1020" i="11"/>
  <c r="AP1021" i="11"/>
  <c r="AP1022" i="11"/>
  <c r="AP1023" i="11"/>
  <c r="AP1024" i="11"/>
  <c r="AP1025" i="11"/>
  <c r="AP1026" i="11"/>
  <c r="AP1027" i="11"/>
  <c r="AP1028" i="11"/>
  <c r="AP1029" i="11"/>
  <c r="AP1030" i="11"/>
  <c r="AP1031" i="11"/>
  <c r="AP1032" i="11"/>
  <c r="AP1033" i="11"/>
  <c r="AP1034" i="11"/>
  <c r="AP1035" i="11"/>
  <c r="AP1036" i="11"/>
  <c r="AP1037" i="11"/>
  <c r="AP1038" i="11"/>
  <c r="AP1039" i="11"/>
  <c r="AP1040" i="11"/>
  <c r="AP1041" i="11"/>
  <c r="AP1042" i="11"/>
  <c r="AP1043" i="11"/>
  <c r="AP1044" i="11"/>
  <c r="AP1045" i="11"/>
  <c r="AP1046" i="11"/>
  <c r="AP1047" i="11"/>
  <c r="AP1048" i="11"/>
  <c r="AP1049" i="11"/>
  <c r="AP1050" i="11"/>
  <c r="AP1051" i="11"/>
  <c r="AP1052" i="11"/>
  <c r="AP1053" i="11"/>
  <c r="AP1054" i="11"/>
  <c r="AP1055" i="11"/>
  <c r="AP1056" i="11"/>
  <c r="AP1057" i="11"/>
  <c r="AP1058" i="11"/>
  <c r="AP1059" i="11"/>
  <c r="AP1060" i="11"/>
  <c r="AP1061" i="11"/>
  <c r="AP1062" i="11"/>
  <c r="AP1063" i="11"/>
  <c r="AP1064" i="11"/>
  <c r="AP1065" i="11"/>
  <c r="AP1066" i="11"/>
  <c r="AP1067" i="11"/>
  <c r="AP1068" i="11"/>
  <c r="AP1069" i="11"/>
  <c r="AP1070" i="11"/>
  <c r="AP1071" i="11"/>
  <c r="AP1072" i="11"/>
  <c r="AP1073" i="11"/>
  <c r="AP1074" i="11"/>
  <c r="AP1075" i="11"/>
  <c r="AP1076" i="11"/>
  <c r="AP1077" i="11"/>
  <c r="AP1078" i="11"/>
  <c r="AP1079" i="11"/>
  <c r="AP1080" i="11"/>
  <c r="AP1081" i="11"/>
  <c r="AP1082" i="11"/>
  <c r="AP1083" i="11"/>
  <c r="AP1084" i="11"/>
  <c r="AP1085" i="11"/>
  <c r="AP1086" i="11"/>
  <c r="AP1087" i="11"/>
  <c r="AP1088" i="11"/>
  <c r="AP1089" i="11"/>
  <c r="AP1090" i="11"/>
  <c r="AP1091" i="11"/>
  <c r="AP1092" i="11"/>
  <c r="AP1093" i="11"/>
  <c r="AP1094" i="11"/>
  <c r="AP1095" i="11"/>
  <c r="AP1096" i="11"/>
  <c r="AP1097" i="11"/>
  <c r="AP1098" i="11"/>
  <c r="AP1099" i="11"/>
  <c r="AP1100" i="11"/>
  <c r="AP1101" i="11"/>
  <c r="AP1102" i="11"/>
  <c r="AP1103" i="11"/>
  <c r="AP1104" i="11"/>
  <c r="AP1105" i="11"/>
  <c r="AP1106" i="11"/>
  <c r="AP1107" i="11"/>
  <c r="AP1108" i="11"/>
  <c r="AP1109" i="11"/>
  <c r="AP1110" i="11"/>
  <c r="AP1111" i="11"/>
  <c r="AP1112" i="11"/>
  <c r="AP1113" i="11"/>
  <c r="AP1114" i="11"/>
  <c r="AP1115" i="11"/>
  <c r="AP1116" i="11"/>
  <c r="AP1117" i="11"/>
  <c r="AP1118" i="11"/>
  <c r="AP1119" i="11"/>
  <c r="AP1120" i="11"/>
  <c r="AP1121" i="11"/>
  <c r="AP1122" i="11"/>
  <c r="AP1123" i="11"/>
  <c r="AP1124" i="11"/>
  <c r="AP1125" i="11"/>
  <c r="AP1126" i="11"/>
  <c r="AP1127" i="11"/>
  <c r="AP1128" i="11"/>
  <c r="AP1129" i="11"/>
  <c r="AP1130" i="11"/>
  <c r="AP1131" i="11"/>
  <c r="AP1132" i="11"/>
  <c r="AP1133" i="11"/>
  <c r="AP1134" i="11"/>
  <c r="AP1135" i="11"/>
  <c r="AP1136" i="11"/>
  <c r="AP1137" i="11"/>
  <c r="AP1138" i="11"/>
  <c r="AP1139" i="11"/>
  <c r="AP1140" i="11"/>
  <c r="AP1141" i="11"/>
  <c r="AP1142" i="11"/>
  <c r="AP1143" i="11"/>
  <c r="AP1144" i="11"/>
  <c r="AP1145" i="11"/>
  <c r="AP1146" i="11"/>
  <c r="AP1147" i="11"/>
  <c r="AP1148" i="11"/>
  <c r="AP1149" i="11"/>
  <c r="AP1150" i="11"/>
  <c r="AP1151" i="11"/>
  <c r="AP1152" i="11"/>
  <c r="AP1153" i="11"/>
  <c r="AP1154" i="11"/>
  <c r="AP1155" i="11"/>
  <c r="AP1156" i="11"/>
  <c r="AP1157" i="11"/>
  <c r="AP1158" i="11"/>
  <c r="AP1159" i="11"/>
  <c r="AP1160" i="11"/>
  <c r="AP1161" i="11"/>
  <c r="AP1162" i="11"/>
  <c r="AP1163" i="11"/>
  <c r="AP1164" i="11"/>
  <c r="AP1165" i="11"/>
  <c r="AP1166" i="11"/>
  <c r="AP1167" i="11"/>
  <c r="AP1168" i="11"/>
  <c r="AP1169" i="11"/>
  <c r="AP1170" i="11"/>
  <c r="AP1171" i="11"/>
  <c r="AP1172" i="11"/>
  <c r="AP1173" i="11"/>
  <c r="AP1174" i="11"/>
  <c r="AP1175" i="11"/>
  <c r="AP1176" i="11"/>
  <c r="AP1177" i="11"/>
  <c r="AP1178" i="11"/>
  <c r="AP1179" i="11"/>
  <c r="AP1180" i="11"/>
  <c r="AP1181" i="11"/>
  <c r="AP1182" i="11"/>
  <c r="AP1183" i="11"/>
  <c r="AP1184" i="11"/>
  <c r="AP1185" i="11"/>
  <c r="AP1186" i="11"/>
  <c r="AP1187" i="11"/>
  <c r="AP1188" i="11"/>
  <c r="AP1189" i="11"/>
  <c r="AP1190" i="11"/>
  <c r="AP1191" i="11"/>
  <c r="AP1192" i="11"/>
  <c r="AP1193" i="11"/>
  <c r="AP1194" i="11"/>
  <c r="AP1195" i="11"/>
  <c r="AP1196" i="11"/>
  <c r="AP1197" i="11"/>
  <c r="AP1198" i="11"/>
  <c r="AP1199" i="11"/>
  <c r="AP1200" i="11"/>
  <c r="AP1201" i="11"/>
  <c r="AP1202" i="11"/>
  <c r="AP1203" i="11"/>
  <c r="AP1204" i="11"/>
  <c r="AP1205" i="11"/>
  <c r="AP1206" i="11"/>
  <c r="AP1207" i="11"/>
  <c r="AP1208" i="11"/>
  <c r="AP1209" i="11"/>
  <c r="AP1210" i="11"/>
  <c r="AP1211" i="11"/>
  <c r="AP1212" i="11"/>
  <c r="AP1213" i="11"/>
  <c r="AP1214" i="11"/>
  <c r="AP1215" i="11"/>
  <c r="AP1216" i="11"/>
  <c r="AP1217" i="11"/>
  <c r="AP1218" i="11"/>
  <c r="AP1219" i="11"/>
  <c r="AP1220" i="11"/>
  <c r="AP1221" i="11"/>
  <c r="AP1222" i="11"/>
  <c r="AP1223" i="11"/>
  <c r="AP1224" i="11"/>
  <c r="AP1225" i="11"/>
  <c r="AP1226" i="11"/>
  <c r="AP1227" i="11"/>
  <c r="AP1228" i="11"/>
  <c r="AP1229" i="11"/>
  <c r="AP1230" i="11"/>
  <c r="AP1231" i="11"/>
  <c r="AP1232" i="11"/>
  <c r="AP1233" i="11"/>
  <c r="AP1234" i="11"/>
  <c r="AP1235" i="11"/>
  <c r="AP1236" i="11"/>
  <c r="AP1237" i="11"/>
  <c r="AP1238" i="11"/>
  <c r="AP1239" i="11"/>
  <c r="AP1240" i="11"/>
  <c r="AP1241" i="11"/>
  <c r="AP1242" i="11"/>
  <c r="AP1243" i="11"/>
  <c r="AP1244" i="11"/>
  <c r="AP1245" i="11"/>
  <c r="AP1246" i="11"/>
  <c r="AP1247" i="11"/>
  <c r="AP1248" i="11"/>
  <c r="AP1249" i="11"/>
  <c r="AP1250" i="11"/>
  <c r="AP1251" i="11"/>
  <c r="AP1252" i="11"/>
  <c r="AP1253" i="11"/>
  <c r="AP1254" i="11"/>
  <c r="AP1255" i="11"/>
  <c r="AP1256" i="11"/>
  <c r="AP1257" i="11"/>
  <c r="AP1258" i="11"/>
  <c r="AP1259" i="11"/>
  <c r="AP1260" i="11"/>
  <c r="AP1261" i="11"/>
  <c r="AP1262" i="11"/>
  <c r="AP1263" i="11"/>
  <c r="AP1264" i="11"/>
  <c r="AP1265" i="11"/>
  <c r="AP1266" i="11"/>
  <c r="AP1267" i="11"/>
  <c r="AP1268" i="11"/>
  <c r="AP1269" i="11"/>
  <c r="AP1287" i="11"/>
  <c r="AP2" i="11"/>
  <c r="A166" i="12"/>
  <c r="B167" i="12"/>
  <c r="B168" i="12"/>
  <c r="B169" i="12"/>
  <c r="B170" i="12"/>
  <c r="J170" i="12"/>
  <c r="C5" i="8"/>
  <c r="R170" i="12"/>
  <c r="O170" i="12"/>
  <c r="Q170" i="12"/>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BB137" i="11"/>
  <c r="BB138" i="11"/>
  <c r="BB139" i="11"/>
  <c r="BB140" i="11"/>
  <c r="BB141" i="11"/>
  <c r="BB142" i="11"/>
  <c r="BB143" i="11"/>
  <c r="BB144" i="11"/>
  <c r="BB145" i="11"/>
  <c r="BB146" i="11"/>
  <c r="BB147" i="11"/>
  <c r="BB148" i="11"/>
  <c r="BB149" i="11"/>
  <c r="BB150" i="11"/>
  <c r="BB151" i="11"/>
  <c r="BB152" i="11"/>
  <c r="BB153" i="11"/>
  <c r="BB154" i="11"/>
  <c r="BB155" i="11"/>
  <c r="BB156" i="11"/>
  <c r="BB157" i="11"/>
  <c r="BB158" i="11"/>
  <c r="BB159" i="11"/>
  <c r="BB160" i="11"/>
  <c r="BB161" i="11"/>
  <c r="BB162" i="11"/>
  <c r="BB163" i="11"/>
  <c r="BB164" i="11"/>
  <c r="BB165" i="11"/>
  <c r="BB166" i="11"/>
  <c r="BB167" i="11"/>
  <c r="BB168" i="11"/>
  <c r="BB169" i="11"/>
  <c r="BB170" i="11"/>
  <c r="BB171" i="11"/>
  <c r="BB172" i="11"/>
  <c r="BB173" i="11"/>
  <c r="BB174" i="11"/>
  <c r="BB175" i="11"/>
  <c r="BB176" i="11"/>
  <c r="BB177" i="11"/>
  <c r="BB178" i="11"/>
  <c r="BB179" i="11"/>
  <c r="BB180" i="11"/>
  <c r="BB181" i="11"/>
  <c r="BB182" i="11"/>
  <c r="BB183" i="11"/>
  <c r="BB184" i="11"/>
  <c r="BB185" i="11"/>
  <c r="BB186" i="11"/>
  <c r="BB187" i="11"/>
  <c r="BB188" i="11"/>
  <c r="BB189" i="11"/>
  <c r="BB190" i="11"/>
  <c r="BB191" i="11"/>
  <c r="BB192" i="11"/>
  <c r="BB193" i="11"/>
  <c r="BB194" i="11"/>
  <c r="BB195" i="11"/>
  <c r="BB196" i="11"/>
  <c r="BB197" i="11"/>
  <c r="BB198" i="11"/>
  <c r="BB199" i="11"/>
  <c r="BB200" i="11"/>
  <c r="BB201" i="11"/>
  <c r="BB202" i="11"/>
  <c r="BB203" i="11"/>
  <c r="BB204" i="11"/>
  <c r="BB205" i="11"/>
  <c r="BB206" i="11"/>
  <c r="BB207" i="11"/>
  <c r="BB208" i="11"/>
  <c r="BB209" i="11"/>
  <c r="BB210" i="11"/>
  <c r="BB211" i="11"/>
  <c r="BB212" i="11"/>
  <c r="BB213" i="11"/>
  <c r="BB214" i="11"/>
  <c r="BB215" i="11"/>
  <c r="BB216" i="11"/>
  <c r="BB217" i="11"/>
  <c r="BB218" i="11"/>
  <c r="BB219" i="11"/>
  <c r="BB220" i="11"/>
  <c r="BB221" i="11"/>
  <c r="BB222" i="11"/>
  <c r="BB223" i="11"/>
  <c r="BB224" i="11"/>
  <c r="BB225" i="11"/>
  <c r="BB226" i="11"/>
  <c r="BB227" i="11"/>
  <c r="BB228" i="11"/>
  <c r="BB229" i="11"/>
  <c r="BB230" i="11"/>
  <c r="BB231" i="11"/>
  <c r="BB232" i="11"/>
  <c r="BB233" i="11"/>
  <c r="BB234" i="11"/>
  <c r="BB235" i="11"/>
  <c r="BB236" i="11"/>
  <c r="BB237" i="11"/>
  <c r="BB238" i="11"/>
  <c r="BB239" i="11"/>
  <c r="BB240" i="11"/>
  <c r="BB241" i="11"/>
  <c r="BB242" i="11"/>
  <c r="BB243" i="11"/>
  <c r="BB244" i="11"/>
  <c r="BB245" i="11"/>
  <c r="BB247" i="11"/>
  <c r="BB248" i="11"/>
  <c r="BB249" i="11"/>
  <c r="BB250" i="11"/>
  <c r="BB251" i="11"/>
  <c r="BB252" i="11"/>
  <c r="BB253" i="11"/>
  <c r="BB254" i="11"/>
  <c r="BB255" i="11"/>
  <c r="BB256" i="11"/>
  <c r="BB257" i="11"/>
  <c r="BB258" i="11"/>
  <c r="BB259" i="11"/>
  <c r="BB260" i="11"/>
  <c r="BB261" i="11"/>
  <c r="BB262" i="11"/>
  <c r="BB263" i="11"/>
  <c r="BB264" i="11"/>
  <c r="BB265" i="11"/>
  <c r="BB266" i="11"/>
  <c r="BB267" i="11"/>
  <c r="BB268" i="11"/>
  <c r="BB269" i="11"/>
  <c r="BB270" i="11"/>
  <c r="BB271" i="11"/>
  <c r="BB272" i="11"/>
  <c r="BB273" i="11"/>
  <c r="BB274" i="11"/>
  <c r="BB275" i="11"/>
  <c r="BB276" i="11"/>
  <c r="BB277" i="11"/>
  <c r="BB278" i="11"/>
  <c r="BB279" i="11"/>
  <c r="BB280" i="11"/>
  <c r="BB281" i="11"/>
  <c r="BB282" i="11"/>
  <c r="BB283" i="11"/>
  <c r="BB284" i="11"/>
  <c r="BB285" i="11"/>
  <c r="BB286" i="11"/>
  <c r="BB287" i="11"/>
  <c r="BB288" i="11"/>
  <c r="BB289" i="11"/>
  <c r="BB290" i="11"/>
  <c r="BB291" i="11"/>
  <c r="BB292" i="11"/>
  <c r="BB293" i="11"/>
  <c r="BB294" i="11"/>
  <c r="BB295" i="11"/>
  <c r="BB296" i="11"/>
  <c r="BB297" i="11"/>
  <c r="BB298" i="11"/>
  <c r="BB299" i="11"/>
  <c r="BB300" i="11"/>
  <c r="BB301" i="11"/>
  <c r="BB302" i="11"/>
  <c r="BB303" i="11"/>
  <c r="BB304" i="11"/>
  <c r="BB305" i="11"/>
  <c r="BB306" i="11"/>
  <c r="BB307" i="11"/>
  <c r="BB308" i="11"/>
  <c r="BB309" i="11"/>
  <c r="BB310" i="11"/>
  <c r="BB311" i="11"/>
  <c r="BB312" i="11"/>
  <c r="BB313" i="11"/>
  <c r="BB314" i="11"/>
  <c r="BB315" i="11"/>
  <c r="BB316" i="11"/>
  <c r="BB317" i="11"/>
  <c r="BB318" i="11"/>
  <c r="BB319" i="11"/>
  <c r="BB320" i="11"/>
  <c r="BB321" i="11"/>
  <c r="BB322" i="11"/>
  <c r="BB323" i="11"/>
  <c r="BB324" i="11"/>
  <c r="BB325" i="11"/>
  <c r="BB326" i="11"/>
  <c r="BB327" i="11"/>
  <c r="BB328" i="11"/>
  <c r="BB329" i="11"/>
  <c r="BB330" i="11"/>
  <c r="BB331" i="11"/>
  <c r="BB332" i="11"/>
  <c r="BB333" i="11"/>
  <c r="BB334" i="11"/>
  <c r="BB335" i="11"/>
  <c r="BB336" i="11"/>
  <c r="BB337" i="11"/>
  <c r="BB338" i="11"/>
  <c r="BB339" i="11"/>
  <c r="BB340" i="11"/>
  <c r="BB341" i="11"/>
  <c r="BB342" i="11"/>
  <c r="BB343" i="11"/>
  <c r="BB344" i="11"/>
  <c r="BB345" i="11"/>
  <c r="BB346" i="11"/>
  <c r="BB347" i="11"/>
  <c r="BB348" i="11"/>
  <c r="BB349" i="11"/>
  <c r="BB350" i="11"/>
  <c r="BB351" i="11"/>
  <c r="BB352" i="11"/>
  <c r="BB353" i="11"/>
  <c r="BB354" i="11"/>
  <c r="BB355" i="11"/>
  <c r="BB356" i="11"/>
  <c r="BB357" i="11"/>
  <c r="BB358" i="11"/>
  <c r="BB359" i="11"/>
  <c r="BB360" i="11"/>
  <c r="BB361" i="11"/>
  <c r="BB362" i="11"/>
  <c r="BB363" i="11"/>
  <c r="BB364" i="11"/>
  <c r="BB365" i="11"/>
  <c r="BB366" i="11"/>
  <c r="BB367" i="11"/>
  <c r="BB368" i="11"/>
  <c r="BB369" i="11"/>
  <c r="BB370" i="11"/>
  <c r="BB371" i="11"/>
  <c r="BB372" i="11"/>
  <c r="BB373" i="11"/>
  <c r="BB375" i="11"/>
  <c r="BB376" i="11"/>
  <c r="BB377" i="11"/>
  <c r="BB378" i="11"/>
  <c r="BB379" i="11"/>
  <c r="BB382" i="11"/>
  <c r="BB383" i="11"/>
  <c r="BB384" i="11"/>
  <c r="BB385" i="11"/>
  <c r="BB386" i="11"/>
  <c r="BB387" i="11"/>
  <c r="BB388" i="11"/>
  <c r="BB389" i="11"/>
  <c r="BB390" i="11"/>
  <c r="BB391" i="11"/>
  <c r="BB394" i="11"/>
  <c r="BB395" i="11"/>
  <c r="BB396" i="11"/>
  <c r="BB397" i="11"/>
  <c r="BB398" i="11"/>
  <c r="BB400" i="11"/>
  <c r="BB401" i="11"/>
  <c r="BB402" i="11"/>
  <c r="BB403" i="11"/>
  <c r="BB404" i="11"/>
  <c r="BB406" i="11"/>
  <c r="BB408" i="11"/>
  <c r="BB409" i="11"/>
  <c r="BB410" i="11"/>
  <c r="BB411" i="11"/>
  <c r="BB412" i="11"/>
  <c r="BB413" i="11"/>
  <c r="BB414" i="11"/>
  <c r="BB415" i="11"/>
  <c r="BB416" i="11"/>
  <c r="BB417" i="11"/>
  <c r="BB418" i="11"/>
  <c r="BB419" i="11"/>
  <c r="BB420" i="11"/>
  <c r="BB421" i="11"/>
  <c r="BB422" i="11"/>
  <c r="BB424" i="11"/>
  <c r="BB425" i="11"/>
  <c r="BB426" i="11"/>
  <c r="BB427" i="11"/>
  <c r="BB428" i="11"/>
  <c r="BB429" i="11"/>
  <c r="BB430" i="11"/>
  <c r="BB433" i="11"/>
  <c r="BB434" i="11"/>
  <c r="BB435" i="11"/>
  <c r="BB436" i="11"/>
  <c r="BB439" i="11"/>
  <c r="BB440" i="11"/>
  <c r="BB441" i="11"/>
  <c r="BB442" i="11"/>
  <c r="BB443" i="11"/>
  <c r="BB444" i="11"/>
  <c r="BB445" i="11"/>
  <c r="BB446" i="11"/>
  <c r="BB447" i="11"/>
  <c r="BB448" i="11"/>
  <c r="BB450" i="11"/>
  <c r="BB451" i="11"/>
  <c r="BB452" i="11"/>
  <c r="BB453" i="11"/>
  <c r="BB454" i="11"/>
  <c r="BB455" i="11"/>
  <c r="BB456" i="11"/>
  <c r="BB457" i="11"/>
  <c r="BB458" i="11"/>
  <c r="BB459" i="11"/>
  <c r="BB460" i="11"/>
  <c r="BB461" i="11"/>
  <c r="BB462" i="11"/>
  <c r="BB463" i="11"/>
  <c r="BB464" i="11"/>
  <c r="BB465" i="11"/>
  <c r="BB466" i="11"/>
  <c r="BB467" i="11"/>
  <c r="BB468" i="11"/>
  <c r="BB469" i="11"/>
  <c r="BB470" i="11"/>
  <c r="BB471" i="11"/>
  <c r="BB472" i="11"/>
  <c r="BB473" i="11"/>
  <c r="BB474" i="11"/>
  <c r="BB475" i="11"/>
  <c r="BB476" i="11"/>
  <c r="BB477" i="11"/>
  <c r="BB478" i="11"/>
  <c r="BB479" i="11"/>
  <c r="BB480" i="11"/>
  <c r="BB481" i="11"/>
  <c r="BB482" i="11"/>
  <c r="BB483" i="11"/>
  <c r="BB484" i="11"/>
  <c r="BB485" i="11"/>
  <c r="BB486" i="11"/>
  <c r="BB487" i="11"/>
  <c r="BB488" i="11"/>
  <c r="BB490" i="11"/>
  <c r="BB491" i="11"/>
  <c r="BB492" i="11"/>
  <c r="BB493" i="11"/>
  <c r="BB494" i="11"/>
  <c r="BB495" i="11"/>
  <c r="BB496" i="11"/>
  <c r="BB497" i="11"/>
  <c r="BB499" i="11"/>
  <c r="BB500" i="11"/>
  <c r="BB501" i="11"/>
  <c r="BB502" i="11"/>
  <c r="BB503" i="11"/>
  <c r="BB504" i="11"/>
  <c r="BB507" i="11"/>
  <c r="BB508" i="11"/>
  <c r="BB509" i="11"/>
  <c r="BB510" i="11"/>
  <c r="BB511" i="11"/>
  <c r="BB512" i="11"/>
  <c r="BB513" i="11"/>
  <c r="BB514" i="11"/>
  <c r="BB515" i="11"/>
  <c r="BB516" i="11"/>
  <c r="BB520" i="11"/>
  <c r="BB521" i="11"/>
  <c r="BB522" i="11"/>
  <c r="BB523" i="11"/>
  <c r="BB524" i="11"/>
  <c r="BB526" i="11"/>
  <c r="BB527" i="11"/>
  <c r="BB528" i="11"/>
  <c r="BB529" i="11"/>
  <c r="BB530" i="11"/>
  <c r="BB532" i="11"/>
  <c r="BB533" i="11"/>
  <c r="BB534" i="11"/>
  <c r="BB535" i="11"/>
  <c r="BB536" i="11"/>
  <c r="BB537" i="11"/>
  <c r="BB538" i="11"/>
  <c r="BB539" i="11"/>
  <c r="BB540" i="11"/>
  <c r="BB541" i="11"/>
  <c r="BB542" i="11"/>
  <c r="BB543" i="11"/>
  <c r="BB544" i="11"/>
  <c r="BB545" i="11"/>
  <c r="BB546" i="11"/>
  <c r="BB547" i="11"/>
  <c r="BB549" i="11"/>
  <c r="BB550" i="11"/>
  <c r="BB551" i="11"/>
  <c r="BB552" i="11"/>
  <c r="BB553" i="11"/>
  <c r="BB554" i="11"/>
  <c r="BB555" i="11"/>
  <c r="BB558" i="11"/>
  <c r="BB559" i="11"/>
  <c r="BB560" i="11"/>
  <c r="BB561" i="11"/>
  <c r="BB564" i="11"/>
  <c r="BB565" i="11"/>
  <c r="BB566" i="11"/>
  <c r="BB567" i="11"/>
  <c r="BB568" i="11"/>
  <c r="BB569" i="11"/>
  <c r="BB570" i="11"/>
  <c r="BB571" i="11"/>
  <c r="BB572" i="11"/>
  <c r="BB573" i="11"/>
  <c r="BB574" i="11"/>
  <c r="BB575" i="11"/>
  <c r="BB576" i="11"/>
  <c r="BB577" i="11"/>
  <c r="BB578" i="11"/>
  <c r="BB579" i="11"/>
  <c r="BB581" i="11"/>
  <c r="BB582" i="11"/>
  <c r="BB583" i="11"/>
  <c r="BB584" i="11"/>
  <c r="BB585" i="11"/>
  <c r="BB586" i="11"/>
  <c r="BB587" i="11"/>
  <c r="BB588" i="11"/>
  <c r="BB590" i="11"/>
  <c r="BB591" i="11"/>
  <c r="BB592" i="11"/>
  <c r="BB593" i="11"/>
  <c r="BB594" i="11"/>
  <c r="BB595" i="11"/>
  <c r="BB596" i="11"/>
  <c r="BB597" i="11"/>
  <c r="BB598" i="11"/>
  <c r="BB599" i="11"/>
  <c r="BB600" i="11"/>
  <c r="BB601" i="11"/>
  <c r="BB602" i="11"/>
  <c r="BB604" i="11"/>
  <c r="BB605" i="11"/>
  <c r="BB606" i="11"/>
  <c r="BB609" i="11"/>
  <c r="BB610" i="11"/>
  <c r="BB611" i="11"/>
  <c r="BB612" i="11"/>
  <c r="BB613" i="11"/>
  <c r="BB614" i="11"/>
  <c r="BB615" i="11"/>
  <c r="BB617" i="11"/>
  <c r="BB618" i="11"/>
  <c r="BB619" i="11"/>
  <c r="BB620" i="11"/>
  <c r="BB621" i="11"/>
  <c r="BB622" i="11"/>
  <c r="BB623" i="11"/>
  <c r="BB624" i="11"/>
  <c r="BB625" i="11"/>
  <c r="BB628" i="11"/>
  <c r="BB629" i="11"/>
  <c r="BB630" i="11"/>
  <c r="BB631" i="11"/>
  <c r="BB632" i="11"/>
  <c r="BB633" i="11"/>
  <c r="BB634" i="11"/>
  <c r="BB635" i="11"/>
  <c r="BB636" i="11"/>
  <c r="BB638" i="11"/>
  <c r="BB639" i="11"/>
  <c r="BB640" i="11"/>
  <c r="BB641" i="11"/>
  <c r="BB642" i="11"/>
  <c r="BB643" i="11"/>
  <c r="BB644" i="11"/>
  <c r="BB645" i="11"/>
  <c r="BB646" i="11"/>
  <c r="BB647" i="11"/>
  <c r="BB649" i="11"/>
  <c r="BB650" i="11"/>
  <c r="BB651" i="11"/>
  <c r="BB652" i="11"/>
  <c r="BB653" i="11"/>
  <c r="BB655" i="11"/>
  <c r="BB656" i="11"/>
  <c r="BB657" i="11"/>
  <c r="BB658" i="11"/>
  <c r="BB659" i="11"/>
  <c r="BB660" i="11"/>
  <c r="BB661" i="11"/>
  <c r="BB662" i="11"/>
  <c r="BB663" i="11"/>
  <c r="BB664" i="11"/>
  <c r="BB665" i="11"/>
  <c r="BB666" i="11"/>
  <c r="BB667" i="11"/>
  <c r="BB668" i="11"/>
  <c r="BB669" i="11"/>
  <c r="BB670" i="11"/>
  <c r="BB671" i="11"/>
  <c r="BB672" i="11"/>
  <c r="BB673" i="11"/>
  <c r="BB674" i="11"/>
  <c r="BB675" i="11"/>
  <c r="BB676" i="11"/>
  <c r="BB677" i="11"/>
  <c r="BB678" i="11"/>
  <c r="BB679" i="11"/>
  <c r="BB680" i="11"/>
  <c r="BB681" i="11"/>
  <c r="BB682" i="11"/>
  <c r="BB683" i="11"/>
  <c r="BB684" i="11"/>
  <c r="BB685" i="11"/>
  <c r="BB686" i="11"/>
  <c r="BB687" i="11"/>
  <c r="BB688" i="11"/>
  <c r="BB689" i="11"/>
  <c r="BB690" i="11"/>
  <c r="BB691" i="11"/>
  <c r="BB692" i="11"/>
  <c r="BB693" i="11"/>
  <c r="BB694" i="11"/>
  <c r="BB695" i="11"/>
  <c r="BB696" i="11"/>
  <c r="BB697" i="11"/>
  <c r="BB698" i="11"/>
  <c r="BB699" i="11"/>
  <c r="BB700" i="11"/>
  <c r="BB701" i="11"/>
  <c r="BB702" i="11"/>
  <c r="BB703" i="11"/>
  <c r="BB704" i="11"/>
  <c r="BB705" i="11"/>
  <c r="BB706" i="11"/>
  <c r="BB707" i="11"/>
  <c r="BB708" i="11"/>
  <c r="BB709" i="11"/>
  <c r="BB710" i="11"/>
  <c r="BB711" i="11"/>
  <c r="BB712" i="11"/>
  <c r="BB713" i="11"/>
  <c r="BB714" i="11"/>
  <c r="BB715" i="11"/>
  <c r="BB716" i="11"/>
  <c r="BB717" i="11"/>
  <c r="BB718" i="11"/>
  <c r="BB719" i="11"/>
  <c r="BB720" i="11"/>
  <c r="BB721" i="11"/>
  <c r="BB722" i="11"/>
  <c r="BB723" i="11"/>
  <c r="BB724" i="11"/>
  <c r="BB725" i="11"/>
  <c r="BB726" i="11"/>
  <c r="BB727" i="11"/>
  <c r="BB728" i="11"/>
  <c r="BB729" i="11"/>
  <c r="BB730" i="11"/>
  <c r="BB731" i="11"/>
  <c r="BB733" i="11"/>
  <c r="BB734" i="11"/>
  <c r="BB735" i="11"/>
  <c r="BB736" i="11"/>
  <c r="BB737" i="11"/>
  <c r="BB738" i="11"/>
  <c r="BB739" i="11"/>
  <c r="BB740" i="11"/>
  <c r="BB742" i="11"/>
  <c r="BB743" i="11"/>
  <c r="BB744" i="11"/>
  <c r="BB745" i="11"/>
  <c r="BB746" i="11"/>
  <c r="BB747" i="11"/>
  <c r="BB750" i="11"/>
  <c r="BB751" i="11"/>
  <c r="BB752" i="11"/>
  <c r="BB753" i="11"/>
  <c r="BB754" i="11"/>
  <c r="BB755" i="11"/>
  <c r="BB756" i="11"/>
  <c r="BB757" i="11"/>
  <c r="BB758" i="11"/>
  <c r="BB761" i="11"/>
  <c r="BB762" i="11"/>
  <c r="BB763" i="11"/>
  <c r="BB764" i="11"/>
  <c r="BB765" i="11"/>
  <c r="BB767" i="11"/>
  <c r="BB768" i="11"/>
  <c r="BB769" i="11"/>
  <c r="BB770" i="11"/>
  <c r="BB771" i="11"/>
  <c r="BB773" i="11"/>
  <c r="BB775" i="11"/>
  <c r="BB776" i="11"/>
  <c r="BB777" i="11"/>
  <c r="BB778" i="11"/>
  <c r="BB779" i="11"/>
  <c r="BB780" i="11"/>
  <c r="BB781" i="11"/>
  <c r="BB782" i="11"/>
  <c r="BB783" i="11"/>
  <c r="BB785" i="11"/>
  <c r="BB786" i="11"/>
  <c r="BB787" i="11"/>
  <c r="BB788" i="11"/>
  <c r="BB789" i="11"/>
  <c r="BB790" i="11"/>
  <c r="BB791" i="11"/>
  <c r="BB794" i="11"/>
  <c r="BB795" i="11"/>
  <c r="BB796" i="11"/>
  <c r="BB797" i="11"/>
  <c r="BB798" i="11"/>
  <c r="BB801" i="11"/>
  <c r="BB802" i="11"/>
  <c r="BB803" i="11"/>
  <c r="BB804" i="11"/>
  <c r="BB805" i="11"/>
  <c r="BB806" i="11"/>
  <c r="BB807" i="11"/>
  <c r="BB808" i="11"/>
  <c r="BB809" i="11"/>
  <c r="BB810" i="11"/>
  <c r="BB811" i="11"/>
  <c r="BB812" i="11"/>
  <c r="BB813" i="11"/>
  <c r="BB814" i="11"/>
  <c r="BB815" i="11"/>
  <c r="BB816" i="11"/>
  <c r="BB817" i="11"/>
  <c r="BB818" i="11"/>
  <c r="BB819" i="11"/>
  <c r="BB820" i="11"/>
  <c r="BB821" i="11"/>
  <c r="BB822" i="11"/>
  <c r="BB825" i="11"/>
  <c r="BB826" i="11"/>
  <c r="BB827" i="11"/>
  <c r="BB828" i="11"/>
  <c r="BB829" i="11"/>
  <c r="BB830" i="11"/>
  <c r="BB831" i="11"/>
  <c r="BB832" i="11"/>
  <c r="BB833" i="11"/>
  <c r="BB834" i="11"/>
  <c r="BB835" i="11"/>
  <c r="BB836" i="11"/>
  <c r="BB838" i="11"/>
  <c r="BB840" i="11"/>
  <c r="BB841" i="11"/>
  <c r="BB842" i="11"/>
  <c r="BB843" i="11"/>
  <c r="BB845" i="11"/>
  <c r="BB847" i="11"/>
  <c r="BB848" i="11"/>
  <c r="BB849" i="11"/>
  <c r="BB850" i="11"/>
  <c r="BB851" i="11"/>
  <c r="BB853" i="11"/>
  <c r="BB854" i="11"/>
  <c r="BB857" i="11"/>
  <c r="BB858" i="11"/>
  <c r="BB859" i="11"/>
  <c r="BB860" i="11"/>
  <c r="BB861" i="11"/>
  <c r="BB862" i="11"/>
  <c r="BB865" i="11"/>
  <c r="BB866" i="11"/>
  <c r="BB867" i="11"/>
  <c r="BB868" i="11"/>
  <c r="BB869" i="11"/>
  <c r="BB870" i="11"/>
  <c r="BB871" i="11"/>
  <c r="BB872" i="11"/>
  <c r="BB873" i="11"/>
  <c r="BB876" i="11"/>
  <c r="BB877" i="11"/>
  <c r="BB878" i="11"/>
  <c r="BB879" i="11"/>
  <c r="BB880" i="11"/>
  <c r="BB881" i="11"/>
  <c r="BB882" i="11"/>
  <c r="BB883" i="11"/>
  <c r="BB884" i="11"/>
  <c r="BB885" i="11"/>
  <c r="BB886" i="11"/>
  <c r="BB889" i="11"/>
  <c r="BB890" i="11"/>
  <c r="BB891" i="11"/>
  <c r="BB892" i="11"/>
  <c r="BB895" i="11"/>
  <c r="BB896" i="11"/>
  <c r="BB897" i="11"/>
  <c r="BB898" i="11"/>
  <c r="BB899" i="11"/>
  <c r="BB900" i="11"/>
  <c r="BB902" i="11"/>
  <c r="BB904" i="11"/>
  <c r="BB905" i="11"/>
  <c r="BB906" i="11"/>
  <c r="BB908" i="11"/>
  <c r="BB909" i="11"/>
  <c r="BB910" i="11"/>
  <c r="BB911" i="11"/>
  <c r="BB912" i="11"/>
  <c r="BB913" i="11"/>
  <c r="BB914" i="11"/>
  <c r="BB915" i="11"/>
  <c r="BB916" i="11"/>
  <c r="BB919" i="11"/>
  <c r="BB920" i="11"/>
  <c r="BB921" i="11"/>
  <c r="BB922" i="11"/>
  <c r="BB923" i="11"/>
  <c r="BB924" i="11"/>
  <c r="BB925" i="11"/>
  <c r="BB926" i="11"/>
  <c r="BB927" i="11"/>
  <c r="BB928" i="11"/>
  <c r="BB929" i="11"/>
  <c r="BB930" i="11"/>
  <c r="BB931" i="11"/>
  <c r="BB932" i="11"/>
  <c r="BB933" i="11"/>
  <c r="BB934" i="11"/>
  <c r="BB935" i="11"/>
  <c r="BB936" i="11"/>
  <c r="BB937" i="11"/>
  <c r="BB938" i="11"/>
  <c r="BB939" i="11"/>
  <c r="BB940" i="11"/>
  <c r="BB941" i="11"/>
  <c r="BB942" i="11"/>
  <c r="BB943" i="11"/>
  <c r="BB944" i="11"/>
  <c r="BB945" i="11"/>
  <c r="BB946" i="11"/>
  <c r="BB947" i="11"/>
  <c r="BB948" i="11"/>
  <c r="BB949" i="11"/>
  <c r="BB950" i="11"/>
  <c r="BB951" i="11"/>
  <c r="BB952" i="11"/>
  <c r="BB953" i="11"/>
  <c r="BB954" i="11"/>
  <c r="BB955" i="11"/>
  <c r="BB956" i="11"/>
  <c r="BB957" i="11"/>
  <c r="BB958" i="11"/>
  <c r="BB959" i="11"/>
  <c r="BB960" i="11"/>
  <c r="BB961" i="11"/>
  <c r="BB962" i="11"/>
  <c r="BB963" i="11"/>
  <c r="BB964" i="11"/>
  <c r="BB965" i="11"/>
  <c r="BB966" i="11"/>
  <c r="BB967" i="11"/>
  <c r="BB968" i="11"/>
  <c r="BB969" i="11"/>
  <c r="BB970" i="11"/>
  <c r="BB971" i="11"/>
  <c r="BB972" i="11"/>
  <c r="BB973" i="11"/>
  <c r="BB974" i="11"/>
  <c r="BB975" i="11"/>
  <c r="BB976" i="11"/>
  <c r="BB977" i="11"/>
  <c r="BB978" i="11"/>
  <c r="BB979" i="11"/>
  <c r="BB980" i="11"/>
  <c r="BB981" i="11"/>
  <c r="BB982" i="11"/>
  <c r="BB983" i="11"/>
  <c r="BB984" i="11"/>
  <c r="BB985" i="11"/>
  <c r="BB988" i="11"/>
  <c r="BB989" i="11"/>
  <c r="BB990" i="11"/>
  <c r="BB991" i="11"/>
  <c r="BB994" i="11"/>
  <c r="BB995" i="11"/>
  <c r="BB996" i="11"/>
  <c r="BB997" i="11"/>
  <c r="BB1000" i="11"/>
  <c r="BB1001" i="11"/>
  <c r="BB1002" i="11"/>
  <c r="BB1003" i="11"/>
  <c r="BB1004" i="11"/>
  <c r="BB1007" i="11"/>
  <c r="BB1008" i="11"/>
  <c r="BB1009" i="11"/>
  <c r="BB1010" i="11"/>
  <c r="BB1013" i="11"/>
  <c r="BB1014" i="11"/>
  <c r="BB1015" i="11"/>
  <c r="BB1016" i="11"/>
  <c r="BB1017" i="11"/>
  <c r="BB1018" i="11"/>
  <c r="BB1019" i="11"/>
  <c r="BB1020" i="11"/>
  <c r="BB1021" i="11"/>
  <c r="BB1022" i="11"/>
  <c r="BB1025" i="11"/>
  <c r="BB1026" i="11"/>
  <c r="BB1027" i="11"/>
  <c r="BB1028" i="11"/>
  <c r="BB1029" i="11"/>
  <c r="BB1030" i="11"/>
  <c r="BB1031" i="11"/>
  <c r="BB1032" i="11"/>
  <c r="BB1033" i="11"/>
  <c r="BB1034" i="11"/>
  <c r="BB1035" i="11"/>
  <c r="BB1038" i="11"/>
  <c r="BB1039" i="11"/>
  <c r="BB1040" i="11"/>
  <c r="BB1041" i="11"/>
  <c r="BB1042" i="11"/>
  <c r="BB1043" i="11"/>
  <c r="BB1046" i="11"/>
  <c r="BB1047" i="11"/>
  <c r="BB1048" i="11"/>
  <c r="BB1049" i="11"/>
  <c r="BB1050" i="11"/>
  <c r="BB1053" i="11"/>
  <c r="BB1054" i="11"/>
  <c r="BB1055" i="11"/>
  <c r="BB1056" i="11"/>
  <c r="BB1058" i="11"/>
  <c r="BB1060" i="11"/>
  <c r="BB1061" i="11"/>
  <c r="BB1062" i="11"/>
  <c r="BB1063" i="11"/>
  <c r="BB1064" i="11"/>
  <c r="BB1065" i="11"/>
  <c r="BB1066" i="11"/>
  <c r="BB1067" i="11"/>
  <c r="BB1068" i="11"/>
  <c r="BB1069" i="11"/>
  <c r="BB1070" i="11"/>
  <c r="BB1073" i="11"/>
  <c r="BB1074" i="11"/>
  <c r="BB1075" i="11"/>
  <c r="BB1076" i="11"/>
  <c r="BB1077" i="11"/>
  <c r="BB1078" i="11"/>
  <c r="BB1079" i="11"/>
  <c r="BB1082" i="11"/>
  <c r="BB1083" i="11"/>
  <c r="BB1084" i="11"/>
  <c r="BB1085" i="11"/>
  <c r="BB1086" i="11"/>
  <c r="BB1087" i="11"/>
  <c r="BB1088" i="11"/>
  <c r="BB1089" i="11"/>
  <c r="BB1090" i="11"/>
  <c r="BB1091" i="11"/>
  <c r="BB1092" i="11"/>
  <c r="BB1093" i="11"/>
  <c r="BB1094" i="11"/>
  <c r="BB1095" i="11"/>
  <c r="BB1096" i="11"/>
  <c r="BB1097" i="11"/>
  <c r="BB1098" i="11"/>
  <c r="BB1099" i="11"/>
  <c r="BB1100" i="11"/>
  <c r="BB1101" i="11"/>
  <c r="BB1102" i="11"/>
  <c r="BB1103" i="11"/>
  <c r="BB1104" i="11"/>
  <c r="BB1105" i="11"/>
  <c r="BB1106" i="11"/>
  <c r="BB1107" i="11"/>
  <c r="BB1108" i="11"/>
  <c r="BB1109" i="11"/>
  <c r="BB1110" i="11"/>
  <c r="BB1111" i="11"/>
  <c r="BB1112" i="11"/>
  <c r="BB1113" i="11"/>
  <c r="BB1114" i="11"/>
  <c r="BB1115" i="11"/>
  <c r="BB1116" i="11"/>
  <c r="BB1117" i="11"/>
  <c r="BB1118" i="11"/>
  <c r="BB1119" i="11"/>
  <c r="BB1120" i="11"/>
  <c r="BB1121" i="11"/>
  <c r="BB1122" i="11"/>
  <c r="BB1123" i="11"/>
  <c r="BB1124" i="11"/>
  <c r="BB1125" i="11"/>
  <c r="BB1126" i="11"/>
  <c r="BB1127" i="11"/>
  <c r="BB1128" i="11"/>
  <c r="BB1129" i="11"/>
  <c r="BB1130" i="11"/>
  <c r="BB1131" i="11"/>
  <c r="BB1132" i="11"/>
  <c r="BB1133" i="11"/>
  <c r="BB1134" i="11"/>
  <c r="BB1135" i="11"/>
  <c r="BB1136" i="11"/>
  <c r="BB1138" i="11"/>
  <c r="BB1141" i="11"/>
  <c r="BB1142" i="11"/>
  <c r="BB1143" i="11"/>
  <c r="BB1144" i="11"/>
  <c r="BB1145" i="11"/>
  <c r="BB1146" i="11"/>
  <c r="BB1147" i="11"/>
  <c r="BB1148" i="11"/>
  <c r="BB1149" i="11"/>
  <c r="BB1150" i="11"/>
  <c r="BB1151" i="11"/>
  <c r="BB1154" i="11"/>
  <c r="BB1155" i="11"/>
  <c r="BB1156" i="11"/>
  <c r="BB1157" i="11"/>
  <c r="BB1160" i="11"/>
  <c r="BB1161" i="11"/>
  <c r="BB1162" i="11"/>
  <c r="BB1163" i="11"/>
  <c r="BB1166" i="11"/>
  <c r="BB1167" i="11"/>
  <c r="BB1168" i="11"/>
  <c r="BB1171" i="11"/>
  <c r="BB1172" i="11"/>
  <c r="BB1173" i="11"/>
  <c r="BB1174" i="11"/>
  <c r="BB1175" i="11"/>
  <c r="BB1178" i="11"/>
  <c r="BB1179" i="11"/>
  <c r="BB1180" i="11"/>
  <c r="BB1181" i="11"/>
  <c r="BB1182" i="11"/>
  <c r="BB1183" i="11"/>
  <c r="BB1184" i="11"/>
  <c r="BB1185" i="11"/>
  <c r="BB1186" i="11"/>
  <c r="BB1187" i="11"/>
  <c r="BB1188" i="11"/>
  <c r="BB1189" i="11"/>
  <c r="BB1190" i="11"/>
  <c r="BB1191" i="11"/>
  <c r="BB1192" i="11"/>
  <c r="BB1193" i="11"/>
  <c r="BB1194" i="11"/>
  <c r="BB1195" i="11"/>
  <c r="BB1196" i="11"/>
  <c r="BB1197" i="11"/>
  <c r="BB1198" i="11"/>
  <c r="BB1199" i="11"/>
  <c r="BB1200" i="11"/>
  <c r="BB1201" i="11"/>
  <c r="BB1202" i="11"/>
  <c r="BB1203" i="11"/>
  <c r="BB1204" i="11"/>
  <c r="BB1205" i="11"/>
  <c r="BB1206" i="11"/>
  <c r="BB1207" i="11"/>
  <c r="BB1208" i="11"/>
  <c r="BB1209" i="11"/>
  <c r="BB1210" i="11"/>
  <c r="BB1211" i="11"/>
  <c r="BB1212" i="11"/>
  <c r="BB1213" i="11"/>
  <c r="BB1214" i="11"/>
  <c r="BB1215" i="11"/>
  <c r="BB1216" i="11"/>
  <c r="BB1217" i="11"/>
  <c r="BB1218" i="11"/>
  <c r="BB1219" i="11"/>
  <c r="BB1220" i="11"/>
  <c r="BB1221" i="11"/>
  <c r="BB1222" i="11"/>
  <c r="BB1223" i="11"/>
  <c r="BB1224" i="11"/>
  <c r="BB1225" i="11"/>
  <c r="BB1226" i="11"/>
  <c r="BB1227" i="11"/>
  <c r="BB1228" i="11"/>
  <c r="BB1229" i="11"/>
  <c r="BB1230" i="11"/>
  <c r="BB1231" i="11"/>
  <c r="BB1232" i="11"/>
  <c r="BB1233" i="11"/>
  <c r="BB1234" i="11"/>
  <c r="BB1235" i="11"/>
  <c r="BB1236" i="11"/>
  <c r="BB1237" i="11"/>
  <c r="BB1238" i="11"/>
  <c r="BB1239" i="11"/>
  <c r="BB1240" i="11"/>
  <c r="BB1241" i="11"/>
  <c r="BB1242" i="11"/>
  <c r="BB1243" i="11"/>
  <c r="BB1244" i="11"/>
  <c r="BB1245" i="11"/>
  <c r="BB1246" i="11"/>
  <c r="BB1247" i="11"/>
  <c r="BB1248" i="11"/>
  <c r="BB1250" i="11"/>
  <c r="BB1251" i="11"/>
  <c r="BB1252" i="11"/>
  <c r="BB1253" i="11"/>
  <c r="BB1254" i="11"/>
  <c r="BB1255" i="11"/>
  <c r="BB1256" i="11"/>
  <c r="BB1257" i="11"/>
  <c r="BB1258" i="11"/>
  <c r="BB1259" i="11"/>
  <c r="BB1260" i="11"/>
  <c r="BB1261" i="11"/>
  <c r="BB1262" i="11"/>
  <c r="BB1263" i="11"/>
  <c r="BB1264" i="11"/>
  <c r="BB1265" i="11"/>
  <c r="BB1266" i="11"/>
  <c r="BB1267" i="11"/>
  <c r="BB1268" i="11"/>
  <c r="BB1269" i="11"/>
  <c r="BB1270" i="11"/>
  <c r="BB1271" i="11"/>
  <c r="BB1287" i="11"/>
  <c r="X1294" i="11"/>
  <c r="X1308" i="11"/>
  <c r="X1291" i="11"/>
  <c r="A45" i="23"/>
  <c r="B46" i="23"/>
  <c r="B47" i="23"/>
  <c r="B48" i="23"/>
  <c r="J48" i="23"/>
  <c r="O48" i="23"/>
  <c r="Q48" i="23"/>
  <c r="R48" i="23"/>
  <c r="J47" i="23"/>
  <c r="O47" i="23"/>
  <c r="Q47" i="23"/>
  <c r="R47" i="23"/>
  <c r="J67" i="23"/>
  <c r="O67" i="23"/>
  <c r="Q67" i="23"/>
  <c r="R67" i="23"/>
  <c r="B99" i="25"/>
  <c r="C99" i="25"/>
  <c r="D97" i="25"/>
  <c r="D99" i="25"/>
  <c r="E99" i="25"/>
  <c r="B100" i="25"/>
  <c r="AZ7" i="11"/>
  <c r="AZ1287" i="11"/>
  <c r="Z1294" i="11"/>
  <c r="E86" i="23"/>
  <c r="E87" i="23"/>
  <c r="E88" i="23"/>
  <c r="E89" i="23"/>
  <c r="E85" i="23"/>
  <c r="D86" i="23"/>
  <c r="F86" i="23"/>
  <c r="G86" i="23"/>
  <c r="H86" i="23"/>
  <c r="I86" i="23"/>
  <c r="D87" i="23"/>
  <c r="F87" i="23"/>
  <c r="G87" i="23"/>
  <c r="H87" i="23"/>
  <c r="I87" i="23"/>
  <c r="D88" i="23"/>
  <c r="F88" i="23"/>
  <c r="G88" i="23"/>
  <c r="H88" i="23"/>
  <c r="I88" i="23"/>
  <c r="D89" i="23"/>
  <c r="F89" i="23"/>
  <c r="G89" i="23"/>
  <c r="H89" i="23"/>
  <c r="I89" i="23"/>
  <c r="D85" i="23"/>
  <c r="F85" i="23"/>
  <c r="G85" i="23"/>
  <c r="H85" i="23"/>
  <c r="I85" i="23"/>
  <c r="B107" i="25"/>
  <c r="B108" i="25"/>
  <c r="C107" i="25"/>
  <c r="C108" i="25"/>
  <c r="D107" i="25"/>
  <c r="D108" i="25"/>
  <c r="E107" i="25"/>
  <c r="E108" i="25"/>
  <c r="B109" i="25"/>
  <c r="BA7" i="11"/>
  <c r="O242" i="12"/>
  <c r="Q242" i="12"/>
  <c r="AX1287" i="11"/>
  <c r="AY1287" i="11"/>
  <c r="D27" i="23"/>
  <c r="E27" i="23"/>
  <c r="D28" i="23"/>
  <c r="E28" i="23"/>
  <c r="E26" i="23"/>
  <c r="D26" i="23"/>
  <c r="F27" i="23"/>
  <c r="F28" i="23"/>
  <c r="F26" i="23"/>
  <c r="H36" i="25"/>
  <c r="H37" i="25"/>
  <c r="H38" i="25"/>
  <c r="H39" i="25"/>
  <c r="H40" i="25"/>
  <c r="H41" i="25"/>
  <c r="H42" i="25"/>
  <c r="H43" i="25"/>
  <c r="H44" i="25"/>
  <c r="H45" i="25"/>
  <c r="H46" i="25"/>
  <c r="H50" i="25"/>
  <c r="W1294" i="11"/>
  <c r="C33" i="25"/>
  <c r="C28" i="25"/>
  <c r="D35" i="25"/>
  <c r="D33" i="25"/>
  <c r="D28" i="25"/>
  <c r="E33" i="25"/>
  <c r="E28" i="25"/>
  <c r="F35" i="25"/>
  <c r="F33" i="25"/>
  <c r="F28" i="25"/>
  <c r="B33" i="25"/>
  <c r="B28" i="25"/>
  <c r="C31" i="25"/>
  <c r="E31" i="25"/>
  <c r="B31" i="25"/>
  <c r="D27" i="25"/>
  <c r="D89" i="25"/>
  <c r="D91" i="25"/>
  <c r="B89" i="25"/>
  <c r="B91" i="25"/>
  <c r="C89" i="25"/>
  <c r="C91" i="25"/>
  <c r="C92" i="25"/>
  <c r="AW1201" i="11"/>
  <c r="B78" i="25"/>
  <c r="B80" i="25"/>
  <c r="C78" i="25"/>
  <c r="C80" i="25"/>
  <c r="D78" i="25"/>
  <c r="D80" i="25"/>
  <c r="C82" i="25"/>
  <c r="V1294" i="11"/>
  <c r="E78" i="25"/>
  <c r="E80" i="25"/>
  <c r="F78" i="25"/>
  <c r="F80" i="25"/>
  <c r="B59" i="25"/>
  <c r="B61" i="25"/>
  <c r="C59" i="25"/>
  <c r="C61" i="25"/>
  <c r="D59" i="25"/>
  <c r="D61" i="25"/>
  <c r="E59" i="25"/>
  <c r="E61" i="25"/>
  <c r="F59" i="25"/>
  <c r="F61" i="25"/>
  <c r="G59" i="25"/>
  <c r="G61" i="25"/>
  <c r="H59" i="25"/>
  <c r="H61" i="25"/>
  <c r="I59" i="25"/>
  <c r="I61" i="25"/>
  <c r="J59" i="25"/>
  <c r="J61" i="25"/>
  <c r="K59" i="25"/>
  <c r="K61" i="25"/>
  <c r="L59" i="25"/>
  <c r="L61" i="25"/>
  <c r="M59" i="25"/>
  <c r="M61" i="25"/>
  <c r="N59" i="25"/>
  <c r="N61" i="25"/>
  <c r="O59" i="25"/>
  <c r="O61" i="25"/>
  <c r="P59" i="25"/>
  <c r="P61" i="25"/>
  <c r="C63" i="25"/>
  <c r="AV962" i="11"/>
  <c r="G23" i="25"/>
  <c r="D44" i="25"/>
  <c r="F44" i="25"/>
  <c r="D45" i="25"/>
  <c r="F45" i="25"/>
  <c r="D46" i="25"/>
  <c r="F46" i="25"/>
  <c r="D47" i="25"/>
  <c r="F47" i="25"/>
  <c r="D48" i="25"/>
  <c r="F48" i="25"/>
  <c r="D36" i="25"/>
  <c r="F36" i="25"/>
  <c r="D37" i="25"/>
  <c r="F37" i="25"/>
  <c r="D38" i="25"/>
  <c r="F38" i="25"/>
  <c r="D39" i="25"/>
  <c r="F39" i="25"/>
  <c r="D40" i="25"/>
  <c r="F40" i="25"/>
  <c r="D41" i="25"/>
  <c r="F41" i="25"/>
  <c r="D42" i="25"/>
  <c r="F42" i="25"/>
  <c r="F27" i="25"/>
  <c r="F29" i="25"/>
  <c r="F31" i="25"/>
  <c r="F30" i="25"/>
  <c r="F32" i="25"/>
  <c r="F34" i="25"/>
  <c r="F43" i="25"/>
  <c r="F49" i="25"/>
  <c r="D29" i="25"/>
  <c r="D30" i="25"/>
  <c r="D32" i="25"/>
  <c r="D34" i="25"/>
  <c r="D43" i="25"/>
  <c r="D49" i="25"/>
  <c r="D31" i="25"/>
  <c r="D26" i="25"/>
  <c r="D50" i="25"/>
  <c r="AQ1271" i="11"/>
  <c r="F26" i="25"/>
  <c r="F50" i="25"/>
  <c r="AR1271"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R137" i="11"/>
  <c r="AR138" i="11"/>
  <c r="AR139" i="11"/>
  <c r="AR140" i="11"/>
  <c r="AR141" i="11"/>
  <c r="AR142" i="11"/>
  <c r="AR143" i="11"/>
  <c r="AR144" i="11"/>
  <c r="AR145" i="11"/>
  <c r="AR146" i="11"/>
  <c r="AR147" i="11"/>
  <c r="AR148" i="11"/>
  <c r="AR149" i="11"/>
  <c r="AR150" i="11"/>
  <c r="AR151" i="11"/>
  <c r="AR152" i="11"/>
  <c r="AR153" i="11"/>
  <c r="AR154" i="11"/>
  <c r="AR155" i="11"/>
  <c r="AR156" i="11"/>
  <c r="AR157" i="11"/>
  <c r="AR158" i="11"/>
  <c r="AR159" i="11"/>
  <c r="AR160" i="11"/>
  <c r="AR161" i="11"/>
  <c r="AR162" i="11"/>
  <c r="AR163" i="11"/>
  <c r="AR164" i="11"/>
  <c r="AR165" i="11"/>
  <c r="AR166" i="11"/>
  <c r="AR167" i="11"/>
  <c r="AR168" i="11"/>
  <c r="AR169" i="11"/>
  <c r="AR170" i="11"/>
  <c r="AR171" i="11"/>
  <c r="AR172" i="11"/>
  <c r="AR173" i="11"/>
  <c r="AR174" i="11"/>
  <c r="AR175" i="11"/>
  <c r="AR176" i="11"/>
  <c r="AR177" i="11"/>
  <c r="AR178" i="11"/>
  <c r="AR179" i="11"/>
  <c r="AR180" i="11"/>
  <c r="AR181" i="11"/>
  <c r="AR182" i="11"/>
  <c r="AR183" i="11"/>
  <c r="AR184" i="11"/>
  <c r="AR185" i="11"/>
  <c r="AR186" i="11"/>
  <c r="AR187" i="11"/>
  <c r="AR188" i="11"/>
  <c r="AR189" i="11"/>
  <c r="AR190" i="11"/>
  <c r="AR191" i="11"/>
  <c r="AR192" i="11"/>
  <c r="AR193" i="11"/>
  <c r="AR194" i="11"/>
  <c r="AR195" i="11"/>
  <c r="AR196" i="11"/>
  <c r="AR197" i="11"/>
  <c r="AR198" i="11"/>
  <c r="AR199" i="11"/>
  <c r="AR200" i="11"/>
  <c r="AR201" i="11"/>
  <c r="AR202" i="11"/>
  <c r="AR203" i="11"/>
  <c r="AR204" i="11"/>
  <c r="AR205" i="11"/>
  <c r="AR206" i="11"/>
  <c r="AR207" i="11"/>
  <c r="AR208" i="11"/>
  <c r="AR209" i="11"/>
  <c r="AR210" i="11"/>
  <c r="AR211" i="11"/>
  <c r="AR212" i="11"/>
  <c r="AR213" i="11"/>
  <c r="AR214" i="11"/>
  <c r="AR215" i="11"/>
  <c r="AR216" i="11"/>
  <c r="AR217" i="11"/>
  <c r="AR218" i="11"/>
  <c r="AR219" i="11"/>
  <c r="AR220" i="11"/>
  <c r="AR221" i="11"/>
  <c r="AR222" i="11"/>
  <c r="AR223" i="11"/>
  <c r="AR224" i="11"/>
  <c r="AR225" i="11"/>
  <c r="AR226" i="11"/>
  <c r="AR227" i="11"/>
  <c r="AR228" i="11"/>
  <c r="AR229" i="11"/>
  <c r="AR230" i="11"/>
  <c r="AR231" i="11"/>
  <c r="AR232" i="11"/>
  <c r="AR233" i="11"/>
  <c r="AR234" i="11"/>
  <c r="AR235" i="11"/>
  <c r="AR236" i="11"/>
  <c r="AR237" i="11"/>
  <c r="AR238" i="11"/>
  <c r="AR239" i="11"/>
  <c r="AR240" i="11"/>
  <c r="AR241" i="11"/>
  <c r="AR242" i="11"/>
  <c r="AR243" i="11"/>
  <c r="AR244" i="11"/>
  <c r="AR245" i="11"/>
  <c r="AR246" i="11"/>
  <c r="AR247" i="11"/>
  <c r="AR248" i="11"/>
  <c r="AR249" i="11"/>
  <c r="AR250" i="11"/>
  <c r="AR251" i="11"/>
  <c r="AR252" i="11"/>
  <c r="AR253" i="11"/>
  <c r="AR254" i="11"/>
  <c r="AR255" i="11"/>
  <c r="AR256" i="11"/>
  <c r="AR257" i="11"/>
  <c r="AR258" i="11"/>
  <c r="AR259" i="11"/>
  <c r="AR260" i="11"/>
  <c r="AR261" i="11"/>
  <c r="AR262" i="11"/>
  <c r="AR263" i="11"/>
  <c r="AR264" i="11"/>
  <c r="AR265" i="11"/>
  <c r="AR266" i="11"/>
  <c r="AR267" i="11"/>
  <c r="AR268" i="11"/>
  <c r="AR269" i="11"/>
  <c r="AR270" i="11"/>
  <c r="AR271" i="11"/>
  <c r="AR272" i="11"/>
  <c r="AR273" i="11"/>
  <c r="AR274" i="11"/>
  <c r="AR275" i="11"/>
  <c r="AR276" i="11"/>
  <c r="AR277" i="11"/>
  <c r="AR278" i="11"/>
  <c r="AR279" i="11"/>
  <c r="AR280" i="11"/>
  <c r="AR281" i="11"/>
  <c r="AR282" i="11"/>
  <c r="AR283" i="11"/>
  <c r="AR284" i="11"/>
  <c r="AR285" i="11"/>
  <c r="AR286" i="11"/>
  <c r="AR287" i="11"/>
  <c r="AR288" i="11"/>
  <c r="AR289" i="11"/>
  <c r="AR290" i="11"/>
  <c r="AR291" i="11"/>
  <c r="AR292" i="11"/>
  <c r="AR293" i="11"/>
  <c r="AR294" i="11"/>
  <c r="AR295" i="11"/>
  <c r="AR296" i="11"/>
  <c r="AR297" i="11"/>
  <c r="AR298" i="11"/>
  <c r="AR299" i="11"/>
  <c r="AR300" i="11"/>
  <c r="AR301" i="11"/>
  <c r="AR302" i="11"/>
  <c r="AR303" i="11"/>
  <c r="AR304" i="11"/>
  <c r="AR305" i="11"/>
  <c r="AR306" i="11"/>
  <c r="AR307" i="11"/>
  <c r="AR308" i="11"/>
  <c r="AR309" i="11"/>
  <c r="AR310" i="11"/>
  <c r="AR311" i="11"/>
  <c r="AR312" i="11"/>
  <c r="AR313" i="11"/>
  <c r="AR314" i="11"/>
  <c r="AR315" i="11"/>
  <c r="AR316" i="11"/>
  <c r="AR317" i="11"/>
  <c r="AR318" i="11"/>
  <c r="AR319" i="11"/>
  <c r="AR320" i="11"/>
  <c r="AR321" i="11"/>
  <c r="AR322" i="11"/>
  <c r="AR323" i="11"/>
  <c r="AR324" i="11"/>
  <c r="AR325" i="11"/>
  <c r="AR326" i="11"/>
  <c r="AR327" i="11"/>
  <c r="AR328" i="11"/>
  <c r="AR329" i="11"/>
  <c r="AR330" i="11"/>
  <c r="AR331" i="11"/>
  <c r="AR332" i="11"/>
  <c r="AR333" i="11"/>
  <c r="AR334" i="11"/>
  <c r="AR335" i="11"/>
  <c r="AR336" i="11"/>
  <c r="AR337" i="11"/>
  <c r="AR338" i="11"/>
  <c r="AR339" i="11"/>
  <c r="AR340" i="11"/>
  <c r="AR341" i="11"/>
  <c r="AR342" i="11"/>
  <c r="AR343" i="11"/>
  <c r="AR344" i="11"/>
  <c r="AR345" i="11"/>
  <c r="AR346" i="11"/>
  <c r="AR347" i="11"/>
  <c r="AR348" i="11"/>
  <c r="AR349" i="11"/>
  <c r="AR350" i="11"/>
  <c r="AR351" i="11"/>
  <c r="AR352" i="11"/>
  <c r="AR353" i="11"/>
  <c r="AR354" i="11"/>
  <c r="AR355" i="11"/>
  <c r="AR356" i="11"/>
  <c r="AR357" i="11"/>
  <c r="AR358" i="11"/>
  <c r="AR359" i="11"/>
  <c r="AR360" i="11"/>
  <c r="AR361" i="11"/>
  <c r="AR362" i="11"/>
  <c r="AR363" i="11"/>
  <c r="AR364" i="11"/>
  <c r="AR365" i="11"/>
  <c r="AR366" i="11"/>
  <c r="AR367" i="11"/>
  <c r="AR368" i="11"/>
  <c r="AR369" i="11"/>
  <c r="AR370" i="11"/>
  <c r="AR371" i="11"/>
  <c r="AR372" i="11"/>
  <c r="AR373" i="11"/>
  <c r="AR374" i="11"/>
  <c r="AR375" i="11"/>
  <c r="AR376" i="11"/>
  <c r="AR377" i="11"/>
  <c r="AR378" i="11"/>
  <c r="AR379" i="11"/>
  <c r="AR380" i="11"/>
  <c r="AR381" i="11"/>
  <c r="AR382" i="11"/>
  <c r="AR383" i="11"/>
  <c r="AR384" i="11"/>
  <c r="AR385" i="11"/>
  <c r="AR386" i="11"/>
  <c r="AR387" i="11"/>
  <c r="AR388" i="11"/>
  <c r="AR389" i="11"/>
  <c r="AR390" i="11"/>
  <c r="AR391" i="11"/>
  <c r="AR392" i="11"/>
  <c r="AR393" i="11"/>
  <c r="AR394" i="11"/>
  <c r="AR395" i="11"/>
  <c r="AR396" i="11"/>
  <c r="AR397" i="11"/>
  <c r="AR398" i="11"/>
  <c r="AR399" i="11"/>
  <c r="AR400" i="11"/>
  <c r="AR401" i="11"/>
  <c r="AR402" i="11"/>
  <c r="AR403" i="11"/>
  <c r="AR404" i="11"/>
  <c r="AR405" i="11"/>
  <c r="AR406" i="11"/>
  <c r="AR407" i="11"/>
  <c r="AR408" i="11"/>
  <c r="AR409" i="11"/>
  <c r="AR410" i="11"/>
  <c r="AR411" i="11"/>
  <c r="AR412" i="11"/>
  <c r="AR413" i="11"/>
  <c r="AR414" i="11"/>
  <c r="AR415" i="11"/>
  <c r="AR416" i="11"/>
  <c r="AR417" i="11"/>
  <c r="AR418" i="11"/>
  <c r="AR419" i="11"/>
  <c r="AR420" i="11"/>
  <c r="AR421" i="11"/>
  <c r="AR422" i="11"/>
  <c r="AR423" i="11"/>
  <c r="AR424" i="11"/>
  <c r="AR425" i="11"/>
  <c r="AR426" i="11"/>
  <c r="AR427" i="11"/>
  <c r="AR428" i="11"/>
  <c r="AR429" i="11"/>
  <c r="AR430" i="11"/>
  <c r="AR431" i="11"/>
  <c r="AR432" i="11"/>
  <c r="AR433" i="11"/>
  <c r="AR434" i="11"/>
  <c r="AR435" i="11"/>
  <c r="AR436" i="11"/>
  <c r="AR437" i="11"/>
  <c r="AR438" i="11"/>
  <c r="AR439" i="11"/>
  <c r="AR440" i="11"/>
  <c r="AR441" i="11"/>
  <c r="AR442" i="11"/>
  <c r="AR443" i="11"/>
  <c r="AR444" i="11"/>
  <c r="AR445" i="11"/>
  <c r="AR446" i="11"/>
  <c r="AR447" i="11"/>
  <c r="AR448" i="11"/>
  <c r="AR449" i="11"/>
  <c r="AR450" i="11"/>
  <c r="AR451" i="11"/>
  <c r="AR452" i="11"/>
  <c r="AR453" i="11"/>
  <c r="AR454" i="11"/>
  <c r="AR455" i="11"/>
  <c r="AR456" i="11"/>
  <c r="AR457" i="11"/>
  <c r="AR458" i="11"/>
  <c r="AR459" i="11"/>
  <c r="AR460" i="11"/>
  <c r="AR461" i="11"/>
  <c r="AR462" i="11"/>
  <c r="AR463" i="11"/>
  <c r="AR464" i="11"/>
  <c r="AR465" i="11"/>
  <c r="AR466" i="11"/>
  <c r="AR467" i="11"/>
  <c r="AR468" i="11"/>
  <c r="AR469" i="11"/>
  <c r="AR470" i="11"/>
  <c r="AR471" i="11"/>
  <c r="AR472" i="11"/>
  <c r="AR473" i="11"/>
  <c r="AR474" i="11"/>
  <c r="AR475" i="11"/>
  <c r="AR476" i="11"/>
  <c r="AR477" i="11"/>
  <c r="AR478" i="11"/>
  <c r="AR479" i="11"/>
  <c r="AR480" i="11"/>
  <c r="AR481" i="11"/>
  <c r="AR482" i="11"/>
  <c r="AR483" i="11"/>
  <c r="AR484" i="11"/>
  <c r="AR485" i="11"/>
  <c r="AR486" i="11"/>
  <c r="AR487" i="11"/>
  <c r="AR488" i="11"/>
  <c r="AR489" i="11"/>
  <c r="AR490" i="11"/>
  <c r="AR491" i="11"/>
  <c r="AR492" i="11"/>
  <c r="AR493" i="11"/>
  <c r="AR494" i="11"/>
  <c r="AR495" i="11"/>
  <c r="AR496" i="11"/>
  <c r="AR497" i="11"/>
  <c r="AR498" i="11"/>
  <c r="AR499" i="11"/>
  <c r="AR500" i="11"/>
  <c r="AR501" i="11"/>
  <c r="AR502" i="11"/>
  <c r="AR503" i="11"/>
  <c r="AR504" i="11"/>
  <c r="AR505" i="11"/>
  <c r="AR506" i="11"/>
  <c r="AR507" i="11"/>
  <c r="AR508" i="11"/>
  <c r="AR509" i="11"/>
  <c r="AR510" i="11"/>
  <c r="AR511" i="11"/>
  <c r="AR512" i="11"/>
  <c r="AR513" i="11"/>
  <c r="AR514" i="11"/>
  <c r="AR515" i="11"/>
  <c r="AR516" i="11"/>
  <c r="AR517" i="11"/>
  <c r="AR518" i="11"/>
  <c r="AR519" i="11"/>
  <c r="AR520" i="11"/>
  <c r="AR521" i="11"/>
  <c r="AR522" i="11"/>
  <c r="AR523" i="11"/>
  <c r="AR524" i="11"/>
  <c r="AR525" i="11"/>
  <c r="AR526" i="11"/>
  <c r="AR527" i="11"/>
  <c r="AR528" i="11"/>
  <c r="AR529" i="11"/>
  <c r="AR530" i="11"/>
  <c r="AR531" i="11"/>
  <c r="AR532" i="11"/>
  <c r="AR533" i="11"/>
  <c r="AR534" i="11"/>
  <c r="AR535" i="11"/>
  <c r="AR536" i="11"/>
  <c r="AR537" i="11"/>
  <c r="AR538" i="11"/>
  <c r="AR539" i="11"/>
  <c r="AR540" i="11"/>
  <c r="AR541" i="11"/>
  <c r="AR542" i="11"/>
  <c r="AR543" i="11"/>
  <c r="AR544" i="11"/>
  <c r="AR545" i="11"/>
  <c r="AR546" i="11"/>
  <c r="AR547" i="11"/>
  <c r="AR548" i="11"/>
  <c r="AR549" i="11"/>
  <c r="AR550" i="11"/>
  <c r="AR551" i="11"/>
  <c r="AR552" i="11"/>
  <c r="AR553" i="11"/>
  <c r="AR554" i="11"/>
  <c r="AR555" i="11"/>
  <c r="AR556" i="11"/>
  <c r="AR557" i="11"/>
  <c r="AR558" i="11"/>
  <c r="AR559" i="11"/>
  <c r="AR560" i="11"/>
  <c r="AR561" i="11"/>
  <c r="AR562" i="11"/>
  <c r="AR563" i="11"/>
  <c r="AR564" i="11"/>
  <c r="AR565" i="11"/>
  <c r="AR566" i="11"/>
  <c r="AR567" i="11"/>
  <c r="AR568" i="11"/>
  <c r="AR569" i="11"/>
  <c r="AR570" i="11"/>
  <c r="AR571" i="11"/>
  <c r="AR572" i="11"/>
  <c r="AR573" i="11"/>
  <c r="AR574" i="11"/>
  <c r="AR575" i="11"/>
  <c r="AR576" i="11"/>
  <c r="AR577" i="11"/>
  <c r="AR578" i="11"/>
  <c r="AR579" i="11"/>
  <c r="AR580" i="11"/>
  <c r="AR581" i="11"/>
  <c r="AR582" i="11"/>
  <c r="AR583" i="11"/>
  <c r="AR584" i="11"/>
  <c r="AR585" i="11"/>
  <c r="AR586" i="11"/>
  <c r="AR587" i="11"/>
  <c r="AR588" i="11"/>
  <c r="AR589" i="11"/>
  <c r="AR590" i="11"/>
  <c r="AR591" i="11"/>
  <c r="AR592" i="11"/>
  <c r="AR593" i="11"/>
  <c r="AR594" i="11"/>
  <c r="AR595" i="11"/>
  <c r="AR596" i="11"/>
  <c r="AR597" i="11"/>
  <c r="AR598" i="11"/>
  <c r="AR599" i="11"/>
  <c r="AR600" i="11"/>
  <c r="AR601" i="11"/>
  <c r="AR602" i="11"/>
  <c r="AR603" i="11"/>
  <c r="AR604" i="11"/>
  <c r="AR605" i="11"/>
  <c r="AR606" i="11"/>
  <c r="AR607" i="11"/>
  <c r="AR608" i="11"/>
  <c r="AR609" i="11"/>
  <c r="AR610" i="11"/>
  <c r="AR611" i="11"/>
  <c r="AR612" i="11"/>
  <c r="AR613" i="11"/>
  <c r="AR614" i="11"/>
  <c r="AR615" i="11"/>
  <c r="AR616" i="11"/>
  <c r="AR617" i="11"/>
  <c r="AR618" i="11"/>
  <c r="AR619" i="11"/>
  <c r="AR620" i="11"/>
  <c r="AR621" i="11"/>
  <c r="AR622" i="11"/>
  <c r="AR623" i="11"/>
  <c r="AR624" i="11"/>
  <c r="AR625" i="11"/>
  <c r="AR626" i="11"/>
  <c r="AR627" i="11"/>
  <c r="AR628" i="11"/>
  <c r="AR629" i="11"/>
  <c r="AR630" i="11"/>
  <c r="AR631" i="11"/>
  <c r="AR632" i="11"/>
  <c r="AR633" i="11"/>
  <c r="AR634" i="11"/>
  <c r="AR635" i="11"/>
  <c r="AR636" i="11"/>
  <c r="AR637" i="11"/>
  <c r="AR638" i="11"/>
  <c r="AR639" i="11"/>
  <c r="AR640" i="11"/>
  <c r="AR641" i="11"/>
  <c r="AR642" i="11"/>
  <c r="AR643" i="11"/>
  <c r="AR644" i="11"/>
  <c r="AR645" i="11"/>
  <c r="AR646" i="11"/>
  <c r="AR647" i="11"/>
  <c r="AR648" i="11"/>
  <c r="AR649" i="11"/>
  <c r="AR650" i="11"/>
  <c r="AR651" i="11"/>
  <c r="AR652" i="11"/>
  <c r="AR653" i="11"/>
  <c r="AR654" i="11"/>
  <c r="AR655" i="11"/>
  <c r="AR656" i="11"/>
  <c r="AR657" i="11"/>
  <c r="AR658" i="11"/>
  <c r="AR659" i="11"/>
  <c r="AR660" i="11"/>
  <c r="AR661" i="11"/>
  <c r="AR662" i="11"/>
  <c r="AR663" i="11"/>
  <c r="AR664" i="11"/>
  <c r="AR665" i="11"/>
  <c r="AR666" i="11"/>
  <c r="AR667" i="11"/>
  <c r="AR668" i="11"/>
  <c r="AR669" i="11"/>
  <c r="AR670" i="11"/>
  <c r="AR671" i="11"/>
  <c r="AR672" i="11"/>
  <c r="AR673" i="11"/>
  <c r="AR674" i="11"/>
  <c r="AR675" i="11"/>
  <c r="AR676" i="11"/>
  <c r="AR677" i="11"/>
  <c r="AR678" i="11"/>
  <c r="AR679" i="11"/>
  <c r="AR680" i="11"/>
  <c r="AR681" i="11"/>
  <c r="AR682" i="11"/>
  <c r="AR683" i="11"/>
  <c r="AR684" i="11"/>
  <c r="AR685" i="11"/>
  <c r="AR686" i="11"/>
  <c r="AR687" i="11"/>
  <c r="AR688" i="11"/>
  <c r="AR689" i="11"/>
  <c r="AR690" i="11"/>
  <c r="AR691" i="11"/>
  <c r="AR692" i="11"/>
  <c r="AR693" i="11"/>
  <c r="AR694" i="11"/>
  <c r="AR695" i="11"/>
  <c r="AR696" i="11"/>
  <c r="AR697" i="11"/>
  <c r="AR698" i="11"/>
  <c r="AR699" i="11"/>
  <c r="AR700" i="11"/>
  <c r="AR701" i="11"/>
  <c r="AR702" i="11"/>
  <c r="AR703" i="11"/>
  <c r="AR704" i="11"/>
  <c r="AR705" i="11"/>
  <c r="AR706" i="11"/>
  <c r="AR707" i="11"/>
  <c r="AR708" i="11"/>
  <c r="AR709" i="11"/>
  <c r="AR710" i="11"/>
  <c r="AR711" i="11"/>
  <c r="AR712" i="11"/>
  <c r="AR713" i="11"/>
  <c r="AR714" i="11"/>
  <c r="AR715" i="11"/>
  <c r="AR716" i="11"/>
  <c r="AR717" i="11"/>
  <c r="AR718" i="11"/>
  <c r="AR719" i="11"/>
  <c r="AR720" i="11"/>
  <c r="AR721" i="11"/>
  <c r="AR722" i="11"/>
  <c r="AR723" i="11"/>
  <c r="AR724" i="11"/>
  <c r="AR725" i="11"/>
  <c r="AR726" i="11"/>
  <c r="AR727" i="11"/>
  <c r="AR728" i="11"/>
  <c r="AR729" i="11"/>
  <c r="AR730" i="11"/>
  <c r="AR731" i="11"/>
  <c r="AR732" i="11"/>
  <c r="AR733" i="11"/>
  <c r="AR734" i="11"/>
  <c r="AR735" i="11"/>
  <c r="AR736" i="11"/>
  <c r="AR737" i="11"/>
  <c r="AR738" i="11"/>
  <c r="AR739" i="11"/>
  <c r="AR740" i="11"/>
  <c r="AR741" i="11"/>
  <c r="AR742" i="11"/>
  <c r="AR743" i="11"/>
  <c r="AR744" i="11"/>
  <c r="AR745" i="11"/>
  <c r="AR746" i="11"/>
  <c r="AR747" i="11"/>
  <c r="AR748" i="11"/>
  <c r="AR749" i="11"/>
  <c r="AR750" i="11"/>
  <c r="AR751" i="11"/>
  <c r="AR752" i="11"/>
  <c r="AR753" i="11"/>
  <c r="AR754" i="11"/>
  <c r="AR755" i="11"/>
  <c r="AR756" i="11"/>
  <c r="AR757" i="11"/>
  <c r="AR758" i="11"/>
  <c r="AR759" i="11"/>
  <c r="AR760" i="11"/>
  <c r="AR761" i="11"/>
  <c r="AR762" i="11"/>
  <c r="AR763" i="11"/>
  <c r="AR764" i="11"/>
  <c r="AR765" i="11"/>
  <c r="AR766" i="11"/>
  <c r="AR767" i="11"/>
  <c r="AR768" i="11"/>
  <c r="AR769" i="11"/>
  <c r="AR770" i="11"/>
  <c r="AR771" i="11"/>
  <c r="AR772" i="11"/>
  <c r="AR773" i="11"/>
  <c r="AR774" i="11"/>
  <c r="AR775" i="11"/>
  <c r="AR776" i="11"/>
  <c r="AR777" i="11"/>
  <c r="AR778" i="11"/>
  <c r="AR779" i="11"/>
  <c r="AR780" i="11"/>
  <c r="AR781" i="11"/>
  <c r="AR782" i="11"/>
  <c r="AR783" i="11"/>
  <c r="AR784" i="11"/>
  <c r="AR785" i="11"/>
  <c r="AR786" i="11"/>
  <c r="AR787" i="11"/>
  <c r="AR788" i="11"/>
  <c r="AR789" i="11"/>
  <c r="AR790" i="11"/>
  <c r="AR791" i="11"/>
  <c r="AR792" i="11"/>
  <c r="AR793" i="11"/>
  <c r="AR794" i="11"/>
  <c r="AR795" i="11"/>
  <c r="AR796" i="11"/>
  <c r="AR797" i="11"/>
  <c r="AR798" i="11"/>
  <c r="AR799" i="11"/>
  <c r="AR800" i="11"/>
  <c r="AR801" i="11"/>
  <c r="AR802" i="11"/>
  <c r="AR803" i="11"/>
  <c r="AR804" i="11"/>
  <c r="AR805" i="11"/>
  <c r="AR806" i="11"/>
  <c r="AR807" i="11"/>
  <c r="AR808" i="11"/>
  <c r="AR809" i="11"/>
  <c r="AR810" i="11"/>
  <c r="AR811" i="11"/>
  <c r="AR812" i="11"/>
  <c r="AR813" i="11"/>
  <c r="AR814" i="11"/>
  <c r="AR815" i="11"/>
  <c r="AR816" i="11"/>
  <c r="AR817" i="11"/>
  <c r="AR818" i="11"/>
  <c r="AR819" i="11"/>
  <c r="AR820" i="11"/>
  <c r="AR821" i="11"/>
  <c r="AR822" i="11"/>
  <c r="AR823" i="11"/>
  <c r="AR824" i="11"/>
  <c r="AR825" i="11"/>
  <c r="AR826" i="11"/>
  <c r="AR827" i="11"/>
  <c r="AR828" i="11"/>
  <c r="AR829" i="11"/>
  <c r="AR830" i="11"/>
  <c r="AR831" i="11"/>
  <c r="AR832" i="11"/>
  <c r="AR833" i="11"/>
  <c r="AR834" i="11"/>
  <c r="AR835" i="11"/>
  <c r="AR836" i="11"/>
  <c r="AR837" i="11"/>
  <c r="AR838" i="11"/>
  <c r="AR839" i="11"/>
  <c r="AR840" i="11"/>
  <c r="AR841" i="11"/>
  <c r="AR842" i="11"/>
  <c r="AR843" i="11"/>
  <c r="AR844" i="11"/>
  <c r="AR845" i="11"/>
  <c r="AR846" i="11"/>
  <c r="AR847" i="11"/>
  <c r="AR848" i="11"/>
  <c r="AR849" i="11"/>
  <c r="AR850" i="11"/>
  <c r="AR851" i="11"/>
  <c r="AR852" i="11"/>
  <c r="AR853" i="11"/>
  <c r="AR854" i="11"/>
  <c r="AR855" i="11"/>
  <c r="AR856" i="11"/>
  <c r="AR857" i="11"/>
  <c r="AR858" i="11"/>
  <c r="AR859" i="11"/>
  <c r="AR860" i="11"/>
  <c r="AR861" i="11"/>
  <c r="AR862" i="11"/>
  <c r="AR863" i="11"/>
  <c r="AR864" i="11"/>
  <c r="AR865" i="11"/>
  <c r="AR866" i="11"/>
  <c r="AR867" i="11"/>
  <c r="AR868" i="11"/>
  <c r="AR869" i="11"/>
  <c r="AR870" i="11"/>
  <c r="AR871" i="11"/>
  <c r="AR872" i="11"/>
  <c r="AR873" i="11"/>
  <c r="AR874" i="11"/>
  <c r="AR875" i="11"/>
  <c r="AR876" i="11"/>
  <c r="AR877" i="11"/>
  <c r="AR878" i="11"/>
  <c r="AR879" i="11"/>
  <c r="AR880" i="11"/>
  <c r="AR881" i="11"/>
  <c r="AR882" i="11"/>
  <c r="AR883" i="11"/>
  <c r="AR884" i="11"/>
  <c r="AR885" i="11"/>
  <c r="AR886" i="11"/>
  <c r="AR887" i="11"/>
  <c r="AR888" i="11"/>
  <c r="AR889" i="11"/>
  <c r="AR890" i="11"/>
  <c r="AR891" i="11"/>
  <c r="AR892" i="11"/>
  <c r="AR893" i="11"/>
  <c r="AR894" i="11"/>
  <c r="AR895" i="11"/>
  <c r="AR896" i="11"/>
  <c r="AR897" i="11"/>
  <c r="AR898" i="11"/>
  <c r="AR899" i="11"/>
  <c r="AR900" i="11"/>
  <c r="AR901" i="11"/>
  <c r="AR902" i="11"/>
  <c r="AR903" i="11"/>
  <c r="AR904" i="11"/>
  <c r="AR905" i="11"/>
  <c r="AR906" i="11"/>
  <c r="AR907" i="11"/>
  <c r="AR908" i="11"/>
  <c r="AR909" i="11"/>
  <c r="AR910" i="11"/>
  <c r="AR911" i="11"/>
  <c r="AR912" i="11"/>
  <c r="AR913" i="11"/>
  <c r="AR914" i="11"/>
  <c r="AR915" i="11"/>
  <c r="AR916" i="11"/>
  <c r="AR917" i="11"/>
  <c r="AR918" i="11"/>
  <c r="AR919" i="11"/>
  <c r="AR920" i="11"/>
  <c r="AR921" i="11"/>
  <c r="AR922" i="11"/>
  <c r="AR923" i="11"/>
  <c r="AR924" i="11"/>
  <c r="AR925" i="11"/>
  <c r="AR926" i="11"/>
  <c r="AR927" i="11"/>
  <c r="AR928" i="11"/>
  <c r="AR929" i="11"/>
  <c r="AR930" i="11"/>
  <c r="AR931" i="11"/>
  <c r="AR932" i="11"/>
  <c r="AR933" i="11"/>
  <c r="AR934" i="11"/>
  <c r="AR935" i="11"/>
  <c r="AR936" i="11"/>
  <c r="AR937" i="11"/>
  <c r="AR938" i="11"/>
  <c r="AR939" i="11"/>
  <c r="AR940" i="11"/>
  <c r="AR941" i="11"/>
  <c r="AR942" i="11"/>
  <c r="AR943" i="11"/>
  <c r="AR944" i="11"/>
  <c r="AR945" i="11"/>
  <c r="AR946" i="11"/>
  <c r="AR947" i="11"/>
  <c r="AR948" i="11"/>
  <c r="AR949" i="11"/>
  <c r="AR950" i="11"/>
  <c r="AR951" i="11"/>
  <c r="AR952" i="11"/>
  <c r="AR953" i="11"/>
  <c r="AR954" i="11"/>
  <c r="AR955" i="11"/>
  <c r="AR956" i="11"/>
  <c r="AR957" i="11"/>
  <c r="AR958" i="11"/>
  <c r="AR959" i="11"/>
  <c r="AR960" i="11"/>
  <c r="AR961" i="11"/>
  <c r="AR962" i="11"/>
  <c r="AR963" i="11"/>
  <c r="AR964" i="11"/>
  <c r="AR965" i="11"/>
  <c r="AR966" i="11"/>
  <c r="AR967" i="11"/>
  <c r="AR968" i="11"/>
  <c r="AR969" i="11"/>
  <c r="AR970" i="11"/>
  <c r="AR971" i="11"/>
  <c r="AR972" i="11"/>
  <c r="AR973" i="11"/>
  <c r="AR974" i="11"/>
  <c r="AR975" i="11"/>
  <c r="AR976" i="11"/>
  <c r="AR977" i="11"/>
  <c r="AR978" i="11"/>
  <c r="AR979" i="11"/>
  <c r="AR980" i="11"/>
  <c r="AR981" i="11"/>
  <c r="AR982" i="11"/>
  <c r="AR983" i="11"/>
  <c r="AR984" i="11"/>
  <c r="AR985" i="11"/>
  <c r="AR986" i="11"/>
  <c r="AR987" i="11"/>
  <c r="AR988" i="11"/>
  <c r="AR989" i="11"/>
  <c r="AR990" i="11"/>
  <c r="AR991" i="11"/>
  <c r="AR992" i="11"/>
  <c r="AR993" i="11"/>
  <c r="AR994" i="11"/>
  <c r="AR995" i="11"/>
  <c r="AR996" i="11"/>
  <c r="AR997" i="11"/>
  <c r="AR998" i="11"/>
  <c r="AR999" i="11"/>
  <c r="AR1000" i="11"/>
  <c r="AR1001" i="11"/>
  <c r="AR1002" i="11"/>
  <c r="AR1003" i="11"/>
  <c r="AR1004" i="11"/>
  <c r="AR1005" i="11"/>
  <c r="AR1006" i="11"/>
  <c r="AR1007" i="11"/>
  <c r="AR1008" i="11"/>
  <c r="AR1009" i="11"/>
  <c r="AR1010" i="11"/>
  <c r="AR1011" i="11"/>
  <c r="AR1012" i="11"/>
  <c r="AR1013" i="11"/>
  <c r="AR1014" i="11"/>
  <c r="AR1015" i="11"/>
  <c r="AR1016" i="11"/>
  <c r="AR1017" i="11"/>
  <c r="AR1018" i="11"/>
  <c r="AR1019" i="11"/>
  <c r="AR1020" i="11"/>
  <c r="AR1021" i="11"/>
  <c r="AR1022" i="11"/>
  <c r="AR1023" i="11"/>
  <c r="AR1024" i="11"/>
  <c r="AR1025" i="11"/>
  <c r="AR1026" i="11"/>
  <c r="AR1027" i="11"/>
  <c r="AR1028" i="11"/>
  <c r="AR1029" i="11"/>
  <c r="AR1030" i="11"/>
  <c r="AR1031" i="11"/>
  <c r="AR1032" i="11"/>
  <c r="AR1033" i="11"/>
  <c r="AR1034" i="11"/>
  <c r="AR1035" i="11"/>
  <c r="AR1036" i="11"/>
  <c r="AR1037" i="11"/>
  <c r="AR1038" i="11"/>
  <c r="AR1039" i="11"/>
  <c r="AR1040" i="11"/>
  <c r="AR1041" i="11"/>
  <c r="AR1042" i="11"/>
  <c r="AR1043" i="11"/>
  <c r="AR1044" i="11"/>
  <c r="AR1045" i="11"/>
  <c r="AR1046" i="11"/>
  <c r="AR1047" i="11"/>
  <c r="AR1048" i="11"/>
  <c r="AR1049" i="11"/>
  <c r="AR1050" i="11"/>
  <c r="AR1051" i="11"/>
  <c r="AR1052" i="11"/>
  <c r="AR1053" i="11"/>
  <c r="AR1054" i="11"/>
  <c r="AR1055" i="11"/>
  <c r="AR1056" i="11"/>
  <c r="AR1057" i="11"/>
  <c r="AR1058" i="11"/>
  <c r="AR1059" i="11"/>
  <c r="AR1060" i="11"/>
  <c r="AR1061" i="11"/>
  <c r="AR1062" i="11"/>
  <c r="AR1063" i="11"/>
  <c r="AR1064" i="11"/>
  <c r="AR1065" i="11"/>
  <c r="AR1066" i="11"/>
  <c r="AR1067" i="11"/>
  <c r="AR1068" i="11"/>
  <c r="AR1069" i="11"/>
  <c r="AR1070" i="11"/>
  <c r="AR1071" i="11"/>
  <c r="AR1072" i="11"/>
  <c r="AR1073" i="11"/>
  <c r="AR1074" i="11"/>
  <c r="AR1075" i="11"/>
  <c r="AR1076" i="11"/>
  <c r="AR1077" i="11"/>
  <c r="AR1078" i="11"/>
  <c r="AR1079" i="11"/>
  <c r="AR1080" i="11"/>
  <c r="AR1081" i="11"/>
  <c r="AR1082" i="11"/>
  <c r="AR1083" i="11"/>
  <c r="AR1084" i="11"/>
  <c r="AR1085" i="11"/>
  <c r="AR1086" i="11"/>
  <c r="AR1087" i="11"/>
  <c r="AR1088" i="11"/>
  <c r="AR1089" i="11"/>
  <c r="AR1090" i="11"/>
  <c r="AR1091" i="11"/>
  <c r="AR1092" i="11"/>
  <c r="AR1093" i="11"/>
  <c r="AR1094" i="11"/>
  <c r="AR1095" i="11"/>
  <c r="AR1096" i="11"/>
  <c r="AR1097" i="11"/>
  <c r="AR1098" i="11"/>
  <c r="AR1099" i="11"/>
  <c r="AR1100" i="11"/>
  <c r="AR1101" i="11"/>
  <c r="AR1102" i="11"/>
  <c r="AR1103" i="11"/>
  <c r="AR1104" i="11"/>
  <c r="AR1105" i="11"/>
  <c r="AR1106" i="11"/>
  <c r="AR1107" i="11"/>
  <c r="AR1108" i="11"/>
  <c r="AR1109" i="11"/>
  <c r="AR1110" i="11"/>
  <c r="AR1111" i="11"/>
  <c r="AR1112" i="11"/>
  <c r="AR1113" i="11"/>
  <c r="AR1114" i="11"/>
  <c r="AR1115" i="11"/>
  <c r="AR1116" i="11"/>
  <c r="AR1117" i="11"/>
  <c r="AR1118" i="11"/>
  <c r="AR1119" i="11"/>
  <c r="AR1120" i="11"/>
  <c r="AR1121" i="11"/>
  <c r="AR1122" i="11"/>
  <c r="AR1123" i="11"/>
  <c r="AR1124" i="11"/>
  <c r="AR1125" i="11"/>
  <c r="AR1126" i="11"/>
  <c r="AR1127" i="11"/>
  <c r="AR1128" i="11"/>
  <c r="AR1129" i="11"/>
  <c r="AR1130" i="11"/>
  <c r="AR1131" i="11"/>
  <c r="AR1132" i="11"/>
  <c r="AR1133" i="11"/>
  <c r="AR1134" i="11"/>
  <c r="AR1135" i="11"/>
  <c r="AR1136" i="11"/>
  <c r="AR1137" i="11"/>
  <c r="AR1138" i="11"/>
  <c r="AR1139" i="11"/>
  <c r="AR1140" i="11"/>
  <c r="AR1141" i="11"/>
  <c r="AR1142" i="11"/>
  <c r="AR1143" i="11"/>
  <c r="AR1144" i="11"/>
  <c r="AR1145" i="11"/>
  <c r="AR1146" i="11"/>
  <c r="AR1147" i="11"/>
  <c r="AR1148" i="11"/>
  <c r="AR1149" i="11"/>
  <c r="AR1150" i="11"/>
  <c r="AR1151" i="11"/>
  <c r="AR1152" i="11"/>
  <c r="AR1153" i="11"/>
  <c r="AR1154" i="11"/>
  <c r="AR1155" i="11"/>
  <c r="AR1156" i="11"/>
  <c r="AR1157" i="11"/>
  <c r="AR1158" i="11"/>
  <c r="AR1159" i="11"/>
  <c r="AR1160" i="11"/>
  <c r="AR1161" i="11"/>
  <c r="AR1162" i="11"/>
  <c r="AR1163" i="11"/>
  <c r="AR1164" i="11"/>
  <c r="AR1165" i="11"/>
  <c r="AR1166" i="11"/>
  <c r="AR1167" i="11"/>
  <c r="AR1168" i="11"/>
  <c r="AR1169" i="11"/>
  <c r="AR1170" i="11"/>
  <c r="AR1171" i="11"/>
  <c r="AR1172" i="11"/>
  <c r="AR1173" i="11"/>
  <c r="AR1174" i="11"/>
  <c r="AR1175" i="11"/>
  <c r="AR1176" i="11"/>
  <c r="AR1177" i="11"/>
  <c r="AR1178" i="11"/>
  <c r="AR1179" i="11"/>
  <c r="AR1180" i="11"/>
  <c r="AR1181" i="11"/>
  <c r="AR1182" i="11"/>
  <c r="AR1183" i="11"/>
  <c r="AR1184" i="11"/>
  <c r="AR1185" i="11"/>
  <c r="AR1186" i="11"/>
  <c r="AR1187" i="11"/>
  <c r="AR1188" i="11"/>
  <c r="AR1189" i="11"/>
  <c r="AR1190" i="11"/>
  <c r="AR1191" i="11"/>
  <c r="AR1192" i="11"/>
  <c r="AR1193" i="11"/>
  <c r="AR1194" i="11"/>
  <c r="AR1195" i="11"/>
  <c r="AR1196" i="11"/>
  <c r="AR1197" i="11"/>
  <c r="AR1198" i="11"/>
  <c r="AR1199" i="11"/>
  <c r="AR1200" i="11"/>
  <c r="AR1201" i="11"/>
  <c r="AR1202" i="11"/>
  <c r="AR1203" i="11"/>
  <c r="AR1204" i="11"/>
  <c r="AR1205" i="11"/>
  <c r="AR1206" i="11"/>
  <c r="AR1207" i="11"/>
  <c r="AR1208" i="11"/>
  <c r="AR1209" i="11"/>
  <c r="AR1210" i="11"/>
  <c r="AR1211" i="11"/>
  <c r="AR1212" i="11"/>
  <c r="AR1213" i="11"/>
  <c r="AR1214" i="11"/>
  <c r="AR1215" i="11"/>
  <c r="AR1216" i="11"/>
  <c r="AR1217" i="11"/>
  <c r="AR1218" i="11"/>
  <c r="AR1219" i="11"/>
  <c r="AR1220" i="11"/>
  <c r="AR1221" i="11"/>
  <c r="AR1222" i="11"/>
  <c r="AR1223" i="11"/>
  <c r="AR1224" i="11"/>
  <c r="AR1225" i="11"/>
  <c r="AR1226" i="11"/>
  <c r="AR1227" i="11"/>
  <c r="AR1228" i="11"/>
  <c r="AR1229" i="11"/>
  <c r="AR1230" i="11"/>
  <c r="AR1231" i="11"/>
  <c r="AR1232" i="11"/>
  <c r="AR1233" i="11"/>
  <c r="AR1234" i="11"/>
  <c r="AR1235" i="11"/>
  <c r="AR1236" i="11"/>
  <c r="AR1237" i="11"/>
  <c r="AR1238" i="11"/>
  <c r="AR1239" i="11"/>
  <c r="AR1240" i="11"/>
  <c r="AR1241" i="11"/>
  <c r="AR1242" i="11"/>
  <c r="AR1243" i="11"/>
  <c r="AR1244" i="11"/>
  <c r="AR1245" i="11"/>
  <c r="AR1246" i="11"/>
  <c r="AR1247" i="11"/>
  <c r="AR1248" i="11"/>
  <c r="AR1249" i="11"/>
  <c r="AR1250" i="11"/>
  <c r="AR1251" i="11"/>
  <c r="AR1252" i="11"/>
  <c r="AR1253" i="11"/>
  <c r="AR1254" i="11"/>
  <c r="AR1255" i="11"/>
  <c r="AR1256" i="11"/>
  <c r="AR1257" i="11"/>
  <c r="AR1258" i="11"/>
  <c r="AR1259" i="11"/>
  <c r="AR1260" i="11"/>
  <c r="AR1261" i="11"/>
  <c r="AR1262" i="11"/>
  <c r="AR1263" i="11"/>
  <c r="AR1264" i="11"/>
  <c r="AR1265" i="11"/>
  <c r="AR1266" i="11"/>
  <c r="AR1267" i="11"/>
  <c r="AR1268" i="11"/>
  <c r="AR1269" i="11"/>
  <c r="AR7" i="11"/>
  <c r="AC8" i="11"/>
  <c r="AC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7" i="11"/>
  <c r="AQ8" i="11"/>
  <c r="AQ9" i="11"/>
  <c r="AQ10" i="11"/>
  <c r="AQ11" i="11"/>
  <c r="AQ12" i="11"/>
  <c r="AQ13" i="11"/>
  <c r="AQ14" i="11"/>
  <c r="AQ15" i="11"/>
  <c r="AQ16" i="11"/>
  <c r="AQ17" i="11"/>
  <c r="AQ18" i="11"/>
  <c r="AQ19" i="11"/>
  <c r="AQ20" i="11"/>
  <c r="AQ21" i="11"/>
  <c r="AQ22" i="11"/>
  <c r="AQ23" i="11"/>
  <c r="AQ24" i="11"/>
  <c r="AQ25" i="11"/>
  <c r="AQ26" i="11"/>
  <c r="AQ27" i="11"/>
  <c r="AQ28" i="11"/>
  <c r="AQ29" i="11"/>
  <c r="AQ30" i="11"/>
  <c r="AQ31" i="11"/>
  <c r="AQ32" i="11"/>
  <c r="AQ33" i="11"/>
  <c r="AQ34" i="11"/>
  <c r="AQ35" i="11"/>
  <c r="AQ36" i="11"/>
  <c r="AQ37" i="11"/>
  <c r="AQ38" i="11"/>
  <c r="AQ39" i="11"/>
  <c r="AQ40" i="11"/>
  <c r="AQ41" i="11"/>
  <c r="AQ42" i="11"/>
  <c r="AQ43" i="11"/>
  <c r="AQ44" i="11"/>
  <c r="AQ45" i="11"/>
  <c r="AQ46" i="11"/>
  <c r="AQ47" i="11"/>
  <c r="AQ48" i="11"/>
  <c r="AQ49" i="11"/>
  <c r="AQ50" i="11"/>
  <c r="AQ51" i="11"/>
  <c r="AQ52" i="11"/>
  <c r="AQ53" i="11"/>
  <c r="AQ54" i="11"/>
  <c r="AQ55" i="11"/>
  <c r="AQ56" i="11"/>
  <c r="AQ57" i="11"/>
  <c r="AQ58" i="11"/>
  <c r="AQ59" i="11"/>
  <c r="AQ60" i="11"/>
  <c r="AQ61" i="11"/>
  <c r="AQ62" i="11"/>
  <c r="AQ63" i="11"/>
  <c r="AQ64" i="11"/>
  <c r="AQ65" i="11"/>
  <c r="AQ66" i="11"/>
  <c r="AQ67" i="11"/>
  <c r="AQ68" i="11"/>
  <c r="AQ69" i="11"/>
  <c r="AQ70" i="11"/>
  <c r="AQ71" i="11"/>
  <c r="AQ72" i="11"/>
  <c r="AQ73" i="11"/>
  <c r="AQ74" i="11"/>
  <c r="AQ75" i="11"/>
  <c r="AQ76" i="11"/>
  <c r="AQ77" i="11"/>
  <c r="AQ78" i="11"/>
  <c r="AQ79" i="11"/>
  <c r="AQ80" i="11"/>
  <c r="AQ81" i="11"/>
  <c r="AQ82" i="11"/>
  <c r="AQ83" i="11"/>
  <c r="AQ84" i="11"/>
  <c r="AQ85" i="11"/>
  <c r="AQ86" i="11"/>
  <c r="AQ87" i="11"/>
  <c r="AQ88" i="11"/>
  <c r="AQ89" i="11"/>
  <c r="AQ90" i="11"/>
  <c r="AQ91" i="11"/>
  <c r="AQ92" i="11"/>
  <c r="AQ93" i="11"/>
  <c r="AQ94" i="11"/>
  <c r="AQ95" i="11"/>
  <c r="AQ96" i="11"/>
  <c r="AQ97" i="11"/>
  <c r="AQ98" i="11"/>
  <c r="AQ99" i="11"/>
  <c r="AQ100" i="11"/>
  <c r="AQ101" i="11"/>
  <c r="AQ102" i="11"/>
  <c r="AQ103" i="11"/>
  <c r="AQ104" i="11"/>
  <c r="AQ105" i="11"/>
  <c r="AQ106" i="11"/>
  <c r="AQ107" i="11"/>
  <c r="AQ108" i="11"/>
  <c r="AQ109" i="11"/>
  <c r="AQ110" i="11"/>
  <c r="AQ111" i="11"/>
  <c r="AQ112" i="11"/>
  <c r="AQ113" i="11"/>
  <c r="AQ114" i="11"/>
  <c r="AQ115" i="11"/>
  <c r="AQ116" i="11"/>
  <c r="AQ117" i="11"/>
  <c r="AQ118" i="11"/>
  <c r="AQ119" i="11"/>
  <c r="AQ120" i="11"/>
  <c r="AQ121" i="11"/>
  <c r="AQ122" i="11"/>
  <c r="AQ123" i="11"/>
  <c r="AQ124" i="11"/>
  <c r="AQ125" i="11"/>
  <c r="AQ126" i="11"/>
  <c r="AQ127" i="11"/>
  <c r="AQ128" i="11"/>
  <c r="AQ129" i="11"/>
  <c r="AQ130" i="11"/>
  <c r="AQ131" i="11"/>
  <c r="AQ132" i="11"/>
  <c r="AQ133" i="11"/>
  <c r="AQ134" i="11"/>
  <c r="AQ135" i="11"/>
  <c r="AQ136" i="11"/>
  <c r="AQ137" i="11"/>
  <c r="AQ138" i="11"/>
  <c r="AQ139" i="11"/>
  <c r="AQ140" i="11"/>
  <c r="AQ141" i="11"/>
  <c r="AQ142" i="11"/>
  <c r="AQ143" i="11"/>
  <c r="AQ144" i="11"/>
  <c r="AQ145" i="11"/>
  <c r="AQ146" i="11"/>
  <c r="AQ147" i="11"/>
  <c r="AQ148" i="11"/>
  <c r="AQ149" i="11"/>
  <c r="AQ150" i="11"/>
  <c r="AQ151" i="11"/>
  <c r="AQ152" i="11"/>
  <c r="AQ153" i="11"/>
  <c r="AQ154" i="11"/>
  <c r="AQ155" i="11"/>
  <c r="AQ156" i="11"/>
  <c r="AQ157" i="11"/>
  <c r="AQ158" i="11"/>
  <c r="AQ159" i="11"/>
  <c r="AQ160" i="11"/>
  <c r="AQ161" i="11"/>
  <c r="AQ162" i="11"/>
  <c r="AQ163" i="11"/>
  <c r="AQ164" i="11"/>
  <c r="AQ165" i="11"/>
  <c r="AQ166" i="11"/>
  <c r="AQ167" i="11"/>
  <c r="AQ168" i="11"/>
  <c r="AQ169" i="11"/>
  <c r="AQ170" i="11"/>
  <c r="AQ171" i="11"/>
  <c r="AQ172" i="11"/>
  <c r="AQ173" i="11"/>
  <c r="AQ174" i="11"/>
  <c r="AQ175" i="11"/>
  <c r="AQ176" i="11"/>
  <c r="AQ177" i="11"/>
  <c r="AQ178" i="11"/>
  <c r="AQ179" i="11"/>
  <c r="AQ180" i="11"/>
  <c r="AQ181" i="11"/>
  <c r="AQ182" i="11"/>
  <c r="AQ183" i="11"/>
  <c r="AQ184" i="11"/>
  <c r="AQ185" i="11"/>
  <c r="AQ186" i="11"/>
  <c r="AQ187" i="11"/>
  <c r="AQ188" i="11"/>
  <c r="AQ189" i="11"/>
  <c r="AQ190" i="11"/>
  <c r="AQ191" i="11"/>
  <c r="AQ192" i="11"/>
  <c r="AQ193" i="11"/>
  <c r="AQ194" i="11"/>
  <c r="AQ195" i="11"/>
  <c r="AQ196" i="11"/>
  <c r="AQ197" i="11"/>
  <c r="AQ198" i="11"/>
  <c r="AQ199" i="11"/>
  <c r="AQ200" i="11"/>
  <c r="AQ201" i="11"/>
  <c r="AQ202" i="11"/>
  <c r="AQ203" i="11"/>
  <c r="AQ204" i="11"/>
  <c r="AQ205" i="11"/>
  <c r="AQ206" i="11"/>
  <c r="AQ207" i="11"/>
  <c r="AQ208" i="11"/>
  <c r="AQ209" i="11"/>
  <c r="AQ210" i="11"/>
  <c r="AQ211" i="11"/>
  <c r="AQ212" i="11"/>
  <c r="AQ213" i="11"/>
  <c r="AQ214" i="11"/>
  <c r="AQ215" i="11"/>
  <c r="AQ216" i="11"/>
  <c r="AQ217" i="11"/>
  <c r="AQ218" i="11"/>
  <c r="AQ219" i="11"/>
  <c r="AQ220" i="11"/>
  <c r="AQ221" i="11"/>
  <c r="AQ222" i="11"/>
  <c r="AQ223" i="11"/>
  <c r="AQ224" i="11"/>
  <c r="AQ225" i="11"/>
  <c r="AQ226" i="11"/>
  <c r="AQ227" i="11"/>
  <c r="AQ228" i="11"/>
  <c r="AQ229" i="11"/>
  <c r="AQ230" i="11"/>
  <c r="AQ231" i="11"/>
  <c r="AQ232" i="11"/>
  <c r="AQ233" i="11"/>
  <c r="AQ234" i="11"/>
  <c r="AQ235" i="11"/>
  <c r="AQ236" i="11"/>
  <c r="AQ237" i="11"/>
  <c r="AQ238" i="11"/>
  <c r="AQ239" i="11"/>
  <c r="AQ240" i="11"/>
  <c r="AQ241" i="11"/>
  <c r="AQ242" i="11"/>
  <c r="AQ243" i="11"/>
  <c r="AQ244" i="11"/>
  <c r="AQ245" i="11"/>
  <c r="AQ246" i="11"/>
  <c r="AQ247" i="11"/>
  <c r="AQ248" i="11"/>
  <c r="AQ249" i="11"/>
  <c r="AQ250" i="11"/>
  <c r="AQ251" i="11"/>
  <c r="AQ252" i="11"/>
  <c r="AQ253" i="11"/>
  <c r="AQ254" i="11"/>
  <c r="AQ255" i="11"/>
  <c r="AQ256" i="11"/>
  <c r="AQ257" i="11"/>
  <c r="AQ258" i="11"/>
  <c r="AQ259" i="11"/>
  <c r="AQ260" i="11"/>
  <c r="AQ261" i="11"/>
  <c r="AQ262" i="11"/>
  <c r="AQ263" i="11"/>
  <c r="AQ264" i="11"/>
  <c r="AQ265" i="11"/>
  <c r="AQ266" i="11"/>
  <c r="AQ267" i="11"/>
  <c r="AQ268" i="11"/>
  <c r="AQ269" i="11"/>
  <c r="AQ270" i="11"/>
  <c r="AQ271" i="11"/>
  <c r="AQ272" i="11"/>
  <c r="AQ273" i="11"/>
  <c r="AQ274" i="11"/>
  <c r="AQ275" i="11"/>
  <c r="AQ276" i="11"/>
  <c r="AQ277" i="11"/>
  <c r="AQ278" i="11"/>
  <c r="AQ279" i="11"/>
  <c r="AQ280" i="11"/>
  <c r="AQ281" i="11"/>
  <c r="AQ282" i="11"/>
  <c r="AQ283" i="11"/>
  <c r="AQ284" i="11"/>
  <c r="AQ285" i="11"/>
  <c r="AQ286" i="11"/>
  <c r="AQ287" i="11"/>
  <c r="AQ288" i="11"/>
  <c r="AQ289" i="11"/>
  <c r="AQ290" i="11"/>
  <c r="AQ291" i="11"/>
  <c r="AQ292" i="11"/>
  <c r="AQ293" i="11"/>
  <c r="AQ294" i="11"/>
  <c r="AQ295" i="11"/>
  <c r="AQ296" i="11"/>
  <c r="AQ297" i="11"/>
  <c r="AQ298" i="11"/>
  <c r="AQ299" i="11"/>
  <c r="AQ300" i="11"/>
  <c r="AQ301" i="11"/>
  <c r="AQ302" i="11"/>
  <c r="AQ303" i="11"/>
  <c r="AQ304" i="11"/>
  <c r="AQ305" i="11"/>
  <c r="AQ306" i="11"/>
  <c r="AQ307" i="11"/>
  <c r="AQ308" i="11"/>
  <c r="AQ309" i="11"/>
  <c r="AQ310" i="11"/>
  <c r="AQ311" i="11"/>
  <c r="AQ312" i="11"/>
  <c r="AQ313" i="11"/>
  <c r="AQ314" i="11"/>
  <c r="AQ315" i="11"/>
  <c r="AQ316" i="11"/>
  <c r="AQ317" i="11"/>
  <c r="AQ318" i="11"/>
  <c r="AQ319" i="11"/>
  <c r="AQ320" i="11"/>
  <c r="AQ321" i="11"/>
  <c r="AQ322" i="11"/>
  <c r="AQ323" i="11"/>
  <c r="AQ324" i="11"/>
  <c r="AQ325" i="11"/>
  <c r="AQ326" i="11"/>
  <c r="AQ327" i="11"/>
  <c r="AQ328" i="11"/>
  <c r="AQ329" i="11"/>
  <c r="AQ330" i="11"/>
  <c r="AQ331" i="11"/>
  <c r="AQ332" i="11"/>
  <c r="AQ333" i="11"/>
  <c r="AQ334" i="11"/>
  <c r="AQ335" i="11"/>
  <c r="AQ336" i="11"/>
  <c r="AQ337" i="11"/>
  <c r="AQ338" i="11"/>
  <c r="AQ339" i="11"/>
  <c r="AQ340" i="11"/>
  <c r="AQ341" i="11"/>
  <c r="AQ342" i="11"/>
  <c r="AQ343" i="11"/>
  <c r="AQ344" i="11"/>
  <c r="AQ345" i="11"/>
  <c r="AQ346" i="11"/>
  <c r="AQ347" i="11"/>
  <c r="AQ348" i="11"/>
  <c r="AQ349" i="11"/>
  <c r="AQ350" i="11"/>
  <c r="AQ351" i="11"/>
  <c r="AQ352" i="11"/>
  <c r="AQ353" i="11"/>
  <c r="AQ354" i="11"/>
  <c r="AQ355" i="11"/>
  <c r="AQ356" i="11"/>
  <c r="AQ357" i="11"/>
  <c r="AQ358" i="11"/>
  <c r="AQ359" i="11"/>
  <c r="AQ360" i="11"/>
  <c r="AQ361" i="11"/>
  <c r="AQ362" i="11"/>
  <c r="AQ363" i="11"/>
  <c r="AQ364" i="11"/>
  <c r="AQ365" i="11"/>
  <c r="AQ366" i="11"/>
  <c r="AQ367" i="11"/>
  <c r="AQ368" i="11"/>
  <c r="AQ369" i="11"/>
  <c r="AQ370" i="11"/>
  <c r="AQ371" i="11"/>
  <c r="AQ372" i="11"/>
  <c r="AQ373" i="11"/>
  <c r="AQ374" i="11"/>
  <c r="AQ375" i="11"/>
  <c r="AQ376" i="11"/>
  <c r="AQ377" i="11"/>
  <c r="AQ378" i="11"/>
  <c r="AQ379" i="11"/>
  <c r="AQ380" i="11"/>
  <c r="AQ381" i="11"/>
  <c r="AQ382" i="11"/>
  <c r="AQ383" i="11"/>
  <c r="AQ384" i="11"/>
  <c r="AQ385" i="11"/>
  <c r="AQ386" i="11"/>
  <c r="AQ387" i="11"/>
  <c r="AQ388" i="11"/>
  <c r="AQ389" i="11"/>
  <c r="AQ390" i="11"/>
  <c r="AQ391" i="11"/>
  <c r="AQ392" i="11"/>
  <c r="AQ393" i="11"/>
  <c r="AQ394" i="11"/>
  <c r="AQ395" i="11"/>
  <c r="AQ396" i="11"/>
  <c r="AQ397" i="11"/>
  <c r="AQ398" i="11"/>
  <c r="AQ399" i="11"/>
  <c r="AQ400" i="11"/>
  <c r="AQ401" i="11"/>
  <c r="AQ402" i="11"/>
  <c r="AQ403" i="11"/>
  <c r="AQ404" i="11"/>
  <c r="AQ405" i="11"/>
  <c r="AQ406" i="11"/>
  <c r="AQ407" i="11"/>
  <c r="AQ408" i="11"/>
  <c r="AQ409" i="11"/>
  <c r="AQ410" i="11"/>
  <c r="AQ411" i="11"/>
  <c r="AQ412" i="11"/>
  <c r="AQ413" i="11"/>
  <c r="AQ414" i="11"/>
  <c r="AQ415" i="11"/>
  <c r="AQ416" i="11"/>
  <c r="AQ417" i="11"/>
  <c r="AQ418" i="11"/>
  <c r="AQ419" i="11"/>
  <c r="AQ420" i="11"/>
  <c r="AQ421" i="11"/>
  <c r="AQ422" i="11"/>
  <c r="AQ423" i="11"/>
  <c r="AQ424" i="11"/>
  <c r="AQ425" i="11"/>
  <c r="AQ426" i="11"/>
  <c r="AQ427" i="11"/>
  <c r="AQ428" i="11"/>
  <c r="AQ429" i="11"/>
  <c r="AQ430" i="11"/>
  <c r="AQ431" i="11"/>
  <c r="AQ432" i="11"/>
  <c r="AQ433" i="11"/>
  <c r="AQ434" i="11"/>
  <c r="AQ435" i="11"/>
  <c r="AQ436" i="11"/>
  <c r="AQ437" i="11"/>
  <c r="AQ438" i="11"/>
  <c r="AQ439" i="11"/>
  <c r="AQ440" i="11"/>
  <c r="AQ441" i="11"/>
  <c r="AQ442" i="11"/>
  <c r="AQ443" i="11"/>
  <c r="AQ444" i="11"/>
  <c r="AQ445" i="11"/>
  <c r="AQ446" i="11"/>
  <c r="AQ447" i="11"/>
  <c r="AQ448" i="11"/>
  <c r="AQ449" i="11"/>
  <c r="AQ450" i="11"/>
  <c r="AQ451" i="11"/>
  <c r="AQ452" i="11"/>
  <c r="AQ453" i="11"/>
  <c r="AQ454" i="11"/>
  <c r="AQ455" i="11"/>
  <c r="AQ456" i="11"/>
  <c r="AQ457" i="11"/>
  <c r="AQ458" i="11"/>
  <c r="AQ459" i="11"/>
  <c r="AQ460" i="11"/>
  <c r="AQ461" i="11"/>
  <c r="AQ462" i="11"/>
  <c r="AQ463" i="11"/>
  <c r="AQ464" i="11"/>
  <c r="AQ465" i="11"/>
  <c r="AQ466" i="11"/>
  <c r="AQ467" i="11"/>
  <c r="AQ468" i="11"/>
  <c r="AQ469" i="11"/>
  <c r="AQ470" i="11"/>
  <c r="AQ471" i="11"/>
  <c r="AQ472" i="11"/>
  <c r="AQ473" i="11"/>
  <c r="AQ474" i="11"/>
  <c r="AQ475" i="11"/>
  <c r="AQ476" i="11"/>
  <c r="AQ477" i="11"/>
  <c r="AQ478" i="11"/>
  <c r="AQ479" i="11"/>
  <c r="AQ480" i="11"/>
  <c r="AQ481" i="11"/>
  <c r="AQ482" i="11"/>
  <c r="AQ483" i="11"/>
  <c r="AQ484" i="11"/>
  <c r="AQ485" i="11"/>
  <c r="AQ486" i="11"/>
  <c r="AQ487" i="11"/>
  <c r="AQ488" i="11"/>
  <c r="AQ489" i="11"/>
  <c r="AQ490" i="11"/>
  <c r="AQ491" i="11"/>
  <c r="AQ492" i="11"/>
  <c r="AQ493" i="11"/>
  <c r="AQ494" i="11"/>
  <c r="AQ495" i="11"/>
  <c r="AQ496" i="11"/>
  <c r="AQ497" i="11"/>
  <c r="AQ498" i="11"/>
  <c r="AQ499" i="11"/>
  <c r="AQ500" i="11"/>
  <c r="AQ501" i="11"/>
  <c r="AQ502" i="11"/>
  <c r="AQ503" i="11"/>
  <c r="AQ504" i="11"/>
  <c r="AQ505" i="11"/>
  <c r="AQ506" i="11"/>
  <c r="AQ507" i="11"/>
  <c r="AQ508" i="11"/>
  <c r="AQ509" i="11"/>
  <c r="AQ510" i="11"/>
  <c r="AQ511" i="11"/>
  <c r="AQ512" i="11"/>
  <c r="AQ513" i="11"/>
  <c r="AQ514" i="11"/>
  <c r="AQ515" i="11"/>
  <c r="AQ516" i="11"/>
  <c r="AQ517" i="11"/>
  <c r="AQ518" i="11"/>
  <c r="AQ519" i="11"/>
  <c r="AQ520" i="11"/>
  <c r="AQ521" i="11"/>
  <c r="AQ522" i="11"/>
  <c r="AQ523" i="11"/>
  <c r="AQ524" i="11"/>
  <c r="AQ525" i="11"/>
  <c r="AQ526" i="11"/>
  <c r="AQ527" i="11"/>
  <c r="AQ528" i="11"/>
  <c r="AQ529" i="11"/>
  <c r="AQ530" i="11"/>
  <c r="AQ531" i="11"/>
  <c r="AQ532" i="11"/>
  <c r="AQ533" i="11"/>
  <c r="AQ534" i="11"/>
  <c r="AQ535" i="11"/>
  <c r="AQ536" i="11"/>
  <c r="AQ537" i="11"/>
  <c r="AQ538" i="11"/>
  <c r="AQ539" i="11"/>
  <c r="AQ540" i="11"/>
  <c r="AQ541" i="11"/>
  <c r="AQ542" i="11"/>
  <c r="AQ543" i="11"/>
  <c r="AQ544" i="11"/>
  <c r="AQ545" i="11"/>
  <c r="AQ546" i="11"/>
  <c r="AQ547" i="11"/>
  <c r="AQ548" i="11"/>
  <c r="AQ549" i="11"/>
  <c r="AQ550" i="11"/>
  <c r="AQ551" i="11"/>
  <c r="AQ552" i="11"/>
  <c r="AQ553" i="11"/>
  <c r="AQ554" i="11"/>
  <c r="AQ555" i="11"/>
  <c r="AQ556" i="11"/>
  <c r="AQ557" i="11"/>
  <c r="AQ558" i="11"/>
  <c r="AQ559" i="11"/>
  <c r="AQ560" i="11"/>
  <c r="AQ561" i="11"/>
  <c r="AQ562" i="11"/>
  <c r="AQ563" i="11"/>
  <c r="AQ564" i="11"/>
  <c r="AQ565" i="11"/>
  <c r="AQ566" i="11"/>
  <c r="AQ567" i="11"/>
  <c r="AQ568" i="11"/>
  <c r="AQ569" i="11"/>
  <c r="AQ570" i="11"/>
  <c r="AQ571" i="11"/>
  <c r="AQ572" i="11"/>
  <c r="AQ573" i="11"/>
  <c r="AQ574" i="11"/>
  <c r="AQ575" i="11"/>
  <c r="AQ576" i="11"/>
  <c r="AQ577" i="11"/>
  <c r="AQ578" i="11"/>
  <c r="AQ579" i="11"/>
  <c r="AQ580" i="11"/>
  <c r="AQ581" i="11"/>
  <c r="AQ582" i="11"/>
  <c r="AQ583" i="11"/>
  <c r="AQ584" i="11"/>
  <c r="AQ585" i="11"/>
  <c r="AQ586" i="11"/>
  <c r="AQ587" i="11"/>
  <c r="AQ588" i="11"/>
  <c r="AQ589" i="11"/>
  <c r="AQ590" i="11"/>
  <c r="AQ591" i="11"/>
  <c r="AQ592" i="11"/>
  <c r="AQ593" i="11"/>
  <c r="AQ594" i="11"/>
  <c r="AQ595" i="11"/>
  <c r="AQ596" i="11"/>
  <c r="AQ597" i="11"/>
  <c r="AQ598" i="11"/>
  <c r="AQ599" i="11"/>
  <c r="AQ600" i="11"/>
  <c r="AQ601" i="11"/>
  <c r="AQ602" i="11"/>
  <c r="AQ603" i="11"/>
  <c r="AQ604" i="11"/>
  <c r="AQ605" i="11"/>
  <c r="AQ606" i="11"/>
  <c r="AQ607" i="11"/>
  <c r="AQ608" i="11"/>
  <c r="AQ609" i="11"/>
  <c r="AQ610" i="11"/>
  <c r="AQ611" i="11"/>
  <c r="AQ612" i="11"/>
  <c r="AQ613" i="11"/>
  <c r="AQ614" i="11"/>
  <c r="AQ615" i="11"/>
  <c r="AQ616" i="11"/>
  <c r="AQ617" i="11"/>
  <c r="AQ618" i="11"/>
  <c r="AQ619" i="11"/>
  <c r="AQ620" i="11"/>
  <c r="AQ621" i="11"/>
  <c r="AQ622" i="11"/>
  <c r="AQ623" i="11"/>
  <c r="AQ624" i="11"/>
  <c r="AQ625" i="11"/>
  <c r="AQ626" i="11"/>
  <c r="AQ627" i="11"/>
  <c r="AQ628" i="11"/>
  <c r="AQ629" i="11"/>
  <c r="AQ630" i="11"/>
  <c r="AQ631" i="11"/>
  <c r="AQ632" i="11"/>
  <c r="AQ633" i="11"/>
  <c r="AQ634" i="11"/>
  <c r="AQ635" i="11"/>
  <c r="AQ636" i="11"/>
  <c r="AQ637" i="11"/>
  <c r="AQ638" i="11"/>
  <c r="AQ639" i="11"/>
  <c r="AQ640" i="11"/>
  <c r="AQ641" i="11"/>
  <c r="AQ642" i="11"/>
  <c r="AQ643" i="11"/>
  <c r="AQ644" i="11"/>
  <c r="AQ645" i="11"/>
  <c r="AQ646" i="11"/>
  <c r="AQ647" i="11"/>
  <c r="AQ648" i="11"/>
  <c r="AQ649" i="11"/>
  <c r="AQ650" i="11"/>
  <c r="AQ651" i="11"/>
  <c r="AQ652" i="11"/>
  <c r="AQ653" i="11"/>
  <c r="AQ654" i="11"/>
  <c r="AQ655" i="11"/>
  <c r="AQ656" i="11"/>
  <c r="AQ657" i="11"/>
  <c r="AQ658" i="11"/>
  <c r="AQ659" i="11"/>
  <c r="AQ660" i="11"/>
  <c r="AQ661" i="11"/>
  <c r="AQ662" i="11"/>
  <c r="AQ663" i="11"/>
  <c r="AQ664" i="11"/>
  <c r="AQ665" i="11"/>
  <c r="AQ666" i="11"/>
  <c r="AQ667" i="11"/>
  <c r="AQ668" i="11"/>
  <c r="AQ669" i="11"/>
  <c r="AQ670" i="11"/>
  <c r="AQ671" i="11"/>
  <c r="AQ672" i="11"/>
  <c r="AQ673" i="11"/>
  <c r="AQ674" i="11"/>
  <c r="AQ675" i="11"/>
  <c r="AQ676" i="11"/>
  <c r="AQ677" i="11"/>
  <c r="AQ678" i="11"/>
  <c r="AQ679" i="11"/>
  <c r="AQ680" i="11"/>
  <c r="AQ681" i="11"/>
  <c r="AQ682" i="11"/>
  <c r="AQ683" i="11"/>
  <c r="AQ684" i="11"/>
  <c r="AQ685" i="11"/>
  <c r="AQ686" i="11"/>
  <c r="AQ687" i="11"/>
  <c r="AQ688" i="11"/>
  <c r="AQ689" i="11"/>
  <c r="AQ690" i="11"/>
  <c r="AQ691" i="11"/>
  <c r="AQ692" i="11"/>
  <c r="AQ693" i="11"/>
  <c r="AQ694" i="11"/>
  <c r="AQ695" i="11"/>
  <c r="AQ696" i="11"/>
  <c r="AQ697" i="11"/>
  <c r="AQ698" i="11"/>
  <c r="AQ699" i="11"/>
  <c r="AQ700" i="11"/>
  <c r="AQ701" i="11"/>
  <c r="AQ702" i="11"/>
  <c r="AQ703" i="11"/>
  <c r="AQ704" i="11"/>
  <c r="AQ705" i="11"/>
  <c r="AQ706" i="11"/>
  <c r="AQ707" i="11"/>
  <c r="AQ708" i="11"/>
  <c r="AQ709" i="11"/>
  <c r="AQ710" i="11"/>
  <c r="AQ711" i="11"/>
  <c r="AQ712" i="11"/>
  <c r="AQ713" i="11"/>
  <c r="AQ714" i="11"/>
  <c r="AQ715" i="11"/>
  <c r="AQ716" i="11"/>
  <c r="AQ717" i="11"/>
  <c r="AQ718" i="11"/>
  <c r="AQ719" i="11"/>
  <c r="AQ720" i="11"/>
  <c r="AQ721" i="11"/>
  <c r="AQ722" i="11"/>
  <c r="AQ723" i="11"/>
  <c r="AQ724" i="11"/>
  <c r="AQ725" i="11"/>
  <c r="AQ726" i="11"/>
  <c r="AQ727" i="11"/>
  <c r="AQ728" i="11"/>
  <c r="AQ729" i="11"/>
  <c r="AQ730" i="11"/>
  <c r="AQ731" i="11"/>
  <c r="AQ732" i="11"/>
  <c r="AQ733" i="11"/>
  <c r="AQ734" i="11"/>
  <c r="AQ735" i="11"/>
  <c r="AQ736" i="11"/>
  <c r="AQ737" i="11"/>
  <c r="AQ738" i="11"/>
  <c r="AQ739" i="11"/>
  <c r="AQ740" i="11"/>
  <c r="AQ741" i="11"/>
  <c r="AQ742" i="11"/>
  <c r="AQ743" i="11"/>
  <c r="AQ744" i="11"/>
  <c r="AQ745" i="11"/>
  <c r="AQ746" i="11"/>
  <c r="AQ747" i="11"/>
  <c r="AQ748" i="11"/>
  <c r="AQ749" i="11"/>
  <c r="AQ750" i="11"/>
  <c r="AQ751" i="11"/>
  <c r="AQ752" i="11"/>
  <c r="AQ753" i="11"/>
  <c r="AQ754" i="11"/>
  <c r="AQ755" i="11"/>
  <c r="AQ756" i="11"/>
  <c r="AQ757" i="11"/>
  <c r="AQ758" i="11"/>
  <c r="AQ759" i="11"/>
  <c r="AQ760" i="11"/>
  <c r="AQ761" i="11"/>
  <c r="AQ762" i="11"/>
  <c r="AQ763" i="11"/>
  <c r="AQ764" i="11"/>
  <c r="AQ765" i="11"/>
  <c r="AQ766" i="11"/>
  <c r="AQ767" i="11"/>
  <c r="AQ768" i="11"/>
  <c r="AQ769" i="11"/>
  <c r="AQ770" i="11"/>
  <c r="AQ771" i="11"/>
  <c r="AQ772" i="11"/>
  <c r="AQ773" i="11"/>
  <c r="AQ774" i="11"/>
  <c r="AQ775" i="11"/>
  <c r="AQ776" i="11"/>
  <c r="AQ777" i="11"/>
  <c r="AQ778" i="11"/>
  <c r="AQ779" i="11"/>
  <c r="AQ780" i="11"/>
  <c r="AQ781" i="11"/>
  <c r="AQ782" i="11"/>
  <c r="AQ783" i="11"/>
  <c r="AQ784" i="11"/>
  <c r="AQ785" i="11"/>
  <c r="AQ786" i="11"/>
  <c r="AQ787" i="11"/>
  <c r="AQ788" i="11"/>
  <c r="AQ789" i="11"/>
  <c r="AQ790" i="11"/>
  <c r="AQ791" i="11"/>
  <c r="AQ792" i="11"/>
  <c r="AQ793" i="11"/>
  <c r="AQ794" i="11"/>
  <c r="AQ795" i="11"/>
  <c r="AQ796" i="11"/>
  <c r="AQ797" i="11"/>
  <c r="AQ798" i="11"/>
  <c r="AQ799" i="11"/>
  <c r="AQ800" i="11"/>
  <c r="AQ801" i="11"/>
  <c r="AQ802" i="11"/>
  <c r="AQ803" i="11"/>
  <c r="AQ804" i="11"/>
  <c r="AQ805" i="11"/>
  <c r="AQ806" i="11"/>
  <c r="AQ807" i="11"/>
  <c r="AQ808" i="11"/>
  <c r="AQ809" i="11"/>
  <c r="AQ810" i="11"/>
  <c r="AQ811" i="11"/>
  <c r="AQ812" i="11"/>
  <c r="AQ813" i="11"/>
  <c r="AQ814" i="11"/>
  <c r="AQ815" i="11"/>
  <c r="AQ816" i="11"/>
  <c r="AQ817" i="11"/>
  <c r="AQ818" i="11"/>
  <c r="AQ819" i="11"/>
  <c r="AQ820" i="11"/>
  <c r="AQ821" i="11"/>
  <c r="AQ822" i="11"/>
  <c r="AQ823" i="11"/>
  <c r="AQ824" i="11"/>
  <c r="AQ825" i="11"/>
  <c r="AQ826" i="11"/>
  <c r="AQ827" i="11"/>
  <c r="AQ828" i="11"/>
  <c r="AQ829" i="11"/>
  <c r="AQ830" i="11"/>
  <c r="AQ831" i="11"/>
  <c r="AQ832" i="11"/>
  <c r="AQ833" i="11"/>
  <c r="AQ834" i="11"/>
  <c r="AQ835" i="11"/>
  <c r="AQ836" i="11"/>
  <c r="AQ837" i="11"/>
  <c r="AQ838" i="11"/>
  <c r="AQ839" i="11"/>
  <c r="AQ840" i="11"/>
  <c r="AQ841" i="11"/>
  <c r="AQ842" i="11"/>
  <c r="AQ843" i="11"/>
  <c r="AQ844" i="11"/>
  <c r="AQ845" i="11"/>
  <c r="AQ846" i="11"/>
  <c r="AQ847" i="11"/>
  <c r="AQ848" i="11"/>
  <c r="AQ849" i="11"/>
  <c r="AQ850" i="11"/>
  <c r="AQ851" i="11"/>
  <c r="AQ852" i="11"/>
  <c r="AQ853" i="11"/>
  <c r="AQ854" i="11"/>
  <c r="AQ855" i="11"/>
  <c r="AQ856" i="11"/>
  <c r="AQ857" i="11"/>
  <c r="AQ858" i="11"/>
  <c r="AQ859" i="11"/>
  <c r="AQ860" i="11"/>
  <c r="AQ861" i="11"/>
  <c r="AQ862" i="11"/>
  <c r="AQ863" i="11"/>
  <c r="AQ864" i="11"/>
  <c r="AQ865" i="11"/>
  <c r="AQ866" i="11"/>
  <c r="AQ867" i="11"/>
  <c r="AQ868" i="11"/>
  <c r="AQ869" i="11"/>
  <c r="AQ870" i="11"/>
  <c r="AQ871" i="11"/>
  <c r="AQ872" i="11"/>
  <c r="AQ873" i="11"/>
  <c r="AQ874" i="11"/>
  <c r="AQ875" i="11"/>
  <c r="AQ876" i="11"/>
  <c r="AQ877" i="11"/>
  <c r="AQ878" i="11"/>
  <c r="AQ879" i="11"/>
  <c r="AQ880" i="11"/>
  <c r="AQ881" i="11"/>
  <c r="AQ882" i="11"/>
  <c r="AQ883" i="11"/>
  <c r="AQ884" i="11"/>
  <c r="AQ885" i="11"/>
  <c r="AQ886" i="11"/>
  <c r="AQ887" i="11"/>
  <c r="AQ888" i="11"/>
  <c r="AQ889" i="11"/>
  <c r="AQ890" i="11"/>
  <c r="AQ891" i="11"/>
  <c r="AQ892" i="11"/>
  <c r="AQ893" i="11"/>
  <c r="AQ894" i="11"/>
  <c r="AQ895" i="11"/>
  <c r="AQ896" i="11"/>
  <c r="AQ897" i="11"/>
  <c r="AQ898" i="11"/>
  <c r="AQ899" i="11"/>
  <c r="AQ900" i="11"/>
  <c r="AQ901" i="11"/>
  <c r="AQ902" i="11"/>
  <c r="AQ903" i="11"/>
  <c r="AQ904" i="11"/>
  <c r="AQ905" i="11"/>
  <c r="AQ906" i="11"/>
  <c r="AQ907" i="11"/>
  <c r="AQ908" i="11"/>
  <c r="AQ909" i="11"/>
  <c r="AQ910" i="11"/>
  <c r="AQ911" i="11"/>
  <c r="AQ912" i="11"/>
  <c r="AQ913" i="11"/>
  <c r="AQ914" i="11"/>
  <c r="AQ915" i="11"/>
  <c r="AQ916" i="11"/>
  <c r="AQ917" i="11"/>
  <c r="AQ918" i="11"/>
  <c r="AQ919" i="11"/>
  <c r="AQ920" i="11"/>
  <c r="AQ921" i="11"/>
  <c r="AQ922" i="11"/>
  <c r="AQ923" i="11"/>
  <c r="AQ924" i="11"/>
  <c r="AQ925" i="11"/>
  <c r="AQ926" i="11"/>
  <c r="AQ927" i="11"/>
  <c r="AQ928" i="11"/>
  <c r="AQ929" i="11"/>
  <c r="AQ930" i="11"/>
  <c r="AQ931" i="11"/>
  <c r="AQ932" i="11"/>
  <c r="AQ933" i="11"/>
  <c r="AQ934" i="11"/>
  <c r="AQ935" i="11"/>
  <c r="AQ936" i="11"/>
  <c r="AQ937" i="11"/>
  <c r="AQ938" i="11"/>
  <c r="AQ939" i="11"/>
  <c r="AQ940" i="11"/>
  <c r="AQ941" i="11"/>
  <c r="AQ942" i="11"/>
  <c r="AQ943" i="11"/>
  <c r="AQ944" i="11"/>
  <c r="AQ945" i="11"/>
  <c r="AQ946" i="11"/>
  <c r="AQ947" i="11"/>
  <c r="AQ948" i="11"/>
  <c r="AQ949" i="11"/>
  <c r="AQ950" i="11"/>
  <c r="AQ951" i="11"/>
  <c r="AQ952" i="11"/>
  <c r="AQ953" i="11"/>
  <c r="AQ954" i="11"/>
  <c r="AQ955" i="11"/>
  <c r="AQ956" i="11"/>
  <c r="AQ957" i="11"/>
  <c r="AQ958" i="11"/>
  <c r="AQ959" i="11"/>
  <c r="AQ960" i="11"/>
  <c r="AQ961" i="11"/>
  <c r="AQ962" i="11"/>
  <c r="AQ963" i="11"/>
  <c r="AQ964" i="11"/>
  <c r="AQ965" i="11"/>
  <c r="AQ966" i="11"/>
  <c r="AQ967" i="11"/>
  <c r="AQ968" i="11"/>
  <c r="AQ969" i="11"/>
  <c r="AQ970" i="11"/>
  <c r="AQ971" i="11"/>
  <c r="AQ972" i="11"/>
  <c r="AQ973" i="11"/>
  <c r="AQ974" i="11"/>
  <c r="AQ975" i="11"/>
  <c r="AQ976" i="11"/>
  <c r="AQ977" i="11"/>
  <c r="AQ978" i="11"/>
  <c r="AQ979" i="11"/>
  <c r="AQ980" i="11"/>
  <c r="AQ981" i="11"/>
  <c r="AQ982" i="11"/>
  <c r="AQ983" i="11"/>
  <c r="AQ984" i="11"/>
  <c r="AQ985" i="11"/>
  <c r="AQ986" i="11"/>
  <c r="AQ987" i="11"/>
  <c r="AQ988" i="11"/>
  <c r="AQ989" i="11"/>
  <c r="AQ990" i="11"/>
  <c r="AQ991" i="11"/>
  <c r="AQ992" i="11"/>
  <c r="AQ993" i="11"/>
  <c r="AQ994" i="11"/>
  <c r="AQ995" i="11"/>
  <c r="AQ996" i="11"/>
  <c r="AQ997" i="11"/>
  <c r="AQ998" i="11"/>
  <c r="AQ999" i="11"/>
  <c r="AQ1000" i="11"/>
  <c r="AQ1001" i="11"/>
  <c r="AQ1002" i="11"/>
  <c r="AQ1003" i="11"/>
  <c r="AQ1004" i="11"/>
  <c r="AQ1005" i="11"/>
  <c r="AQ1006" i="11"/>
  <c r="AQ1007" i="11"/>
  <c r="AQ1008" i="11"/>
  <c r="AQ1009" i="11"/>
  <c r="AQ1010" i="11"/>
  <c r="AQ1011" i="11"/>
  <c r="AQ1012" i="11"/>
  <c r="AQ1013" i="11"/>
  <c r="AQ1014" i="11"/>
  <c r="AQ1015" i="11"/>
  <c r="AQ1016" i="11"/>
  <c r="AQ1017" i="11"/>
  <c r="AQ1018" i="11"/>
  <c r="AQ1019" i="11"/>
  <c r="AQ1020" i="11"/>
  <c r="AQ1021" i="11"/>
  <c r="AQ1022" i="11"/>
  <c r="AQ1023" i="11"/>
  <c r="AQ1024" i="11"/>
  <c r="AQ1025" i="11"/>
  <c r="AQ1026" i="11"/>
  <c r="AQ1027" i="11"/>
  <c r="AQ1028" i="11"/>
  <c r="AQ1029" i="11"/>
  <c r="AQ1030" i="11"/>
  <c r="AQ1031" i="11"/>
  <c r="AQ1032" i="11"/>
  <c r="AQ1033" i="11"/>
  <c r="AQ1034" i="11"/>
  <c r="AQ1035" i="11"/>
  <c r="AQ1036" i="11"/>
  <c r="AQ1037" i="11"/>
  <c r="AQ1038" i="11"/>
  <c r="AQ1039" i="11"/>
  <c r="AQ1040" i="11"/>
  <c r="AQ1041" i="11"/>
  <c r="AQ1042" i="11"/>
  <c r="AQ1043" i="11"/>
  <c r="AQ1044" i="11"/>
  <c r="AQ1045" i="11"/>
  <c r="AQ1046" i="11"/>
  <c r="AQ1047" i="11"/>
  <c r="AQ1048" i="11"/>
  <c r="AQ1049" i="11"/>
  <c r="AQ1050" i="11"/>
  <c r="AQ1051" i="11"/>
  <c r="AQ1052" i="11"/>
  <c r="AQ1053" i="11"/>
  <c r="AQ1054" i="11"/>
  <c r="AQ1055" i="11"/>
  <c r="AQ1056" i="11"/>
  <c r="AQ1057" i="11"/>
  <c r="AQ1058" i="11"/>
  <c r="AQ1059" i="11"/>
  <c r="AQ1060" i="11"/>
  <c r="AQ1061" i="11"/>
  <c r="AQ1062" i="11"/>
  <c r="AQ1063" i="11"/>
  <c r="AQ1064" i="11"/>
  <c r="AQ1065" i="11"/>
  <c r="AQ1066" i="11"/>
  <c r="AQ1067" i="11"/>
  <c r="AQ1068" i="11"/>
  <c r="AQ1069" i="11"/>
  <c r="AQ1070" i="11"/>
  <c r="AQ1071" i="11"/>
  <c r="AQ1072" i="11"/>
  <c r="AQ1073" i="11"/>
  <c r="AQ1074" i="11"/>
  <c r="AQ1075" i="11"/>
  <c r="AQ1076" i="11"/>
  <c r="AQ1077" i="11"/>
  <c r="AQ1078" i="11"/>
  <c r="AQ1079" i="11"/>
  <c r="AQ1080" i="11"/>
  <c r="AQ1081" i="11"/>
  <c r="AQ1082" i="11"/>
  <c r="AQ1083" i="11"/>
  <c r="AQ1084" i="11"/>
  <c r="AQ1085" i="11"/>
  <c r="AQ1086" i="11"/>
  <c r="AQ1087" i="11"/>
  <c r="AQ1088" i="11"/>
  <c r="AQ1089" i="11"/>
  <c r="AQ1090" i="11"/>
  <c r="AQ1091" i="11"/>
  <c r="AQ1092" i="11"/>
  <c r="AQ1093" i="11"/>
  <c r="AQ1094" i="11"/>
  <c r="AQ1095" i="11"/>
  <c r="AQ1096" i="11"/>
  <c r="AQ1097" i="11"/>
  <c r="AQ1098" i="11"/>
  <c r="AQ1099" i="11"/>
  <c r="AQ1100" i="11"/>
  <c r="AQ1101" i="11"/>
  <c r="AQ1102" i="11"/>
  <c r="AQ1103" i="11"/>
  <c r="AQ1104" i="11"/>
  <c r="AQ1105" i="11"/>
  <c r="AQ1106" i="11"/>
  <c r="AQ1107" i="11"/>
  <c r="AQ1108" i="11"/>
  <c r="AQ1109" i="11"/>
  <c r="AQ1110" i="11"/>
  <c r="AQ1111" i="11"/>
  <c r="AQ1112" i="11"/>
  <c r="AQ1113" i="11"/>
  <c r="AQ1114" i="11"/>
  <c r="AQ1115" i="11"/>
  <c r="AQ1116" i="11"/>
  <c r="AQ1117" i="11"/>
  <c r="AQ1118" i="11"/>
  <c r="AQ1119" i="11"/>
  <c r="AQ1120" i="11"/>
  <c r="AQ1121" i="11"/>
  <c r="AQ1122" i="11"/>
  <c r="AQ1123" i="11"/>
  <c r="AQ1124" i="11"/>
  <c r="AQ1125" i="11"/>
  <c r="AQ1126" i="11"/>
  <c r="AQ1127" i="11"/>
  <c r="AQ1128" i="11"/>
  <c r="AQ1129" i="11"/>
  <c r="AQ1130" i="11"/>
  <c r="AQ1131" i="11"/>
  <c r="AQ1132" i="11"/>
  <c r="AQ1133" i="11"/>
  <c r="AQ1134" i="11"/>
  <c r="AQ1135" i="11"/>
  <c r="AQ1136" i="11"/>
  <c r="AQ1137" i="11"/>
  <c r="AQ1138" i="11"/>
  <c r="AQ1139" i="11"/>
  <c r="AQ1140" i="11"/>
  <c r="AQ1141" i="11"/>
  <c r="AQ1142" i="11"/>
  <c r="AQ1143" i="11"/>
  <c r="AQ1144" i="11"/>
  <c r="AQ1145" i="11"/>
  <c r="AQ1146" i="11"/>
  <c r="AQ1147" i="11"/>
  <c r="AQ1148" i="11"/>
  <c r="AQ1149" i="11"/>
  <c r="AQ1150" i="11"/>
  <c r="AQ1151" i="11"/>
  <c r="AQ1152" i="11"/>
  <c r="AQ1153" i="11"/>
  <c r="AQ1154" i="11"/>
  <c r="AQ1155" i="11"/>
  <c r="AQ1156" i="11"/>
  <c r="AQ1157" i="11"/>
  <c r="AQ1158" i="11"/>
  <c r="AQ1159" i="11"/>
  <c r="AQ1160" i="11"/>
  <c r="AQ1161" i="11"/>
  <c r="AQ1162" i="11"/>
  <c r="AQ1163" i="11"/>
  <c r="AQ1164" i="11"/>
  <c r="AQ1165" i="11"/>
  <c r="AQ1166" i="11"/>
  <c r="AQ1167" i="11"/>
  <c r="AQ1168" i="11"/>
  <c r="AQ1169" i="11"/>
  <c r="AQ1170" i="11"/>
  <c r="AQ1171" i="11"/>
  <c r="AQ1172" i="11"/>
  <c r="AQ1173" i="11"/>
  <c r="AQ1174" i="11"/>
  <c r="AQ1175" i="11"/>
  <c r="AQ1176" i="11"/>
  <c r="AQ1177" i="11"/>
  <c r="AQ1178" i="11"/>
  <c r="AQ1179" i="11"/>
  <c r="AQ1180" i="11"/>
  <c r="AQ1181" i="11"/>
  <c r="AQ1182" i="11"/>
  <c r="AQ1183" i="11"/>
  <c r="AQ1184" i="11"/>
  <c r="AQ1185" i="11"/>
  <c r="AQ1186" i="11"/>
  <c r="AQ1187" i="11"/>
  <c r="AQ1188" i="11"/>
  <c r="AQ1189" i="11"/>
  <c r="AQ1190" i="11"/>
  <c r="AQ1191" i="11"/>
  <c r="AQ1192" i="11"/>
  <c r="AQ1193" i="11"/>
  <c r="AQ1194" i="11"/>
  <c r="AQ1195" i="11"/>
  <c r="AQ1196" i="11"/>
  <c r="AQ1197" i="11"/>
  <c r="AQ1198" i="11"/>
  <c r="AQ1199" i="11"/>
  <c r="AQ1200" i="11"/>
  <c r="AQ1201" i="11"/>
  <c r="AQ1202" i="11"/>
  <c r="AQ1203" i="11"/>
  <c r="AQ1204" i="11"/>
  <c r="AQ1205" i="11"/>
  <c r="AQ1206" i="11"/>
  <c r="AQ1207" i="11"/>
  <c r="AQ1208" i="11"/>
  <c r="AQ1209" i="11"/>
  <c r="AQ1210" i="11"/>
  <c r="AQ1211" i="11"/>
  <c r="AQ1212" i="11"/>
  <c r="AQ1213" i="11"/>
  <c r="AQ1214" i="11"/>
  <c r="AQ1215" i="11"/>
  <c r="AQ1216" i="11"/>
  <c r="AQ1217" i="11"/>
  <c r="AQ1218" i="11"/>
  <c r="AQ1219" i="11"/>
  <c r="AQ1220" i="11"/>
  <c r="AQ1221" i="11"/>
  <c r="AQ1222" i="11"/>
  <c r="AQ1223" i="11"/>
  <c r="AQ1224" i="11"/>
  <c r="AQ1225" i="11"/>
  <c r="AQ1226" i="11"/>
  <c r="AQ1227" i="11"/>
  <c r="AQ1228" i="11"/>
  <c r="AQ1229" i="11"/>
  <c r="AQ1230" i="11"/>
  <c r="AQ1231" i="11"/>
  <c r="AQ1232" i="11"/>
  <c r="AQ1233" i="11"/>
  <c r="AQ1234" i="11"/>
  <c r="AQ1235" i="11"/>
  <c r="AQ1236" i="11"/>
  <c r="AQ1237" i="11"/>
  <c r="AQ1238" i="11"/>
  <c r="AQ1239" i="11"/>
  <c r="AQ1240" i="11"/>
  <c r="AQ1241" i="11"/>
  <c r="AQ1242" i="11"/>
  <c r="AQ1243" i="11"/>
  <c r="AQ1244" i="11"/>
  <c r="AQ1245" i="11"/>
  <c r="AQ1246" i="11"/>
  <c r="AQ1247" i="11"/>
  <c r="AQ1248" i="11"/>
  <c r="AQ1249" i="11"/>
  <c r="AQ1250" i="11"/>
  <c r="AQ1251" i="11"/>
  <c r="AQ1252" i="11"/>
  <c r="AQ1253" i="11"/>
  <c r="AQ1254" i="11"/>
  <c r="AQ1255" i="11"/>
  <c r="AQ1256" i="11"/>
  <c r="AQ1257" i="11"/>
  <c r="AQ1258" i="11"/>
  <c r="AQ1259" i="11"/>
  <c r="AQ1260" i="11"/>
  <c r="AQ1261" i="11"/>
  <c r="AQ1262" i="11"/>
  <c r="AQ1263" i="11"/>
  <c r="AQ1264" i="11"/>
  <c r="AQ1265" i="11"/>
  <c r="AQ1266" i="11"/>
  <c r="AQ1267" i="11"/>
  <c r="AQ1268" i="11"/>
  <c r="AQ1269" i="11"/>
  <c r="AQ7" i="11"/>
  <c r="I1266" i="11"/>
  <c r="I1249" i="11"/>
  <c r="I1240" i="11"/>
  <c r="I1247" i="11"/>
  <c r="I1227" i="11"/>
  <c r="I1203" i="11"/>
  <c r="I1204" i="11"/>
  <c r="I1210" i="11"/>
  <c r="I1133" i="11"/>
  <c r="I1131" i="11"/>
  <c r="I1121" i="11"/>
  <c r="I1120" i="11"/>
  <c r="I1127" i="11"/>
  <c r="I1134" i="11"/>
  <c r="AM974" i="11"/>
  <c r="AN974" i="11"/>
  <c r="AO974" i="11"/>
  <c r="V974" i="11"/>
  <c r="W974" i="11"/>
  <c r="X974" i="11"/>
  <c r="Y974" i="11"/>
  <c r="Z974" i="11"/>
  <c r="AA974" i="11"/>
  <c r="AB974" i="11"/>
  <c r="AC974" i="11"/>
  <c r="AD974" i="11"/>
  <c r="AE974" i="11"/>
  <c r="AF974" i="11"/>
  <c r="AG974" i="11"/>
  <c r="V977" i="11"/>
  <c r="W977" i="11"/>
  <c r="X977" i="11"/>
  <c r="Y977" i="11"/>
  <c r="Z977" i="11"/>
  <c r="AA977" i="11"/>
  <c r="AB977" i="11"/>
  <c r="AC977" i="11"/>
  <c r="AD977" i="11"/>
  <c r="AE977" i="11"/>
  <c r="AF977" i="11"/>
  <c r="AG977" i="11"/>
  <c r="V1074" i="11"/>
  <c r="W1074" i="11"/>
  <c r="X1074" i="11"/>
  <c r="Y1074" i="11"/>
  <c r="Z1074" i="11"/>
  <c r="AA1074" i="11"/>
  <c r="AB1074" i="11"/>
  <c r="AC1074" i="11"/>
  <c r="AD1074" i="11"/>
  <c r="AE1074" i="11"/>
  <c r="AF1074" i="11"/>
  <c r="AG1074" i="11"/>
  <c r="AM1074" i="11"/>
  <c r="AN1074" i="11"/>
  <c r="AO1074" i="11"/>
  <c r="V791" i="11"/>
  <c r="W791" i="11"/>
  <c r="X791" i="11"/>
  <c r="Y791" i="11"/>
  <c r="Z791" i="11"/>
  <c r="AC791" i="11"/>
  <c r="AE791" i="11"/>
  <c r="AF791" i="11"/>
  <c r="AN791" i="11"/>
  <c r="AO791" i="11"/>
  <c r="I728" i="11"/>
  <c r="I485" i="11"/>
  <c r="I678"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O137" i="11"/>
  <c r="AO138" i="11"/>
  <c r="AO139" i="11"/>
  <c r="AO140" i="11"/>
  <c r="AO141" i="11"/>
  <c r="AO142" i="11"/>
  <c r="AO143" i="11"/>
  <c r="AO144" i="11"/>
  <c r="AO145" i="11"/>
  <c r="AO146" i="11"/>
  <c r="AO147" i="11"/>
  <c r="AO148" i="11"/>
  <c r="AO149" i="11"/>
  <c r="AO150" i="11"/>
  <c r="AO151" i="11"/>
  <c r="AO152" i="11"/>
  <c r="AO153" i="11"/>
  <c r="AO154" i="11"/>
  <c r="AO155" i="11"/>
  <c r="AO156" i="11"/>
  <c r="AO157" i="11"/>
  <c r="AO158" i="11"/>
  <c r="AO159" i="11"/>
  <c r="AO160" i="11"/>
  <c r="AO161" i="11"/>
  <c r="AO162" i="11"/>
  <c r="AO163" i="11"/>
  <c r="AO164" i="11"/>
  <c r="AO165" i="11"/>
  <c r="AO166" i="11"/>
  <c r="AO167" i="11"/>
  <c r="AO168" i="11"/>
  <c r="AO169" i="11"/>
  <c r="AO170" i="11"/>
  <c r="AO171" i="11"/>
  <c r="AO172" i="11"/>
  <c r="AO173" i="11"/>
  <c r="AO174" i="11"/>
  <c r="AO175" i="11"/>
  <c r="AO176" i="11"/>
  <c r="AO177" i="11"/>
  <c r="AO178" i="11"/>
  <c r="AO179" i="11"/>
  <c r="AO180" i="11"/>
  <c r="AO181" i="11"/>
  <c r="AO182" i="11"/>
  <c r="AO183" i="11"/>
  <c r="AO184" i="11"/>
  <c r="AO185" i="11"/>
  <c r="AO186" i="11"/>
  <c r="AO187" i="11"/>
  <c r="AO188" i="11"/>
  <c r="AO189" i="11"/>
  <c r="AO190" i="11"/>
  <c r="AO191" i="11"/>
  <c r="AO192" i="11"/>
  <c r="AO193" i="11"/>
  <c r="AO194" i="11"/>
  <c r="AO195" i="11"/>
  <c r="AO196" i="11"/>
  <c r="AO197" i="11"/>
  <c r="AO198" i="11"/>
  <c r="AO199" i="11"/>
  <c r="AO200" i="11"/>
  <c r="AO201" i="11"/>
  <c r="AO202" i="11"/>
  <c r="AO203" i="11"/>
  <c r="AO204" i="11"/>
  <c r="AO205" i="11"/>
  <c r="AO206" i="11"/>
  <c r="AO207" i="11"/>
  <c r="AO208" i="11"/>
  <c r="AO209" i="11"/>
  <c r="AO210" i="11"/>
  <c r="AO211" i="11"/>
  <c r="AO212" i="11"/>
  <c r="AO213" i="11"/>
  <c r="AO214" i="11"/>
  <c r="AO215" i="11"/>
  <c r="AO216" i="11"/>
  <c r="AO217" i="11"/>
  <c r="AO218" i="11"/>
  <c r="AO219" i="11"/>
  <c r="AO220" i="11"/>
  <c r="AO221" i="11"/>
  <c r="AO222" i="11"/>
  <c r="AO223" i="11"/>
  <c r="AO224" i="11"/>
  <c r="AO225" i="11"/>
  <c r="AO226" i="11"/>
  <c r="AO227" i="11"/>
  <c r="AO228" i="11"/>
  <c r="AO229" i="11"/>
  <c r="AO230" i="11"/>
  <c r="AO231" i="11"/>
  <c r="AO232" i="11"/>
  <c r="AO233" i="11"/>
  <c r="AO234" i="11"/>
  <c r="AO235" i="11"/>
  <c r="AO236" i="11"/>
  <c r="AO237" i="11"/>
  <c r="AO238" i="11"/>
  <c r="AO239" i="11"/>
  <c r="AO240" i="11"/>
  <c r="AO241" i="11"/>
  <c r="AO242" i="11"/>
  <c r="AO243" i="11"/>
  <c r="AO244" i="11"/>
  <c r="AO245" i="11"/>
  <c r="AO246" i="11"/>
  <c r="AO247" i="11"/>
  <c r="AO248" i="11"/>
  <c r="AO249" i="11"/>
  <c r="AO250" i="11"/>
  <c r="AO251" i="11"/>
  <c r="AO252" i="11"/>
  <c r="AO253" i="11"/>
  <c r="AO254" i="11"/>
  <c r="AO255" i="11"/>
  <c r="AO256" i="11"/>
  <c r="AO257" i="11"/>
  <c r="AO258" i="11"/>
  <c r="AO259" i="11"/>
  <c r="AO260" i="11"/>
  <c r="AO261" i="11"/>
  <c r="AO262" i="11"/>
  <c r="AO263" i="11"/>
  <c r="AO264" i="11"/>
  <c r="AO265" i="11"/>
  <c r="AO266" i="11"/>
  <c r="AO267" i="11"/>
  <c r="AO268" i="11"/>
  <c r="AO269" i="11"/>
  <c r="AO270" i="11"/>
  <c r="AO271" i="11"/>
  <c r="AO272" i="11"/>
  <c r="AO273" i="11"/>
  <c r="AO274" i="11"/>
  <c r="AO275" i="11"/>
  <c r="AO276" i="11"/>
  <c r="AO277" i="11"/>
  <c r="AO278" i="11"/>
  <c r="AO279" i="11"/>
  <c r="AO280" i="11"/>
  <c r="AO281" i="11"/>
  <c r="AO282" i="11"/>
  <c r="AO283" i="11"/>
  <c r="AO284" i="11"/>
  <c r="AO285" i="11"/>
  <c r="AO286" i="11"/>
  <c r="AO287" i="11"/>
  <c r="AO288" i="11"/>
  <c r="AO289" i="11"/>
  <c r="AO290" i="11"/>
  <c r="AO291" i="11"/>
  <c r="AO292" i="11"/>
  <c r="AO293" i="11"/>
  <c r="AO294" i="11"/>
  <c r="AO295" i="11"/>
  <c r="AO296" i="11"/>
  <c r="AO297" i="11"/>
  <c r="AO298" i="11"/>
  <c r="AO299" i="11"/>
  <c r="AO300" i="11"/>
  <c r="AO301" i="11"/>
  <c r="AO302" i="11"/>
  <c r="AO303" i="11"/>
  <c r="AO304" i="11"/>
  <c r="AO305" i="11"/>
  <c r="AO306" i="11"/>
  <c r="AO307" i="11"/>
  <c r="AO308" i="11"/>
  <c r="AO309" i="11"/>
  <c r="AO310" i="11"/>
  <c r="AO311" i="11"/>
  <c r="AO312" i="11"/>
  <c r="AO313" i="11"/>
  <c r="AO314" i="11"/>
  <c r="AO315" i="11"/>
  <c r="AO316" i="11"/>
  <c r="AO317" i="11"/>
  <c r="AO318" i="11"/>
  <c r="AO319" i="11"/>
  <c r="AO320" i="11"/>
  <c r="AO321" i="11"/>
  <c r="AO322" i="11"/>
  <c r="AO323" i="11"/>
  <c r="AO324" i="11"/>
  <c r="AO325" i="11"/>
  <c r="AO326" i="11"/>
  <c r="AO327" i="11"/>
  <c r="AO328" i="11"/>
  <c r="AO329" i="11"/>
  <c r="AO330" i="11"/>
  <c r="AO331" i="11"/>
  <c r="AO332" i="11"/>
  <c r="AO333" i="11"/>
  <c r="AO334" i="11"/>
  <c r="AO335" i="11"/>
  <c r="AO336" i="11"/>
  <c r="AO337" i="11"/>
  <c r="AO338" i="11"/>
  <c r="AO339" i="11"/>
  <c r="AO340" i="11"/>
  <c r="AO341" i="11"/>
  <c r="AO342" i="11"/>
  <c r="AO343" i="11"/>
  <c r="AO344" i="11"/>
  <c r="AO345" i="11"/>
  <c r="AO346" i="11"/>
  <c r="AO347" i="11"/>
  <c r="AO348" i="11"/>
  <c r="AO349" i="11"/>
  <c r="AO350" i="11"/>
  <c r="AO351" i="11"/>
  <c r="AO352" i="11"/>
  <c r="AO353" i="11"/>
  <c r="AO354" i="11"/>
  <c r="AO355" i="11"/>
  <c r="AO356" i="11"/>
  <c r="AO357" i="11"/>
  <c r="AO358" i="11"/>
  <c r="AO359" i="11"/>
  <c r="AO360" i="11"/>
  <c r="AO361" i="11"/>
  <c r="AO362" i="11"/>
  <c r="AO363" i="11"/>
  <c r="AO364" i="11"/>
  <c r="AO365" i="11"/>
  <c r="AO366" i="11"/>
  <c r="AO367" i="11"/>
  <c r="AO368" i="11"/>
  <c r="AO369" i="11"/>
  <c r="AO370" i="11"/>
  <c r="AO371" i="11"/>
  <c r="AO372" i="11"/>
  <c r="AO373" i="11"/>
  <c r="AO374" i="11"/>
  <c r="AO375" i="11"/>
  <c r="AO376" i="11"/>
  <c r="AO377" i="11"/>
  <c r="AO378" i="11"/>
  <c r="AO379" i="11"/>
  <c r="AO380" i="11"/>
  <c r="AO381" i="11"/>
  <c r="AO382" i="11"/>
  <c r="AO383" i="11"/>
  <c r="AO384" i="11"/>
  <c r="AO385" i="11"/>
  <c r="AO386" i="11"/>
  <c r="AO387" i="11"/>
  <c r="AO388" i="11"/>
  <c r="AO389" i="11"/>
  <c r="AO390" i="11"/>
  <c r="AO391" i="11"/>
  <c r="AO392" i="11"/>
  <c r="AO393" i="11"/>
  <c r="AO394" i="11"/>
  <c r="AO395" i="11"/>
  <c r="AO396" i="11"/>
  <c r="AO397" i="11"/>
  <c r="AO398" i="11"/>
  <c r="AO399" i="11"/>
  <c r="AO400" i="11"/>
  <c r="AO401" i="11"/>
  <c r="AO402" i="11"/>
  <c r="AO403" i="11"/>
  <c r="AO404" i="11"/>
  <c r="AO405" i="11"/>
  <c r="AO406" i="11"/>
  <c r="AO407" i="11"/>
  <c r="AO408" i="11"/>
  <c r="AO409" i="11"/>
  <c r="AO410" i="11"/>
  <c r="AO411" i="11"/>
  <c r="AO412" i="11"/>
  <c r="AO413" i="11"/>
  <c r="AO414" i="11"/>
  <c r="AO415" i="11"/>
  <c r="AO416" i="11"/>
  <c r="AO417" i="11"/>
  <c r="AO418" i="11"/>
  <c r="AO419" i="11"/>
  <c r="AO420" i="11"/>
  <c r="AO421" i="11"/>
  <c r="AO422" i="11"/>
  <c r="AO423" i="11"/>
  <c r="AO424" i="11"/>
  <c r="AO425" i="11"/>
  <c r="AO426" i="11"/>
  <c r="AO427" i="11"/>
  <c r="AO428" i="11"/>
  <c r="AO429" i="11"/>
  <c r="AO430" i="11"/>
  <c r="AO431" i="11"/>
  <c r="AO432" i="11"/>
  <c r="AO433" i="11"/>
  <c r="AO434" i="11"/>
  <c r="AO435" i="11"/>
  <c r="AO436" i="11"/>
  <c r="AO437" i="11"/>
  <c r="AO438" i="11"/>
  <c r="AO439" i="11"/>
  <c r="AO440" i="11"/>
  <c r="AO441" i="11"/>
  <c r="AO442" i="11"/>
  <c r="AO443" i="11"/>
  <c r="AO444" i="11"/>
  <c r="AO445" i="11"/>
  <c r="AO446" i="11"/>
  <c r="AO447" i="11"/>
  <c r="AO448" i="11"/>
  <c r="AO449" i="11"/>
  <c r="AO450" i="11"/>
  <c r="AO451" i="11"/>
  <c r="AO452" i="11"/>
  <c r="AO453" i="11"/>
  <c r="AO454" i="11"/>
  <c r="AO455" i="11"/>
  <c r="AO456" i="11"/>
  <c r="AO457" i="11"/>
  <c r="AO458" i="11"/>
  <c r="AO459" i="11"/>
  <c r="AO460" i="11"/>
  <c r="AO461" i="11"/>
  <c r="AO462" i="11"/>
  <c r="AO463" i="11"/>
  <c r="AO464" i="11"/>
  <c r="AO465" i="11"/>
  <c r="AO466" i="11"/>
  <c r="AO467" i="11"/>
  <c r="AO468" i="11"/>
  <c r="AO469" i="11"/>
  <c r="AO470" i="11"/>
  <c r="AO471" i="11"/>
  <c r="AO472" i="11"/>
  <c r="AO473" i="11"/>
  <c r="AO474" i="11"/>
  <c r="AO475" i="11"/>
  <c r="AO476" i="11"/>
  <c r="AO477" i="11"/>
  <c r="AO478" i="11"/>
  <c r="AO479" i="11"/>
  <c r="AO480" i="11"/>
  <c r="AO481" i="11"/>
  <c r="AO482" i="11"/>
  <c r="AO483" i="11"/>
  <c r="AO484" i="11"/>
  <c r="AO485" i="11"/>
  <c r="AO486" i="11"/>
  <c r="AO487" i="11"/>
  <c r="AO488" i="11"/>
  <c r="AO489" i="11"/>
  <c r="AO490" i="11"/>
  <c r="AO491" i="11"/>
  <c r="AO492" i="11"/>
  <c r="AO493" i="11"/>
  <c r="AO494" i="11"/>
  <c r="AO495" i="11"/>
  <c r="AO496" i="11"/>
  <c r="AO497" i="11"/>
  <c r="AO498" i="11"/>
  <c r="AO499" i="11"/>
  <c r="AO500" i="11"/>
  <c r="AO501" i="11"/>
  <c r="AO502" i="11"/>
  <c r="AO503" i="11"/>
  <c r="AO504" i="11"/>
  <c r="AO505" i="11"/>
  <c r="AO506" i="11"/>
  <c r="AO507" i="11"/>
  <c r="AO508" i="11"/>
  <c r="AO509" i="11"/>
  <c r="AO510" i="11"/>
  <c r="AO511" i="11"/>
  <c r="AO512" i="11"/>
  <c r="AO513" i="11"/>
  <c r="AO514" i="11"/>
  <c r="AO515" i="11"/>
  <c r="AO516" i="11"/>
  <c r="AO517" i="11"/>
  <c r="AO518" i="11"/>
  <c r="AO519" i="11"/>
  <c r="AO520" i="11"/>
  <c r="AO521" i="11"/>
  <c r="AO522" i="11"/>
  <c r="AO523" i="11"/>
  <c r="AO524" i="11"/>
  <c r="AO525" i="11"/>
  <c r="AO526" i="11"/>
  <c r="AO527" i="11"/>
  <c r="AO528" i="11"/>
  <c r="AO529" i="11"/>
  <c r="AO530" i="11"/>
  <c r="AO531" i="11"/>
  <c r="AO532" i="11"/>
  <c r="AO533" i="11"/>
  <c r="AO534" i="11"/>
  <c r="AO535" i="11"/>
  <c r="AO536" i="11"/>
  <c r="AO537" i="11"/>
  <c r="AO538" i="11"/>
  <c r="AO539" i="11"/>
  <c r="AO540" i="11"/>
  <c r="AO541" i="11"/>
  <c r="AO542" i="11"/>
  <c r="AO543" i="11"/>
  <c r="AO544" i="11"/>
  <c r="AO545" i="11"/>
  <c r="AO546" i="11"/>
  <c r="AO547" i="11"/>
  <c r="AO548" i="11"/>
  <c r="AO549" i="11"/>
  <c r="AO550" i="11"/>
  <c r="AO551" i="11"/>
  <c r="AO552" i="11"/>
  <c r="AO553" i="11"/>
  <c r="AO554" i="11"/>
  <c r="AO555" i="11"/>
  <c r="AO556" i="11"/>
  <c r="AO557" i="11"/>
  <c r="AO558" i="11"/>
  <c r="AO559" i="11"/>
  <c r="AO560" i="11"/>
  <c r="AO561" i="11"/>
  <c r="AO562" i="11"/>
  <c r="AO563" i="11"/>
  <c r="AO564" i="11"/>
  <c r="AO565" i="11"/>
  <c r="AO566" i="11"/>
  <c r="AO567" i="11"/>
  <c r="AO568" i="11"/>
  <c r="AO569" i="11"/>
  <c r="AO570" i="11"/>
  <c r="AO571" i="11"/>
  <c r="AO572" i="11"/>
  <c r="AO573" i="11"/>
  <c r="AO574" i="11"/>
  <c r="AO575" i="11"/>
  <c r="AO576" i="11"/>
  <c r="AO577" i="11"/>
  <c r="AO578" i="11"/>
  <c r="AO579" i="11"/>
  <c r="AO580" i="11"/>
  <c r="AO581" i="11"/>
  <c r="AO582" i="11"/>
  <c r="AO583" i="11"/>
  <c r="AO584" i="11"/>
  <c r="AO585" i="11"/>
  <c r="AO586" i="11"/>
  <c r="AO587" i="11"/>
  <c r="AO588" i="11"/>
  <c r="AO589" i="11"/>
  <c r="AO590" i="11"/>
  <c r="AO591" i="11"/>
  <c r="AO592" i="11"/>
  <c r="AO593" i="11"/>
  <c r="AO594" i="11"/>
  <c r="AO595" i="11"/>
  <c r="AO596" i="11"/>
  <c r="AO597" i="11"/>
  <c r="AO598" i="11"/>
  <c r="AO599" i="11"/>
  <c r="AO600" i="11"/>
  <c r="AO601" i="11"/>
  <c r="AO602" i="11"/>
  <c r="AO603" i="11"/>
  <c r="AO604" i="11"/>
  <c r="AO605" i="11"/>
  <c r="AO606" i="11"/>
  <c r="AO607" i="11"/>
  <c r="AO608" i="11"/>
  <c r="AO609" i="11"/>
  <c r="AO610" i="11"/>
  <c r="AO611" i="11"/>
  <c r="AO612" i="11"/>
  <c r="AO613" i="11"/>
  <c r="AO614" i="11"/>
  <c r="AO615" i="11"/>
  <c r="AO616" i="11"/>
  <c r="AO617" i="11"/>
  <c r="AO618" i="11"/>
  <c r="AO619" i="11"/>
  <c r="AO620" i="11"/>
  <c r="AO621" i="11"/>
  <c r="AO622" i="11"/>
  <c r="AO623" i="11"/>
  <c r="AO624" i="11"/>
  <c r="AO625" i="11"/>
  <c r="AO626" i="11"/>
  <c r="AO627" i="11"/>
  <c r="AO628" i="11"/>
  <c r="AO629" i="11"/>
  <c r="AO630" i="11"/>
  <c r="AO631" i="11"/>
  <c r="AO632" i="11"/>
  <c r="AO633" i="11"/>
  <c r="AO634" i="11"/>
  <c r="AO635" i="11"/>
  <c r="AO636" i="11"/>
  <c r="AO637" i="11"/>
  <c r="AO638" i="11"/>
  <c r="AO639" i="11"/>
  <c r="AO640" i="11"/>
  <c r="AO641" i="11"/>
  <c r="AO642" i="11"/>
  <c r="AO643" i="11"/>
  <c r="AO644" i="11"/>
  <c r="AO645" i="11"/>
  <c r="AO646" i="11"/>
  <c r="AO647" i="11"/>
  <c r="AO648" i="11"/>
  <c r="AO649" i="11"/>
  <c r="AO650" i="11"/>
  <c r="AO651" i="11"/>
  <c r="AO652" i="11"/>
  <c r="AO653" i="11"/>
  <c r="AO654" i="11"/>
  <c r="AO655" i="11"/>
  <c r="AO656" i="11"/>
  <c r="AO657" i="11"/>
  <c r="AO658" i="11"/>
  <c r="AO659" i="11"/>
  <c r="AO660" i="11"/>
  <c r="AO661" i="11"/>
  <c r="AO662" i="11"/>
  <c r="AO663" i="11"/>
  <c r="AO664" i="11"/>
  <c r="AO665" i="11"/>
  <c r="AO666" i="11"/>
  <c r="AO667" i="11"/>
  <c r="AO668" i="11"/>
  <c r="AO669" i="11"/>
  <c r="AO670" i="11"/>
  <c r="AO671" i="11"/>
  <c r="AO672" i="11"/>
  <c r="AO673" i="11"/>
  <c r="AO674" i="11"/>
  <c r="AO675" i="11"/>
  <c r="AO676" i="11"/>
  <c r="AO677" i="11"/>
  <c r="AO678" i="11"/>
  <c r="AO679" i="11"/>
  <c r="AO680" i="11"/>
  <c r="AO681" i="11"/>
  <c r="AO682" i="11"/>
  <c r="AO683" i="11"/>
  <c r="AO684" i="11"/>
  <c r="AO685" i="11"/>
  <c r="AO686" i="11"/>
  <c r="AO687" i="11"/>
  <c r="AO688" i="11"/>
  <c r="AO689" i="11"/>
  <c r="AO690" i="11"/>
  <c r="AO691" i="11"/>
  <c r="AO692" i="11"/>
  <c r="AO693" i="11"/>
  <c r="AO694" i="11"/>
  <c r="AO695" i="11"/>
  <c r="AO696" i="11"/>
  <c r="AO697" i="11"/>
  <c r="AO698" i="11"/>
  <c r="AO699" i="11"/>
  <c r="AO700" i="11"/>
  <c r="AO701" i="11"/>
  <c r="AO702" i="11"/>
  <c r="AO703" i="11"/>
  <c r="AO704" i="11"/>
  <c r="AO705" i="11"/>
  <c r="AO706" i="11"/>
  <c r="AO707" i="11"/>
  <c r="AO708" i="11"/>
  <c r="AO709" i="11"/>
  <c r="AO710" i="11"/>
  <c r="AO711" i="11"/>
  <c r="AO712" i="11"/>
  <c r="AO713" i="11"/>
  <c r="AO714" i="11"/>
  <c r="AO715" i="11"/>
  <c r="AO716" i="11"/>
  <c r="AO717" i="11"/>
  <c r="AO718" i="11"/>
  <c r="AO719" i="11"/>
  <c r="AO720" i="11"/>
  <c r="AO721" i="11"/>
  <c r="AO722" i="11"/>
  <c r="AO723" i="11"/>
  <c r="AO724" i="11"/>
  <c r="AO725" i="11"/>
  <c r="AO726" i="11"/>
  <c r="AO727" i="11"/>
  <c r="AO728" i="11"/>
  <c r="AO729" i="11"/>
  <c r="AO730" i="11"/>
  <c r="AO731" i="11"/>
  <c r="AO732" i="11"/>
  <c r="AO733" i="11"/>
  <c r="AO734" i="11"/>
  <c r="AO735" i="11"/>
  <c r="AO736" i="11"/>
  <c r="AO737" i="11"/>
  <c r="AO738" i="11"/>
  <c r="AO739" i="11"/>
  <c r="AO740" i="11"/>
  <c r="AO741" i="11"/>
  <c r="AO742" i="11"/>
  <c r="AO743" i="11"/>
  <c r="AO744" i="11"/>
  <c r="AO745" i="11"/>
  <c r="AO746" i="11"/>
  <c r="AO747" i="11"/>
  <c r="AO748" i="11"/>
  <c r="AO749" i="11"/>
  <c r="AO750" i="11"/>
  <c r="AO751" i="11"/>
  <c r="AO752" i="11"/>
  <c r="AO753" i="11"/>
  <c r="AO754" i="11"/>
  <c r="AO755" i="11"/>
  <c r="AO756" i="11"/>
  <c r="AO757" i="11"/>
  <c r="AO758" i="11"/>
  <c r="AO759" i="11"/>
  <c r="AO760" i="11"/>
  <c r="AO761" i="11"/>
  <c r="AO762" i="11"/>
  <c r="AO763" i="11"/>
  <c r="AO764" i="11"/>
  <c r="AO765" i="11"/>
  <c r="AO766" i="11"/>
  <c r="AO767" i="11"/>
  <c r="AO768" i="11"/>
  <c r="AO769" i="11"/>
  <c r="AO770" i="11"/>
  <c r="AO771" i="11"/>
  <c r="AO772" i="11"/>
  <c r="AO773" i="11"/>
  <c r="AO774" i="11"/>
  <c r="AO775" i="11"/>
  <c r="AO776" i="11"/>
  <c r="AO777" i="11"/>
  <c r="AO778" i="11"/>
  <c r="AO779" i="11"/>
  <c r="AO780" i="11"/>
  <c r="AO781" i="11"/>
  <c r="AO782" i="11"/>
  <c r="AO783" i="11"/>
  <c r="AO784" i="11"/>
  <c r="AO785" i="11"/>
  <c r="AO786" i="11"/>
  <c r="AO787" i="11"/>
  <c r="AO788" i="11"/>
  <c r="AO789" i="11"/>
  <c r="AO790" i="11"/>
  <c r="AO792" i="11"/>
  <c r="AO793" i="11"/>
  <c r="AO794" i="11"/>
  <c r="AO795" i="11"/>
  <c r="AO796" i="11"/>
  <c r="AO797" i="11"/>
  <c r="AO798" i="11"/>
  <c r="AO799" i="11"/>
  <c r="AO800" i="11"/>
  <c r="AO801" i="11"/>
  <c r="AO802" i="11"/>
  <c r="AO803" i="11"/>
  <c r="AO804" i="11"/>
  <c r="AO805" i="11"/>
  <c r="AO806" i="11"/>
  <c r="AO807" i="11"/>
  <c r="AO808" i="11"/>
  <c r="AO809" i="11"/>
  <c r="AO810" i="11"/>
  <c r="AO811" i="11"/>
  <c r="AO812" i="11"/>
  <c r="AO813" i="11"/>
  <c r="AO814" i="11"/>
  <c r="AO815" i="11"/>
  <c r="AO816" i="11"/>
  <c r="AO817" i="11"/>
  <c r="AO818" i="11"/>
  <c r="AO819" i="11"/>
  <c r="AO820" i="11"/>
  <c r="AO821" i="11"/>
  <c r="AO822" i="11"/>
  <c r="AO823" i="11"/>
  <c r="AO824" i="11"/>
  <c r="AO825" i="11"/>
  <c r="AO826" i="11"/>
  <c r="AO827" i="11"/>
  <c r="AO828" i="11"/>
  <c r="AO829" i="11"/>
  <c r="AO830" i="11"/>
  <c r="AO831" i="11"/>
  <c r="AO832" i="11"/>
  <c r="AO833" i="11"/>
  <c r="AO834" i="11"/>
  <c r="AO835" i="11"/>
  <c r="AO836" i="11"/>
  <c r="AO837" i="11"/>
  <c r="AO838" i="11"/>
  <c r="AO839" i="11"/>
  <c r="AO840" i="11"/>
  <c r="AO841" i="11"/>
  <c r="AO842" i="11"/>
  <c r="AO843" i="11"/>
  <c r="AO844" i="11"/>
  <c r="AO845" i="11"/>
  <c r="AO846" i="11"/>
  <c r="AO847" i="11"/>
  <c r="AO848" i="11"/>
  <c r="AO849" i="11"/>
  <c r="AO850" i="11"/>
  <c r="AO851" i="11"/>
  <c r="AO852" i="11"/>
  <c r="AO853" i="11"/>
  <c r="AO854" i="11"/>
  <c r="AO855" i="11"/>
  <c r="AO856" i="11"/>
  <c r="AO857" i="11"/>
  <c r="AO858" i="11"/>
  <c r="AO859" i="11"/>
  <c r="AO860" i="11"/>
  <c r="AO861" i="11"/>
  <c r="AO862" i="11"/>
  <c r="AO863" i="11"/>
  <c r="AO864" i="11"/>
  <c r="AO865" i="11"/>
  <c r="AO866" i="11"/>
  <c r="AO867" i="11"/>
  <c r="AO868" i="11"/>
  <c r="AO869" i="11"/>
  <c r="AO870" i="11"/>
  <c r="AO871" i="11"/>
  <c r="AO872" i="11"/>
  <c r="AO873" i="11"/>
  <c r="AO874" i="11"/>
  <c r="AO875" i="11"/>
  <c r="AO876" i="11"/>
  <c r="AO877" i="11"/>
  <c r="AO878" i="11"/>
  <c r="AO879" i="11"/>
  <c r="AO880" i="11"/>
  <c r="AO881" i="11"/>
  <c r="AO882" i="11"/>
  <c r="AO883" i="11"/>
  <c r="AO884" i="11"/>
  <c r="AO885" i="11"/>
  <c r="AO886" i="11"/>
  <c r="AO887" i="11"/>
  <c r="AO888" i="11"/>
  <c r="AO889" i="11"/>
  <c r="AO890" i="11"/>
  <c r="AO891" i="11"/>
  <c r="AO892" i="11"/>
  <c r="AO893" i="11"/>
  <c r="AO894" i="11"/>
  <c r="AO895" i="11"/>
  <c r="AO896" i="11"/>
  <c r="AO897" i="11"/>
  <c r="AO898" i="11"/>
  <c r="AO899" i="11"/>
  <c r="AO900" i="11"/>
  <c r="AO901" i="11"/>
  <c r="AO902" i="11"/>
  <c r="AO903" i="11"/>
  <c r="AO904" i="11"/>
  <c r="AO905" i="11"/>
  <c r="AO906" i="11"/>
  <c r="AO907" i="11"/>
  <c r="AO908" i="11"/>
  <c r="AO909" i="11"/>
  <c r="AO910" i="11"/>
  <c r="AO911" i="11"/>
  <c r="AO912" i="11"/>
  <c r="AO913" i="11"/>
  <c r="AO914" i="11"/>
  <c r="AO915" i="11"/>
  <c r="AO916" i="11"/>
  <c r="AO917" i="11"/>
  <c r="AO918" i="11"/>
  <c r="AO919" i="11"/>
  <c r="AO920" i="11"/>
  <c r="AO921" i="11"/>
  <c r="AO922" i="11"/>
  <c r="AO923" i="11"/>
  <c r="AO924" i="11"/>
  <c r="AO925" i="11"/>
  <c r="AO926" i="11"/>
  <c r="AO927" i="11"/>
  <c r="AO928" i="11"/>
  <c r="AO929" i="11"/>
  <c r="AO930" i="11"/>
  <c r="AO931" i="11"/>
  <c r="AO932" i="11"/>
  <c r="AO933" i="11"/>
  <c r="AO934" i="11"/>
  <c r="AO935" i="11"/>
  <c r="AO936" i="11"/>
  <c r="AO937" i="11"/>
  <c r="AO938" i="11"/>
  <c r="AO939" i="11"/>
  <c r="AO940" i="11"/>
  <c r="AO941" i="11"/>
  <c r="AO942" i="11"/>
  <c r="AO943" i="11"/>
  <c r="AO944" i="11"/>
  <c r="AO945" i="11"/>
  <c r="AO946" i="11"/>
  <c r="AO947" i="11"/>
  <c r="AO948" i="11"/>
  <c r="AO949" i="11"/>
  <c r="AO950" i="11"/>
  <c r="AO951" i="11"/>
  <c r="AO952" i="11"/>
  <c r="AO953" i="11"/>
  <c r="AO954" i="11"/>
  <c r="AO955" i="11"/>
  <c r="AO956" i="11"/>
  <c r="AO957" i="11"/>
  <c r="AO958" i="11"/>
  <c r="AO959" i="11"/>
  <c r="AO960" i="11"/>
  <c r="AO961" i="11"/>
  <c r="AO962" i="11"/>
  <c r="AO963" i="11"/>
  <c r="AO964" i="11"/>
  <c r="AO965" i="11"/>
  <c r="AO966" i="11"/>
  <c r="AO967" i="11"/>
  <c r="AO968" i="11"/>
  <c r="AO969" i="11"/>
  <c r="AO970" i="11"/>
  <c r="AO971" i="11"/>
  <c r="AO972" i="11"/>
  <c r="AO973" i="11"/>
  <c r="AO975" i="11"/>
  <c r="AO976" i="11"/>
  <c r="AO978" i="11"/>
  <c r="AO979" i="11"/>
  <c r="AO980" i="11"/>
  <c r="AO981" i="11"/>
  <c r="AO982" i="11"/>
  <c r="AO983" i="11"/>
  <c r="AO984" i="11"/>
  <c r="AO985" i="11"/>
  <c r="AO986" i="11"/>
  <c r="AO987" i="11"/>
  <c r="AO988" i="11"/>
  <c r="AO989" i="11"/>
  <c r="AO990" i="11"/>
  <c r="AO991" i="11"/>
  <c r="AO992" i="11"/>
  <c r="AO993" i="11"/>
  <c r="AO994" i="11"/>
  <c r="AO995" i="11"/>
  <c r="AO996" i="11"/>
  <c r="AO997" i="11"/>
  <c r="AO998" i="11"/>
  <c r="AO999" i="11"/>
  <c r="AO1000" i="11"/>
  <c r="AO1001" i="11"/>
  <c r="AO1002" i="11"/>
  <c r="AO1003" i="11"/>
  <c r="AO1004" i="11"/>
  <c r="AO1005" i="11"/>
  <c r="AO1006" i="11"/>
  <c r="AO1007" i="11"/>
  <c r="AO1008" i="11"/>
  <c r="AO1009" i="11"/>
  <c r="AO1010" i="11"/>
  <c r="AO1011" i="11"/>
  <c r="AO1012" i="11"/>
  <c r="AO1013" i="11"/>
  <c r="AO1014" i="11"/>
  <c r="AO1015" i="11"/>
  <c r="AO1016" i="11"/>
  <c r="AO1017" i="11"/>
  <c r="AO1018" i="11"/>
  <c r="AO1019" i="11"/>
  <c r="AO1020" i="11"/>
  <c r="AO1021" i="11"/>
  <c r="AO1022" i="11"/>
  <c r="AO1023" i="11"/>
  <c r="AO1024" i="11"/>
  <c r="AO1025" i="11"/>
  <c r="AO1026" i="11"/>
  <c r="AO1027" i="11"/>
  <c r="AO1028" i="11"/>
  <c r="AO1029" i="11"/>
  <c r="AO1030" i="11"/>
  <c r="AO1031" i="11"/>
  <c r="AO1032" i="11"/>
  <c r="AO1033" i="11"/>
  <c r="AO1034" i="11"/>
  <c r="AO1035" i="11"/>
  <c r="AO1036" i="11"/>
  <c r="AO1037" i="11"/>
  <c r="AO1038" i="11"/>
  <c r="AO1039" i="11"/>
  <c r="AO1040" i="11"/>
  <c r="AO1041" i="11"/>
  <c r="AO1042" i="11"/>
  <c r="AO1043" i="11"/>
  <c r="AO1044" i="11"/>
  <c r="AO1045" i="11"/>
  <c r="AO1046" i="11"/>
  <c r="AO1047" i="11"/>
  <c r="AO1048" i="11"/>
  <c r="AO1049" i="11"/>
  <c r="AO1050" i="11"/>
  <c r="AO1051" i="11"/>
  <c r="AO1052" i="11"/>
  <c r="AO1053" i="11"/>
  <c r="AO1054" i="11"/>
  <c r="AO1055" i="11"/>
  <c r="AO1056" i="11"/>
  <c r="AO1057" i="11"/>
  <c r="AO1058" i="11"/>
  <c r="AO1059" i="11"/>
  <c r="AO1060" i="11"/>
  <c r="AO1061" i="11"/>
  <c r="AO1062" i="11"/>
  <c r="AO1063" i="11"/>
  <c r="AO1064" i="11"/>
  <c r="AO1065" i="11"/>
  <c r="AO1066" i="11"/>
  <c r="AO1067" i="11"/>
  <c r="AO1068" i="11"/>
  <c r="AO1069" i="11"/>
  <c r="AO1070" i="11"/>
  <c r="AO1071" i="11"/>
  <c r="AO1072" i="11"/>
  <c r="AO1073" i="11"/>
  <c r="AO1075" i="11"/>
  <c r="AO1076" i="11"/>
  <c r="AO1077" i="11"/>
  <c r="AO1078" i="11"/>
  <c r="AO1079" i="11"/>
  <c r="AO1080" i="11"/>
  <c r="AO1081" i="11"/>
  <c r="AO1082" i="11"/>
  <c r="AO1083" i="11"/>
  <c r="AO1084" i="11"/>
  <c r="AO1085" i="11"/>
  <c r="AO1086" i="11"/>
  <c r="AO1087" i="11"/>
  <c r="AO1088" i="11"/>
  <c r="AO1089" i="11"/>
  <c r="AO1090" i="11"/>
  <c r="AO1091" i="11"/>
  <c r="AO1092" i="11"/>
  <c r="AO1093" i="11"/>
  <c r="AO1094" i="11"/>
  <c r="AO1095" i="11"/>
  <c r="AO1096" i="11"/>
  <c r="AO1097" i="11"/>
  <c r="AO1098" i="11"/>
  <c r="AO1099" i="11"/>
  <c r="AO1100" i="11"/>
  <c r="AO1101" i="11"/>
  <c r="AO1102" i="11"/>
  <c r="AO1103" i="11"/>
  <c r="AO1104" i="11"/>
  <c r="AO1105" i="11"/>
  <c r="AO1106" i="11"/>
  <c r="AO1107" i="11"/>
  <c r="AO1108" i="11"/>
  <c r="AO1109" i="11"/>
  <c r="AO1110" i="11"/>
  <c r="AO1111" i="11"/>
  <c r="AO1112" i="11"/>
  <c r="AO1113" i="11"/>
  <c r="AO1114" i="11"/>
  <c r="AO1115" i="11"/>
  <c r="AO1116" i="11"/>
  <c r="AO1117" i="11"/>
  <c r="AO1118" i="11"/>
  <c r="AO1119" i="11"/>
  <c r="AO1120" i="11"/>
  <c r="AO1121" i="11"/>
  <c r="AO1122" i="11"/>
  <c r="AO1123" i="11"/>
  <c r="AO1124" i="11"/>
  <c r="AO1125" i="11"/>
  <c r="AO1126" i="11"/>
  <c r="AO1127" i="11"/>
  <c r="AO1128" i="11"/>
  <c r="AO1129" i="11"/>
  <c r="AO1130" i="11"/>
  <c r="AO1131" i="11"/>
  <c r="AO1132" i="11"/>
  <c r="AO1133" i="11"/>
  <c r="AO1134" i="11"/>
  <c r="AO1135" i="11"/>
  <c r="AO1136" i="11"/>
  <c r="AO1137" i="11"/>
  <c r="AO1138" i="11"/>
  <c r="AO1139" i="11"/>
  <c r="AO1140" i="11"/>
  <c r="AO1141" i="11"/>
  <c r="AO1142" i="11"/>
  <c r="AO1143" i="11"/>
  <c r="AO1144" i="11"/>
  <c r="AO1145" i="11"/>
  <c r="AO1146" i="11"/>
  <c r="AO1147" i="11"/>
  <c r="AO1148" i="11"/>
  <c r="AO1149" i="11"/>
  <c r="AO1150" i="11"/>
  <c r="AO1151" i="11"/>
  <c r="AO1152" i="11"/>
  <c r="AO1153" i="11"/>
  <c r="AO1154" i="11"/>
  <c r="AO1155" i="11"/>
  <c r="AO1156" i="11"/>
  <c r="AO1157" i="11"/>
  <c r="AO1158" i="11"/>
  <c r="AO1159" i="11"/>
  <c r="AO1160" i="11"/>
  <c r="AO1161" i="11"/>
  <c r="AO1162" i="11"/>
  <c r="AO1163" i="11"/>
  <c r="AO1164" i="11"/>
  <c r="AO1165" i="11"/>
  <c r="AO1166" i="11"/>
  <c r="AO1167" i="11"/>
  <c r="AO1168" i="11"/>
  <c r="AO1169" i="11"/>
  <c r="AO1170" i="11"/>
  <c r="AO1171" i="11"/>
  <c r="AO1172" i="11"/>
  <c r="AO1173" i="11"/>
  <c r="AO1174" i="11"/>
  <c r="AO1175" i="11"/>
  <c r="AO1176" i="11"/>
  <c r="AO1177" i="11"/>
  <c r="AO1178" i="11"/>
  <c r="AO1179" i="11"/>
  <c r="AO1180" i="11"/>
  <c r="AO1181" i="11"/>
  <c r="AO1182" i="11"/>
  <c r="AO1183" i="11"/>
  <c r="AO1184" i="11"/>
  <c r="AO1185" i="11"/>
  <c r="AO1186" i="11"/>
  <c r="AO1187" i="11"/>
  <c r="AO1188" i="11"/>
  <c r="AO1189" i="11"/>
  <c r="AO1190" i="11"/>
  <c r="AO1191" i="11"/>
  <c r="AO1192" i="11"/>
  <c r="AO1193" i="11"/>
  <c r="AO1194" i="11"/>
  <c r="AO1195" i="11"/>
  <c r="AO1196" i="11"/>
  <c r="AO1197" i="11"/>
  <c r="AO1198" i="11"/>
  <c r="AO1199" i="11"/>
  <c r="AO1200" i="11"/>
  <c r="AO1201" i="11"/>
  <c r="AO1202" i="11"/>
  <c r="AO1203" i="11"/>
  <c r="AO1204" i="11"/>
  <c r="AO1205" i="11"/>
  <c r="AO1206" i="11"/>
  <c r="AO1207" i="11"/>
  <c r="AO1208" i="11"/>
  <c r="AO1209" i="11"/>
  <c r="AO1210" i="11"/>
  <c r="AO1211" i="11"/>
  <c r="AO1212" i="11"/>
  <c r="AO1213" i="11"/>
  <c r="AO1214" i="11"/>
  <c r="AO1215" i="11"/>
  <c r="AO1216" i="11"/>
  <c r="AO1217" i="11"/>
  <c r="AO1218" i="11"/>
  <c r="AO1219" i="11"/>
  <c r="AO1220" i="11"/>
  <c r="AO1221" i="11"/>
  <c r="AO1222" i="11"/>
  <c r="AO1223" i="11"/>
  <c r="AO1224" i="11"/>
  <c r="AO1225" i="11"/>
  <c r="AO1226" i="11"/>
  <c r="AO1227" i="11"/>
  <c r="AO1228" i="11"/>
  <c r="AO1229" i="11"/>
  <c r="AO1230" i="11"/>
  <c r="AO1231" i="11"/>
  <c r="AO1232" i="11"/>
  <c r="AO1233" i="11"/>
  <c r="AO1234" i="11"/>
  <c r="AO1235" i="11"/>
  <c r="AO1236" i="11"/>
  <c r="AO1237" i="11"/>
  <c r="AO1238" i="11"/>
  <c r="AO1239" i="11"/>
  <c r="AO1240" i="11"/>
  <c r="AO1241" i="11"/>
  <c r="AO1242" i="11"/>
  <c r="AO1243" i="11"/>
  <c r="AO1244" i="11"/>
  <c r="AO1245" i="11"/>
  <c r="AO1246" i="11"/>
  <c r="AO1247" i="11"/>
  <c r="AO1248" i="11"/>
  <c r="AO1249" i="11"/>
  <c r="AO1250" i="11"/>
  <c r="AO1251" i="11"/>
  <c r="AO1252" i="11"/>
  <c r="AO1253" i="11"/>
  <c r="AO1254" i="11"/>
  <c r="AO1255" i="11"/>
  <c r="AO1256" i="11"/>
  <c r="AO1257" i="11"/>
  <c r="AO1258" i="11"/>
  <c r="AO1259" i="11"/>
  <c r="AO1260" i="11"/>
  <c r="AO1261" i="11"/>
  <c r="AO1262" i="11"/>
  <c r="AO1263" i="11"/>
  <c r="AO1264" i="11"/>
  <c r="AO1265" i="11"/>
  <c r="AO1266" i="11"/>
  <c r="AO1267" i="11"/>
  <c r="AO1268" i="11"/>
  <c r="AO1269" i="11"/>
  <c r="AO7" i="11"/>
  <c r="AO1287" i="11"/>
  <c r="I459" i="11"/>
  <c r="I356" i="11"/>
  <c r="I357" i="11"/>
  <c r="I355"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N137" i="11"/>
  <c r="AN138" i="11"/>
  <c r="AN139" i="11"/>
  <c r="AN140" i="11"/>
  <c r="AN141" i="11"/>
  <c r="AN142" i="11"/>
  <c r="AN143" i="11"/>
  <c r="AN144" i="11"/>
  <c r="AN145" i="11"/>
  <c r="AN146" i="11"/>
  <c r="AN147" i="11"/>
  <c r="AN148" i="11"/>
  <c r="AN149" i="11"/>
  <c r="AN150" i="11"/>
  <c r="AN151" i="11"/>
  <c r="AN152" i="11"/>
  <c r="AN153" i="11"/>
  <c r="AN154" i="11"/>
  <c r="AN155" i="11"/>
  <c r="AN156" i="11"/>
  <c r="AN157" i="11"/>
  <c r="AN158" i="11"/>
  <c r="AN159" i="11"/>
  <c r="AN160" i="11"/>
  <c r="AN161" i="11"/>
  <c r="AN162" i="11"/>
  <c r="AN163" i="11"/>
  <c r="AN164" i="11"/>
  <c r="AN165" i="11"/>
  <c r="AN166" i="11"/>
  <c r="AN167" i="11"/>
  <c r="AN168" i="11"/>
  <c r="AN169" i="11"/>
  <c r="AN170" i="11"/>
  <c r="AN171" i="11"/>
  <c r="AN172" i="11"/>
  <c r="AN173" i="11"/>
  <c r="AN174" i="11"/>
  <c r="AN175" i="11"/>
  <c r="AN176" i="11"/>
  <c r="AN177" i="11"/>
  <c r="AN178" i="11"/>
  <c r="AN179" i="11"/>
  <c r="AN180" i="11"/>
  <c r="AN181" i="11"/>
  <c r="AN182" i="11"/>
  <c r="AN183" i="11"/>
  <c r="AN184" i="11"/>
  <c r="AN185" i="11"/>
  <c r="AN186" i="11"/>
  <c r="AN187" i="11"/>
  <c r="AN188" i="11"/>
  <c r="AN189" i="11"/>
  <c r="AN190" i="11"/>
  <c r="AN191" i="11"/>
  <c r="AN192" i="11"/>
  <c r="AN193" i="11"/>
  <c r="AN194" i="11"/>
  <c r="AN195" i="11"/>
  <c r="AN196" i="11"/>
  <c r="AN197" i="11"/>
  <c r="AN198" i="11"/>
  <c r="AN199" i="11"/>
  <c r="AN200" i="11"/>
  <c r="AN201" i="11"/>
  <c r="AN202" i="11"/>
  <c r="AN203" i="11"/>
  <c r="AN204" i="11"/>
  <c r="AN205" i="11"/>
  <c r="AN206" i="11"/>
  <c r="AN207" i="11"/>
  <c r="AN208" i="11"/>
  <c r="AN209" i="11"/>
  <c r="AN210" i="11"/>
  <c r="AN211" i="11"/>
  <c r="AN212" i="11"/>
  <c r="AN213" i="11"/>
  <c r="AN214" i="11"/>
  <c r="AN215" i="11"/>
  <c r="AN216" i="11"/>
  <c r="AN217" i="11"/>
  <c r="AN218" i="11"/>
  <c r="AN219" i="11"/>
  <c r="AN220" i="11"/>
  <c r="AN221" i="11"/>
  <c r="AN222" i="11"/>
  <c r="AN223" i="11"/>
  <c r="AN224" i="11"/>
  <c r="AN225" i="11"/>
  <c r="AN226" i="11"/>
  <c r="AN227" i="11"/>
  <c r="AN228" i="11"/>
  <c r="AN229" i="11"/>
  <c r="AN230" i="11"/>
  <c r="AN231" i="11"/>
  <c r="AN232" i="11"/>
  <c r="AN233" i="11"/>
  <c r="AN234" i="11"/>
  <c r="AN235" i="11"/>
  <c r="AN236" i="11"/>
  <c r="AN237" i="11"/>
  <c r="AN238" i="11"/>
  <c r="AN239" i="11"/>
  <c r="AN240" i="11"/>
  <c r="AN241" i="11"/>
  <c r="AN242" i="11"/>
  <c r="AN243" i="11"/>
  <c r="AN244" i="11"/>
  <c r="AN245" i="11"/>
  <c r="AN246" i="11"/>
  <c r="AN247" i="11"/>
  <c r="AN248" i="11"/>
  <c r="AN249" i="11"/>
  <c r="AN250" i="11"/>
  <c r="AN251" i="11"/>
  <c r="AN252" i="11"/>
  <c r="AN253" i="11"/>
  <c r="AN254" i="11"/>
  <c r="AN255" i="11"/>
  <c r="AN256" i="11"/>
  <c r="AN257" i="11"/>
  <c r="AN258" i="11"/>
  <c r="AN259" i="11"/>
  <c r="AN260" i="11"/>
  <c r="AN261" i="11"/>
  <c r="AN262" i="11"/>
  <c r="AN263" i="11"/>
  <c r="AN264" i="11"/>
  <c r="AN265" i="11"/>
  <c r="AN266" i="11"/>
  <c r="AN267" i="11"/>
  <c r="AN268" i="11"/>
  <c r="AN269" i="11"/>
  <c r="AN270" i="11"/>
  <c r="AN271" i="11"/>
  <c r="AN272" i="11"/>
  <c r="AN273" i="11"/>
  <c r="AN274" i="11"/>
  <c r="AN275" i="11"/>
  <c r="AN276" i="11"/>
  <c r="AN277" i="11"/>
  <c r="AN278" i="11"/>
  <c r="AN279" i="11"/>
  <c r="AN280" i="11"/>
  <c r="AN281" i="11"/>
  <c r="AN282" i="11"/>
  <c r="AN283" i="11"/>
  <c r="AN284" i="11"/>
  <c r="AN285" i="11"/>
  <c r="AN286" i="11"/>
  <c r="AN287" i="11"/>
  <c r="AN288" i="11"/>
  <c r="AN289" i="11"/>
  <c r="AN290" i="11"/>
  <c r="AN291" i="11"/>
  <c r="AN292" i="11"/>
  <c r="AN293" i="11"/>
  <c r="AN294" i="11"/>
  <c r="AN295" i="11"/>
  <c r="AN296" i="11"/>
  <c r="AN297" i="11"/>
  <c r="AN298" i="11"/>
  <c r="AN299" i="11"/>
  <c r="AN300" i="11"/>
  <c r="AN301" i="11"/>
  <c r="AN302" i="11"/>
  <c r="AN303" i="11"/>
  <c r="AN304" i="11"/>
  <c r="AN305" i="11"/>
  <c r="AN306" i="11"/>
  <c r="AN307" i="11"/>
  <c r="AN308" i="11"/>
  <c r="AN309" i="11"/>
  <c r="AN310" i="11"/>
  <c r="AN311" i="11"/>
  <c r="AN312" i="11"/>
  <c r="AN313" i="11"/>
  <c r="AN314" i="11"/>
  <c r="AN315" i="11"/>
  <c r="AN316" i="11"/>
  <c r="AN317" i="11"/>
  <c r="AN318" i="11"/>
  <c r="AN319" i="11"/>
  <c r="AN320" i="11"/>
  <c r="AN321" i="11"/>
  <c r="AN322" i="11"/>
  <c r="AN323" i="11"/>
  <c r="AN324" i="11"/>
  <c r="AN325" i="11"/>
  <c r="AN326" i="11"/>
  <c r="AN327" i="11"/>
  <c r="AN328" i="11"/>
  <c r="AN329" i="11"/>
  <c r="AN330" i="11"/>
  <c r="AN331" i="11"/>
  <c r="AN332" i="11"/>
  <c r="AN333" i="11"/>
  <c r="AN334" i="11"/>
  <c r="AN335" i="11"/>
  <c r="AN336" i="11"/>
  <c r="AN337" i="11"/>
  <c r="AN338" i="11"/>
  <c r="AN339" i="11"/>
  <c r="AN340" i="11"/>
  <c r="AN341" i="11"/>
  <c r="AN342" i="11"/>
  <c r="AN343" i="11"/>
  <c r="AN344" i="11"/>
  <c r="AN345" i="11"/>
  <c r="AN346" i="11"/>
  <c r="AN347" i="11"/>
  <c r="AN348" i="11"/>
  <c r="AN349" i="11"/>
  <c r="AN350" i="11"/>
  <c r="AN351" i="11"/>
  <c r="AN352" i="11"/>
  <c r="AN353" i="11"/>
  <c r="AN354" i="11"/>
  <c r="AN355" i="11"/>
  <c r="AN356" i="11"/>
  <c r="AN357" i="11"/>
  <c r="AN358" i="11"/>
  <c r="AN359" i="11"/>
  <c r="AN360" i="11"/>
  <c r="AN361" i="11"/>
  <c r="AN362" i="11"/>
  <c r="AN363" i="11"/>
  <c r="AN364" i="11"/>
  <c r="AN365" i="11"/>
  <c r="AN366" i="11"/>
  <c r="AN367" i="11"/>
  <c r="AN368" i="11"/>
  <c r="AN369" i="11"/>
  <c r="AN370" i="11"/>
  <c r="AN371" i="11"/>
  <c r="AN372" i="11"/>
  <c r="AN373" i="11"/>
  <c r="AN374" i="11"/>
  <c r="AN375" i="11"/>
  <c r="AN376" i="11"/>
  <c r="AN377" i="11"/>
  <c r="AN378" i="11"/>
  <c r="AN379" i="11"/>
  <c r="AN380" i="11"/>
  <c r="AN381" i="11"/>
  <c r="AN382" i="11"/>
  <c r="AN383" i="11"/>
  <c r="AN384" i="11"/>
  <c r="AN385" i="11"/>
  <c r="AN386" i="11"/>
  <c r="AN387" i="11"/>
  <c r="AN388" i="11"/>
  <c r="AN389" i="11"/>
  <c r="AN390" i="11"/>
  <c r="AN391" i="11"/>
  <c r="AN392" i="11"/>
  <c r="AN393" i="11"/>
  <c r="AN394" i="11"/>
  <c r="AN395" i="11"/>
  <c r="AN396" i="11"/>
  <c r="AN397" i="11"/>
  <c r="AN398" i="11"/>
  <c r="AN399" i="11"/>
  <c r="AN400" i="11"/>
  <c r="AN401" i="11"/>
  <c r="AN402" i="11"/>
  <c r="AN403" i="11"/>
  <c r="AN404" i="11"/>
  <c r="AN405" i="11"/>
  <c r="AN406" i="11"/>
  <c r="AN407" i="11"/>
  <c r="AN408" i="11"/>
  <c r="AN409" i="11"/>
  <c r="AN410" i="11"/>
  <c r="AN411" i="11"/>
  <c r="AN412" i="11"/>
  <c r="AN413" i="11"/>
  <c r="AN414" i="11"/>
  <c r="AN415" i="11"/>
  <c r="AN416" i="11"/>
  <c r="AN417" i="11"/>
  <c r="AN418" i="11"/>
  <c r="AN419" i="11"/>
  <c r="AN420" i="11"/>
  <c r="AN421" i="11"/>
  <c r="AN422" i="11"/>
  <c r="AN423" i="11"/>
  <c r="AN424" i="11"/>
  <c r="AN425" i="11"/>
  <c r="AN426" i="11"/>
  <c r="AN427" i="11"/>
  <c r="AN428" i="11"/>
  <c r="AN429" i="11"/>
  <c r="AN430" i="11"/>
  <c r="AN431" i="11"/>
  <c r="AN432" i="11"/>
  <c r="AN433" i="11"/>
  <c r="AN434" i="11"/>
  <c r="AN435" i="11"/>
  <c r="AN436" i="11"/>
  <c r="AN437" i="11"/>
  <c r="AN438" i="11"/>
  <c r="AN439" i="11"/>
  <c r="AN440" i="11"/>
  <c r="AN441" i="11"/>
  <c r="AN442" i="11"/>
  <c r="AN443" i="11"/>
  <c r="AN444" i="11"/>
  <c r="AN445" i="11"/>
  <c r="AN446" i="11"/>
  <c r="AN447" i="11"/>
  <c r="AN448" i="11"/>
  <c r="AN449" i="11"/>
  <c r="AN450" i="11"/>
  <c r="AN451" i="11"/>
  <c r="AN452" i="11"/>
  <c r="AN453" i="11"/>
  <c r="AN454" i="11"/>
  <c r="AN455" i="11"/>
  <c r="AN456" i="11"/>
  <c r="AN457" i="11"/>
  <c r="AN458" i="11"/>
  <c r="AN459" i="11"/>
  <c r="AN460" i="11"/>
  <c r="AN461" i="11"/>
  <c r="AN462" i="11"/>
  <c r="AN463" i="11"/>
  <c r="AN464" i="11"/>
  <c r="AN465" i="11"/>
  <c r="AN466" i="11"/>
  <c r="AN467" i="11"/>
  <c r="AN468" i="11"/>
  <c r="AN469" i="11"/>
  <c r="AN470" i="11"/>
  <c r="AN471" i="11"/>
  <c r="AN472" i="11"/>
  <c r="AN473" i="11"/>
  <c r="AN474" i="11"/>
  <c r="AN475" i="11"/>
  <c r="AN476" i="11"/>
  <c r="AN477" i="11"/>
  <c r="AN478" i="11"/>
  <c r="AN479" i="11"/>
  <c r="AN480" i="11"/>
  <c r="AN481" i="11"/>
  <c r="AN482" i="11"/>
  <c r="AN483" i="11"/>
  <c r="AN484" i="11"/>
  <c r="AN485" i="11"/>
  <c r="AN486" i="11"/>
  <c r="AN487" i="11"/>
  <c r="AN488" i="11"/>
  <c r="AN489" i="11"/>
  <c r="AN490" i="11"/>
  <c r="AN491" i="11"/>
  <c r="AN492" i="11"/>
  <c r="AN493" i="11"/>
  <c r="AN494" i="11"/>
  <c r="AN495" i="11"/>
  <c r="AN496" i="11"/>
  <c r="AN497" i="11"/>
  <c r="AN498" i="11"/>
  <c r="AN499" i="11"/>
  <c r="AN500" i="11"/>
  <c r="AN501" i="11"/>
  <c r="AN502" i="11"/>
  <c r="AN503" i="11"/>
  <c r="AN504" i="11"/>
  <c r="AN505" i="11"/>
  <c r="AN506" i="11"/>
  <c r="AN507" i="11"/>
  <c r="AN508" i="11"/>
  <c r="AN509" i="11"/>
  <c r="AN510" i="11"/>
  <c r="AN511" i="11"/>
  <c r="AN512" i="11"/>
  <c r="AN513" i="11"/>
  <c r="AN514" i="11"/>
  <c r="AN515" i="11"/>
  <c r="AN516" i="11"/>
  <c r="AN517" i="11"/>
  <c r="AN518" i="11"/>
  <c r="AN519" i="11"/>
  <c r="AN520" i="11"/>
  <c r="AN521" i="11"/>
  <c r="AN522" i="11"/>
  <c r="AN523" i="11"/>
  <c r="AN524" i="11"/>
  <c r="AN525" i="11"/>
  <c r="AN526" i="11"/>
  <c r="AN527" i="11"/>
  <c r="AN528" i="11"/>
  <c r="AN529" i="11"/>
  <c r="AN530" i="11"/>
  <c r="AN531" i="11"/>
  <c r="AN532" i="11"/>
  <c r="AN533" i="11"/>
  <c r="AN534" i="11"/>
  <c r="AN535" i="11"/>
  <c r="AN536" i="11"/>
  <c r="AN537" i="11"/>
  <c r="AN538" i="11"/>
  <c r="AN539" i="11"/>
  <c r="AN540" i="11"/>
  <c r="AN541" i="11"/>
  <c r="AN542" i="11"/>
  <c r="AN543" i="11"/>
  <c r="AN544" i="11"/>
  <c r="AN545" i="11"/>
  <c r="AN546" i="11"/>
  <c r="AN547" i="11"/>
  <c r="AN548" i="11"/>
  <c r="AN549" i="11"/>
  <c r="AN550" i="11"/>
  <c r="AN551" i="11"/>
  <c r="AN552" i="11"/>
  <c r="AN553" i="11"/>
  <c r="AN554" i="11"/>
  <c r="AN555" i="11"/>
  <c r="AN556" i="11"/>
  <c r="AN557" i="11"/>
  <c r="AN558" i="11"/>
  <c r="AN559" i="11"/>
  <c r="AN560" i="11"/>
  <c r="AN561" i="11"/>
  <c r="AN562" i="11"/>
  <c r="AN563" i="11"/>
  <c r="AN564" i="11"/>
  <c r="AN565" i="11"/>
  <c r="AN566" i="11"/>
  <c r="AN567" i="11"/>
  <c r="AN568" i="11"/>
  <c r="AN569" i="11"/>
  <c r="AN570" i="11"/>
  <c r="AN571" i="11"/>
  <c r="AN572" i="11"/>
  <c r="AN573" i="11"/>
  <c r="AN574" i="11"/>
  <c r="AN575" i="11"/>
  <c r="AN576" i="11"/>
  <c r="AN577" i="11"/>
  <c r="AN578" i="11"/>
  <c r="AN579" i="11"/>
  <c r="AN580" i="11"/>
  <c r="AN581" i="11"/>
  <c r="AN582" i="11"/>
  <c r="AN583" i="11"/>
  <c r="AN584" i="11"/>
  <c r="AN585" i="11"/>
  <c r="AN586" i="11"/>
  <c r="AN587" i="11"/>
  <c r="AN588" i="11"/>
  <c r="AN589" i="11"/>
  <c r="AN590" i="11"/>
  <c r="AN591" i="11"/>
  <c r="AN592" i="11"/>
  <c r="AN593" i="11"/>
  <c r="AN594" i="11"/>
  <c r="AN595" i="11"/>
  <c r="AN596" i="11"/>
  <c r="AN597" i="11"/>
  <c r="AN598" i="11"/>
  <c r="AN599" i="11"/>
  <c r="AN600" i="11"/>
  <c r="AN601" i="11"/>
  <c r="AN602" i="11"/>
  <c r="AN603" i="11"/>
  <c r="AN604" i="11"/>
  <c r="AN605" i="11"/>
  <c r="AN606" i="11"/>
  <c r="AN607" i="11"/>
  <c r="AN608" i="11"/>
  <c r="AN609" i="11"/>
  <c r="AN610" i="11"/>
  <c r="AN611" i="11"/>
  <c r="AN612" i="11"/>
  <c r="AN613" i="11"/>
  <c r="AN614" i="11"/>
  <c r="AN615" i="11"/>
  <c r="AN616" i="11"/>
  <c r="AN617" i="11"/>
  <c r="AN618" i="11"/>
  <c r="AN619" i="11"/>
  <c r="AN620" i="11"/>
  <c r="AN621" i="11"/>
  <c r="AN622" i="11"/>
  <c r="AN623" i="11"/>
  <c r="AN624" i="11"/>
  <c r="AN625" i="11"/>
  <c r="AN626" i="11"/>
  <c r="AN627" i="11"/>
  <c r="AN628" i="11"/>
  <c r="AN629" i="11"/>
  <c r="AN630" i="11"/>
  <c r="AN631" i="11"/>
  <c r="AN632" i="11"/>
  <c r="AN633" i="11"/>
  <c r="AN634" i="11"/>
  <c r="AN635" i="11"/>
  <c r="AN636" i="11"/>
  <c r="AN637" i="11"/>
  <c r="AN638" i="11"/>
  <c r="AN639" i="11"/>
  <c r="AN640" i="11"/>
  <c r="AN641" i="11"/>
  <c r="AN642" i="11"/>
  <c r="AN643" i="11"/>
  <c r="AN644" i="11"/>
  <c r="AN645" i="11"/>
  <c r="AN646" i="11"/>
  <c r="AN647" i="11"/>
  <c r="AN648" i="11"/>
  <c r="AN649" i="11"/>
  <c r="AN650" i="11"/>
  <c r="AN651" i="11"/>
  <c r="AN652" i="11"/>
  <c r="AN653" i="11"/>
  <c r="AN654" i="11"/>
  <c r="AN655" i="11"/>
  <c r="AN656" i="11"/>
  <c r="AN657" i="11"/>
  <c r="AN658" i="11"/>
  <c r="AN659" i="11"/>
  <c r="AN660" i="11"/>
  <c r="AN661" i="11"/>
  <c r="AN662" i="11"/>
  <c r="AN663" i="11"/>
  <c r="AN664" i="11"/>
  <c r="AN665" i="11"/>
  <c r="AN666" i="11"/>
  <c r="AN667" i="11"/>
  <c r="AN668" i="11"/>
  <c r="AN669" i="11"/>
  <c r="AN670" i="11"/>
  <c r="AN671" i="11"/>
  <c r="AN672" i="11"/>
  <c r="AN673" i="11"/>
  <c r="AN674" i="11"/>
  <c r="AN675" i="11"/>
  <c r="AN676" i="11"/>
  <c r="AN677" i="11"/>
  <c r="AN678" i="11"/>
  <c r="AN679" i="11"/>
  <c r="AN680" i="11"/>
  <c r="AN681" i="11"/>
  <c r="AN682" i="11"/>
  <c r="AN683" i="11"/>
  <c r="AN684" i="11"/>
  <c r="AN685" i="11"/>
  <c r="AN686" i="11"/>
  <c r="AN687" i="11"/>
  <c r="AN688" i="11"/>
  <c r="AN689" i="11"/>
  <c r="AN690" i="11"/>
  <c r="AN691" i="11"/>
  <c r="AN692" i="11"/>
  <c r="AN693" i="11"/>
  <c r="AN694" i="11"/>
  <c r="AN695" i="11"/>
  <c r="AN696" i="11"/>
  <c r="AN697" i="11"/>
  <c r="AN698" i="11"/>
  <c r="AN699" i="11"/>
  <c r="AN700" i="11"/>
  <c r="AN701" i="11"/>
  <c r="AN702" i="11"/>
  <c r="AN703" i="11"/>
  <c r="AN704" i="11"/>
  <c r="AN705" i="11"/>
  <c r="AN706" i="11"/>
  <c r="AN707" i="11"/>
  <c r="AN708" i="11"/>
  <c r="AN709" i="11"/>
  <c r="AN710" i="11"/>
  <c r="AN711" i="11"/>
  <c r="AN712" i="11"/>
  <c r="AN713" i="11"/>
  <c r="AN714" i="11"/>
  <c r="AN715" i="11"/>
  <c r="AN716" i="11"/>
  <c r="AN717" i="11"/>
  <c r="AN718" i="11"/>
  <c r="AN719" i="11"/>
  <c r="AN720" i="11"/>
  <c r="AN721" i="11"/>
  <c r="AN722" i="11"/>
  <c r="AN723" i="11"/>
  <c r="AN724" i="11"/>
  <c r="AN725" i="11"/>
  <c r="AN726" i="11"/>
  <c r="AN727" i="11"/>
  <c r="AN728" i="11"/>
  <c r="AN729" i="11"/>
  <c r="AN730" i="11"/>
  <c r="AN731" i="11"/>
  <c r="AN732" i="11"/>
  <c r="AN733" i="11"/>
  <c r="AN734" i="11"/>
  <c r="AN735" i="11"/>
  <c r="AN736" i="11"/>
  <c r="AN737" i="11"/>
  <c r="AN738" i="11"/>
  <c r="AN739" i="11"/>
  <c r="AN740" i="11"/>
  <c r="AN741" i="11"/>
  <c r="AN742" i="11"/>
  <c r="AN743" i="11"/>
  <c r="AN744" i="11"/>
  <c r="AN745" i="11"/>
  <c r="AN746" i="11"/>
  <c r="AN747" i="11"/>
  <c r="AN748" i="11"/>
  <c r="AN749" i="11"/>
  <c r="AN750" i="11"/>
  <c r="AN751" i="11"/>
  <c r="AN752" i="11"/>
  <c r="AN753" i="11"/>
  <c r="AN754" i="11"/>
  <c r="AN755" i="11"/>
  <c r="AN756" i="11"/>
  <c r="AN757" i="11"/>
  <c r="AN758" i="11"/>
  <c r="AN759" i="11"/>
  <c r="AN760" i="11"/>
  <c r="AN761" i="11"/>
  <c r="AN762" i="11"/>
  <c r="AN763" i="11"/>
  <c r="AN764" i="11"/>
  <c r="AN765" i="11"/>
  <c r="AN766" i="11"/>
  <c r="AN767" i="11"/>
  <c r="AN768" i="11"/>
  <c r="AN769" i="11"/>
  <c r="AN770" i="11"/>
  <c r="AN771" i="11"/>
  <c r="AN772" i="11"/>
  <c r="AN773" i="11"/>
  <c r="AN774" i="11"/>
  <c r="AN775" i="11"/>
  <c r="AN776" i="11"/>
  <c r="AN777" i="11"/>
  <c r="AN778" i="11"/>
  <c r="AN779" i="11"/>
  <c r="AN780" i="11"/>
  <c r="AN781" i="11"/>
  <c r="AN782" i="11"/>
  <c r="AN783" i="11"/>
  <c r="AN784" i="11"/>
  <c r="AN785" i="11"/>
  <c r="AN786" i="11"/>
  <c r="AN787" i="11"/>
  <c r="AN788" i="11"/>
  <c r="AN789" i="11"/>
  <c r="AN790" i="11"/>
  <c r="AN792" i="11"/>
  <c r="AN793" i="11"/>
  <c r="AN794" i="11"/>
  <c r="AN795" i="11"/>
  <c r="AN796" i="11"/>
  <c r="AN797" i="11"/>
  <c r="AN798" i="11"/>
  <c r="AN799" i="11"/>
  <c r="AN800" i="11"/>
  <c r="AN801" i="11"/>
  <c r="AN802" i="11"/>
  <c r="AN803" i="11"/>
  <c r="AN804" i="11"/>
  <c r="AN805" i="11"/>
  <c r="AN806" i="11"/>
  <c r="AN807" i="11"/>
  <c r="AN808" i="11"/>
  <c r="AN809" i="11"/>
  <c r="AN810" i="11"/>
  <c r="AN811" i="11"/>
  <c r="AN812" i="11"/>
  <c r="AN813" i="11"/>
  <c r="AN814" i="11"/>
  <c r="AN815" i="11"/>
  <c r="AN816" i="11"/>
  <c r="AN817" i="11"/>
  <c r="AN818" i="11"/>
  <c r="AN819" i="11"/>
  <c r="AN820" i="11"/>
  <c r="AN821" i="11"/>
  <c r="AN822" i="11"/>
  <c r="AN823" i="11"/>
  <c r="AN824" i="11"/>
  <c r="AN825" i="11"/>
  <c r="AN826" i="11"/>
  <c r="AN827" i="11"/>
  <c r="AN828" i="11"/>
  <c r="AN829" i="11"/>
  <c r="AN830" i="11"/>
  <c r="AN831" i="11"/>
  <c r="AN832" i="11"/>
  <c r="AN833" i="11"/>
  <c r="AN834" i="11"/>
  <c r="AN835" i="11"/>
  <c r="AN836" i="11"/>
  <c r="AN837" i="11"/>
  <c r="AN838" i="11"/>
  <c r="AN839" i="11"/>
  <c r="AN840" i="11"/>
  <c r="AN841" i="11"/>
  <c r="AN842" i="11"/>
  <c r="AN843" i="11"/>
  <c r="AN844" i="11"/>
  <c r="AN845" i="11"/>
  <c r="AN846" i="11"/>
  <c r="AN847" i="11"/>
  <c r="AN848" i="11"/>
  <c r="AN849" i="11"/>
  <c r="AN850" i="11"/>
  <c r="AN851" i="11"/>
  <c r="AN852" i="11"/>
  <c r="AN853" i="11"/>
  <c r="AN854" i="11"/>
  <c r="AN855" i="11"/>
  <c r="AN856" i="11"/>
  <c r="AN857" i="11"/>
  <c r="AN858" i="11"/>
  <c r="AN859" i="11"/>
  <c r="AN860" i="11"/>
  <c r="AN861" i="11"/>
  <c r="AN862" i="11"/>
  <c r="AN863" i="11"/>
  <c r="AN864" i="11"/>
  <c r="AN865" i="11"/>
  <c r="AN866" i="11"/>
  <c r="AN867" i="11"/>
  <c r="AN868" i="11"/>
  <c r="AN869" i="11"/>
  <c r="AN870" i="11"/>
  <c r="AN871" i="11"/>
  <c r="AN872" i="11"/>
  <c r="AN873" i="11"/>
  <c r="AN874" i="11"/>
  <c r="AN875" i="11"/>
  <c r="AN876" i="11"/>
  <c r="AN877" i="11"/>
  <c r="AN878" i="11"/>
  <c r="AN879" i="11"/>
  <c r="AN880" i="11"/>
  <c r="AN881" i="11"/>
  <c r="AN882" i="11"/>
  <c r="AN883" i="11"/>
  <c r="AN884" i="11"/>
  <c r="AN885" i="11"/>
  <c r="AN886" i="11"/>
  <c r="AN887" i="11"/>
  <c r="AN888" i="11"/>
  <c r="AN889" i="11"/>
  <c r="AN890" i="11"/>
  <c r="AN891" i="11"/>
  <c r="AN892" i="11"/>
  <c r="AN893" i="11"/>
  <c r="AN894" i="11"/>
  <c r="AN895" i="11"/>
  <c r="AN896" i="11"/>
  <c r="AN897" i="11"/>
  <c r="AN898" i="11"/>
  <c r="AN899" i="11"/>
  <c r="AN900" i="11"/>
  <c r="AN901" i="11"/>
  <c r="AN902" i="11"/>
  <c r="AN903" i="11"/>
  <c r="AN904" i="11"/>
  <c r="AN905" i="11"/>
  <c r="AN906" i="11"/>
  <c r="AN907" i="11"/>
  <c r="AN908" i="11"/>
  <c r="AN909" i="11"/>
  <c r="AN910" i="11"/>
  <c r="AN911" i="11"/>
  <c r="AN912" i="11"/>
  <c r="AN913" i="11"/>
  <c r="AN914" i="11"/>
  <c r="AN915" i="11"/>
  <c r="AN916" i="11"/>
  <c r="AN917" i="11"/>
  <c r="AN918" i="11"/>
  <c r="AN919" i="11"/>
  <c r="AN920" i="11"/>
  <c r="AN921" i="11"/>
  <c r="AN922" i="11"/>
  <c r="AN923" i="11"/>
  <c r="AN924" i="11"/>
  <c r="AN925" i="11"/>
  <c r="AN926" i="11"/>
  <c r="AN927" i="11"/>
  <c r="AN928" i="11"/>
  <c r="AN929" i="11"/>
  <c r="AN930" i="11"/>
  <c r="AN931" i="11"/>
  <c r="AN932" i="11"/>
  <c r="AN933" i="11"/>
  <c r="AN934" i="11"/>
  <c r="AN935" i="11"/>
  <c r="AN936" i="11"/>
  <c r="AN937" i="11"/>
  <c r="AN938" i="11"/>
  <c r="AN939" i="11"/>
  <c r="AN940" i="11"/>
  <c r="AN941" i="11"/>
  <c r="AN942" i="11"/>
  <c r="AN943" i="11"/>
  <c r="AN944" i="11"/>
  <c r="AN945" i="11"/>
  <c r="AN946" i="11"/>
  <c r="AN947" i="11"/>
  <c r="AN948" i="11"/>
  <c r="AN949" i="11"/>
  <c r="AN950" i="11"/>
  <c r="AN951" i="11"/>
  <c r="AN952" i="11"/>
  <c r="AN953" i="11"/>
  <c r="AN954" i="11"/>
  <c r="AN955" i="11"/>
  <c r="AN956" i="11"/>
  <c r="AN957" i="11"/>
  <c r="AN958" i="11"/>
  <c r="AN959" i="11"/>
  <c r="AN960" i="11"/>
  <c r="AN961" i="11"/>
  <c r="AN962" i="11"/>
  <c r="AN963" i="11"/>
  <c r="AN964" i="11"/>
  <c r="AN965" i="11"/>
  <c r="AN966" i="11"/>
  <c r="AN967" i="11"/>
  <c r="AN968" i="11"/>
  <c r="AN969" i="11"/>
  <c r="AN970" i="11"/>
  <c r="AN971" i="11"/>
  <c r="AN972" i="11"/>
  <c r="AN973" i="11"/>
  <c r="AN975" i="11"/>
  <c r="AN976" i="11"/>
  <c r="AN978" i="11"/>
  <c r="AN979" i="11"/>
  <c r="AN980" i="11"/>
  <c r="AN981" i="11"/>
  <c r="AN982" i="11"/>
  <c r="AN983" i="11"/>
  <c r="AN984" i="11"/>
  <c r="AN985" i="11"/>
  <c r="AN986" i="11"/>
  <c r="AN987" i="11"/>
  <c r="AN988" i="11"/>
  <c r="AN989" i="11"/>
  <c r="AN990" i="11"/>
  <c r="AN991" i="11"/>
  <c r="AN992" i="11"/>
  <c r="AN993" i="11"/>
  <c r="AN994" i="11"/>
  <c r="AN995" i="11"/>
  <c r="AN996" i="11"/>
  <c r="AN997" i="11"/>
  <c r="AN998" i="11"/>
  <c r="AN999" i="11"/>
  <c r="AN1000" i="11"/>
  <c r="AN1001" i="11"/>
  <c r="AN1002" i="11"/>
  <c r="AN1003" i="11"/>
  <c r="AN1004" i="11"/>
  <c r="AN1005" i="11"/>
  <c r="AN1006" i="11"/>
  <c r="AN1007" i="11"/>
  <c r="AN1008" i="11"/>
  <c r="AN1009" i="11"/>
  <c r="AN1010" i="11"/>
  <c r="AN1011" i="11"/>
  <c r="AN1012" i="11"/>
  <c r="AN1013" i="11"/>
  <c r="AN1014" i="11"/>
  <c r="AN1015" i="11"/>
  <c r="AN1016" i="11"/>
  <c r="AN1017" i="11"/>
  <c r="AN1018" i="11"/>
  <c r="AN1019" i="11"/>
  <c r="AN1020" i="11"/>
  <c r="AN1021" i="11"/>
  <c r="AN1022" i="11"/>
  <c r="AN1023" i="11"/>
  <c r="AN1024" i="11"/>
  <c r="AN1025" i="11"/>
  <c r="AN1026" i="11"/>
  <c r="AN1027" i="11"/>
  <c r="AN1028" i="11"/>
  <c r="AN1029" i="11"/>
  <c r="AN1030" i="11"/>
  <c r="AN1031" i="11"/>
  <c r="AN1032" i="11"/>
  <c r="AN1033" i="11"/>
  <c r="AN1034" i="11"/>
  <c r="AN1035" i="11"/>
  <c r="AN1036" i="11"/>
  <c r="AN1037" i="11"/>
  <c r="AN1038" i="11"/>
  <c r="AN1039" i="11"/>
  <c r="AN1040" i="11"/>
  <c r="AN1041" i="11"/>
  <c r="AN1042" i="11"/>
  <c r="AN1043" i="11"/>
  <c r="AN1044" i="11"/>
  <c r="AN1045" i="11"/>
  <c r="AN1046" i="11"/>
  <c r="AN1047" i="11"/>
  <c r="AN1048" i="11"/>
  <c r="AN1049" i="11"/>
  <c r="AN1050" i="11"/>
  <c r="AN1051" i="11"/>
  <c r="AN1052" i="11"/>
  <c r="AN1053" i="11"/>
  <c r="AN1054" i="11"/>
  <c r="AN1055" i="11"/>
  <c r="AN1056" i="11"/>
  <c r="AN1057" i="11"/>
  <c r="AN1058" i="11"/>
  <c r="AN1059" i="11"/>
  <c r="AN1060" i="11"/>
  <c r="AN1061" i="11"/>
  <c r="AN1062" i="11"/>
  <c r="AN1063" i="11"/>
  <c r="AN1064" i="11"/>
  <c r="AN1065" i="11"/>
  <c r="AN1066" i="11"/>
  <c r="AN1067" i="11"/>
  <c r="AN1068" i="11"/>
  <c r="AN1069" i="11"/>
  <c r="AN1070" i="11"/>
  <c r="AN1071" i="11"/>
  <c r="AN1072" i="11"/>
  <c r="AN1073" i="11"/>
  <c r="AN1075" i="11"/>
  <c r="AN1076" i="11"/>
  <c r="AN1077" i="11"/>
  <c r="AN1078" i="11"/>
  <c r="AN1079" i="11"/>
  <c r="AN1080" i="11"/>
  <c r="AN1081" i="11"/>
  <c r="AN1082" i="11"/>
  <c r="AN1083" i="11"/>
  <c r="AN1084" i="11"/>
  <c r="AN1085" i="11"/>
  <c r="AN1086" i="11"/>
  <c r="AN1087" i="11"/>
  <c r="AN1088" i="11"/>
  <c r="AN1089" i="11"/>
  <c r="AN1090" i="11"/>
  <c r="AN1091" i="11"/>
  <c r="AN1092" i="11"/>
  <c r="AN1093" i="11"/>
  <c r="AN1094" i="11"/>
  <c r="AN1095" i="11"/>
  <c r="AN1096" i="11"/>
  <c r="AN1097" i="11"/>
  <c r="AN1098" i="11"/>
  <c r="AN1099" i="11"/>
  <c r="AN1100" i="11"/>
  <c r="AN1101" i="11"/>
  <c r="AN1102" i="11"/>
  <c r="AN1103" i="11"/>
  <c r="AN1104" i="11"/>
  <c r="AN1105" i="11"/>
  <c r="AN1106" i="11"/>
  <c r="AN1107" i="11"/>
  <c r="AN1108" i="11"/>
  <c r="AN1109" i="11"/>
  <c r="AN1110" i="11"/>
  <c r="AN1111" i="11"/>
  <c r="AN1112" i="11"/>
  <c r="AN1113" i="11"/>
  <c r="AN1114" i="11"/>
  <c r="AN1115" i="11"/>
  <c r="AN1116" i="11"/>
  <c r="AN1117" i="11"/>
  <c r="AN1118" i="11"/>
  <c r="AN1119" i="11"/>
  <c r="AN1120" i="11"/>
  <c r="AN1121" i="11"/>
  <c r="AN1122" i="11"/>
  <c r="AN1123" i="11"/>
  <c r="AN1124" i="11"/>
  <c r="AN1125" i="11"/>
  <c r="AN1126" i="11"/>
  <c r="AN1127" i="11"/>
  <c r="AN1128" i="11"/>
  <c r="AN1129" i="11"/>
  <c r="AN1130" i="11"/>
  <c r="AN1131" i="11"/>
  <c r="AN1132" i="11"/>
  <c r="AN1133" i="11"/>
  <c r="AN1134" i="11"/>
  <c r="AN1135" i="11"/>
  <c r="AN1136" i="11"/>
  <c r="AN1137" i="11"/>
  <c r="AN1138" i="11"/>
  <c r="AN1139" i="11"/>
  <c r="AN1140" i="11"/>
  <c r="AN1141" i="11"/>
  <c r="AN1142" i="11"/>
  <c r="AN1143" i="11"/>
  <c r="AN1144" i="11"/>
  <c r="AN1145" i="11"/>
  <c r="AN1146" i="11"/>
  <c r="AN1147" i="11"/>
  <c r="AN1148" i="11"/>
  <c r="AN1149" i="11"/>
  <c r="AN1150" i="11"/>
  <c r="AN1151" i="11"/>
  <c r="AN1152" i="11"/>
  <c r="AN1153" i="11"/>
  <c r="AN1154" i="11"/>
  <c r="AN1155" i="11"/>
  <c r="AN1156" i="11"/>
  <c r="AN1157" i="11"/>
  <c r="AN1158" i="11"/>
  <c r="AN1159" i="11"/>
  <c r="AN1160" i="11"/>
  <c r="AN1161" i="11"/>
  <c r="AN1162" i="11"/>
  <c r="AN1163" i="11"/>
  <c r="AN1164" i="11"/>
  <c r="AN1165" i="11"/>
  <c r="AN1166" i="11"/>
  <c r="AN1167" i="11"/>
  <c r="AN1168" i="11"/>
  <c r="AN1169" i="11"/>
  <c r="AN1170" i="11"/>
  <c r="AN1171" i="11"/>
  <c r="AN1172" i="11"/>
  <c r="AN1173" i="11"/>
  <c r="AN1174" i="11"/>
  <c r="AN1175" i="11"/>
  <c r="AN1176" i="11"/>
  <c r="AN1177" i="11"/>
  <c r="AN1178" i="11"/>
  <c r="AN1179" i="11"/>
  <c r="AN1180" i="11"/>
  <c r="AN1181" i="11"/>
  <c r="AN1182" i="11"/>
  <c r="AN1183" i="11"/>
  <c r="AN1184" i="11"/>
  <c r="AN1185" i="11"/>
  <c r="AN1186" i="11"/>
  <c r="AN1187" i="11"/>
  <c r="AN1188" i="11"/>
  <c r="AN1189" i="11"/>
  <c r="AN1190" i="11"/>
  <c r="AN1191" i="11"/>
  <c r="AN1192" i="11"/>
  <c r="AN1193" i="11"/>
  <c r="AN1194" i="11"/>
  <c r="AN1195" i="11"/>
  <c r="AN1196" i="11"/>
  <c r="AN1197" i="11"/>
  <c r="AN1198" i="11"/>
  <c r="AN1199" i="11"/>
  <c r="AN1200" i="11"/>
  <c r="AN1201" i="11"/>
  <c r="AN1202" i="11"/>
  <c r="AN1203" i="11"/>
  <c r="AN1204" i="11"/>
  <c r="AN1205" i="11"/>
  <c r="AN1206" i="11"/>
  <c r="AN1207" i="11"/>
  <c r="AN1208" i="11"/>
  <c r="AN1209" i="11"/>
  <c r="AN1210" i="11"/>
  <c r="AN1211" i="11"/>
  <c r="AN1212" i="11"/>
  <c r="AN1213" i="11"/>
  <c r="AN1214" i="11"/>
  <c r="AN1215" i="11"/>
  <c r="AN1216" i="11"/>
  <c r="AN1217" i="11"/>
  <c r="AN1218" i="11"/>
  <c r="AN1219" i="11"/>
  <c r="AN1220" i="11"/>
  <c r="AN1221" i="11"/>
  <c r="AN1222" i="11"/>
  <c r="AN1223" i="11"/>
  <c r="AN1224" i="11"/>
  <c r="AN1225" i="11"/>
  <c r="AN1226" i="11"/>
  <c r="AN1227" i="11"/>
  <c r="AN1228" i="11"/>
  <c r="AN1229" i="11"/>
  <c r="AN1230" i="11"/>
  <c r="AN1231" i="11"/>
  <c r="AN1232" i="11"/>
  <c r="AN1233" i="11"/>
  <c r="AN1234" i="11"/>
  <c r="AN1235" i="11"/>
  <c r="AN1236" i="11"/>
  <c r="AN1237" i="11"/>
  <c r="AN1238" i="11"/>
  <c r="AN1239" i="11"/>
  <c r="AN1240" i="11"/>
  <c r="AN1241" i="11"/>
  <c r="AN1242" i="11"/>
  <c r="AN1243" i="11"/>
  <c r="AN1244" i="11"/>
  <c r="AN1245" i="11"/>
  <c r="AN1246" i="11"/>
  <c r="AN1247" i="11"/>
  <c r="AN1248" i="11"/>
  <c r="AN1249" i="11"/>
  <c r="AN1250" i="11"/>
  <c r="AN1251" i="11"/>
  <c r="AN1252" i="11"/>
  <c r="AN1253" i="11"/>
  <c r="AN1254" i="11"/>
  <c r="AN1255" i="11"/>
  <c r="AN1256" i="11"/>
  <c r="AN1257" i="11"/>
  <c r="AN1258" i="11"/>
  <c r="AN1259" i="11"/>
  <c r="AN1260" i="11"/>
  <c r="AN1261" i="11"/>
  <c r="AN1262" i="11"/>
  <c r="AN1263" i="11"/>
  <c r="AN1264" i="11"/>
  <c r="AN1265" i="11"/>
  <c r="AN1266" i="11"/>
  <c r="AN1267" i="11"/>
  <c r="AN1268" i="11"/>
  <c r="AN1269" i="11"/>
  <c r="AN7" i="11"/>
  <c r="I285" i="11"/>
  <c r="I283" i="11"/>
  <c r="I284" i="11"/>
  <c r="I318" i="11"/>
  <c r="I319" i="11"/>
  <c r="I317" i="11"/>
  <c r="I288" i="11"/>
  <c r="I291" i="11"/>
  <c r="I290" i="11"/>
  <c r="I289" i="11"/>
  <c r="I316" i="11"/>
  <c r="I296" i="11"/>
  <c r="I297" i="11"/>
  <c r="I298" i="11"/>
  <c r="I311" i="11"/>
  <c r="V117" i="11"/>
  <c r="I169"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M137" i="11"/>
  <c r="AM138" i="11"/>
  <c r="AM139" i="11"/>
  <c r="AM140" i="11"/>
  <c r="AM141" i="11"/>
  <c r="AM142" i="11"/>
  <c r="AM143" i="11"/>
  <c r="AM144" i="11"/>
  <c r="AM145" i="11"/>
  <c r="AM146" i="11"/>
  <c r="AM147" i="11"/>
  <c r="AM148" i="11"/>
  <c r="AM149" i="11"/>
  <c r="AM150" i="11"/>
  <c r="AM151" i="11"/>
  <c r="AM152" i="11"/>
  <c r="AM153" i="11"/>
  <c r="AM154" i="11"/>
  <c r="AM155" i="11"/>
  <c r="AM156" i="11"/>
  <c r="AM157" i="11"/>
  <c r="AM158" i="11"/>
  <c r="AM159" i="11"/>
  <c r="AM160" i="11"/>
  <c r="AM161" i="11"/>
  <c r="AM162" i="11"/>
  <c r="AM163" i="11"/>
  <c r="AM164" i="11"/>
  <c r="AM165" i="11"/>
  <c r="AM166" i="11"/>
  <c r="AM167" i="11"/>
  <c r="AM168" i="11"/>
  <c r="AM169" i="11"/>
  <c r="AM170" i="11"/>
  <c r="AM171" i="11"/>
  <c r="AM172" i="11"/>
  <c r="AM173" i="11"/>
  <c r="AM174" i="11"/>
  <c r="AM175" i="11"/>
  <c r="AM176" i="11"/>
  <c r="AM177" i="11"/>
  <c r="AM178" i="11"/>
  <c r="AM179" i="11"/>
  <c r="AM180" i="11"/>
  <c r="AM181" i="11"/>
  <c r="AM182" i="11"/>
  <c r="AM183" i="11"/>
  <c r="AM184" i="11"/>
  <c r="AM185" i="11"/>
  <c r="AM186" i="11"/>
  <c r="AM187" i="11"/>
  <c r="AM188" i="11"/>
  <c r="AM189" i="11"/>
  <c r="AM190" i="11"/>
  <c r="AM191" i="11"/>
  <c r="AM192" i="11"/>
  <c r="AM193" i="11"/>
  <c r="AM194" i="11"/>
  <c r="AM195" i="11"/>
  <c r="AM196" i="11"/>
  <c r="AM197" i="11"/>
  <c r="AM198" i="11"/>
  <c r="AM199" i="11"/>
  <c r="AM200" i="11"/>
  <c r="AM201" i="11"/>
  <c r="AM202" i="11"/>
  <c r="AM203" i="11"/>
  <c r="AM204" i="11"/>
  <c r="AM205" i="11"/>
  <c r="AM206" i="11"/>
  <c r="AM207" i="11"/>
  <c r="AM208" i="11"/>
  <c r="AM209" i="11"/>
  <c r="AM210" i="11"/>
  <c r="AM211" i="11"/>
  <c r="AM212" i="11"/>
  <c r="AM213" i="11"/>
  <c r="AM214" i="11"/>
  <c r="AM215" i="11"/>
  <c r="AM216" i="11"/>
  <c r="AM217" i="11"/>
  <c r="AM218" i="11"/>
  <c r="AM219" i="11"/>
  <c r="AM220" i="11"/>
  <c r="AM221" i="11"/>
  <c r="AM222" i="11"/>
  <c r="AM223" i="11"/>
  <c r="AM224" i="11"/>
  <c r="AM225" i="11"/>
  <c r="AM226" i="11"/>
  <c r="AM227" i="11"/>
  <c r="AM228" i="11"/>
  <c r="AM229" i="11"/>
  <c r="AM230" i="11"/>
  <c r="AM231" i="11"/>
  <c r="AM232" i="11"/>
  <c r="AM233" i="11"/>
  <c r="AM234" i="11"/>
  <c r="AM235" i="11"/>
  <c r="AM236" i="11"/>
  <c r="AM237" i="11"/>
  <c r="AM238" i="11"/>
  <c r="AM239" i="11"/>
  <c r="AM240" i="11"/>
  <c r="AM241" i="11"/>
  <c r="AM242" i="11"/>
  <c r="AM243" i="11"/>
  <c r="AM244" i="11"/>
  <c r="AM245" i="11"/>
  <c r="AM246" i="11"/>
  <c r="AM247" i="11"/>
  <c r="AM248" i="11"/>
  <c r="AM249" i="11"/>
  <c r="AM250" i="11"/>
  <c r="AM251" i="11"/>
  <c r="AM252" i="11"/>
  <c r="AM253" i="11"/>
  <c r="AM254" i="11"/>
  <c r="AM255" i="11"/>
  <c r="AM256" i="11"/>
  <c r="AM257" i="11"/>
  <c r="AM258" i="11"/>
  <c r="AM259" i="11"/>
  <c r="AM260" i="11"/>
  <c r="AM261" i="11"/>
  <c r="AM262" i="11"/>
  <c r="AM263" i="11"/>
  <c r="AM264" i="11"/>
  <c r="AM265" i="11"/>
  <c r="AM266" i="11"/>
  <c r="AM267" i="11"/>
  <c r="AM268" i="11"/>
  <c r="AM269" i="11"/>
  <c r="AM270" i="11"/>
  <c r="AM271" i="11"/>
  <c r="AM272" i="11"/>
  <c r="AM273" i="11"/>
  <c r="AM274" i="11"/>
  <c r="AM275" i="11"/>
  <c r="AM276" i="11"/>
  <c r="AM277" i="11"/>
  <c r="AM278" i="11"/>
  <c r="AM279" i="11"/>
  <c r="AM280" i="11"/>
  <c r="AM281" i="11"/>
  <c r="AM282" i="11"/>
  <c r="AM283" i="11"/>
  <c r="AM284" i="11"/>
  <c r="AM285" i="11"/>
  <c r="AM286" i="11"/>
  <c r="AM287" i="11"/>
  <c r="AM288" i="11"/>
  <c r="AM289" i="11"/>
  <c r="AM290" i="11"/>
  <c r="AM291" i="11"/>
  <c r="AM292" i="11"/>
  <c r="AM293" i="11"/>
  <c r="AM294" i="11"/>
  <c r="AM295" i="11"/>
  <c r="AM296" i="11"/>
  <c r="AM297" i="11"/>
  <c r="AM298" i="11"/>
  <c r="AM299" i="11"/>
  <c r="AM300" i="11"/>
  <c r="AM301" i="11"/>
  <c r="AM302" i="11"/>
  <c r="AM303" i="11"/>
  <c r="AM304" i="11"/>
  <c r="AM305" i="11"/>
  <c r="AM306" i="11"/>
  <c r="AM307" i="11"/>
  <c r="AM308" i="11"/>
  <c r="AM309" i="11"/>
  <c r="AM310" i="11"/>
  <c r="AM311" i="11"/>
  <c r="AM312" i="11"/>
  <c r="AM313" i="11"/>
  <c r="AM314" i="11"/>
  <c r="AM315" i="11"/>
  <c r="AM316" i="11"/>
  <c r="AM317" i="11"/>
  <c r="AM318" i="11"/>
  <c r="AM319" i="11"/>
  <c r="AM320" i="11"/>
  <c r="AM321" i="11"/>
  <c r="AM322" i="11"/>
  <c r="AM323" i="11"/>
  <c r="AM324" i="11"/>
  <c r="AM325" i="11"/>
  <c r="AM326" i="11"/>
  <c r="AM327" i="11"/>
  <c r="AM328" i="11"/>
  <c r="AM329" i="11"/>
  <c r="AM330" i="11"/>
  <c r="AM331" i="11"/>
  <c r="AM332" i="11"/>
  <c r="AM333" i="11"/>
  <c r="AM334" i="11"/>
  <c r="AM335" i="11"/>
  <c r="AM336" i="11"/>
  <c r="AM337" i="11"/>
  <c r="AM338" i="11"/>
  <c r="AM339" i="11"/>
  <c r="AM340" i="11"/>
  <c r="AM341" i="11"/>
  <c r="AM342" i="11"/>
  <c r="AM343" i="11"/>
  <c r="AM344" i="11"/>
  <c r="AM345" i="11"/>
  <c r="AM346" i="11"/>
  <c r="AM347" i="11"/>
  <c r="AM348" i="11"/>
  <c r="AM349" i="11"/>
  <c r="AM350" i="11"/>
  <c r="AM351" i="11"/>
  <c r="AM352" i="11"/>
  <c r="AM353" i="11"/>
  <c r="AM354" i="11"/>
  <c r="AM355" i="11"/>
  <c r="AM356" i="11"/>
  <c r="AM357" i="11"/>
  <c r="AM358" i="11"/>
  <c r="AM359" i="11"/>
  <c r="AM360" i="11"/>
  <c r="AM361" i="11"/>
  <c r="AM362" i="11"/>
  <c r="AM363" i="11"/>
  <c r="AM364" i="11"/>
  <c r="AM365" i="11"/>
  <c r="AM366" i="11"/>
  <c r="AM367" i="11"/>
  <c r="AM368" i="11"/>
  <c r="AM369" i="11"/>
  <c r="AM370" i="11"/>
  <c r="AM371" i="11"/>
  <c r="AM372" i="11"/>
  <c r="AM373" i="11"/>
  <c r="AM374" i="11"/>
  <c r="AM375" i="11"/>
  <c r="AM376" i="11"/>
  <c r="AM377" i="11"/>
  <c r="AM378" i="11"/>
  <c r="AM379" i="11"/>
  <c r="AM380" i="11"/>
  <c r="AM381" i="11"/>
  <c r="AM382" i="11"/>
  <c r="AM383" i="11"/>
  <c r="AM384" i="11"/>
  <c r="AM385" i="11"/>
  <c r="AM386" i="11"/>
  <c r="AM387" i="11"/>
  <c r="AM388" i="11"/>
  <c r="AM389" i="11"/>
  <c r="AM390" i="11"/>
  <c r="AM391" i="11"/>
  <c r="AM392" i="11"/>
  <c r="AM393" i="11"/>
  <c r="AM394" i="11"/>
  <c r="AM395" i="11"/>
  <c r="AM396" i="11"/>
  <c r="AM397" i="11"/>
  <c r="AM398" i="11"/>
  <c r="AM399" i="11"/>
  <c r="AM400" i="11"/>
  <c r="AM401" i="11"/>
  <c r="AM402" i="11"/>
  <c r="AM403" i="11"/>
  <c r="AM404" i="11"/>
  <c r="AM405" i="11"/>
  <c r="AM406" i="11"/>
  <c r="AM407" i="11"/>
  <c r="AM408" i="11"/>
  <c r="AM409" i="11"/>
  <c r="AM410" i="11"/>
  <c r="AM411" i="11"/>
  <c r="AM412" i="11"/>
  <c r="AM413" i="11"/>
  <c r="AM414" i="11"/>
  <c r="AM415" i="11"/>
  <c r="AM416" i="11"/>
  <c r="AM417" i="11"/>
  <c r="AM418" i="11"/>
  <c r="AM419" i="11"/>
  <c r="AM420" i="11"/>
  <c r="AM421" i="11"/>
  <c r="AM422" i="11"/>
  <c r="AM423" i="11"/>
  <c r="AM424" i="11"/>
  <c r="AM425" i="11"/>
  <c r="AM426" i="11"/>
  <c r="AM427" i="11"/>
  <c r="AM428" i="11"/>
  <c r="AM429" i="11"/>
  <c r="AM430" i="11"/>
  <c r="AM431" i="11"/>
  <c r="AM432" i="11"/>
  <c r="AM433" i="11"/>
  <c r="AM434" i="11"/>
  <c r="AM435" i="11"/>
  <c r="AM436" i="11"/>
  <c r="AM437" i="11"/>
  <c r="AM438" i="11"/>
  <c r="AM439" i="11"/>
  <c r="AM440" i="11"/>
  <c r="AM441" i="11"/>
  <c r="AM442" i="11"/>
  <c r="AM443" i="11"/>
  <c r="AM444" i="11"/>
  <c r="AM445" i="11"/>
  <c r="AM446" i="11"/>
  <c r="AM447" i="11"/>
  <c r="AM448" i="11"/>
  <c r="AM449" i="11"/>
  <c r="AM450" i="11"/>
  <c r="AM451" i="11"/>
  <c r="AM452" i="11"/>
  <c r="AM453" i="11"/>
  <c r="AM454" i="11"/>
  <c r="AM455" i="11"/>
  <c r="AM456" i="11"/>
  <c r="AM457" i="11"/>
  <c r="AM458" i="11"/>
  <c r="AM459" i="11"/>
  <c r="AM460" i="11"/>
  <c r="AM461" i="11"/>
  <c r="AM462" i="11"/>
  <c r="AM463" i="11"/>
  <c r="AM464" i="11"/>
  <c r="AM465" i="11"/>
  <c r="AM466" i="11"/>
  <c r="AM467" i="11"/>
  <c r="AM468" i="11"/>
  <c r="AM469" i="11"/>
  <c r="AM470" i="11"/>
  <c r="AM471" i="11"/>
  <c r="AM472" i="11"/>
  <c r="AM473" i="11"/>
  <c r="AM474" i="11"/>
  <c r="AM475" i="11"/>
  <c r="AM476" i="11"/>
  <c r="AM477" i="11"/>
  <c r="AM478" i="11"/>
  <c r="AM479" i="11"/>
  <c r="AM480" i="11"/>
  <c r="AM481" i="11"/>
  <c r="AM482" i="11"/>
  <c r="AM483" i="11"/>
  <c r="AM484" i="11"/>
  <c r="AM485" i="11"/>
  <c r="AM486" i="11"/>
  <c r="AM487" i="11"/>
  <c r="AM488" i="11"/>
  <c r="AM489" i="11"/>
  <c r="AM490" i="11"/>
  <c r="AM491" i="11"/>
  <c r="AM492" i="11"/>
  <c r="AM493" i="11"/>
  <c r="AM494" i="11"/>
  <c r="AM495" i="11"/>
  <c r="AM496" i="11"/>
  <c r="AM497" i="11"/>
  <c r="AM498" i="11"/>
  <c r="AM499" i="11"/>
  <c r="AM500" i="11"/>
  <c r="AM501" i="11"/>
  <c r="AM502" i="11"/>
  <c r="AM503" i="11"/>
  <c r="AM504" i="11"/>
  <c r="AM505" i="11"/>
  <c r="AM506" i="11"/>
  <c r="AM507" i="11"/>
  <c r="AM508" i="11"/>
  <c r="AM509" i="11"/>
  <c r="AM510" i="11"/>
  <c r="AM511" i="11"/>
  <c r="AM512" i="11"/>
  <c r="AM513" i="11"/>
  <c r="AM514" i="11"/>
  <c r="AM515" i="11"/>
  <c r="AM516" i="11"/>
  <c r="AM517" i="11"/>
  <c r="AM518" i="11"/>
  <c r="AM519" i="11"/>
  <c r="AM520" i="11"/>
  <c r="AM521" i="11"/>
  <c r="AM522" i="11"/>
  <c r="AM523" i="11"/>
  <c r="AM524" i="11"/>
  <c r="AM525" i="11"/>
  <c r="AM526" i="11"/>
  <c r="AM527" i="11"/>
  <c r="AM528" i="11"/>
  <c r="AM529" i="11"/>
  <c r="AM530" i="11"/>
  <c r="AM531" i="11"/>
  <c r="AM532" i="11"/>
  <c r="AM533" i="11"/>
  <c r="AM534" i="11"/>
  <c r="AM535" i="11"/>
  <c r="AM536" i="11"/>
  <c r="AM537" i="11"/>
  <c r="AM538" i="11"/>
  <c r="AM539" i="11"/>
  <c r="AM540" i="11"/>
  <c r="AM541" i="11"/>
  <c r="AM542" i="11"/>
  <c r="AM543" i="11"/>
  <c r="AM544" i="11"/>
  <c r="AM545" i="11"/>
  <c r="AM546" i="11"/>
  <c r="AM547" i="11"/>
  <c r="AM548" i="11"/>
  <c r="AM549" i="11"/>
  <c r="AM550" i="11"/>
  <c r="AM551" i="11"/>
  <c r="AM552" i="11"/>
  <c r="AM553" i="11"/>
  <c r="AM554" i="11"/>
  <c r="AM555" i="11"/>
  <c r="AM556" i="11"/>
  <c r="AM557" i="11"/>
  <c r="AM558" i="11"/>
  <c r="AM559" i="11"/>
  <c r="AM560" i="11"/>
  <c r="AM561" i="11"/>
  <c r="AM562" i="11"/>
  <c r="AM563" i="11"/>
  <c r="AM564" i="11"/>
  <c r="AM565" i="11"/>
  <c r="AM566" i="11"/>
  <c r="AM567" i="11"/>
  <c r="AM568" i="11"/>
  <c r="AM569" i="11"/>
  <c r="AM570" i="11"/>
  <c r="AM571" i="11"/>
  <c r="AM572" i="11"/>
  <c r="AM573" i="11"/>
  <c r="AM574" i="11"/>
  <c r="AM575" i="11"/>
  <c r="AM576" i="11"/>
  <c r="AM577" i="11"/>
  <c r="AM578" i="11"/>
  <c r="AM579" i="11"/>
  <c r="AM580" i="11"/>
  <c r="AM581" i="11"/>
  <c r="AM582" i="11"/>
  <c r="AM583" i="11"/>
  <c r="AM584" i="11"/>
  <c r="AM585" i="11"/>
  <c r="AM586" i="11"/>
  <c r="AM587" i="11"/>
  <c r="AM588" i="11"/>
  <c r="AM589" i="11"/>
  <c r="AM590" i="11"/>
  <c r="AM591" i="11"/>
  <c r="AM592" i="11"/>
  <c r="AM593" i="11"/>
  <c r="AM594" i="11"/>
  <c r="AM595" i="11"/>
  <c r="AM596" i="11"/>
  <c r="AM597" i="11"/>
  <c r="AM598" i="11"/>
  <c r="AM599" i="11"/>
  <c r="AM600" i="11"/>
  <c r="AM601" i="11"/>
  <c r="AM602" i="11"/>
  <c r="AM603" i="11"/>
  <c r="AM604" i="11"/>
  <c r="AM605" i="11"/>
  <c r="AM606" i="11"/>
  <c r="AM607" i="11"/>
  <c r="AM608" i="11"/>
  <c r="AM609" i="11"/>
  <c r="AM610" i="11"/>
  <c r="AM611" i="11"/>
  <c r="AM612" i="11"/>
  <c r="AM613" i="11"/>
  <c r="AM614" i="11"/>
  <c r="AM615" i="11"/>
  <c r="AM616" i="11"/>
  <c r="AM617" i="11"/>
  <c r="AM618" i="11"/>
  <c r="AM619" i="11"/>
  <c r="AM620" i="11"/>
  <c r="AM621" i="11"/>
  <c r="AM622" i="11"/>
  <c r="AM623" i="11"/>
  <c r="AM624" i="11"/>
  <c r="AM625" i="11"/>
  <c r="AM626" i="11"/>
  <c r="AM627" i="11"/>
  <c r="AM628" i="11"/>
  <c r="AM629" i="11"/>
  <c r="AM630" i="11"/>
  <c r="AM631" i="11"/>
  <c r="AM632" i="11"/>
  <c r="AM633" i="11"/>
  <c r="AM634" i="11"/>
  <c r="AM635" i="11"/>
  <c r="AM636" i="11"/>
  <c r="AM637" i="11"/>
  <c r="AM638" i="11"/>
  <c r="AM639" i="11"/>
  <c r="AM640" i="11"/>
  <c r="AM641" i="11"/>
  <c r="AM642" i="11"/>
  <c r="AM643" i="11"/>
  <c r="AM644" i="11"/>
  <c r="AM645" i="11"/>
  <c r="AM646" i="11"/>
  <c r="AM647" i="11"/>
  <c r="AM648" i="11"/>
  <c r="AM649" i="11"/>
  <c r="AM650" i="11"/>
  <c r="AM651" i="11"/>
  <c r="AM652" i="11"/>
  <c r="AM653" i="11"/>
  <c r="AM654" i="11"/>
  <c r="AM655" i="11"/>
  <c r="AM656" i="11"/>
  <c r="AM657" i="11"/>
  <c r="AM658" i="11"/>
  <c r="AM659" i="11"/>
  <c r="AM660" i="11"/>
  <c r="AM661" i="11"/>
  <c r="AM662" i="11"/>
  <c r="AM663" i="11"/>
  <c r="AM664" i="11"/>
  <c r="AM665" i="11"/>
  <c r="AM666" i="11"/>
  <c r="AM667" i="11"/>
  <c r="AM668" i="11"/>
  <c r="AM669" i="11"/>
  <c r="AM670" i="11"/>
  <c r="AM671" i="11"/>
  <c r="AM672" i="11"/>
  <c r="AM673" i="11"/>
  <c r="AM674" i="11"/>
  <c r="AM675" i="11"/>
  <c r="AM676" i="11"/>
  <c r="AM677" i="11"/>
  <c r="AM678" i="11"/>
  <c r="AM679" i="11"/>
  <c r="AM680" i="11"/>
  <c r="AM681" i="11"/>
  <c r="AM682" i="11"/>
  <c r="AM683" i="11"/>
  <c r="AM684" i="11"/>
  <c r="AM685" i="11"/>
  <c r="AM686" i="11"/>
  <c r="AM687" i="11"/>
  <c r="AM688" i="11"/>
  <c r="AM689" i="11"/>
  <c r="AM690" i="11"/>
  <c r="AM691" i="11"/>
  <c r="AM692" i="11"/>
  <c r="AM693" i="11"/>
  <c r="AM694" i="11"/>
  <c r="AM695" i="11"/>
  <c r="AM696" i="11"/>
  <c r="AM697" i="11"/>
  <c r="AM698" i="11"/>
  <c r="AM699" i="11"/>
  <c r="AM700" i="11"/>
  <c r="AM701" i="11"/>
  <c r="AM702" i="11"/>
  <c r="AM703" i="11"/>
  <c r="AM704" i="11"/>
  <c r="AM705" i="11"/>
  <c r="AM706" i="11"/>
  <c r="AM707" i="11"/>
  <c r="AM708" i="11"/>
  <c r="AM709" i="11"/>
  <c r="AM710" i="11"/>
  <c r="AM711" i="11"/>
  <c r="AM712" i="11"/>
  <c r="AM713" i="11"/>
  <c r="AM714" i="11"/>
  <c r="AM715" i="11"/>
  <c r="AM716" i="11"/>
  <c r="AM717" i="11"/>
  <c r="AM718" i="11"/>
  <c r="AM719" i="11"/>
  <c r="AM720" i="11"/>
  <c r="AM721" i="11"/>
  <c r="AM722" i="11"/>
  <c r="AM723" i="11"/>
  <c r="AM724" i="11"/>
  <c r="AM725" i="11"/>
  <c r="AM726" i="11"/>
  <c r="AM727" i="11"/>
  <c r="AM728" i="11"/>
  <c r="AM729" i="11"/>
  <c r="AM730" i="11"/>
  <c r="AM731" i="11"/>
  <c r="AM732" i="11"/>
  <c r="AM733" i="11"/>
  <c r="AM734" i="11"/>
  <c r="AM735" i="11"/>
  <c r="AM736" i="11"/>
  <c r="AM737" i="11"/>
  <c r="AM738" i="11"/>
  <c r="AM739" i="11"/>
  <c r="AM740" i="11"/>
  <c r="AM741" i="11"/>
  <c r="AM742" i="11"/>
  <c r="AM743" i="11"/>
  <c r="AM744" i="11"/>
  <c r="AM745" i="11"/>
  <c r="AM746" i="11"/>
  <c r="AM747" i="11"/>
  <c r="AM748" i="11"/>
  <c r="AM749" i="11"/>
  <c r="AM750" i="11"/>
  <c r="AM751" i="11"/>
  <c r="AM752" i="11"/>
  <c r="AM753" i="11"/>
  <c r="AM754" i="11"/>
  <c r="AM755" i="11"/>
  <c r="AM756" i="11"/>
  <c r="AM757" i="11"/>
  <c r="AM758" i="11"/>
  <c r="AM759" i="11"/>
  <c r="AM760" i="11"/>
  <c r="AM761" i="11"/>
  <c r="AM762" i="11"/>
  <c r="AM763" i="11"/>
  <c r="AM764" i="11"/>
  <c r="AM765" i="11"/>
  <c r="AM766" i="11"/>
  <c r="AM767" i="11"/>
  <c r="AM768" i="11"/>
  <c r="AM769" i="11"/>
  <c r="AM770" i="11"/>
  <c r="AM771" i="11"/>
  <c r="AM772" i="11"/>
  <c r="AM773" i="11"/>
  <c r="AM774" i="11"/>
  <c r="AM775" i="11"/>
  <c r="AM776" i="11"/>
  <c r="AM777" i="11"/>
  <c r="AM778" i="11"/>
  <c r="AM779" i="11"/>
  <c r="AM780" i="11"/>
  <c r="AM781" i="11"/>
  <c r="AM782" i="11"/>
  <c r="AM783" i="11"/>
  <c r="AM784" i="11"/>
  <c r="AM785" i="11"/>
  <c r="AM786" i="11"/>
  <c r="AM787" i="11"/>
  <c r="AM788" i="11"/>
  <c r="AM789" i="11"/>
  <c r="AM790" i="11"/>
  <c r="AM792" i="11"/>
  <c r="AM793" i="11"/>
  <c r="AM794" i="11"/>
  <c r="AM795" i="11"/>
  <c r="AM796" i="11"/>
  <c r="AM797" i="11"/>
  <c r="AM798" i="11"/>
  <c r="AM799" i="11"/>
  <c r="AM800" i="11"/>
  <c r="AM801" i="11"/>
  <c r="AM802" i="11"/>
  <c r="AM803" i="11"/>
  <c r="AM804" i="11"/>
  <c r="AM805" i="11"/>
  <c r="AM806" i="11"/>
  <c r="AM807" i="11"/>
  <c r="AM808" i="11"/>
  <c r="AM809" i="11"/>
  <c r="AM810" i="11"/>
  <c r="AM811" i="11"/>
  <c r="AM812" i="11"/>
  <c r="AM813" i="11"/>
  <c r="AM814" i="11"/>
  <c r="AM815" i="11"/>
  <c r="AM816" i="11"/>
  <c r="AM817" i="11"/>
  <c r="AM818" i="11"/>
  <c r="AM819" i="11"/>
  <c r="AM820" i="11"/>
  <c r="AM821" i="11"/>
  <c r="AM822" i="11"/>
  <c r="AM823" i="11"/>
  <c r="AM824" i="11"/>
  <c r="AM825" i="11"/>
  <c r="AM826" i="11"/>
  <c r="AM827" i="11"/>
  <c r="AM828" i="11"/>
  <c r="AM829" i="11"/>
  <c r="AM830" i="11"/>
  <c r="AM831" i="11"/>
  <c r="AM832" i="11"/>
  <c r="AM833" i="11"/>
  <c r="AM834" i="11"/>
  <c r="AM835" i="11"/>
  <c r="AM836" i="11"/>
  <c r="AM837" i="11"/>
  <c r="AM838" i="11"/>
  <c r="AM839" i="11"/>
  <c r="AM840" i="11"/>
  <c r="AM841" i="11"/>
  <c r="AM842" i="11"/>
  <c r="AM843" i="11"/>
  <c r="AM844" i="11"/>
  <c r="AM845" i="11"/>
  <c r="AM846" i="11"/>
  <c r="AM847" i="11"/>
  <c r="AM848" i="11"/>
  <c r="AM849" i="11"/>
  <c r="AM850" i="11"/>
  <c r="AM851" i="11"/>
  <c r="AM852" i="11"/>
  <c r="AM853" i="11"/>
  <c r="AM854" i="11"/>
  <c r="AM855" i="11"/>
  <c r="AM856" i="11"/>
  <c r="AM857" i="11"/>
  <c r="AM858" i="11"/>
  <c r="AM859" i="11"/>
  <c r="AM860" i="11"/>
  <c r="AM861" i="11"/>
  <c r="AM862" i="11"/>
  <c r="AM863" i="11"/>
  <c r="AM864" i="11"/>
  <c r="AM865" i="11"/>
  <c r="AM866" i="11"/>
  <c r="AM867" i="11"/>
  <c r="AM868" i="11"/>
  <c r="AM869" i="11"/>
  <c r="AM870" i="11"/>
  <c r="AM871" i="11"/>
  <c r="AM872" i="11"/>
  <c r="AM873" i="11"/>
  <c r="AM874" i="11"/>
  <c r="AM875" i="11"/>
  <c r="AM876" i="11"/>
  <c r="AM877" i="11"/>
  <c r="AM878" i="11"/>
  <c r="AM879" i="11"/>
  <c r="AM880" i="11"/>
  <c r="AM881" i="11"/>
  <c r="AM882" i="11"/>
  <c r="AM883" i="11"/>
  <c r="AM884" i="11"/>
  <c r="AM885" i="11"/>
  <c r="AM886" i="11"/>
  <c r="AM887" i="11"/>
  <c r="AM888" i="11"/>
  <c r="AM889" i="11"/>
  <c r="AM890" i="11"/>
  <c r="AM891" i="11"/>
  <c r="AM892" i="11"/>
  <c r="AM893" i="11"/>
  <c r="AM894" i="11"/>
  <c r="AM895" i="11"/>
  <c r="AM896" i="11"/>
  <c r="AM897" i="11"/>
  <c r="AM898" i="11"/>
  <c r="AM899" i="11"/>
  <c r="AM900" i="11"/>
  <c r="AM901" i="11"/>
  <c r="AM902" i="11"/>
  <c r="AM903" i="11"/>
  <c r="AM904" i="11"/>
  <c r="AM905" i="11"/>
  <c r="AM906" i="11"/>
  <c r="AM907" i="11"/>
  <c r="AM908" i="11"/>
  <c r="AM909" i="11"/>
  <c r="AM910" i="11"/>
  <c r="AM911" i="11"/>
  <c r="AM912" i="11"/>
  <c r="AM913" i="11"/>
  <c r="AM914" i="11"/>
  <c r="AM915" i="11"/>
  <c r="AM916" i="11"/>
  <c r="AM917" i="11"/>
  <c r="AM918" i="11"/>
  <c r="AM919" i="11"/>
  <c r="AM920" i="11"/>
  <c r="AM921" i="11"/>
  <c r="AM922" i="11"/>
  <c r="AM923" i="11"/>
  <c r="AM924" i="11"/>
  <c r="AM925" i="11"/>
  <c r="AM926" i="11"/>
  <c r="AM927" i="11"/>
  <c r="AM928" i="11"/>
  <c r="AM929" i="11"/>
  <c r="AM930" i="11"/>
  <c r="AM931" i="11"/>
  <c r="AM932" i="11"/>
  <c r="AM933" i="11"/>
  <c r="AM934" i="11"/>
  <c r="AM935" i="11"/>
  <c r="AM936" i="11"/>
  <c r="AM937" i="11"/>
  <c r="AM938" i="11"/>
  <c r="AM939" i="11"/>
  <c r="AM940" i="11"/>
  <c r="AM941" i="11"/>
  <c r="AM942" i="11"/>
  <c r="AM943" i="11"/>
  <c r="AM944" i="11"/>
  <c r="AM945" i="11"/>
  <c r="AM946" i="11"/>
  <c r="AM947" i="11"/>
  <c r="AM948" i="11"/>
  <c r="AM949" i="11"/>
  <c r="AM950" i="11"/>
  <c r="AM951" i="11"/>
  <c r="AM952" i="11"/>
  <c r="AM953" i="11"/>
  <c r="AM954" i="11"/>
  <c r="AM955" i="11"/>
  <c r="AM956" i="11"/>
  <c r="AM957" i="11"/>
  <c r="AM958" i="11"/>
  <c r="AM959" i="11"/>
  <c r="AM960" i="11"/>
  <c r="AM961" i="11"/>
  <c r="AM962" i="11"/>
  <c r="AM963" i="11"/>
  <c r="AM964" i="11"/>
  <c r="AM965" i="11"/>
  <c r="AM966" i="11"/>
  <c r="AM967" i="11"/>
  <c r="AM968" i="11"/>
  <c r="AM969" i="11"/>
  <c r="AM970" i="11"/>
  <c r="AM971" i="11"/>
  <c r="AM972" i="11"/>
  <c r="AM973" i="11"/>
  <c r="AM975" i="11"/>
  <c r="AM976" i="11"/>
  <c r="AM978" i="11"/>
  <c r="AM979" i="11"/>
  <c r="AM980" i="11"/>
  <c r="AM981" i="11"/>
  <c r="AM982" i="11"/>
  <c r="AM983" i="11"/>
  <c r="AM984" i="11"/>
  <c r="AM985" i="11"/>
  <c r="AM986" i="11"/>
  <c r="AM987" i="11"/>
  <c r="AM988" i="11"/>
  <c r="AM989" i="11"/>
  <c r="AM990" i="11"/>
  <c r="AM991" i="11"/>
  <c r="AM992" i="11"/>
  <c r="AM993" i="11"/>
  <c r="AM994" i="11"/>
  <c r="AM995" i="11"/>
  <c r="AM996" i="11"/>
  <c r="AM997" i="11"/>
  <c r="AM998" i="11"/>
  <c r="AM999" i="11"/>
  <c r="AM1000" i="11"/>
  <c r="AM1001" i="11"/>
  <c r="AM1002" i="11"/>
  <c r="AM1003" i="11"/>
  <c r="AM1004" i="11"/>
  <c r="AM1005" i="11"/>
  <c r="AM1006" i="11"/>
  <c r="AM1007" i="11"/>
  <c r="AM1008" i="11"/>
  <c r="AM1009" i="11"/>
  <c r="AM1010" i="11"/>
  <c r="AM1011" i="11"/>
  <c r="AM1012" i="11"/>
  <c r="AM1013" i="11"/>
  <c r="AM1014" i="11"/>
  <c r="AM1015" i="11"/>
  <c r="AM1016" i="11"/>
  <c r="AM1017" i="11"/>
  <c r="AM1018" i="11"/>
  <c r="AM1019" i="11"/>
  <c r="AM1020" i="11"/>
  <c r="AM1021" i="11"/>
  <c r="AM1022" i="11"/>
  <c r="AM1023" i="11"/>
  <c r="AM1024" i="11"/>
  <c r="AM1025" i="11"/>
  <c r="AM1026" i="11"/>
  <c r="AM1027" i="11"/>
  <c r="AM1028" i="11"/>
  <c r="AM1029" i="11"/>
  <c r="AM1030" i="11"/>
  <c r="AM1031" i="11"/>
  <c r="AM1032" i="11"/>
  <c r="AM1033" i="11"/>
  <c r="AM1034" i="11"/>
  <c r="AM1035" i="11"/>
  <c r="AM1036" i="11"/>
  <c r="AM1037" i="11"/>
  <c r="AM1038" i="11"/>
  <c r="AM1039" i="11"/>
  <c r="AM1040" i="11"/>
  <c r="AM1041" i="11"/>
  <c r="AM1042" i="11"/>
  <c r="AM1043" i="11"/>
  <c r="AM1044" i="11"/>
  <c r="AM1045" i="11"/>
  <c r="AM1046" i="11"/>
  <c r="AM1047" i="11"/>
  <c r="AM1048" i="11"/>
  <c r="AM1049" i="11"/>
  <c r="AM1050" i="11"/>
  <c r="AM1051" i="11"/>
  <c r="AM1052" i="11"/>
  <c r="AM1053" i="11"/>
  <c r="AM1054" i="11"/>
  <c r="AM1055" i="11"/>
  <c r="AM1056" i="11"/>
  <c r="AM1057" i="11"/>
  <c r="AM1058" i="11"/>
  <c r="AM1059" i="11"/>
  <c r="AM1060" i="11"/>
  <c r="AM1061" i="11"/>
  <c r="AM1062" i="11"/>
  <c r="AM1063" i="11"/>
  <c r="AM1064" i="11"/>
  <c r="AM1065" i="11"/>
  <c r="AM1066" i="11"/>
  <c r="AM1067" i="11"/>
  <c r="AM1068" i="11"/>
  <c r="AM1069" i="11"/>
  <c r="AM1070" i="11"/>
  <c r="AM1071" i="11"/>
  <c r="AM1072" i="11"/>
  <c r="AM1073" i="11"/>
  <c r="AM1075" i="11"/>
  <c r="AM1076" i="11"/>
  <c r="AM1077" i="11"/>
  <c r="AM1078" i="11"/>
  <c r="AM1079" i="11"/>
  <c r="AM1080" i="11"/>
  <c r="AM1081" i="11"/>
  <c r="AM1082" i="11"/>
  <c r="AM1083" i="11"/>
  <c r="AM1084" i="11"/>
  <c r="AM1085" i="11"/>
  <c r="AM1086" i="11"/>
  <c r="AM1087" i="11"/>
  <c r="AM1088" i="11"/>
  <c r="AM1089" i="11"/>
  <c r="AM1090" i="11"/>
  <c r="AM1091" i="11"/>
  <c r="AM1092" i="11"/>
  <c r="AM1093" i="11"/>
  <c r="AM1094" i="11"/>
  <c r="AM1095" i="11"/>
  <c r="AM1096" i="11"/>
  <c r="AM1097" i="11"/>
  <c r="AM1098" i="11"/>
  <c r="AM1099" i="11"/>
  <c r="AM1100" i="11"/>
  <c r="AM1101" i="11"/>
  <c r="AM1102" i="11"/>
  <c r="AM1103" i="11"/>
  <c r="AM1104" i="11"/>
  <c r="AM1105" i="11"/>
  <c r="AM1106" i="11"/>
  <c r="AM1107" i="11"/>
  <c r="AM1108" i="11"/>
  <c r="AM1109" i="11"/>
  <c r="AM1110" i="11"/>
  <c r="AM1111" i="11"/>
  <c r="AM1112" i="11"/>
  <c r="AM1113" i="11"/>
  <c r="AM1114" i="11"/>
  <c r="AM1115" i="11"/>
  <c r="AM1116" i="11"/>
  <c r="AM1117" i="11"/>
  <c r="AM1118" i="11"/>
  <c r="AM1119" i="11"/>
  <c r="AM1120" i="11"/>
  <c r="AM1121" i="11"/>
  <c r="AM1122" i="11"/>
  <c r="AM1123" i="11"/>
  <c r="AM1124" i="11"/>
  <c r="AM1125" i="11"/>
  <c r="AM1126" i="11"/>
  <c r="AM1127" i="11"/>
  <c r="AM1128" i="11"/>
  <c r="AM1129" i="11"/>
  <c r="AM1130" i="11"/>
  <c r="AM1131" i="11"/>
  <c r="AM1132" i="11"/>
  <c r="AM1133" i="11"/>
  <c r="AM1134" i="11"/>
  <c r="AM1135" i="11"/>
  <c r="AM1136" i="11"/>
  <c r="AM1137" i="11"/>
  <c r="AM1138" i="11"/>
  <c r="AM1139" i="11"/>
  <c r="AM1140" i="11"/>
  <c r="AM1141" i="11"/>
  <c r="AM1142" i="11"/>
  <c r="AM1143" i="11"/>
  <c r="AM1144" i="11"/>
  <c r="AM1145" i="11"/>
  <c r="AM1146" i="11"/>
  <c r="AM1147" i="11"/>
  <c r="AM1148" i="11"/>
  <c r="AM1149" i="11"/>
  <c r="AM1150" i="11"/>
  <c r="AM1151" i="11"/>
  <c r="AM1152" i="11"/>
  <c r="AM1153" i="11"/>
  <c r="AM1154" i="11"/>
  <c r="AM1155" i="11"/>
  <c r="AM1156" i="11"/>
  <c r="AM1157" i="11"/>
  <c r="AM1158" i="11"/>
  <c r="AM1159" i="11"/>
  <c r="AM1160" i="11"/>
  <c r="AM1161" i="11"/>
  <c r="AM1162" i="11"/>
  <c r="AM1163" i="11"/>
  <c r="AM1164" i="11"/>
  <c r="AM1165" i="11"/>
  <c r="AM1166" i="11"/>
  <c r="AM1167" i="11"/>
  <c r="AM1168" i="11"/>
  <c r="AM1169" i="11"/>
  <c r="AM1170" i="11"/>
  <c r="AM1171" i="11"/>
  <c r="AM1172" i="11"/>
  <c r="AM1173" i="11"/>
  <c r="AM1174" i="11"/>
  <c r="AM1175" i="11"/>
  <c r="AM1176" i="11"/>
  <c r="AM1177" i="11"/>
  <c r="AM1178" i="11"/>
  <c r="AM1179" i="11"/>
  <c r="AM1180" i="11"/>
  <c r="AM1181" i="11"/>
  <c r="AM1182" i="11"/>
  <c r="AM1183" i="11"/>
  <c r="AM1184" i="11"/>
  <c r="AM1185" i="11"/>
  <c r="AM1186" i="11"/>
  <c r="AM1187" i="11"/>
  <c r="AM1188" i="11"/>
  <c r="AM1189" i="11"/>
  <c r="AM1190" i="11"/>
  <c r="AM1191" i="11"/>
  <c r="AM1192" i="11"/>
  <c r="AM1193" i="11"/>
  <c r="AM1194" i="11"/>
  <c r="AM1195" i="11"/>
  <c r="AM1196" i="11"/>
  <c r="AM1197" i="11"/>
  <c r="AM1198" i="11"/>
  <c r="AM1199" i="11"/>
  <c r="AM1200" i="11"/>
  <c r="AM1201" i="11"/>
  <c r="AM1202" i="11"/>
  <c r="AM1203" i="11"/>
  <c r="AM1204" i="11"/>
  <c r="AM1205" i="11"/>
  <c r="AM1206" i="11"/>
  <c r="AM1207" i="11"/>
  <c r="AM1208" i="11"/>
  <c r="AM1209" i="11"/>
  <c r="AM1210" i="11"/>
  <c r="AM1211" i="11"/>
  <c r="AM1212" i="11"/>
  <c r="AM1213" i="11"/>
  <c r="AM1214" i="11"/>
  <c r="AM1215" i="11"/>
  <c r="AM1216" i="11"/>
  <c r="AM1217" i="11"/>
  <c r="AM1218" i="11"/>
  <c r="AM1219" i="11"/>
  <c r="AM1220" i="11"/>
  <c r="AM1221" i="11"/>
  <c r="AM1222" i="11"/>
  <c r="AM1223" i="11"/>
  <c r="AM1224" i="11"/>
  <c r="AM1225" i="11"/>
  <c r="AM1226" i="11"/>
  <c r="AM1227" i="11"/>
  <c r="AM1228" i="11"/>
  <c r="AM1229" i="11"/>
  <c r="AM1230" i="11"/>
  <c r="AM1231" i="11"/>
  <c r="AM1232" i="11"/>
  <c r="AM1233" i="11"/>
  <c r="AM1234" i="11"/>
  <c r="AM1235" i="11"/>
  <c r="AM1236" i="11"/>
  <c r="AM1237" i="11"/>
  <c r="AM1238" i="11"/>
  <c r="AM1239" i="11"/>
  <c r="AM1240" i="11"/>
  <c r="AM1241" i="11"/>
  <c r="AM1242" i="11"/>
  <c r="AM1243" i="11"/>
  <c r="AM1244" i="11"/>
  <c r="AM1245" i="11"/>
  <c r="AM1246" i="11"/>
  <c r="AM1247" i="11"/>
  <c r="AM1248" i="11"/>
  <c r="AM1249" i="11"/>
  <c r="AM1250" i="11"/>
  <c r="AM1251" i="11"/>
  <c r="AM1252" i="11"/>
  <c r="AM1253" i="11"/>
  <c r="AM1254" i="11"/>
  <c r="AM1255" i="11"/>
  <c r="AM1256" i="11"/>
  <c r="AM1257" i="11"/>
  <c r="AM1258" i="11"/>
  <c r="AM1259" i="11"/>
  <c r="AM1260" i="11"/>
  <c r="AM1261" i="11"/>
  <c r="AM1262" i="11"/>
  <c r="AM1263" i="11"/>
  <c r="AM1264" i="11"/>
  <c r="AM1265" i="11"/>
  <c r="AM1266" i="11"/>
  <c r="AM1267" i="11"/>
  <c r="AM1268" i="11"/>
  <c r="AM1269" i="11"/>
  <c r="AM80" i="11"/>
  <c r="AC10" i="11"/>
  <c r="AC11" i="11"/>
  <c r="AC12" i="11"/>
  <c r="AC13" i="11"/>
  <c r="AC14" i="11"/>
  <c r="AC15" i="11"/>
  <c r="AC16" i="11"/>
  <c r="AC17" i="11"/>
  <c r="AC18" i="11"/>
  <c r="AC19" i="11"/>
  <c r="AC20" i="11"/>
  <c r="AC21" i="11"/>
  <c r="AC22" i="11"/>
  <c r="AC23" i="11"/>
  <c r="AC24" i="11"/>
  <c r="AC25" i="11"/>
  <c r="AC26" i="11"/>
  <c r="AC27" i="11"/>
  <c r="AC28" i="11"/>
  <c r="AC29" i="11"/>
  <c r="AC30" i="11"/>
  <c r="AC31" i="11"/>
  <c r="AC32" i="11"/>
  <c r="AC33" i="11"/>
  <c r="AC34" i="11"/>
  <c r="AC35" i="11"/>
  <c r="AC36" i="11"/>
  <c r="AC37" i="11"/>
  <c r="AC38" i="11"/>
  <c r="AC39" i="11"/>
  <c r="AC40" i="11"/>
  <c r="AC41" i="11"/>
  <c r="AC42" i="11"/>
  <c r="AC43" i="11"/>
  <c r="AC44" i="11"/>
  <c r="AC45" i="11"/>
  <c r="AC46" i="11"/>
  <c r="AC47" i="11"/>
  <c r="AC48" i="11"/>
  <c r="AC49" i="11"/>
  <c r="AC50" i="11"/>
  <c r="AC51" i="11"/>
  <c r="AC52" i="11"/>
  <c r="AC53" i="11"/>
  <c r="AC54" i="11"/>
  <c r="AC55" i="11"/>
  <c r="AC56" i="11"/>
  <c r="AC57" i="11"/>
  <c r="AC58" i="11"/>
  <c r="AC59" i="11"/>
  <c r="AC60" i="11"/>
  <c r="AC61" i="11"/>
  <c r="AC62" i="11"/>
  <c r="AC63" i="11"/>
  <c r="AC64" i="11"/>
  <c r="AC65" i="11"/>
  <c r="AC66" i="11"/>
  <c r="AC67" i="11"/>
  <c r="AC68" i="11"/>
  <c r="AC69" i="11"/>
  <c r="AC70" i="11"/>
  <c r="AC71" i="11"/>
  <c r="AC72" i="11"/>
  <c r="AC73" i="11"/>
  <c r="AC74" i="11"/>
  <c r="AC75" i="11"/>
  <c r="AC76" i="11"/>
  <c r="AC77" i="11"/>
  <c r="AC78" i="11"/>
  <c r="AC79" i="11"/>
  <c r="AC80" i="11"/>
  <c r="AC81" i="11"/>
  <c r="AC82" i="11"/>
  <c r="AC83" i="11"/>
  <c r="AC84" i="11"/>
  <c r="AC85" i="11"/>
  <c r="AC86" i="11"/>
  <c r="AC87" i="11"/>
  <c r="AC88" i="11"/>
  <c r="AC89" i="11"/>
  <c r="AC90" i="11"/>
  <c r="AC91" i="11"/>
  <c r="AC92" i="11"/>
  <c r="AC93" i="11"/>
  <c r="AC94" i="11"/>
  <c r="AC95" i="11"/>
  <c r="AC96" i="11"/>
  <c r="AC97" i="11"/>
  <c r="AC98" i="11"/>
  <c r="AC99" i="11"/>
  <c r="AC100" i="11"/>
  <c r="AC101" i="11"/>
  <c r="AC102" i="11"/>
  <c r="AC103" i="11"/>
  <c r="AC104" i="11"/>
  <c r="AC105" i="11"/>
  <c r="AC106" i="11"/>
  <c r="AC107" i="11"/>
  <c r="AC108" i="11"/>
  <c r="AC109" i="11"/>
  <c r="AC110" i="11"/>
  <c r="AC111" i="11"/>
  <c r="AC112" i="11"/>
  <c r="AC113" i="11"/>
  <c r="AC114" i="11"/>
  <c r="AC115" i="11"/>
  <c r="AC116" i="11"/>
  <c r="AC117" i="11"/>
  <c r="AC118" i="11"/>
  <c r="AC119" i="11"/>
  <c r="AC120" i="11"/>
  <c r="AC121" i="11"/>
  <c r="AC122" i="11"/>
  <c r="AC123" i="11"/>
  <c r="AC124" i="11"/>
  <c r="AC125" i="11"/>
  <c r="AC126" i="11"/>
  <c r="AC127" i="11"/>
  <c r="AC128" i="11"/>
  <c r="AC129" i="11"/>
  <c r="AC130" i="11"/>
  <c r="AC131" i="11"/>
  <c r="AC132" i="11"/>
  <c r="AC133" i="11"/>
  <c r="AC134" i="11"/>
  <c r="AC135" i="11"/>
  <c r="AC136" i="11"/>
  <c r="AC137" i="11"/>
  <c r="AC138" i="11"/>
  <c r="AC139" i="11"/>
  <c r="AC140" i="11"/>
  <c r="AC141" i="11"/>
  <c r="AC142" i="11"/>
  <c r="AC143" i="11"/>
  <c r="AC144" i="11"/>
  <c r="AC145" i="11"/>
  <c r="AC146" i="11"/>
  <c r="AC147" i="11"/>
  <c r="AC148" i="11"/>
  <c r="AC149" i="11"/>
  <c r="AC150" i="11"/>
  <c r="AC151" i="11"/>
  <c r="AC152" i="11"/>
  <c r="AC153" i="11"/>
  <c r="AC154" i="11"/>
  <c r="AC155" i="11"/>
  <c r="AC156" i="11"/>
  <c r="AC157" i="11"/>
  <c r="AC158" i="11"/>
  <c r="AC159" i="11"/>
  <c r="AC160" i="11"/>
  <c r="AC161" i="11"/>
  <c r="AC162" i="11"/>
  <c r="AC163" i="11"/>
  <c r="AC164" i="11"/>
  <c r="AC165" i="11"/>
  <c r="AC166" i="11"/>
  <c r="AC167" i="11"/>
  <c r="AC168" i="11"/>
  <c r="AC169" i="11"/>
  <c r="AC170" i="11"/>
  <c r="AC171" i="11"/>
  <c r="AC172" i="11"/>
  <c r="AC173" i="11"/>
  <c r="AC174" i="11"/>
  <c r="AC175" i="11"/>
  <c r="AC176" i="11"/>
  <c r="AC177" i="11"/>
  <c r="AC178" i="11"/>
  <c r="AC179" i="11"/>
  <c r="AC180" i="11"/>
  <c r="AC181" i="11"/>
  <c r="AC182" i="11"/>
  <c r="AC183" i="11"/>
  <c r="AC184" i="11"/>
  <c r="AC185" i="11"/>
  <c r="AC186" i="11"/>
  <c r="AC187" i="11"/>
  <c r="AC188" i="11"/>
  <c r="AC189" i="11"/>
  <c r="AC190" i="11"/>
  <c r="AC191" i="11"/>
  <c r="AC192" i="11"/>
  <c r="AC193" i="11"/>
  <c r="AC194" i="11"/>
  <c r="AC195" i="11"/>
  <c r="AC196" i="11"/>
  <c r="AC197" i="11"/>
  <c r="AC198" i="11"/>
  <c r="AC199" i="11"/>
  <c r="AC200" i="11"/>
  <c r="AC201" i="11"/>
  <c r="AC202" i="11"/>
  <c r="AC203" i="11"/>
  <c r="AC204" i="11"/>
  <c r="AC205" i="11"/>
  <c r="AC206" i="11"/>
  <c r="AC207" i="11"/>
  <c r="AC208" i="11"/>
  <c r="AC209" i="11"/>
  <c r="AC210" i="11"/>
  <c r="AC211" i="11"/>
  <c r="AC212" i="11"/>
  <c r="AC213" i="11"/>
  <c r="AC214" i="11"/>
  <c r="AC215" i="11"/>
  <c r="AC216" i="11"/>
  <c r="AC217" i="11"/>
  <c r="AC218" i="11"/>
  <c r="AC219" i="11"/>
  <c r="AC220" i="11"/>
  <c r="AC221" i="11"/>
  <c r="AC222" i="11"/>
  <c r="AC223" i="11"/>
  <c r="AC224" i="11"/>
  <c r="AC225" i="11"/>
  <c r="AC226" i="11"/>
  <c r="AC227" i="11"/>
  <c r="AC228" i="11"/>
  <c r="AC229" i="11"/>
  <c r="AC230" i="11"/>
  <c r="AC231" i="11"/>
  <c r="AC232" i="11"/>
  <c r="AC233" i="11"/>
  <c r="AC234" i="11"/>
  <c r="AC235" i="11"/>
  <c r="AC236" i="11"/>
  <c r="AC237" i="11"/>
  <c r="AC238" i="11"/>
  <c r="AC239" i="11"/>
  <c r="AC240" i="11"/>
  <c r="AC241" i="11"/>
  <c r="AC242" i="11"/>
  <c r="AC243" i="11"/>
  <c r="AC244" i="11"/>
  <c r="AC245" i="11"/>
  <c r="AC246" i="11"/>
  <c r="AC247" i="11"/>
  <c r="AC248" i="11"/>
  <c r="AC249" i="11"/>
  <c r="AC250" i="11"/>
  <c r="AC251" i="11"/>
  <c r="AC252" i="11"/>
  <c r="AC253" i="11"/>
  <c r="AC254" i="11"/>
  <c r="AC255" i="11"/>
  <c r="AC256" i="11"/>
  <c r="AC257" i="11"/>
  <c r="AC258" i="11"/>
  <c r="AC259" i="11"/>
  <c r="AC260" i="11"/>
  <c r="AC261" i="11"/>
  <c r="AC262" i="11"/>
  <c r="AC263" i="11"/>
  <c r="AC264" i="11"/>
  <c r="AC265" i="11"/>
  <c r="AC266" i="11"/>
  <c r="AC267" i="11"/>
  <c r="AC268" i="11"/>
  <c r="AC269" i="11"/>
  <c r="AC270" i="11"/>
  <c r="AC271" i="11"/>
  <c r="AC272" i="11"/>
  <c r="AC273" i="11"/>
  <c r="AC274" i="11"/>
  <c r="AC275" i="11"/>
  <c r="AC276" i="11"/>
  <c r="AC277" i="11"/>
  <c r="AC278" i="11"/>
  <c r="AC279" i="11"/>
  <c r="AC280" i="11"/>
  <c r="AC281" i="11"/>
  <c r="AC282" i="11"/>
  <c r="AC283" i="11"/>
  <c r="AC284" i="11"/>
  <c r="AC285" i="11"/>
  <c r="AC286" i="11"/>
  <c r="AC287" i="11"/>
  <c r="AC288" i="11"/>
  <c r="AC289" i="11"/>
  <c r="AC290" i="11"/>
  <c r="AC291" i="11"/>
  <c r="AC292" i="11"/>
  <c r="AC293" i="11"/>
  <c r="AC294" i="11"/>
  <c r="AC295" i="11"/>
  <c r="AC296" i="11"/>
  <c r="AC297" i="11"/>
  <c r="AC298" i="11"/>
  <c r="AC299" i="11"/>
  <c r="AC300" i="11"/>
  <c r="AC301" i="11"/>
  <c r="AC302" i="11"/>
  <c r="AC303" i="11"/>
  <c r="AC304" i="11"/>
  <c r="AC305" i="11"/>
  <c r="AC306" i="11"/>
  <c r="AC307" i="11"/>
  <c r="AC308" i="11"/>
  <c r="AC309" i="11"/>
  <c r="AC310" i="11"/>
  <c r="AC311" i="11"/>
  <c r="AC312" i="11"/>
  <c r="AC313" i="11"/>
  <c r="AC314" i="11"/>
  <c r="AC315" i="11"/>
  <c r="AC316" i="11"/>
  <c r="AC317" i="11"/>
  <c r="AC318" i="11"/>
  <c r="AC319" i="11"/>
  <c r="AC320" i="11"/>
  <c r="AC321" i="11"/>
  <c r="AC322" i="11"/>
  <c r="AC323" i="11"/>
  <c r="AC324" i="11"/>
  <c r="AC325" i="11"/>
  <c r="AC326" i="11"/>
  <c r="AC327" i="11"/>
  <c r="AC328" i="11"/>
  <c r="AC329" i="11"/>
  <c r="AC330" i="11"/>
  <c r="AC331" i="11"/>
  <c r="AC332" i="11"/>
  <c r="AC333" i="11"/>
  <c r="AC334" i="11"/>
  <c r="AC335" i="11"/>
  <c r="AC336" i="11"/>
  <c r="AC337" i="11"/>
  <c r="AC338" i="11"/>
  <c r="AC339" i="11"/>
  <c r="AC340" i="11"/>
  <c r="AC341" i="11"/>
  <c r="AC342" i="11"/>
  <c r="AC343" i="11"/>
  <c r="AC344" i="11"/>
  <c r="AC345" i="11"/>
  <c r="AC346" i="11"/>
  <c r="AC347" i="11"/>
  <c r="AC348" i="11"/>
  <c r="AC349" i="11"/>
  <c r="AC350" i="11"/>
  <c r="AC351" i="11"/>
  <c r="AC352" i="11"/>
  <c r="AC353" i="11"/>
  <c r="AC354" i="11"/>
  <c r="AC355" i="11"/>
  <c r="AC356" i="11"/>
  <c r="AC357" i="11"/>
  <c r="AC358" i="11"/>
  <c r="AC359" i="11"/>
  <c r="AC360" i="11"/>
  <c r="AC361" i="11"/>
  <c r="AC362" i="11"/>
  <c r="AC363" i="11"/>
  <c r="AC364" i="11"/>
  <c r="AC365" i="11"/>
  <c r="AC366" i="11"/>
  <c r="AC367" i="11"/>
  <c r="AC368" i="11"/>
  <c r="AC369" i="11"/>
  <c r="AC370" i="11"/>
  <c r="AC371" i="11"/>
  <c r="AC372" i="11"/>
  <c r="AC373" i="11"/>
  <c r="AC374" i="11"/>
  <c r="AC375" i="11"/>
  <c r="AC376" i="11"/>
  <c r="AC377" i="11"/>
  <c r="AC378" i="11"/>
  <c r="AC379" i="11"/>
  <c r="AC380" i="11"/>
  <c r="AC381" i="11"/>
  <c r="AC382" i="11"/>
  <c r="AC383" i="11"/>
  <c r="AC384" i="11"/>
  <c r="AC385" i="11"/>
  <c r="AC386" i="11"/>
  <c r="AC387" i="11"/>
  <c r="AC388" i="11"/>
  <c r="AC389" i="11"/>
  <c r="AC390" i="11"/>
  <c r="AC391" i="11"/>
  <c r="AC392" i="11"/>
  <c r="AC393" i="11"/>
  <c r="AC394" i="11"/>
  <c r="AC395" i="11"/>
  <c r="AC396" i="11"/>
  <c r="AC397" i="11"/>
  <c r="AC398" i="11"/>
  <c r="AC399" i="11"/>
  <c r="AC400" i="11"/>
  <c r="AC401" i="11"/>
  <c r="AC402" i="11"/>
  <c r="AC403" i="11"/>
  <c r="AC404" i="11"/>
  <c r="AC405" i="11"/>
  <c r="AC406" i="11"/>
  <c r="AC407" i="11"/>
  <c r="AC408" i="11"/>
  <c r="AC409" i="11"/>
  <c r="AC410" i="11"/>
  <c r="AC411" i="11"/>
  <c r="AC412" i="11"/>
  <c r="AC413" i="11"/>
  <c r="AC414" i="11"/>
  <c r="AC415" i="11"/>
  <c r="AC416" i="11"/>
  <c r="AC417" i="11"/>
  <c r="AC418" i="11"/>
  <c r="AC419" i="11"/>
  <c r="AC420" i="11"/>
  <c r="AC421" i="11"/>
  <c r="AC422" i="11"/>
  <c r="AC423" i="11"/>
  <c r="AC424" i="11"/>
  <c r="AC425" i="11"/>
  <c r="AC426" i="11"/>
  <c r="AC427" i="11"/>
  <c r="AC428" i="11"/>
  <c r="AC429" i="11"/>
  <c r="AC430" i="11"/>
  <c r="AC431" i="11"/>
  <c r="AC432" i="11"/>
  <c r="AC433" i="11"/>
  <c r="AC434" i="11"/>
  <c r="AC435" i="11"/>
  <c r="AC436" i="11"/>
  <c r="AC437" i="11"/>
  <c r="AC438" i="11"/>
  <c r="AC439" i="11"/>
  <c r="AC440" i="11"/>
  <c r="AC441" i="11"/>
  <c r="AC442" i="11"/>
  <c r="AC443" i="11"/>
  <c r="AC444" i="11"/>
  <c r="AC445" i="11"/>
  <c r="AC446" i="11"/>
  <c r="AC447" i="11"/>
  <c r="AC448" i="11"/>
  <c r="AC449" i="11"/>
  <c r="AC450" i="11"/>
  <c r="AC451" i="11"/>
  <c r="AC452" i="11"/>
  <c r="AC453" i="11"/>
  <c r="AC454" i="11"/>
  <c r="AC455" i="11"/>
  <c r="AC456" i="11"/>
  <c r="AC457" i="11"/>
  <c r="AC458" i="11"/>
  <c r="AC459" i="11"/>
  <c r="AC460" i="11"/>
  <c r="AC461" i="11"/>
  <c r="AC462" i="11"/>
  <c r="AC463" i="11"/>
  <c r="AC464" i="11"/>
  <c r="AC465" i="11"/>
  <c r="AC466" i="11"/>
  <c r="AC467" i="11"/>
  <c r="AC468" i="11"/>
  <c r="AC469" i="11"/>
  <c r="AC470" i="11"/>
  <c r="AC471" i="11"/>
  <c r="AC472" i="11"/>
  <c r="AC473" i="11"/>
  <c r="AC474" i="11"/>
  <c r="AC475" i="11"/>
  <c r="AC476" i="11"/>
  <c r="AC477" i="11"/>
  <c r="AC478" i="11"/>
  <c r="AC479" i="11"/>
  <c r="AC480" i="11"/>
  <c r="AC481" i="11"/>
  <c r="AC482" i="11"/>
  <c r="AC483" i="11"/>
  <c r="AC484" i="11"/>
  <c r="AC485" i="11"/>
  <c r="AC486" i="11"/>
  <c r="AC487" i="11"/>
  <c r="AC488" i="11"/>
  <c r="AC489" i="11"/>
  <c r="AC490" i="11"/>
  <c r="AC491" i="11"/>
  <c r="AC492" i="11"/>
  <c r="AC493" i="11"/>
  <c r="AC494" i="11"/>
  <c r="AC495" i="11"/>
  <c r="AC496" i="11"/>
  <c r="AC497" i="11"/>
  <c r="AC498" i="11"/>
  <c r="AC499" i="11"/>
  <c r="AC500" i="11"/>
  <c r="AC501" i="11"/>
  <c r="AC502" i="11"/>
  <c r="AC503" i="11"/>
  <c r="AC504" i="11"/>
  <c r="AC505" i="11"/>
  <c r="AC506" i="11"/>
  <c r="AC507" i="11"/>
  <c r="AC508" i="11"/>
  <c r="AC509" i="11"/>
  <c r="AC510" i="11"/>
  <c r="AC511" i="11"/>
  <c r="AC512" i="11"/>
  <c r="AC513" i="11"/>
  <c r="AC514" i="11"/>
  <c r="AC515" i="11"/>
  <c r="AC516" i="11"/>
  <c r="AC517" i="11"/>
  <c r="AC518" i="11"/>
  <c r="AC519" i="11"/>
  <c r="AC520" i="11"/>
  <c r="AC521" i="11"/>
  <c r="AC522" i="11"/>
  <c r="AC523" i="11"/>
  <c r="AC524" i="11"/>
  <c r="AC525" i="11"/>
  <c r="AC526" i="11"/>
  <c r="AC527" i="11"/>
  <c r="AC528" i="11"/>
  <c r="AC529" i="11"/>
  <c r="AC530" i="11"/>
  <c r="AC531" i="11"/>
  <c r="AC532" i="11"/>
  <c r="AC533" i="11"/>
  <c r="AC534" i="11"/>
  <c r="AC535" i="11"/>
  <c r="AC536" i="11"/>
  <c r="AC537" i="11"/>
  <c r="AC538" i="11"/>
  <c r="AC539" i="11"/>
  <c r="AC540" i="11"/>
  <c r="AC541" i="11"/>
  <c r="AC542" i="11"/>
  <c r="AC543" i="11"/>
  <c r="AC544" i="11"/>
  <c r="AC545" i="11"/>
  <c r="AC546" i="11"/>
  <c r="AC547" i="11"/>
  <c r="AC548" i="11"/>
  <c r="AC549" i="11"/>
  <c r="AC550" i="11"/>
  <c r="AC551" i="11"/>
  <c r="AC552" i="11"/>
  <c r="AC553" i="11"/>
  <c r="AC554" i="11"/>
  <c r="AC555" i="11"/>
  <c r="AC556" i="11"/>
  <c r="AC557" i="11"/>
  <c r="AC558" i="11"/>
  <c r="AC559" i="11"/>
  <c r="AC560" i="11"/>
  <c r="AC561" i="11"/>
  <c r="AC562" i="11"/>
  <c r="AC563" i="11"/>
  <c r="AC564" i="11"/>
  <c r="AC565" i="11"/>
  <c r="AC566" i="11"/>
  <c r="AC567" i="11"/>
  <c r="AC568" i="11"/>
  <c r="AC569" i="11"/>
  <c r="AC570" i="11"/>
  <c r="AC571" i="11"/>
  <c r="AC572" i="11"/>
  <c r="AC573" i="11"/>
  <c r="AC574" i="11"/>
  <c r="AC575" i="11"/>
  <c r="AC576" i="11"/>
  <c r="AC577" i="11"/>
  <c r="AC578" i="11"/>
  <c r="AC579" i="11"/>
  <c r="AC580" i="11"/>
  <c r="AC581" i="11"/>
  <c r="AC582" i="11"/>
  <c r="AC583" i="11"/>
  <c r="AC584" i="11"/>
  <c r="AC585" i="11"/>
  <c r="AC586" i="11"/>
  <c r="AC587" i="11"/>
  <c r="AC588" i="11"/>
  <c r="AC589" i="11"/>
  <c r="AC590" i="11"/>
  <c r="AC591" i="11"/>
  <c r="AC592" i="11"/>
  <c r="AC593" i="11"/>
  <c r="AC594" i="11"/>
  <c r="AC595" i="11"/>
  <c r="AC596" i="11"/>
  <c r="AC597" i="11"/>
  <c r="AC598" i="11"/>
  <c r="AC599" i="11"/>
  <c r="AC600" i="11"/>
  <c r="AC601" i="11"/>
  <c r="AC602" i="11"/>
  <c r="AC603" i="11"/>
  <c r="AC604" i="11"/>
  <c r="AC605" i="11"/>
  <c r="AC606" i="11"/>
  <c r="AC607" i="11"/>
  <c r="AC608" i="11"/>
  <c r="AC609" i="11"/>
  <c r="AC610" i="11"/>
  <c r="AC611" i="11"/>
  <c r="AC612" i="11"/>
  <c r="AC613" i="11"/>
  <c r="AC614" i="11"/>
  <c r="AC615" i="11"/>
  <c r="AC616" i="11"/>
  <c r="AC617" i="11"/>
  <c r="AC618" i="11"/>
  <c r="AC619" i="11"/>
  <c r="AC620" i="11"/>
  <c r="AC621" i="11"/>
  <c r="AC622" i="11"/>
  <c r="AC623" i="11"/>
  <c r="AC624" i="11"/>
  <c r="AC625" i="11"/>
  <c r="AC626" i="11"/>
  <c r="AC627" i="11"/>
  <c r="AC628" i="11"/>
  <c r="AC629" i="11"/>
  <c r="AC630" i="11"/>
  <c r="AC631" i="11"/>
  <c r="AC632" i="11"/>
  <c r="AC633" i="11"/>
  <c r="AC634" i="11"/>
  <c r="AC635" i="11"/>
  <c r="AC636" i="11"/>
  <c r="AC637" i="11"/>
  <c r="AC638" i="11"/>
  <c r="AC639" i="11"/>
  <c r="AC640" i="11"/>
  <c r="AC641" i="11"/>
  <c r="AC642" i="11"/>
  <c r="AC643" i="11"/>
  <c r="AC644" i="11"/>
  <c r="AC645" i="11"/>
  <c r="AC646" i="11"/>
  <c r="AC647" i="11"/>
  <c r="AC648" i="11"/>
  <c r="AC649" i="11"/>
  <c r="AC650" i="11"/>
  <c r="AC651" i="11"/>
  <c r="AC652" i="11"/>
  <c r="AC653" i="11"/>
  <c r="AC654" i="11"/>
  <c r="AC655" i="11"/>
  <c r="AC656" i="11"/>
  <c r="AC657" i="11"/>
  <c r="AC658" i="11"/>
  <c r="AC659" i="11"/>
  <c r="AC660" i="11"/>
  <c r="AC661" i="11"/>
  <c r="AC662" i="11"/>
  <c r="AC663" i="11"/>
  <c r="AC664" i="11"/>
  <c r="AC665" i="11"/>
  <c r="AC666" i="11"/>
  <c r="AC667" i="11"/>
  <c r="AC668" i="11"/>
  <c r="AC669" i="11"/>
  <c r="AC670" i="11"/>
  <c r="AC671" i="11"/>
  <c r="AC672" i="11"/>
  <c r="AC673" i="11"/>
  <c r="AC674" i="11"/>
  <c r="AC675" i="11"/>
  <c r="AC676" i="11"/>
  <c r="AC677" i="11"/>
  <c r="AC678" i="11"/>
  <c r="AC679" i="11"/>
  <c r="AC680" i="11"/>
  <c r="AC681" i="11"/>
  <c r="AC682" i="11"/>
  <c r="AC683" i="11"/>
  <c r="AC684" i="11"/>
  <c r="AC685" i="11"/>
  <c r="AC686" i="11"/>
  <c r="AC687" i="11"/>
  <c r="AC688" i="11"/>
  <c r="AC689" i="11"/>
  <c r="AC690" i="11"/>
  <c r="AC691" i="11"/>
  <c r="AC692" i="11"/>
  <c r="AC693" i="11"/>
  <c r="AC694" i="11"/>
  <c r="AC695" i="11"/>
  <c r="AC696" i="11"/>
  <c r="AC697" i="11"/>
  <c r="AC698" i="11"/>
  <c r="AC699" i="11"/>
  <c r="AC700" i="11"/>
  <c r="AC701" i="11"/>
  <c r="AC702" i="11"/>
  <c r="AC703" i="11"/>
  <c r="AC704" i="11"/>
  <c r="AC705" i="11"/>
  <c r="AC706" i="11"/>
  <c r="AC707" i="11"/>
  <c r="AC708" i="11"/>
  <c r="AC709" i="11"/>
  <c r="AC710" i="11"/>
  <c r="AC711" i="11"/>
  <c r="AC712" i="11"/>
  <c r="AC713" i="11"/>
  <c r="AC714" i="11"/>
  <c r="AC715" i="11"/>
  <c r="AC716" i="11"/>
  <c r="AC717" i="11"/>
  <c r="AC718" i="11"/>
  <c r="AC719" i="11"/>
  <c r="AC720" i="11"/>
  <c r="AC721" i="11"/>
  <c r="AC722" i="11"/>
  <c r="AC723" i="11"/>
  <c r="AC724" i="11"/>
  <c r="AC725" i="11"/>
  <c r="AC726" i="11"/>
  <c r="AC727" i="11"/>
  <c r="AC728" i="11"/>
  <c r="AC729" i="11"/>
  <c r="AC730" i="11"/>
  <c r="AC731" i="11"/>
  <c r="AC732" i="11"/>
  <c r="AC733" i="11"/>
  <c r="AC734" i="11"/>
  <c r="AC735" i="11"/>
  <c r="AC736" i="11"/>
  <c r="AC737" i="11"/>
  <c r="AC738" i="11"/>
  <c r="AC739" i="11"/>
  <c r="AC740" i="11"/>
  <c r="AC741" i="11"/>
  <c r="AC742" i="11"/>
  <c r="AC743" i="11"/>
  <c r="AC744" i="11"/>
  <c r="AC745" i="11"/>
  <c r="AC746" i="11"/>
  <c r="AC747" i="11"/>
  <c r="AC748" i="11"/>
  <c r="AC749" i="11"/>
  <c r="AC750" i="11"/>
  <c r="AC751" i="11"/>
  <c r="AC752" i="11"/>
  <c r="AC753" i="11"/>
  <c r="AC754" i="11"/>
  <c r="AC755" i="11"/>
  <c r="AC756" i="11"/>
  <c r="AC757" i="11"/>
  <c r="AC758" i="11"/>
  <c r="AC759" i="11"/>
  <c r="AC760" i="11"/>
  <c r="AC761" i="11"/>
  <c r="AC762" i="11"/>
  <c r="AC763" i="11"/>
  <c r="AC764" i="11"/>
  <c r="AC765" i="11"/>
  <c r="AC766" i="11"/>
  <c r="AC767" i="11"/>
  <c r="AC768" i="11"/>
  <c r="AC769" i="11"/>
  <c r="AC770" i="11"/>
  <c r="AC771" i="11"/>
  <c r="AC772" i="11"/>
  <c r="AC773" i="11"/>
  <c r="AC774" i="11"/>
  <c r="AC775" i="11"/>
  <c r="AC776" i="11"/>
  <c r="AC777" i="11"/>
  <c r="AC778" i="11"/>
  <c r="AC779" i="11"/>
  <c r="AC780" i="11"/>
  <c r="AC781" i="11"/>
  <c r="AC782" i="11"/>
  <c r="AC783" i="11"/>
  <c r="AC784" i="11"/>
  <c r="AC785" i="11"/>
  <c r="AC786" i="11"/>
  <c r="AC787" i="11"/>
  <c r="AC788" i="11"/>
  <c r="AC789" i="11"/>
  <c r="AC790" i="11"/>
  <c r="AC792" i="11"/>
  <c r="AC793" i="11"/>
  <c r="AC794" i="11"/>
  <c r="AC795" i="11"/>
  <c r="AC796" i="11"/>
  <c r="AC797" i="11"/>
  <c r="AC798" i="11"/>
  <c r="AC799" i="11"/>
  <c r="AC800" i="11"/>
  <c r="AC801" i="11"/>
  <c r="AC802" i="11"/>
  <c r="AC803" i="11"/>
  <c r="AC804" i="11"/>
  <c r="AC805" i="11"/>
  <c r="AC806" i="11"/>
  <c r="AC807" i="11"/>
  <c r="AC808" i="11"/>
  <c r="AC809" i="11"/>
  <c r="AC810" i="11"/>
  <c r="AC811" i="11"/>
  <c r="AC812" i="11"/>
  <c r="AC813" i="11"/>
  <c r="AC814" i="11"/>
  <c r="AC815" i="11"/>
  <c r="AC816" i="11"/>
  <c r="AC817" i="11"/>
  <c r="AC818" i="11"/>
  <c r="AC819" i="11"/>
  <c r="AC820" i="11"/>
  <c r="AC821" i="11"/>
  <c r="AC822" i="11"/>
  <c r="AC823" i="11"/>
  <c r="AC824" i="11"/>
  <c r="AC825" i="11"/>
  <c r="AC826" i="11"/>
  <c r="AC827" i="11"/>
  <c r="AC828" i="11"/>
  <c r="AC829" i="11"/>
  <c r="AC830" i="11"/>
  <c r="AC831" i="11"/>
  <c r="AC832" i="11"/>
  <c r="AC833" i="11"/>
  <c r="AC834" i="11"/>
  <c r="AC835" i="11"/>
  <c r="AC836" i="11"/>
  <c r="AC837" i="11"/>
  <c r="AC838" i="11"/>
  <c r="AC839" i="11"/>
  <c r="AC840" i="11"/>
  <c r="AC841" i="11"/>
  <c r="AC842" i="11"/>
  <c r="AC843" i="11"/>
  <c r="AC844" i="11"/>
  <c r="AC845" i="11"/>
  <c r="AC846" i="11"/>
  <c r="AC847" i="11"/>
  <c r="AC848" i="11"/>
  <c r="AC849" i="11"/>
  <c r="AC850" i="11"/>
  <c r="AC851" i="11"/>
  <c r="AC852" i="11"/>
  <c r="AC853" i="11"/>
  <c r="AC854" i="11"/>
  <c r="AC855" i="11"/>
  <c r="AC856" i="11"/>
  <c r="AC857" i="11"/>
  <c r="AC858" i="11"/>
  <c r="AC859" i="11"/>
  <c r="AC860" i="11"/>
  <c r="AC861" i="11"/>
  <c r="AC862" i="11"/>
  <c r="AC863" i="11"/>
  <c r="AC864" i="11"/>
  <c r="AC865" i="11"/>
  <c r="AC866" i="11"/>
  <c r="AC867" i="11"/>
  <c r="AC868" i="11"/>
  <c r="AC869" i="11"/>
  <c r="AC870" i="11"/>
  <c r="AC871" i="11"/>
  <c r="AC872" i="11"/>
  <c r="AC873" i="11"/>
  <c r="AC874" i="11"/>
  <c r="AC875" i="11"/>
  <c r="AC876" i="11"/>
  <c r="AC877" i="11"/>
  <c r="AC878" i="11"/>
  <c r="AC879" i="11"/>
  <c r="AC880" i="11"/>
  <c r="AC881" i="11"/>
  <c r="AC882" i="11"/>
  <c r="AC883" i="11"/>
  <c r="AC884" i="11"/>
  <c r="AC885" i="11"/>
  <c r="AC886" i="11"/>
  <c r="AC887" i="11"/>
  <c r="AC888" i="11"/>
  <c r="AC889" i="11"/>
  <c r="AC890" i="11"/>
  <c r="AC891" i="11"/>
  <c r="AC892" i="11"/>
  <c r="AC893" i="11"/>
  <c r="AC894" i="11"/>
  <c r="AC895" i="11"/>
  <c r="AC896" i="11"/>
  <c r="AC897" i="11"/>
  <c r="AC898" i="11"/>
  <c r="AC899" i="11"/>
  <c r="AC900" i="11"/>
  <c r="AC901" i="11"/>
  <c r="AC902" i="11"/>
  <c r="AC903" i="11"/>
  <c r="AC904" i="11"/>
  <c r="AC905" i="11"/>
  <c r="AC906" i="11"/>
  <c r="AC907" i="11"/>
  <c r="AC908" i="11"/>
  <c r="AC909" i="11"/>
  <c r="AC910" i="11"/>
  <c r="AC911" i="11"/>
  <c r="AC912" i="11"/>
  <c r="AC913" i="11"/>
  <c r="AC914" i="11"/>
  <c r="AC915" i="11"/>
  <c r="AC916" i="11"/>
  <c r="AC917" i="11"/>
  <c r="AC918" i="11"/>
  <c r="AC919" i="11"/>
  <c r="AC920" i="11"/>
  <c r="AC921" i="11"/>
  <c r="AC922" i="11"/>
  <c r="AC923" i="11"/>
  <c r="AC924" i="11"/>
  <c r="AC925" i="11"/>
  <c r="AC926" i="11"/>
  <c r="AC927" i="11"/>
  <c r="AC928" i="11"/>
  <c r="AC929" i="11"/>
  <c r="AC930" i="11"/>
  <c r="AC931" i="11"/>
  <c r="AC932" i="11"/>
  <c r="AC933" i="11"/>
  <c r="AC934" i="11"/>
  <c r="AC935" i="11"/>
  <c r="AC936" i="11"/>
  <c r="AC937" i="11"/>
  <c r="AC938" i="11"/>
  <c r="AC939" i="11"/>
  <c r="AC940" i="11"/>
  <c r="AC941" i="11"/>
  <c r="AC942" i="11"/>
  <c r="AC943" i="11"/>
  <c r="AC944" i="11"/>
  <c r="AC945" i="11"/>
  <c r="AC946" i="11"/>
  <c r="AC947" i="11"/>
  <c r="AC948" i="11"/>
  <c r="AC949" i="11"/>
  <c r="AC950" i="11"/>
  <c r="AC951" i="11"/>
  <c r="AC952" i="11"/>
  <c r="AC953" i="11"/>
  <c r="AC954" i="11"/>
  <c r="AC955" i="11"/>
  <c r="AC956" i="11"/>
  <c r="AC957" i="11"/>
  <c r="AC958" i="11"/>
  <c r="AC959" i="11"/>
  <c r="AC960" i="11"/>
  <c r="AC961" i="11"/>
  <c r="AC962" i="11"/>
  <c r="AC963" i="11"/>
  <c r="AC964" i="11"/>
  <c r="AC965" i="11"/>
  <c r="AC966" i="11"/>
  <c r="AC967" i="11"/>
  <c r="AC968" i="11"/>
  <c r="AC969" i="11"/>
  <c r="AC970" i="11"/>
  <c r="AC971" i="11"/>
  <c r="AC972" i="11"/>
  <c r="AC973" i="11"/>
  <c r="AC975" i="11"/>
  <c r="AC976" i="11"/>
  <c r="AC978" i="11"/>
  <c r="AC979" i="11"/>
  <c r="AC980" i="11"/>
  <c r="AC981" i="11"/>
  <c r="AC982" i="11"/>
  <c r="AC983" i="11"/>
  <c r="AC984" i="11"/>
  <c r="AC985" i="11"/>
  <c r="AC986" i="11"/>
  <c r="AC987" i="11"/>
  <c r="AC988" i="11"/>
  <c r="AC989" i="11"/>
  <c r="AC990" i="11"/>
  <c r="AC991" i="11"/>
  <c r="AC992" i="11"/>
  <c r="AC993" i="11"/>
  <c r="AC994" i="11"/>
  <c r="AC995" i="11"/>
  <c r="AC996" i="11"/>
  <c r="AC997" i="11"/>
  <c r="AC998" i="11"/>
  <c r="AC999" i="11"/>
  <c r="AC1000" i="11"/>
  <c r="AC1001" i="11"/>
  <c r="AC1002" i="11"/>
  <c r="AC1003" i="11"/>
  <c r="AC1004" i="11"/>
  <c r="AC1005" i="11"/>
  <c r="AC1006" i="11"/>
  <c r="AC1007" i="11"/>
  <c r="AC1008" i="11"/>
  <c r="AC1009" i="11"/>
  <c r="AC1010" i="11"/>
  <c r="AC1011" i="11"/>
  <c r="AC1012" i="11"/>
  <c r="AC1013" i="11"/>
  <c r="AC1014" i="11"/>
  <c r="AC1015" i="11"/>
  <c r="AC1016" i="11"/>
  <c r="AC1017" i="11"/>
  <c r="AC1018" i="11"/>
  <c r="AC1019" i="11"/>
  <c r="AC1020" i="11"/>
  <c r="AC1021" i="11"/>
  <c r="AC1022" i="11"/>
  <c r="AC1023" i="11"/>
  <c r="AC1024" i="11"/>
  <c r="AC1025" i="11"/>
  <c r="AC1026" i="11"/>
  <c r="AC1027" i="11"/>
  <c r="AC1028" i="11"/>
  <c r="AC1029" i="11"/>
  <c r="AC1030" i="11"/>
  <c r="AC1031" i="11"/>
  <c r="AC1032" i="11"/>
  <c r="AC1033" i="11"/>
  <c r="AC1034" i="11"/>
  <c r="AC1035" i="11"/>
  <c r="AC1036" i="11"/>
  <c r="AC1037" i="11"/>
  <c r="AC1038" i="11"/>
  <c r="AC1039" i="11"/>
  <c r="AC1040" i="11"/>
  <c r="AC1041" i="11"/>
  <c r="AC1042" i="11"/>
  <c r="AC1043" i="11"/>
  <c r="AC1044" i="11"/>
  <c r="AC1045" i="11"/>
  <c r="AC1046" i="11"/>
  <c r="AC1047" i="11"/>
  <c r="AC1048" i="11"/>
  <c r="AC1049" i="11"/>
  <c r="AC1050" i="11"/>
  <c r="AC1051" i="11"/>
  <c r="AC1052" i="11"/>
  <c r="AC1053" i="11"/>
  <c r="AC1054" i="11"/>
  <c r="AC1055" i="11"/>
  <c r="AC1056" i="11"/>
  <c r="AC1057" i="11"/>
  <c r="AC1058" i="11"/>
  <c r="AC1059" i="11"/>
  <c r="AC1060" i="11"/>
  <c r="AC1061" i="11"/>
  <c r="AC1062" i="11"/>
  <c r="AC1063" i="11"/>
  <c r="AC1064" i="11"/>
  <c r="AC1065" i="11"/>
  <c r="AC1066" i="11"/>
  <c r="AC1067" i="11"/>
  <c r="AC1068" i="11"/>
  <c r="AC1069" i="11"/>
  <c r="AC1070" i="11"/>
  <c r="AC1071" i="11"/>
  <c r="AC1072" i="11"/>
  <c r="AC1073" i="11"/>
  <c r="AC1075" i="11"/>
  <c r="AC1076" i="11"/>
  <c r="AC1077" i="11"/>
  <c r="AC1078" i="11"/>
  <c r="AC1079" i="11"/>
  <c r="AC1080" i="11"/>
  <c r="AC1081" i="11"/>
  <c r="AC1082" i="11"/>
  <c r="AC1083" i="11"/>
  <c r="AC1084" i="11"/>
  <c r="AC1085" i="11"/>
  <c r="AC1086" i="11"/>
  <c r="AC1087" i="11"/>
  <c r="AC1088" i="11"/>
  <c r="AC1089" i="11"/>
  <c r="AC1090" i="11"/>
  <c r="AC1091" i="11"/>
  <c r="AC1092" i="11"/>
  <c r="AC1093" i="11"/>
  <c r="AC1094" i="11"/>
  <c r="AC1095" i="11"/>
  <c r="AC1096" i="11"/>
  <c r="AC1097" i="11"/>
  <c r="AC1098" i="11"/>
  <c r="AC1099" i="11"/>
  <c r="AC1100" i="11"/>
  <c r="AC1101" i="11"/>
  <c r="AC1102" i="11"/>
  <c r="AC1103" i="11"/>
  <c r="AC1104" i="11"/>
  <c r="AC1105" i="11"/>
  <c r="AC1106" i="11"/>
  <c r="AC1107" i="11"/>
  <c r="AC1108" i="11"/>
  <c r="AC1109" i="11"/>
  <c r="AC1110" i="11"/>
  <c r="AC1111" i="11"/>
  <c r="AC1112" i="11"/>
  <c r="AC1113" i="11"/>
  <c r="AC1114" i="11"/>
  <c r="AC1115" i="11"/>
  <c r="AC1116" i="11"/>
  <c r="AC1117" i="11"/>
  <c r="AC1118" i="11"/>
  <c r="AC1119" i="11"/>
  <c r="AC1120" i="11"/>
  <c r="AC1121" i="11"/>
  <c r="AC1122" i="11"/>
  <c r="AC1123" i="11"/>
  <c r="AC1124" i="11"/>
  <c r="AC1125" i="11"/>
  <c r="AC1126" i="11"/>
  <c r="AC1127" i="11"/>
  <c r="AC1128" i="11"/>
  <c r="AC1129" i="11"/>
  <c r="AC1130" i="11"/>
  <c r="AC1131" i="11"/>
  <c r="AC1132" i="11"/>
  <c r="AC1133" i="11"/>
  <c r="AC1134" i="11"/>
  <c r="AC1135" i="11"/>
  <c r="AC1136" i="11"/>
  <c r="AC1137" i="11"/>
  <c r="AC1138" i="11"/>
  <c r="AC1139" i="11"/>
  <c r="AC1140" i="11"/>
  <c r="AC1141" i="11"/>
  <c r="AC1142" i="11"/>
  <c r="AC1143" i="11"/>
  <c r="AC1144" i="11"/>
  <c r="AC1145" i="11"/>
  <c r="AC1146" i="11"/>
  <c r="AC1147" i="11"/>
  <c r="AC1148" i="11"/>
  <c r="AC1149" i="11"/>
  <c r="AC1150" i="11"/>
  <c r="AC1151" i="11"/>
  <c r="AC1152" i="11"/>
  <c r="AC1153" i="11"/>
  <c r="AC1154" i="11"/>
  <c r="AC1155" i="11"/>
  <c r="AC1156" i="11"/>
  <c r="AC1157" i="11"/>
  <c r="AC1158" i="11"/>
  <c r="AC1159" i="11"/>
  <c r="AC1160" i="11"/>
  <c r="AC1161" i="11"/>
  <c r="AC1162" i="11"/>
  <c r="AC1163" i="11"/>
  <c r="AC1164" i="11"/>
  <c r="AC1165" i="11"/>
  <c r="AC1166" i="11"/>
  <c r="AC1167" i="11"/>
  <c r="AC1168" i="11"/>
  <c r="AC1169" i="11"/>
  <c r="AC1170" i="11"/>
  <c r="AC1171" i="11"/>
  <c r="AC1172" i="11"/>
  <c r="AC1173" i="11"/>
  <c r="AC1174" i="11"/>
  <c r="AC1175" i="11"/>
  <c r="AC1176" i="11"/>
  <c r="AC1177" i="11"/>
  <c r="AC1178" i="11"/>
  <c r="AC1179" i="11"/>
  <c r="AC1180" i="11"/>
  <c r="AC1181" i="11"/>
  <c r="AC1182" i="11"/>
  <c r="AC1183" i="11"/>
  <c r="AC1184" i="11"/>
  <c r="AC1185" i="11"/>
  <c r="AC1186" i="11"/>
  <c r="AC1187" i="11"/>
  <c r="AC1188" i="11"/>
  <c r="AC1189" i="11"/>
  <c r="AC1190" i="11"/>
  <c r="AC1191" i="11"/>
  <c r="AC1192" i="11"/>
  <c r="AC1193" i="11"/>
  <c r="AC1194" i="11"/>
  <c r="AC1195" i="11"/>
  <c r="AC1196" i="11"/>
  <c r="AC1197" i="11"/>
  <c r="AC1198" i="11"/>
  <c r="AC1199" i="11"/>
  <c r="AC1200" i="11"/>
  <c r="AC1201" i="11"/>
  <c r="AC1202" i="11"/>
  <c r="AC1203" i="11"/>
  <c r="AC1204" i="11"/>
  <c r="AC1205" i="11"/>
  <c r="AC1206" i="11"/>
  <c r="AC1207" i="11"/>
  <c r="AC1208" i="11"/>
  <c r="AC1209" i="11"/>
  <c r="AC1210" i="11"/>
  <c r="AC1211" i="11"/>
  <c r="AC1212" i="11"/>
  <c r="AC1213" i="11"/>
  <c r="AC1214" i="11"/>
  <c r="AC1215" i="11"/>
  <c r="AC1216" i="11"/>
  <c r="AC1217" i="11"/>
  <c r="AC1218" i="11"/>
  <c r="AC1219" i="11"/>
  <c r="AC1220" i="11"/>
  <c r="AC1221" i="11"/>
  <c r="AC1222" i="11"/>
  <c r="AC1223" i="11"/>
  <c r="AC1224" i="11"/>
  <c r="AC1225" i="11"/>
  <c r="AC1226" i="11"/>
  <c r="AC1227" i="11"/>
  <c r="AC1228" i="11"/>
  <c r="AC1229" i="11"/>
  <c r="AC1230" i="11"/>
  <c r="AC1231" i="11"/>
  <c r="AC1232" i="11"/>
  <c r="AC1233" i="11"/>
  <c r="AC1234" i="11"/>
  <c r="AC1235" i="11"/>
  <c r="AC1236" i="11"/>
  <c r="AC1237" i="11"/>
  <c r="AC1238" i="11"/>
  <c r="AC1239" i="11"/>
  <c r="AC1240" i="11"/>
  <c r="AC1241" i="11"/>
  <c r="AC1242" i="11"/>
  <c r="AC1243" i="11"/>
  <c r="AC1244" i="11"/>
  <c r="AC1245" i="11"/>
  <c r="AC1246" i="11"/>
  <c r="AC1247" i="11"/>
  <c r="AC1248" i="11"/>
  <c r="AC1249" i="11"/>
  <c r="AC1250" i="11"/>
  <c r="AC1251" i="11"/>
  <c r="AC1252" i="11"/>
  <c r="AC1253" i="11"/>
  <c r="AC1254" i="11"/>
  <c r="AC1255" i="11"/>
  <c r="AC1256" i="11"/>
  <c r="AC1257" i="11"/>
  <c r="AC1258" i="11"/>
  <c r="AC1259" i="11"/>
  <c r="AC1260" i="11"/>
  <c r="AC1261" i="11"/>
  <c r="AC1262" i="11"/>
  <c r="AC1263" i="11"/>
  <c r="AC1264" i="11"/>
  <c r="AC1265" i="11"/>
  <c r="AC1266" i="11"/>
  <c r="AC1267" i="11"/>
  <c r="AC1268" i="11"/>
  <c r="AC1269" i="11"/>
  <c r="AA1269" i="11"/>
  <c r="AA1253" i="11"/>
  <c r="AA1223" i="11"/>
  <c r="AA1237" i="11"/>
  <c r="AA1197" i="11"/>
  <c r="AA1198" i="11"/>
  <c r="AA1199" i="11"/>
  <c r="AA1112" i="11"/>
  <c r="AA1113" i="11"/>
  <c r="AA1114" i="11"/>
  <c r="AA1115" i="11"/>
  <c r="AA1116" i="11"/>
  <c r="AA954" i="11"/>
  <c r="AA955" i="11"/>
  <c r="AA956" i="11"/>
  <c r="AA957" i="11"/>
  <c r="AA958" i="11"/>
  <c r="AA959" i="11"/>
  <c r="AA960" i="11"/>
  <c r="AA709" i="11"/>
  <c r="AA710" i="11"/>
  <c r="AA711" i="11"/>
  <c r="AA712" i="11"/>
  <c r="AA713" i="11"/>
  <c r="AA714" i="11"/>
  <c r="AA715" i="11"/>
  <c r="V716" i="11"/>
  <c r="W716" i="11"/>
  <c r="X716" i="11"/>
  <c r="Y716" i="11"/>
  <c r="Z716" i="11"/>
  <c r="AA716" i="11"/>
  <c r="AB716" i="11"/>
  <c r="AD716" i="11"/>
  <c r="AE716" i="11"/>
  <c r="AF716" i="11"/>
  <c r="AG716" i="11"/>
  <c r="V717" i="11"/>
  <c r="W717" i="11"/>
  <c r="X717" i="11"/>
  <c r="Y717" i="11"/>
  <c r="Z717" i="11"/>
  <c r="AA717" i="11"/>
  <c r="AB717" i="11"/>
  <c r="AD717" i="11"/>
  <c r="AE717" i="11"/>
  <c r="AF717" i="11"/>
  <c r="AG717" i="11"/>
  <c r="V718" i="11"/>
  <c r="W718" i="11"/>
  <c r="X718" i="11"/>
  <c r="Y718" i="11"/>
  <c r="AA718" i="11"/>
  <c r="AB718" i="11"/>
  <c r="AD718" i="11"/>
  <c r="AE718" i="11"/>
  <c r="AF718" i="11"/>
  <c r="AG718" i="11"/>
  <c r="V719" i="11"/>
  <c r="W719" i="11"/>
  <c r="X719" i="11"/>
  <c r="Y719" i="11"/>
  <c r="Z719" i="11"/>
  <c r="AA719" i="11"/>
  <c r="AB719" i="11"/>
  <c r="AD719" i="11"/>
  <c r="AE719" i="11"/>
  <c r="AF719" i="11"/>
  <c r="AG719" i="11"/>
  <c r="V720" i="11"/>
  <c r="W720" i="11"/>
  <c r="X720" i="11"/>
  <c r="Y720" i="11"/>
  <c r="Z720" i="11"/>
  <c r="AA720" i="11"/>
  <c r="AB720" i="11"/>
  <c r="AD720" i="11"/>
  <c r="AE720" i="11"/>
  <c r="AF720" i="11"/>
  <c r="AG720" i="11"/>
  <c r="V721" i="11"/>
  <c r="W721" i="11"/>
  <c r="X721" i="11"/>
  <c r="Y721" i="11"/>
  <c r="Z721" i="11"/>
  <c r="AA721" i="11"/>
  <c r="AB721" i="11"/>
  <c r="AD721" i="11"/>
  <c r="AE721" i="11"/>
  <c r="AF721" i="11"/>
  <c r="AG721" i="11"/>
  <c r="V722" i="11"/>
  <c r="W722" i="11"/>
  <c r="X722" i="11"/>
  <c r="Y722" i="11"/>
  <c r="Z722" i="11"/>
  <c r="AA722" i="11"/>
  <c r="AB722" i="11"/>
  <c r="AD722" i="11"/>
  <c r="AE722" i="11"/>
  <c r="AF722" i="11"/>
  <c r="AG722" i="11"/>
  <c r="V723" i="11"/>
  <c r="W723" i="11"/>
  <c r="X723" i="11"/>
  <c r="Y723" i="11"/>
  <c r="Z723" i="11"/>
  <c r="AA723" i="11"/>
  <c r="AB723" i="11"/>
  <c r="AD723" i="11"/>
  <c r="AE723" i="11"/>
  <c r="AF723" i="11"/>
  <c r="AG723" i="11"/>
  <c r="V724" i="11"/>
  <c r="W724" i="11"/>
  <c r="X724" i="11"/>
  <c r="Y724" i="11"/>
  <c r="Z724" i="11"/>
  <c r="AA724" i="11"/>
  <c r="AB724" i="11"/>
  <c r="AD724" i="11"/>
  <c r="AE724" i="11"/>
  <c r="AF724" i="11"/>
  <c r="AG724" i="11"/>
  <c r="V725" i="11"/>
  <c r="W725" i="11"/>
  <c r="X725" i="11"/>
  <c r="Y725" i="11"/>
  <c r="Z725" i="11"/>
  <c r="AA725" i="11"/>
  <c r="AB725" i="11"/>
  <c r="AD725" i="11"/>
  <c r="AE725" i="11"/>
  <c r="AF725" i="11"/>
  <c r="AG725" i="11"/>
  <c r="V726" i="11"/>
  <c r="W726" i="11"/>
  <c r="X726" i="11"/>
  <c r="Y726" i="11"/>
  <c r="Z726" i="11"/>
  <c r="AA726" i="11"/>
  <c r="AB726" i="11"/>
  <c r="AD726" i="11"/>
  <c r="AE726" i="11"/>
  <c r="AF726" i="11"/>
  <c r="AG726" i="11"/>
  <c r="V727" i="11"/>
  <c r="W727" i="11"/>
  <c r="X727" i="11"/>
  <c r="Y727" i="11"/>
  <c r="Z727" i="11"/>
  <c r="AA727" i="11"/>
  <c r="AB727" i="11"/>
  <c r="AD727" i="11"/>
  <c r="AE727" i="11"/>
  <c r="AF727" i="11"/>
  <c r="AG727" i="11"/>
  <c r="V728" i="11"/>
  <c r="W728" i="11"/>
  <c r="X728" i="11"/>
  <c r="Y728" i="11"/>
  <c r="Z728" i="11"/>
  <c r="AA728" i="11"/>
  <c r="AB728" i="11"/>
  <c r="AD728" i="11"/>
  <c r="AE728" i="11"/>
  <c r="AF728" i="11"/>
  <c r="AG728" i="11"/>
  <c r="V729" i="11"/>
  <c r="W729" i="11"/>
  <c r="X729" i="11"/>
  <c r="Y729" i="11"/>
  <c r="Z729" i="11"/>
  <c r="AA729" i="11"/>
  <c r="AB729" i="11"/>
  <c r="AD729" i="11"/>
  <c r="AE729" i="11"/>
  <c r="AF729" i="11"/>
  <c r="AG729" i="11"/>
  <c r="V730" i="11"/>
  <c r="W730" i="11"/>
  <c r="X730" i="11"/>
  <c r="Y730" i="11"/>
  <c r="Z730" i="11"/>
  <c r="AA730" i="11"/>
  <c r="AB730" i="11"/>
  <c r="AD730" i="11"/>
  <c r="AE730" i="11"/>
  <c r="AF730" i="11"/>
  <c r="AG730" i="11"/>
  <c r="V731" i="11"/>
  <c r="W731" i="11"/>
  <c r="X731" i="11"/>
  <c r="Y731" i="11"/>
  <c r="Z731" i="11"/>
  <c r="AA731" i="11"/>
  <c r="AB731" i="11"/>
  <c r="AD731" i="11"/>
  <c r="AE731" i="11"/>
  <c r="AF731" i="11"/>
  <c r="AG731" i="11"/>
  <c r="V732" i="11"/>
  <c r="W732" i="11"/>
  <c r="X732" i="11"/>
  <c r="Y732" i="11"/>
  <c r="Z732" i="11"/>
  <c r="AA732" i="11"/>
  <c r="AB732" i="11"/>
  <c r="AD732" i="11"/>
  <c r="AE732" i="11"/>
  <c r="AF732" i="11"/>
  <c r="AG732" i="11"/>
  <c r="V733" i="11"/>
  <c r="W733" i="11"/>
  <c r="X733" i="11"/>
  <c r="Y733" i="11"/>
  <c r="Z733" i="11"/>
  <c r="AA733" i="11"/>
  <c r="AB733" i="11"/>
  <c r="AD733" i="11"/>
  <c r="AE733" i="11"/>
  <c r="AF733" i="11"/>
  <c r="AG733" i="11"/>
  <c r="V734" i="11"/>
  <c r="W734" i="11"/>
  <c r="X734" i="11"/>
  <c r="Y734" i="11"/>
  <c r="Z734" i="11"/>
  <c r="AA734" i="11"/>
  <c r="AB734" i="11"/>
  <c r="AD734" i="11"/>
  <c r="AE734" i="11"/>
  <c r="AF734" i="11"/>
  <c r="AG734" i="11"/>
  <c r="V735" i="11"/>
  <c r="W735" i="11"/>
  <c r="X735" i="11"/>
  <c r="Y735" i="11"/>
  <c r="Z735" i="11"/>
  <c r="AA735" i="11"/>
  <c r="AB735" i="11"/>
  <c r="AD735" i="11"/>
  <c r="AE735" i="11"/>
  <c r="AF735" i="11"/>
  <c r="AG735" i="11"/>
  <c r="V736" i="11"/>
  <c r="W736" i="11"/>
  <c r="X736" i="11"/>
  <c r="Y736" i="11"/>
  <c r="Z736" i="11"/>
  <c r="AA736" i="11"/>
  <c r="AB736" i="11"/>
  <c r="AD736" i="11"/>
  <c r="AE736" i="11"/>
  <c r="AF736" i="11"/>
  <c r="AG736" i="11"/>
  <c r="V737" i="11"/>
  <c r="W737" i="11"/>
  <c r="X737" i="11"/>
  <c r="Y737" i="11"/>
  <c r="Z737" i="11"/>
  <c r="AA737" i="11"/>
  <c r="AB737" i="11"/>
  <c r="AD737" i="11"/>
  <c r="AE737" i="11"/>
  <c r="AF737" i="11"/>
  <c r="AG737" i="11"/>
  <c r="V738" i="11"/>
  <c r="W738" i="11"/>
  <c r="X738" i="11"/>
  <c r="Y738" i="11"/>
  <c r="Z738" i="11"/>
  <c r="AA738" i="11"/>
  <c r="AB738" i="11"/>
  <c r="AD738" i="11"/>
  <c r="AE738" i="11"/>
  <c r="AF738" i="11"/>
  <c r="AG738" i="11"/>
  <c r="V739" i="11"/>
  <c r="W739" i="11"/>
  <c r="X739" i="11"/>
  <c r="Y739" i="11"/>
  <c r="Z739" i="11"/>
  <c r="AA739" i="11"/>
  <c r="AB739" i="11"/>
  <c r="AD739" i="11"/>
  <c r="AE739" i="11"/>
  <c r="AF739" i="11"/>
  <c r="AG739" i="11"/>
  <c r="V740" i="11"/>
  <c r="W740" i="11"/>
  <c r="X740" i="11"/>
  <c r="Y740" i="11"/>
  <c r="Z740" i="11"/>
  <c r="AA740" i="11"/>
  <c r="AB740" i="11"/>
  <c r="AD740" i="11"/>
  <c r="AE740" i="11"/>
  <c r="AF740" i="11"/>
  <c r="AG740" i="11"/>
  <c r="V741" i="11"/>
  <c r="W741" i="11"/>
  <c r="X741" i="11"/>
  <c r="Y741" i="11"/>
  <c r="Z741" i="11"/>
  <c r="AA741" i="11"/>
  <c r="AB741" i="11"/>
  <c r="AD741" i="11"/>
  <c r="AE741" i="11"/>
  <c r="AF741" i="11"/>
  <c r="AG741" i="11"/>
  <c r="V742" i="11"/>
  <c r="W742" i="11"/>
  <c r="X742" i="11"/>
  <c r="Y742" i="11"/>
  <c r="Z742" i="11"/>
  <c r="AA742" i="11"/>
  <c r="AB742" i="11"/>
  <c r="AD742" i="11"/>
  <c r="AE742" i="11"/>
  <c r="AF742" i="11"/>
  <c r="AG742" i="11"/>
  <c r="V743" i="11"/>
  <c r="W743" i="11"/>
  <c r="X743" i="11"/>
  <c r="Y743" i="11"/>
  <c r="Z743" i="11"/>
  <c r="AA743" i="11"/>
  <c r="AB743" i="11"/>
  <c r="AD743" i="11"/>
  <c r="AE743" i="11"/>
  <c r="AF743" i="11"/>
  <c r="AG743" i="11"/>
  <c r="V744" i="11"/>
  <c r="W744" i="11"/>
  <c r="X744" i="11"/>
  <c r="Y744" i="11"/>
  <c r="Z744" i="11"/>
  <c r="AA744" i="11"/>
  <c r="AB744" i="11"/>
  <c r="AD744" i="11"/>
  <c r="AE744" i="11"/>
  <c r="AF744" i="11"/>
  <c r="AG744" i="11"/>
  <c r="V745" i="11"/>
  <c r="W745" i="11"/>
  <c r="X745" i="11"/>
  <c r="Y745" i="11"/>
  <c r="Z745" i="11"/>
  <c r="AA745" i="11"/>
  <c r="AB745" i="11"/>
  <c r="AD745" i="11"/>
  <c r="AE745" i="11"/>
  <c r="AF745" i="11"/>
  <c r="AG745" i="11"/>
  <c r="V746" i="11"/>
  <c r="W746" i="11"/>
  <c r="X746" i="11"/>
  <c r="Y746" i="11"/>
  <c r="Z746" i="11"/>
  <c r="AA746" i="11"/>
  <c r="AB746" i="11"/>
  <c r="AD746" i="11"/>
  <c r="AE746" i="11"/>
  <c r="AF746" i="11"/>
  <c r="AG746" i="11"/>
  <c r="V747" i="11"/>
  <c r="W747" i="11"/>
  <c r="X747" i="11"/>
  <c r="Y747" i="11"/>
  <c r="Z747" i="11"/>
  <c r="AA747" i="11"/>
  <c r="AB747" i="11"/>
  <c r="AD747" i="11"/>
  <c r="AE747" i="11"/>
  <c r="AF747" i="11"/>
  <c r="AG747" i="11"/>
  <c r="V748" i="11"/>
  <c r="W748" i="11"/>
  <c r="X748" i="11"/>
  <c r="Y748" i="11"/>
  <c r="Z748" i="11"/>
  <c r="AA748" i="11"/>
  <c r="AB748" i="11"/>
  <c r="AD748" i="11"/>
  <c r="AE748" i="11"/>
  <c r="AF748" i="11"/>
  <c r="AG748" i="11"/>
  <c r="V749" i="11"/>
  <c r="W749" i="11"/>
  <c r="X749" i="11"/>
  <c r="Y749" i="11"/>
  <c r="Z749" i="11"/>
  <c r="AA749" i="11"/>
  <c r="AB749" i="11"/>
  <c r="AD749" i="11"/>
  <c r="AE749" i="11"/>
  <c r="AF749" i="11"/>
  <c r="AG749" i="11"/>
  <c r="V750" i="11"/>
  <c r="W750" i="11"/>
  <c r="X750" i="11"/>
  <c r="Y750" i="11"/>
  <c r="Z750" i="11"/>
  <c r="AA750" i="11"/>
  <c r="AB750" i="11"/>
  <c r="AD750" i="11"/>
  <c r="AE750" i="11"/>
  <c r="AF750" i="11"/>
  <c r="AG750" i="11"/>
  <c r="V751" i="11"/>
  <c r="W751" i="11"/>
  <c r="X751" i="11"/>
  <c r="Y751" i="11"/>
  <c r="Z751" i="11"/>
  <c r="AA751" i="11"/>
  <c r="AB751" i="11"/>
  <c r="AD751" i="11"/>
  <c r="AE751" i="11"/>
  <c r="AF751" i="11"/>
  <c r="AG751" i="11"/>
  <c r="V752" i="11"/>
  <c r="W752" i="11"/>
  <c r="X752" i="11"/>
  <c r="Y752" i="11"/>
  <c r="Z752" i="11"/>
  <c r="AA752" i="11"/>
  <c r="AB752" i="11"/>
  <c r="AD752" i="11"/>
  <c r="AE752" i="11"/>
  <c r="AF752" i="11"/>
  <c r="AG752" i="11"/>
  <c r="V753" i="11"/>
  <c r="W753" i="11"/>
  <c r="X753" i="11"/>
  <c r="Y753" i="11"/>
  <c r="Z753" i="11"/>
  <c r="AA753" i="11"/>
  <c r="AB753" i="11"/>
  <c r="AD753" i="11"/>
  <c r="AE753" i="11"/>
  <c r="AF753" i="11"/>
  <c r="AG753" i="11"/>
  <c r="V754" i="11"/>
  <c r="W754" i="11"/>
  <c r="X754" i="11"/>
  <c r="Y754" i="11"/>
  <c r="Z754" i="11"/>
  <c r="AA754" i="11"/>
  <c r="AB754" i="11"/>
  <c r="AD754" i="11"/>
  <c r="AE754" i="11"/>
  <c r="AF754" i="11"/>
  <c r="AG754" i="11"/>
  <c r="V755" i="11"/>
  <c r="W755" i="11"/>
  <c r="X755" i="11"/>
  <c r="Y755" i="11"/>
  <c r="Z755" i="11"/>
  <c r="AA755" i="11"/>
  <c r="AB755" i="11"/>
  <c r="AD755" i="11"/>
  <c r="AE755" i="11"/>
  <c r="AF755" i="11"/>
  <c r="AG755" i="11"/>
  <c r="V756" i="11"/>
  <c r="W756" i="11"/>
  <c r="X756" i="11"/>
  <c r="Y756" i="11"/>
  <c r="Z756" i="11"/>
  <c r="AA756" i="11"/>
  <c r="AB756" i="11"/>
  <c r="AD756" i="11"/>
  <c r="AE756" i="11"/>
  <c r="AF756" i="11"/>
  <c r="AG756" i="11"/>
  <c r="V757" i="11"/>
  <c r="W757" i="11"/>
  <c r="X757" i="11"/>
  <c r="Y757" i="11"/>
  <c r="Z757" i="11"/>
  <c r="AA757" i="11"/>
  <c r="AB757" i="11"/>
  <c r="AD757" i="11"/>
  <c r="AE757" i="11"/>
  <c r="AF757" i="11"/>
  <c r="AG757" i="11"/>
  <c r="V758" i="11"/>
  <c r="W758" i="11"/>
  <c r="X758" i="11"/>
  <c r="Y758" i="11"/>
  <c r="Z758" i="11"/>
  <c r="AA758" i="11"/>
  <c r="AB758" i="11"/>
  <c r="AD758" i="11"/>
  <c r="AE758" i="11"/>
  <c r="AF758" i="11"/>
  <c r="AG758" i="11"/>
  <c r="V759" i="11"/>
  <c r="W759" i="11"/>
  <c r="X759" i="11"/>
  <c r="Y759" i="11"/>
  <c r="Z759" i="11"/>
  <c r="AA759" i="11"/>
  <c r="AB759" i="11"/>
  <c r="AD759" i="11"/>
  <c r="AE759" i="11"/>
  <c r="AF759" i="11"/>
  <c r="AG759" i="11"/>
  <c r="V760" i="11"/>
  <c r="W760" i="11"/>
  <c r="X760" i="11"/>
  <c r="Y760" i="11"/>
  <c r="Z760" i="11"/>
  <c r="AA760" i="11"/>
  <c r="AB760" i="11"/>
  <c r="AD760" i="11"/>
  <c r="AE760" i="11"/>
  <c r="AF760" i="11"/>
  <c r="AG760" i="11"/>
  <c r="V761" i="11"/>
  <c r="W761" i="11"/>
  <c r="X761" i="11"/>
  <c r="Y761" i="11"/>
  <c r="Z761" i="11"/>
  <c r="AA761" i="11"/>
  <c r="AB761" i="11"/>
  <c r="AD761" i="11"/>
  <c r="AE761" i="11"/>
  <c r="AF761" i="11"/>
  <c r="AG761" i="11"/>
  <c r="V762" i="11"/>
  <c r="W762" i="11"/>
  <c r="X762" i="11"/>
  <c r="Y762" i="11"/>
  <c r="Z762" i="11"/>
  <c r="AA762" i="11"/>
  <c r="AB762" i="11"/>
  <c r="AD762" i="11"/>
  <c r="AE762" i="11"/>
  <c r="AF762" i="11"/>
  <c r="AG762" i="11"/>
  <c r="V763" i="11"/>
  <c r="W763" i="11"/>
  <c r="X763" i="11"/>
  <c r="Y763" i="11"/>
  <c r="Z763" i="11"/>
  <c r="AA763" i="11"/>
  <c r="AB763" i="11"/>
  <c r="AD763" i="11"/>
  <c r="AE763" i="11"/>
  <c r="AF763" i="11"/>
  <c r="AG763" i="11"/>
  <c r="V764" i="11"/>
  <c r="W764" i="11"/>
  <c r="X764" i="11"/>
  <c r="Y764" i="11"/>
  <c r="Z764" i="11"/>
  <c r="AA764" i="11"/>
  <c r="AB764" i="11"/>
  <c r="AD764" i="11"/>
  <c r="AE764" i="11"/>
  <c r="AF764" i="11"/>
  <c r="AG764" i="11"/>
  <c r="V765" i="11"/>
  <c r="W765" i="11"/>
  <c r="X765" i="11"/>
  <c r="Y765" i="11"/>
  <c r="Z765" i="11"/>
  <c r="AA765" i="11"/>
  <c r="AB765" i="11"/>
  <c r="AD765" i="11"/>
  <c r="AE765" i="11"/>
  <c r="AF765" i="11"/>
  <c r="AG765" i="11"/>
  <c r="V766" i="11"/>
  <c r="W766" i="11"/>
  <c r="X766" i="11"/>
  <c r="Y766" i="11"/>
  <c r="Z766" i="11"/>
  <c r="AA766" i="11"/>
  <c r="AB766" i="11"/>
  <c r="AD766" i="11"/>
  <c r="AE766" i="11"/>
  <c r="AF766" i="11"/>
  <c r="AG766" i="11"/>
  <c r="V767" i="11"/>
  <c r="W767" i="11"/>
  <c r="X767" i="11"/>
  <c r="Y767" i="11"/>
  <c r="Z767" i="11"/>
  <c r="AA767" i="11"/>
  <c r="AB767" i="11"/>
  <c r="AD767" i="11"/>
  <c r="AE767" i="11"/>
  <c r="AF767" i="11"/>
  <c r="AG767" i="11"/>
  <c r="V768" i="11"/>
  <c r="W768" i="11"/>
  <c r="X768" i="11"/>
  <c r="Y768" i="11"/>
  <c r="Z768" i="11"/>
  <c r="AA768" i="11"/>
  <c r="AB768" i="11"/>
  <c r="AD768" i="11"/>
  <c r="AE768" i="11"/>
  <c r="AF768" i="11"/>
  <c r="AG768" i="11"/>
  <c r="V769" i="11"/>
  <c r="W769" i="11"/>
  <c r="X769" i="11"/>
  <c r="Y769" i="11"/>
  <c r="Z769" i="11"/>
  <c r="AA769" i="11"/>
  <c r="AB769" i="11"/>
  <c r="AD769" i="11"/>
  <c r="AE769" i="11"/>
  <c r="AF769" i="11"/>
  <c r="AG769" i="11"/>
  <c r="V770" i="11"/>
  <c r="W770" i="11"/>
  <c r="X770" i="11"/>
  <c r="Y770" i="11"/>
  <c r="Z770" i="11"/>
  <c r="AA770" i="11"/>
  <c r="AB770" i="11"/>
  <c r="AD770" i="11"/>
  <c r="AE770" i="11"/>
  <c r="AF770" i="11"/>
  <c r="AG770" i="11"/>
  <c r="V771" i="11"/>
  <c r="W771" i="11"/>
  <c r="X771" i="11"/>
  <c r="Y771" i="11"/>
  <c r="Z771" i="11"/>
  <c r="AA771" i="11"/>
  <c r="AB771" i="11"/>
  <c r="AD771" i="11"/>
  <c r="AE771" i="11"/>
  <c r="AF771" i="11"/>
  <c r="AG771" i="11"/>
  <c r="V772" i="11"/>
  <c r="W772" i="11"/>
  <c r="X772" i="11"/>
  <c r="Y772" i="11"/>
  <c r="Z772" i="11"/>
  <c r="AA772" i="11"/>
  <c r="AB772" i="11"/>
  <c r="AD772" i="11"/>
  <c r="AE772" i="11"/>
  <c r="AF772" i="11"/>
  <c r="AG772" i="11"/>
  <c r="V773" i="11"/>
  <c r="W773" i="11"/>
  <c r="X773" i="11"/>
  <c r="Y773" i="11"/>
  <c r="Z773" i="11"/>
  <c r="AA773" i="11"/>
  <c r="AB773" i="11"/>
  <c r="AD773" i="11"/>
  <c r="AE773" i="11"/>
  <c r="AF773" i="11"/>
  <c r="AG773" i="11"/>
  <c r="V774" i="11"/>
  <c r="W774" i="11"/>
  <c r="X774" i="11"/>
  <c r="Y774" i="11"/>
  <c r="Z774" i="11"/>
  <c r="AA774" i="11"/>
  <c r="AB774" i="11"/>
  <c r="AD774" i="11"/>
  <c r="AE774" i="11"/>
  <c r="AF774" i="11"/>
  <c r="AG774" i="11"/>
  <c r="V775" i="11"/>
  <c r="W775" i="11"/>
  <c r="X775" i="11"/>
  <c r="Y775" i="11"/>
  <c r="Z775" i="11"/>
  <c r="AA775" i="11"/>
  <c r="AB775" i="11"/>
  <c r="AD775" i="11"/>
  <c r="AE775" i="11"/>
  <c r="AF775" i="11"/>
  <c r="AG775" i="11"/>
  <c r="V776" i="11"/>
  <c r="W776" i="11"/>
  <c r="X776" i="11"/>
  <c r="Y776" i="11"/>
  <c r="Z776" i="11"/>
  <c r="AA776" i="11"/>
  <c r="AB776" i="11"/>
  <c r="AD776" i="11"/>
  <c r="AE776" i="11"/>
  <c r="AF776" i="11"/>
  <c r="AG776" i="11"/>
  <c r="V777" i="11"/>
  <c r="W777" i="11"/>
  <c r="X777" i="11"/>
  <c r="Y777" i="11"/>
  <c r="Z777" i="11"/>
  <c r="AA777" i="11"/>
  <c r="AB777" i="11"/>
  <c r="AD777" i="11"/>
  <c r="AE777" i="11"/>
  <c r="AF777" i="11"/>
  <c r="AG777" i="11"/>
  <c r="V778" i="11"/>
  <c r="W778" i="11"/>
  <c r="X778" i="11"/>
  <c r="Y778" i="11"/>
  <c r="Z778" i="11"/>
  <c r="AA778" i="11"/>
  <c r="AB778" i="11"/>
  <c r="AD778" i="11"/>
  <c r="AE778" i="11"/>
  <c r="AF778" i="11"/>
  <c r="AG778" i="11"/>
  <c r="V779" i="11"/>
  <c r="W779" i="11"/>
  <c r="X779" i="11"/>
  <c r="Y779" i="11"/>
  <c r="Z779" i="11"/>
  <c r="AA779" i="11"/>
  <c r="AB779" i="11"/>
  <c r="AD779" i="11"/>
  <c r="AE779" i="11"/>
  <c r="AF779" i="11"/>
  <c r="AG779" i="11"/>
  <c r="V780" i="11"/>
  <c r="W780" i="11"/>
  <c r="X780" i="11"/>
  <c r="Y780" i="11"/>
  <c r="Z780" i="11"/>
  <c r="AA780" i="11"/>
  <c r="AB780" i="11"/>
  <c r="AD780" i="11"/>
  <c r="AE780" i="11"/>
  <c r="AF780" i="11"/>
  <c r="AG780" i="11"/>
  <c r="V781" i="11"/>
  <c r="W781" i="11"/>
  <c r="X781" i="11"/>
  <c r="Y781" i="11"/>
  <c r="Z781" i="11"/>
  <c r="AA781" i="11"/>
  <c r="AB781" i="11"/>
  <c r="AD781" i="11"/>
  <c r="AE781" i="11"/>
  <c r="AF781" i="11"/>
  <c r="AG781" i="11"/>
  <c r="V782" i="11"/>
  <c r="W782" i="11"/>
  <c r="X782" i="11"/>
  <c r="Y782" i="11"/>
  <c r="Z782" i="11"/>
  <c r="AA782" i="11"/>
  <c r="AB782" i="11"/>
  <c r="AD782" i="11"/>
  <c r="AE782" i="11"/>
  <c r="AF782" i="11"/>
  <c r="AG782" i="11"/>
  <c r="V783" i="11"/>
  <c r="W783" i="11"/>
  <c r="X783" i="11"/>
  <c r="Y783" i="11"/>
  <c r="Z783" i="11"/>
  <c r="AA783" i="11"/>
  <c r="AB783" i="11"/>
  <c r="AD783" i="11"/>
  <c r="AE783" i="11"/>
  <c r="AF783" i="11"/>
  <c r="AG783" i="11"/>
  <c r="V784" i="11"/>
  <c r="W784" i="11"/>
  <c r="X784" i="11"/>
  <c r="Y784" i="11"/>
  <c r="Z784" i="11"/>
  <c r="AA784" i="11"/>
  <c r="AB784" i="11"/>
  <c r="AD784" i="11"/>
  <c r="AE784" i="11"/>
  <c r="AF784" i="11"/>
  <c r="AG784" i="11"/>
  <c r="V785" i="11"/>
  <c r="W785" i="11"/>
  <c r="X785" i="11"/>
  <c r="Y785" i="11"/>
  <c r="Z785" i="11"/>
  <c r="AA785" i="11"/>
  <c r="AB785" i="11"/>
  <c r="AD785" i="11"/>
  <c r="AE785" i="11"/>
  <c r="AF785" i="11"/>
  <c r="AG785" i="11"/>
  <c r="V786" i="11"/>
  <c r="W786" i="11"/>
  <c r="X786" i="11"/>
  <c r="Y786" i="11"/>
  <c r="Z786" i="11"/>
  <c r="AA786" i="11"/>
  <c r="AB786" i="11"/>
  <c r="AD786" i="11"/>
  <c r="AE786" i="11"/>
  <c r="AF786" i="11"/>
  <c r="AG786" i="11"/>
  <c r="V787" i="11"/>
  <c r="W787" i="11"/>
  <c r="X787" i="11"/>
  <c r="Y787" i="11"/>
  <c r="Z787" i="11"/>
  <c r="AA787" i="11"/>
  <c r="AB787" i="11"/>
  <c r="AD787" i="11"/>
  <c r="AE787" i="11"/>
  <c r="AF787" i="11"/>
  <c r="AG787" i="11"/>
  <c r="V788" i="11"/>
  <c r="W788" i="11"/>
  <c r="X788" i="11"/>
  <c r="Y788" i="11"/>
  <c r="Z788" i="11"/>
  <c r="AA788" i="11"/>
  <c r="AB788" i="11"/>
  <c r="AD788" i="11"/>
  <c r="AE788" i="11"/>
  <c r="AF788" i="11"/>
  <c r="AG788" i="11"/>
  <c r="V789" i="11"/>
  <c r="W789" i="11"/>
  <c r="X789" i="11"/>
  <c r="Y789" i="11"/>
  <c r="Z789" i="11"/>
  <c r="AA789" i="11"/>
  <c r="AB789" i="11"/>
  <c r="AD789" i="11"/>
  <c r="AE789" i="11"/>
  <c r="AF789" i="11"/>
  <c r="AG789" i="11"/>
  <c r="V790" i="11"/>
  <c r="W790" i="11"/>
  <c r="X790" i="11"/>
  <c r="Y790" i="11"/>
  <c r="Z790" i="11"/>
  <c r="AA790" i="11"/>
  <c r="AB790" i="11"/>
  <c r="AD790" i="11"/>
  <c r="AE790" i="11"/>
  <c r="AF790" i="11"/>
  <c r="AG790" i="11"/>
  <c r="V792" i="11"/>
  <c r="W792" i="11"/>
  <c r="X792" i="11"/>
  <c r="Y792" i="11"/>
  <c r="Z792" i="11"/>
  <c r="AA792" i="11"/>
  <c r="AB792" i="11"/>
  <c r="AD792" i="11"/>
  <c r="AE792" i="11"/>
  <c r="AF792" i="11"/>
  <c r="AG792" i="11"/>
  <c r="V793" i="11"/>
  <c r="W793" i="11"/>
  <c r="X793" i="11"/>
  <c r="Y793" i="11"/>
  <c r="Z793" i="11"/>
  <c r="AA793" i="11"/>
  <c r="AB793" i="11"/>
  <c r="AD793" i="11"/>
  <c r="AE793" i="11"/>
  <c r="AF793" i="11"/>
  <c r="AG793" i="11"/>
  <c r="V794" i="11"/>
  <c r="W794" i="11"/>
  <c r="X794" i="11"/>
  <c r="Y794" i="11"/>
  <c r="Z794" i="11"/>
  <c r="AA794" i="11"/>
  <c r="AB794" i="11"/>
  <c r="AD794" i="11"/>
  <c r="AE794" i="11"/>
  <c r="AF794" i="11"/>
  <c r="AG794" i="11"/>
  <c r="V795" i="11"/>
  <c r="W795" i="11"/>
  <c r="X795" i="11"/>
  <c r="Y795" i="11"/>
  <c r="Z795" i="11"/>
  <c r="AA795" i="11"/>
  <c r="AB795" i="11"/>
  <c r="AD795" i="11"/>
  <c r="AE795" i="11"/>
  <c r="AF795" i="11"/>
  <c r="AG795" i="11"/>
  <c r="V796" i="11"/>
  <c r="W796" i="11"/>
  <c r="X796" i="11"/>
  <c r="Y796" i="11"/>
  <c r="Z796" i="11"/>
  <c r="AA796" i="11"/>
  <c r="AB796" i="11"/>
  <c r="AD796" i="11"/>
  <c r="AE796" i="11"/>
  <c r="AF796" i="11"/>
  <c r="AG796" i="11"/>
  <c r="V797" i="11"/>
  <c r="W797" i="11"/>
  <c r="X797" i="11"/>
  <c r="Y797" i="11"/>
  <c r="Z797" i="11"/>
  <c r="AA797" i="11"/>
  <c r="AB797" i="11"/>
  <c r="AD797" i="11"/>
  <c r="AE797" i="11"/>
  <c r="AF797" i="11"/>
  <c r="AG797" i="11"/>
  <c r="V798" i="11"/>
  <c r="W798" i="11"/>
  <c r="X798" i="11"/>
  <c r="Y798" i="11"/>
  <c r="Z798" i="11"/>
  <c r="AA798" i="11"/>
  <c r="AB798" i="11"/>
  <c r="AD798" i="11"/>
  <c r="AE798" i="11"/>
  <c r="AF798" i="11"/>
  <c r="AG798" i="11"/>
  <c r="V799" i="11"/>
  <c r="W799" i="11"/>
  <c r="X799" i="11"/>
  <c r="Y799" i="11"/>
  <c r="Z799" i="11"/>
  <c r="AA799" i="11"/>
  <c r="AB799" i="11"/>
  <c r="AD799" i="11"/>
  <c r="AE799" i="11"/>
  <c r="AF799" i="11"/>
  <c r="AG799" i="11"/>
  <c r="V800" i="11"/>
  <c r="W800" i="11"/>
  <c r="X800" i="11"/>
  <c r="Y800" i="11"/>
  <c r="Z800" i="11"/>
  <c r="AA800" i="11"/>
  <c r="AB800" i="11"/>
  <c r="AD800" i="11"/>
  <c r="AE800" i="11"/>
  <c r="AF800" i="11"/>
  <c r="AG800" i="11"/>
  <c r="V801" i="11"/>
  <c r="W801" i="11"/>
  <c r="X801" i="11"/>
  <c r="Y801" i="11"/>
  <c r="Z801" i="11"/>
  <c r="AA801" i="11"/>
  <c r="AB801" i="11"/>
  <c r="AD801" i="11"/>
  <c r="AE801" i="11"/>
  <c r="AF801" i="11"/>
  <c r="AG801" i="11"/>
  <c r="V802" i="11"/>
  <c r="W802" i="11"/>
  <c r="X802" i="11"/>
  <c r="Y802" i="11"/>
  <c r="Z802" i="11"/>
  <c r="AA802" i="11"/>
  <c r="AB802" i="11"/>
  <c r="AD802" i="11"/>
  <c r="AE802" i="11"/>
  <c r="AF802" i="11"/>
  <c r="AG802" i="11"/>
  <c r="V803" i="11"/>
  <c r="W803" i="11"/>
  <c r="X803" i="11"/>
  <c r="Y803" i="11"/>
  <c r="Z803" i="11"/>
  <c r="AA803" i="11"/>
  <c r="AB803" i="11"/>
  <c r="AD803" i="11"/>
  <c r="AE803" i="11"/>
  <c r="AF803" i="11"/>
  <c r="AG803" i="11"/>
  <c r="V804" i="11"/>
  <c r="W804" i="11"/>
  <c r="X804" i="11"/>
  <c r="Y804" i="11"/>
  <c r="Z804" i="11"/>
  <c r="AA804" i="11"/>
  <c r="AB804" i="11"/>
  <c r="AD804" i="11"/>
  <c r="AE804" i="11"/>
  <c r="AF804" i="11"/>
  <c r="AG804" i="11"/>
  <c r="V805" i="11"/>
  <c r="W805" i="11"/>
  <c r="X805" i="11"/>
  <c r="Y805" i="11"/>
  <c r="Z805" i="11"/>
  <c r="AA805" i="11"/>
  <c r="AB805" i="11"/>
  <c r="AD805" i="11"/>
  <c r="AE805" i="11"/>
  <c r="AF805" i="11"/>
  <c r="AG805" i="11"/>
  <c r="V806" i="11"/>
  <c r="W806" i="11"/>
  <c r="X806" i="11"/>
  <c r="Y806" i="11"/>
  <c r="Z806" i="11"/>
  <c r="AA806" i="11"/>
  <c r="AB806" i="11"/>
  <c r="AD806" i="11"/>
  <c r="AE806" i="11"/>
  <c r="AF806" i="11"/>
  <c r="AG806" i="11"/>
  <c r="V807" i="11"/>
  <c r="W807" i="11"/>
  <c r="X807" i="11"/>
  <c r="Y807" i="11"/>
  <c r="Z807" i="11"/>
  <c r="AA807" i="11"/>
  <c r="AB807" i="11"/>
  <c r="AD807" i="11"/>
  <c r="AE807" i="11"/>
  <c r="AF807" i="11"/>
  <c r="AG807" i="11"/>
  <c r="V808" i="11"/>
  <c r="W808" i="11"/>
  <c r="X808" i="11"/>
  <c r="Y808" i="11"/>
  <c r="Z808" i="11"/>
  <c r="AA808" i="11"/>
  <c r="AB808" i="11"/>
  <c r="AD808" i="11"/>
  <c r="AE808" i="11"/>
  <c r="AF808" i="11"/>
  <c r="AG808" i="11"/>
  <c r="V809" i="11"/>
  <c r="W809" i="11"/>
  <c r="X809" i="11"/>
  <c r="Y809" i="11"/>
  <c r="Z809" i="11"/>
  <c r="AA809" i="11"/>
  <c r="AB809" i="11"/>
  <c r="AD809" i="11"/>
  <c r="AE809" i="11"/>
  <c r="AF809" i="11"/>
  <c r="AG809" i="11"/>
  <c r="V810" i="11"/>
  <c r="W810" i="11"/>
  <c r="X810" i="11"/>
  <c r="Y810" i="11"/>
  <c r="Z810" i="11"/>
  <c r="AA810" i="11"/>
  <c r="AB810" i="11"/>
  <c r="AD810" i="11"/>
  <c r="AE810" i="11"/>
  <c r="AF810" i="11"/>
  <c r="AG810" i="11"/>
  <c r="V811" i="11"/>
  <c r="W811" i="11"/>
  <c r="X811" i="11"/>
  <c r="Y811" i="11"/>
  <c r="Z811" i="11"/>
  <c r="AA811" i="11"/>
  <c r="AB811" i="11"/>
  <c r="AD811" i="11"/>
  <c r="AE811" i="11"/>
  <c r="AF811" i="11"/>
  <c r="AG811" i="11"/>
  <c r="V812" i="11"/>
  <c r="W812" i="11"/>
  <c r="X812" i="11"/>
  <c r="Y812" i="11"/>
  <c r="Z812" i="11"/>
  <c r="AA812" i="11"/>
  <c r="AB812" i="11"/>
  <c r="AD812" i="11"/>
  <c r="AE812" i="11"/>
  <c r="AF812" i="11"/>
  <c r="AG812" i="11"/>
  <c r="V813" i="11"/>
  <c r="W813" i="11"/>
  <c r="X813" i="11"/>
  <c r="Y813" i="11"/>
  <c r="Z813" i="11"/>
  <c r="AA813" i="11"/>
  <c r="AB813" i="11"/>
  <c r="AD813" i="11"/>
  <c r="AE813" i="11"/>
  <c r="AF813" i="11"/>
  <c r="AG813" i="11"/>
  <c r="V814" i="11"/>
  <c r="W814" i="11"/>
  <c r="X814" i="11"/>
  <c r="Y814" i="11"/>
  <c r="Z814" i="11"/>
  <c r="AA814" i="11"/>
  <c r="AB814" i="11"/>
  <c r="AD814" i="11"/>
  <c r="AE814" i="11"/>
  <c r="AF814" i="11"/>
  <c r="AG814" i="11"/>
  <c r="V815" i="11"/>
  <c r="W815" i="11"/>
  <c r="X815" i="11"/>
  <c r="Y815" i="11"/>
  <c r="Z815" i="11"/>
  <c r="AA815" i="11"/>
  <c r="AB815" i="11"/>
  <c r="AD815" i="11"/>
  <c r="AE815" i="11"/>
  <c r="AF815" i="11"/>
  <c r="AG815" i="11"/>
  <c r="V816" i="11"/>
  <c r="W816" i="11"/>
  <c r="X816" i="11"/>
  <c r="Y816" i="11"/>
  <c r="Z816" i="11"/>
  <c r="AA816" i="11"/>
  <c r="AB816" i="11"/>
  <c r="AD816" i="11"/>
  <c r="AE816" i="11"/>
  <c r="AF816" i="11"/>
  <c r="AG816" i="11"/>
  <c r="V817" i="11"/>
  <c r="W817" i="11"/>
  <c r="X817" i="11"/>
  <c r="Y817" i="11"/>
  <c r="Z817" i="11"/>
  <c r="AA817" i="11"/>
  <c r="AB817" i="11"/>
  <c r="AD817" i="11"/>
  <c r="AE817" i="11"/>
  <c r="AF817" i="11"/>
  <c r="AG817" i="11"/>
  <c r="V818" i="11"/>
  <c r="W818" i="11"/>
  <c r="X818" i="11"/>
  <c r="Y818" i="11"/>
  <c r="Z818" i="11"/>
  <c r="AA818" i="11"/>
  <c r="AB818" i="11"/>
  <c r="AD818" i="11"/>
  <c r="AE818" i="11"/>
  <c r="AF818" i="11"/>
  <c r="AG818" i="11"/>
  <c r="V819" i="11"/>
  <c r="W819" i="11"/>
  <c r="X819" i="11"/>
  <c r="Y819" i="11"/>
  <c r="Z819" i="11"/>
  <c r="AA819" i="11"/>
  <c r="AB819" i="11"/>
  <c r="AD819" i="11"/>
  <c r="AE819" i="11"/>
  <c r="AF819" i="11"/>
  <c r="AG819" i="11"/>
  <c r="V820" i="11"/>
  <c r="W820" i="11"/>
  <c r="X820" i="11"/>
  <c r="Y820" i="11"/>
  <c r="Z820" i="11"/>
  <c r="AA820" i="11"/>
  <c r="AB820" i="11"/>
  <c r="AD820" i="11"/>
  <c r="AE820" i="11"/>
  <c r="AF820" i="11"/>
  <c r="AG820" i="11"/>
  <c r="V821" i="11"/>
  <c r="W821" i="11"/>
  <c r="X821" i="11"/>
  <c r="Y821" i="11"/>
  <c r="Z821" i="11"/>
  <c r="AA821" i="11"/>
  <c r="AB821" i="11"/>
  <c r="AD821" i="11"/>
  <c r="AE821" i="11"/>
  <c r="AF821" i="11"/>
  <c r="AG821" i="11"/>
  <c r="V822" i="11"/>
  <c r="W822" i="11"/>
  <c r="X822" i="11"/>
  <c r="Y822" i="11"/>
  <c r="AA822" i="11"/>
  <c r="AB822" i="11"/>
  <c r="AD822" i="11"/>
  <c r="AE822" i="11"/>
  <c r="AF822" i="11"/>
  <c r="AG822" i="11"/>
  <c r="V823" i="11"/>
  <c r="W823" i="11"/>
  <c r="X823" i="11"/>
  <c r="Y823" i="11"/>
  <c r="Z823" i="11"/>
  <c r="AA823" i="11"/>
  <c r="AB823" i="11"/>
  <c r="AD823" i="11"/>
  <c r="AE823" i="11"/>
  <c r="AF823" i="11"/>
  <c r="AG823" i="11"/>
  <c r="V824" i="11"/>
  <c r="W824" i="11"/>
  <c r="X824" i="11"/>
  <c r="Y824" i="11"/>
  <c r="Z824" i="11"/>
  <c r="AA824" i="11"/>
  <c r="AB824" i="11"/>
  <c r="AD824" i="11"/>
  <c r="AE824" i="11"/>
  <c r="AF824" i="11"/>
  <c r="AG824" i="11"/>
  <c r="V825" i="11"/>
  <c r="W825" i="11"/>
  <c r="X825" i="11"/>
  <c r="Y825" i="11"/>
  <c r="Z825" i="11"/>
  <c r="AA825" i="11"/>
  <c r="AB825" i="11"/>
  <c r="AD825" i="11"/>
  <c r="AE825" i="11"/>
  <c r="AF825" i="11"/>
  <c r="AG825" i="11"/>
  <c r="V826" i="11"/>
  <c r="W826" i="11"/>
  <c r="X826" i="11"/>
  <c r="Y826" i="11"/>
  <c r="Z826" i="11"/>
  <c r="AA826" i="11"/>
  <c r="AB826" i="11"/>
  <c r="AD826" i="11"/>
  <c r="AE826" i="11"/>
  <c r="AF826" i="11"/>
  <c r="AG826" i="11"/>
  <c r="V827" i="11"/>
  <c r="W827" i="11"/>
  <c r="X827" i="11"/>
  <c r="Y827" i="11"/>
  <c r="Z827" i="11"/>
  <c r="AA827" i="11"/>
  <c r="AB827" i="11"/>
  <c r="AD827" i="11"/>
  <c r="AE827" i="11"/>
  <c r="AF827" i="11"/>
  <c r="AG827" i="11"/>
  <c r="V828" i="11"/>
  <c r="W828" i="11"/>
  <c r="X828" i="11"/>
  <c r="Y828" i="11"/>
  <c r="Z828" i="11"/>
  <c r="AA828" i="11"/>
  <c r="AB828" i="11"/>
  <c r="AD828" i="11"/>
  <c r="AE828" i="11"/>
  <c r="AF828" i="11"/>
  <c r="AG828" i="11"/>
  <c r="V829" i="11"/>
  <c r="W829" i="11"/>
  <c r="X829" i="11"/>
  <c r="Y829" i="11"/>
  <c r="Z829" i="11"/>
  <c r="AA829" i="11"/>
  <c r="AB829" i="11"/>
  <c r="AD829" i="11"/>
  <c r="AE829" i="11"/>
  <c r="AF829" i="11"/>
  <c r="AG829" i="11"/>
  <c r="V830" i="11"/>
  <c r="W830" i="11"/>
  <c r="X830" i="11"/>
  <c r="Y830" i="11"/>
  <c r="Z830" i="11"/>
  <c r="AA830" i="11"/>
  <c r="AB830" i="11"/>
  <c r="AD830" i="11"/>
  <c r="AE830" i="11"/>
  <c r="AF830" i="11"/>
  <c r="AG830" i="11"/>
  <c r="V831" i="11"/>
  <c r="W831" i="11"/>
  <c r="X831" i="11"/>
  <c r="Y831" i="11"/>
  <c r="Z831" i="11"/>
  <c r="AA831" i="11"/>
  <c r="AB831" i="11"/>
  <c r="AD831" i="11"/>
  <c r="AE831" i="11"/>
  <c r="AF831" i="11"/>
  <c r="AG831" i="11"/>
  <c r="V832" i="11"/>
  <c r="W832" i="11"/>
  <c r="X832" i="11"/>
  <c r="Y832" i="11"/>
  <c r="Z832" i="11"/>
  <c r="AA832" i="11"/>
  <c r="AB832" i="11"/>
  <c r="AD832" i="11"/>
  <c r="AE832" i="11"/>
  <c r="AF832" i="11"/>
  <c r="AG832" i="11"/>
  <c r="V833" i="11"/>
  <c r="W833" i="11"/>
  <c r="X833" i="11"/>
  <c r="Y833" i="11"/>
  <c r="Z833" i="11"/>
  <c r="AA833" i="11"/>
  <c r="AB833" i="11"/>
  <c r="AD833" i="11"/>
  <c r="AE833" i="11"/>
  <c r="AF833" i="11"/>
  <c r="AG833" i="11"/>
  <c r="V834" i="11"/>
  <c r="W834" i="11"/>
  <c r="X834" i="11"/>
  <c r="Y834" i="11"/>
  <c r="Z834" i="11"/>
  <c r="AA834" i="11"/>
  <c r="AB834" i="11"/>
  <c r="AD834" i="11"/>
  <c r="AE834" i="11"/>
  <c r="AF834" i="11"/>
  <c r="AG834" i="11"/>
  <c r="V835" i="11"/>
  <c r="W835" i="11"/>
  <c r="X835" i="11"/>
  <c r="Y835" i="11"/>
  <c r="Z835" i="11"/>
  <c r="AA835" i="11"/>
  <c r="AB835" i="11"/>
  <c r="AD835" i="11"/>
  <c r="AE835" i="11"/>
  <c r="AF835" i="11"/>
  <c r="AG835" i="11"/>
  <c r="V836" i="11"/>
  <c r="W836" i="11"/>
  <c r="X836" i="11"/>
  <c r="Y836" i="11"/>
  <c r="Z836" i="11"/>
  <c r="AA836" i="11"/>
  <c r="AB836" i="11"/>
  <c r="AD836" i="11"/>
  <c r="AE836" i="11"/>
  <c r="AF836" i="11"/>
  <c r="AG836" i="11"/>
  <c r="V837" i="11"/>
  <c r="W837" i="11"/>
  <c r="X837" i="11"/>
  <c r="Y837" i="11"/>
  <c r="Z837" i="11"/>
  <c r="AA837" i="11"/>
  <c r="AB837" i="11"/>
  <c r="AD837" i="11"/>
  <c r="AE837" i="11"/>
  <c r="AF837" i="11"/>
  <c r="AG837" i="11"/>
  <c r="V838" i="11"/>
  <c r="W838" i="11"/>
  <c r="X838" i="11"/>
  <c r="Y838" i="11"/>
  <c r="Z838" i="11"/>
  <c r="AA838" i="11"/>
  <c r="AB838" i="11"/>
  <c r="AD838" i="11"/>
  <c r="AE838" i="11"/>
  <c r="AF838" i="11"/>
  <c r="AG838" i="11"/>
  <c r="V839" i="11"/>
  <c r="W839" i="11"/>
  <c r="X839" i="11"/>
  <c r="Y839" i="11"/>
  <c r="Z839" i="11"/>
  <c r="AA839" i="11"/>
  <c r="AB839" i="11"/>
  <c r="AD839" i="11"/>
  <c r="AE839" i="11"/>
  <c r="AF839" i="11"/>
  <c r="AG839" i="11"/>
  <c r="V840" i="11"/>
  <c r="W840" i="11"/>
  <c r="X840" i="11"/>
  <c r="Y840" i="11"/>
  <c r="Z840" i="11"/>
  <c r="AA840" i="11"/>
  <c r="AB840" i="11"/>
  <c r="AD840" i="11"/>
  <c r="AE840" i="11"/>
  <c r="AF840" i="11"/>
  <c r="AG840" i="11"/>
  <c r="V841" i="11"/>
  <c r="W841" i="11"/>
  <c r="X841" i="11"/>
  <c r="Y841" i="11"/>
  <c r="Z841" i="11"/>
  <c r="AA841" i="11"/>
  <c r="AB841" i="11"/>
  <c r="AD841" i="11"/>
  <c r="AE841" i="11"/>
  <c r="AF841" i="11"/>
  <c r="AG841" i="11"/>
  <c r="V842" i="11"/>
  <c r="W842" i="11"/>
  <c r="X842" i="11"/>
  <c r="Y842" i="11"/>
  <c r="Z842" i="11"/>
  <c r="AA842" i="11"/>
  <c r="AB842" i="11"/>
  <c r="AD842" i="11"/>
  <c r="AE842" i="11"/>
  <c r="AF842" i="11"/>
  <c r="AG842" i="11"/>
  <c r="V843" i="11"/>
  <c r="W843" i="11"/>
  <c r="X843" i="11"/>
  <c r="Y843" i="11"/>
  <c r="Z843" i="11"/>
  <c r="AA843" i="11"/>
  <c r="AB843" i="11"/>
  <c r="AD843" i="11"/>
  <c r="AE843" i="11"/>
  <c r="AF843" i="11"/>
  <c r="AG843" i="11"/>
  <c r="V844" i="11"/>
  <c r="W844" i="11"/>
  <c r="X844" i="11"/>
  <c r="Y844" i="11"/>
  <c r="Z844" i="11"/>
  <c r="AA844" i="11"/>
  <c r="AB844" i="11"/>
  <c r="AD844" i="11"/>
  <c r="AE844" i="11"/>
  <c r="AF844" i="11"/>
  <c r="AG844" i="11"/>
  <c r="V845" i="11"/>
  <c r="W845" i="11"/>
  <c r="X845" i="11"/>
  <c r="Y845" i="11"/>
  <c r="Z845" i="11"/>
  <c r="AA845" i="11"/>
  <c r="AB845" i="11"/>
  <c r="AD845" i="11"/>
  <c r="AE845" i="11"/>
  <c r="AF845" i="11"/>
  <c r="AG845" i="11"/>
  <c r="V846" i="11"/>
  <c r="W846" i="11"/>
  <c r="X846" i="11"/>
  <c r="Y846" i="11"/>
  <c r="Z846" i="11"/>
  <c r="AA846" i="11"/>
  <c r="AB846" i="11"/>
  <c r="AD846" i="11"/>
  <c r="AE846" i="11"/>
  <c r="AF846" i="11"/>
  <c r="AG846" i="11"/>
  <c r="V847" i="11"/>
  <c r="W847" i="11"/>
  <c r="X847" i="11"/>
  <c r="Y847" i="11"/>
  <c r="Z847" i="11"/>
  <c r="AA847" i="11"/>
  <c r="AB847" i="11"/>
  <c r="AD847" i="11"/>
  <c r="AE847" i="11"/>
  <c r="AF847" i="11"/>
  <c r="AG847" i="11"/>
  <c r="V848" i="11"/>
  <c r="W848" i="11"/>
  <c r="X848" i="11"/>
  <c r="Y848" i="11"/>
  <c r="Z848" i="11"/>
  <c r="AA848" i="11"/>
  <c r="AB848" i="11"/>
  <c r="AD848" i="11"/>
  <c r="AE848" i="11"/>
  <c r="AF848" i="11"/>
  <c r="AG848" i="11"/>
  <c r="V849" i="11"/>
  <c r="W849" i="11"/>
  <c r="X849" i="11"/>
  <c r="Y849" i="11"/>
  <c r="Z849" i="11"/>
  <c r="AA849" i="11"/>
  <c r="AB849" i="11"/>
  <c r="AD849" i="11"/>
  <c r="AE849" i="11"/>
  <c r="AF849" i="11"/>
  <c r="AG849" i="11"/>
  <c r="V850" i="11"/>
  <c r="W850" i="11"/>
  <c r="X850" i="11"/>
  <c r="Y850" i="11"/>
  <c r="Z850" i="11"/>
  <c r="AA850" i="11"/>
  <c r="AB850" i="11"/>
  <c r="AD850" i="11"/>
  <c r="AE850" i="11"/>
  <c r="AF850" i="11"/>
  <c r="AG850" i="11"/>
  <c r="V851" i="11"/>
  <c r="W851" i="11"/>
  <c r="X851" i="11"/>
  <c r="Y851" i="11"/>
  <c r="Z851" i="11"/>
  <c r="AA851" i="11"/>
  <c r="AB851" i="11"/>
  <c r="AD851" i="11"/>
  <c r="AE851" i="11"/>
  <c r="AF851" i="11"/>
  <c r="AG851" i="11"/>
  <c r="V852" i="11"/>
  <c r="W852" i="11"/>
  <c r="X852" i="11"/>
  <c r="Y852" i="11"/>
  <c r="Z852" i="11"/>
  <c r="AA852" i="11"/>
  <c r="AB852" i="11"/>
  <c r="AD852" i="11"/>
  <c r="AE852" i="11"/>
  <c r="AF852" i="11"/>
  <c r="AG852" i="11"/>
  <c r="V853" i="11"/>
  <c r="W853" i="11"/>
  <c r="X853" i="11"/>
  <c r="Y853" i="11"/>
  <c r="Z853" i="11"/>
  <c r="AA853" i="11"/>
  <c r="AB853" i="11"/>
  <c r="AD853" i="11"/>
  <c r="AE853" i="11"/>
  <c r="AF853" i="11"/>
  <c r="AG853" i="11"/>
  <c r="V854" i="11"/>
  <c r="W854" i="11"/>
  <c r="X854" i="11"/>
  <c r="Y854" i="11"/>
  <c r="Z854" i="11"/>
  <c r="AA854" i="11"/>
  <c r="AB854" i="11"/>
  <c r="AD854" i="11"/>
  <c r="AE854" i="11"/>
  <c r="AF854" i="11"/>
  <c r="AG854" i="11"/>
  <c r="V855" i="11"/>
  <c r="W855" i="11"/>
  <c r="X855" i="11"/>
  <c r="Y855" i="11"/>
  <c r="Z855" i="11"/>
  <c r="AA855" i="11"/>
  <c r="AB855" i="11"/>
  <c r="AD855" i="11"/>
  <c r="AE855" i="11"/>
  <c r="AF855" i="11"/>
  <c r="AG855" i="11"/>
  <c r="V856" i="11"/>
  <c r="W856" i="11"/>
  <c r="X856" i="11"/>
  <c r="Y856" i="11"/>
  <c r="Z856" i="11"/>
  <c r="AA856" i="11"/>
  <c r="AB856" i="11"/>
  <c r="AD856" i="11"/>
  <c r="AE856" i="11"/>
  <c r="AF856" i="11"/>
  <c r="AG856" i="11"/>
  <c r="V857" i="11"/>
  <c r="W857" i="11"/>
  <c r="X857" i="11"/>
  <c r="Y857" i="11"/>
  <c r="Z857" i="11"/>
  <c r="AA857" i="11"/>
  <c r="AB857" i="11"/>
  <c r="AD857" i="11"/>
  <c r="AE857" i="11"/>
  <c r="AF857" i="11"/>
  <c r="AG857" i="11"/>
  <c r="V858" i="11"/>
  <c r="W858" i="11"/>
  <c r="X858" i="11"/>
  <c r="Y858" i="11"/>
  <c r="Z858" i="11"/>
  <c r="AA858" i="11"/>
  <c r="AB858" i="11"/>
  <c r="AD858" i="11"/>
  <c r="AE858" i="11"/>
  <c r="AF858" i="11"/>
  <c r="AG858" i="11"/>
  <c r="V859" i="11"/>
  <c r="W859" i="11"/>
  <c r="X859" i="11"/>
  <c r="Y859" i="11"/>
  <c r="Z859" i="11"/>
  <c r="AA859" i="11"/>
  <c r="AB859" i="11"/>
  <c r="AD859" i="11"/>
  <c r="AE859" i="11"/>
  <c r="AF859" i="11"/>
  <c r="AG859" i="11"/>
  <c r="V860" i="11"/>
  <c r="W860" i="11"/>
  <c r="X860" i="11"/>
  <c r="Y860" i="11"/>
  <c r="Z860" i="11"/>
  <c r="AA860" i="11"/>
  <c r="AB860" i="11"/>
  <c r="AD860" i="11"/>
  <c r="AE860" i="11"/>
  <c r="AF860" i="11"/>
  <c r="AG860" i="11"/>
  <c r="V861" i="11"/>
  <c r="W861" i="11"/>
  <c r="X861" i="11"/>
  <c r="Y861" i="11"/>
  <c r="Z861" i="11"/>
  <c r="AA861" i="11"/>
  <c r="AB861" i="11"/>
  <c r="AD861" i="11"/>
  <c r="AE861" i="11"/>
  <c r="AF861" i="11"/>
  <c r="AG861" i="11"/>
  <c r="V862" i="11"/>
  <c r="W862" i="11"/>
  <c r="X862" i="11"/>
  <c r="Y862" i="11"/>
  <c r="Z862" i="11"/>
  <c r="AA862" i="11"/>
  <c r="AB862" i="11"/>
  <c r="AD862" i="11"/>
  <c r="AE862" i="11"/>
  <c r="AF862" i="11"/>
  <c r="AG862" i="11"/>
  <c r="V863" i="11"/>
  <c r="W863" i="11"/>
  <c r="X863" i="11"/>
  <c r="Y863" i="11"/>
  <c r="Z863" i="11"/>
  <c r="AA863" i="11"/>
  <c r="AB863" i="11"/>
  <c r="AD863" i="11"/>
  <c r="AE863" i="11"/>
  <c r="AF863" i="11"/>
  <c r="AG863" i="11"/>
  <c r="V864" i="11"/>
  <c r="W864" i="11"/>
  <c r="X864" i="11"/>
  <c r="Y864" i="11"/>
  <c r="Z864" i="11"/>
  <c r="AA864" i="11"/>
  <c r="AB864" i="11"/>
  <c r="AD864" i="11"/>
  <c r="AE864" i="11"/>
  <c r="AF864" i="11"/>
  <c r="AG864" i="11"/>
  <c r="V865" i="11"/>
  <c r="W865" i="11"/>
  <c r="X865" i="11"/>
  <c r="Y865" i="11"/>
  <c r="Z865" i="11"/>
  <c r="AA865" i="11"/>
  <c r="AB865" i="11"/>
  <c r="AD865" i="11"/>
  <c r="AE865" i="11"/>
  <c r="AF865" i="11"/>
  <c r="AG865" i="11"/>
  <c r="V866" i="11"/>
  <c r="W866" i="11"/>
  <c r="X866" i="11"/>
  <c r="Y866" i="11"/>
  <c r="Z866" i="11"/>
  <c r="AA866" i="11"/>
  <c r="AB866" i="11"/>
  <c r="AD866" i="11"/>
  <c r="AE866" i="11"/>
  <c r="AF866" i="11"/>
  <c r="AG866" i="11"/>
  <c r="V867" i="11"/>
  <c r="W867" i="11"/>
  <c r="X867" i="11"/>
  <c r="Y867" i="11"/>
  <c r="Z867" i="11"/>
  <c r="AA867" i="11"/>
  <c r="AB867" i="11"/>
  <c r="AD867" i="11"/>
  <c r="AE867" i="11"/>
  <c r="AF867" i="11"/>
  <c r="AG867" i="11"/>
  <c r="V868" i="11"/>
  <c r="W868" i="11"/>
  <c r="X868" i="11"/>
  <c r="Y868" i="11"/>
  <c r="Z868" i="11"/>
  <c r="AA868" i="11"/>
  <c r="AB868" i="11"/>
  <c r="AD868" i="11"/>
  <c r="AE868" i="11"/>
  <c r="AF868" i="11"/>
  <c r="AG868" i="11"/>
  <c r="V869" i="11"/>
  <c r="W869" i="11"/>
  <c r="X869" i="11"/>
  <c r="Y869" i="11"/>
  <c r="Z869" i="11"/>
  <c r="AA869" i="11"/>
  <c r="AB869" i="11"/>
  <c r="AD869" i="11"/>
  <c r="AE869" i="11"/>
  <c r="AF869" i="11"/>
  <c r="AG869" i="11"/>
  <c r="V870" i="11"/>
  <c r="W870" i="11"/>
  <c r="X870" i="11"/>
  <c r="Y870" i="11"/>
  <c r="Z870" i="11"/>
  <c r="AA870" i="11"/>
  <c r="AB870" i="11"/>
  <c r="AD870" i="11"/>
  <c r="AE870" i="11"/>
  <c r="AF870" i="11"/>
  <c r="AG870" i="11"/>
  <c r="V871" i="11"/>
  <c r="W871" i="11"/>
  <c r="X871" i="11"/>
  <c r="Y871" i="11"/>
  <c r="Z871" i="11"/>
  <c r="AA871" i="11"/>
  <c r="AB871" i="11"/>
  <c r="AD871" i="11"/>
  <c r="AE871" i="11"/>
  <c r="AF871" i="11"/>
  <c r="AG871" i="11"/>
  <c r="V872" i="11"/>
  <c r="W872" i="11"/>
  <c r="X872" i="11"/>
  <c r="Y872" i="11"/>
  <c r="Z872" i="11"/>
  <c r="AA872" i="11"/>
  <c r="AB872" i="11"/>
  <c r="AD872" i="11"/>
  <c r="AE872" i="11"/>
  <c r="AF872" i="11"/>
  <c r="AG872" i="11"/>
  <c r="V873" i="11"/>
  <c r="W873" i="11"/>
  <c r="X873" i="11"/>
  <c r="Y873" i="11"/>
  <c r="Z873" i="11"/>
  <c r="AA873" i="11"/>
  <c r="AB873" i="11"/>
  <c r="AD873" i="11"/>
  <c r="AE873" i="11"/>
  <c r="AF873" i="11"/>
  <c r="AG873" i="11"/>
  <c r="V874" i="11"/>
  <c r="W874" i="11"/>
  <c r="X874" i="11"/>
  <c r="Y874" i="11"/>
  <c r="Z874" i="11"/>
  <c r="AA874" i="11"/>
  <c r="AB874" i="11"/>
  <c r="AD874" i="11"/>
  <c r="AE874" i="11"/>
  <c r="AF874" i="11"/>
  <c r="AG874" i="11"/>
  <c r="V875" i="11"/>
  <c r="W875" i="11"/>
  <c r="X875" i="11"/>
  <c r="Y875" i="11"/>
  <c r="Z875" i="11"/>
  <c r="AA875" i="11"/>
  <c r="AB875" i="11"/>
  <c r="AD875" i="11"/>
  <c r="AE875" i="11"/>
  <c r="AF875" i="11"/>
  <c r="AG875" i="11"/>
  <c r="V876" i="11"/>
  <c r="W876" i="11"/>
  <c r="X876" i="11"/>
  <c r="Y876" i="11"/>
  <c r="Z876" i="11"/>
  <c r="AA876" i="11"/>
  <c r="AB876" i="11"/>
  <c r="AD876" i="11"/>
  <c r="AE876" i="11"/>
  <c r="AF876" i="11"/>
  <c r="AG876" i="11"/>
  <c r="V877" i="11"/>
  <c r="W877" i="11"/>
  <c r="X877" i="11"/>
  <c r="Y877" i="11"/>
  <c r="Z877" i="11"/>
  <c r="AA877" i="11"/>
  <c r="AB877" i="11"/>
  <c r="AD877" i="11"/>
  <c r="AE877" i="11"/>
  <c r="AF877" i="11"/>
  <c r="AG877" i="11"/>
  <c r="V878" i="11"/>
  <c r="W878" i="11"/>
  <c r="X878" i="11"/>
  <c r="Y878" i="11"/>
  <c r="Z878" i="11"/>
  <c r="AA878" i="11"/>
  <c r="AB878" i="11"/>
  <c r="AD878" i="11"/>
  <c r="AE878" i="11"/>
  <c r="AF878" i="11"/>
  <c r="AG878" i="11"/>
  <c r="V879" i="11"/>
  <c r="W879" i="11"/>
  <c r="X879" i="11"/>
  <c r="Y879" i="11"/>
  <c r="Z879" i="11"/>
  <c r="AA879" i="11"/>
  <c r="AB879" i="11"/>
  <c r="AD879" i="11"/>
  <c r="AE879" i="11"/>
  <c r="AF879" i="11"/>
  <c r="AG879" i="11"/>
  <c r="V880" i="11"/>
  <c r="W880" i="11"/>
  <c r="X880" i="11"/>
  <c r="Y880" i="11"/>
  <c r="Z880" i="11"/>
  <c r="AA880" i="11"/>
  <c r="AB880" i="11"/>
  <c r="AD880" i="11"/>
  <c r="AE880" i="11"/>
  <c r="AF880" i="11"/>
  <c r="AG880" i="11"/>
  <c r="V881" i="11"/>
  <c r="W881" i="11"/>
  <c r="X881" i="11"/>
  <c r="Y881" i="11"/>
  <c r="Z881" i="11"/>
  <c r="AA881" i="11"/>
  <c r="AB881" i="11"/>
  <c r="AD881" i="11"/>
  <c r="AE881" i="11"/>
  <c r="AF881" i="11"/>
  <c r="AG881" i="11"/>
  <c r="V882" i="11"/>
  <c r="W882" i="11"/>
  <c r="X882" i="11"/>
  <c r="Y882" i="11"/>
  <c r="Z882" i="11"/>
  <c r="AA882" i="11"/>
  <c r="AB882" i="11"/>
  <c r="AD882" i="11"/>
  <c r="AE882" i="11"/>
  <c r="AF882" i="11"/>
  <c r="AG882" i="11"/>
  <c r="V883" i="11"/>
  <c r="W883" i="11"/>
  <c r="X883" i="11"/>
  <c r="Y883" i="11"/>
  <c r="Z883" i="11"/>
  <c r="AA883" i="11"/>
  <c r="AB883" i="11"/>
  <c r="AD883" i="11"/>
  <c r="AE883" i="11"/>
  <c r="AF883" i="11"/>
  <c r="AG883" i="11"/>
  <c r="V884" i="11"/>
  <c r="W884" i="11"/>
  <c r="X884" i="11"/>
  <c r="Y884" i="11"/>
  <c r="Z884" i="11"/>
  <c r="AA884" i="11"/>
  <c r="AB884" i="11"/>
  <c r="AD884" i="11"/>
  <c r="AE884" i="11"/>
  <c r="AF884" i="11"/>
  <c r="AG884" i="11"/>
  <c r="V885" i="11"/>
  <c r="W885" i="11"/>
  <c r="X885" i="11"/>
  <c r="Y885" i="11"/>
  <c r="Z885" i="11"/>
  <c r="AA885" i="11"/>
  <c r="AB885" i="11"/>
  <c r="AD885" i="11"/>
  <c r="AE885" i="11"/>
  <c r="AF885" i="11"/>
  <c r="AG885" i="11"/>
  <c r="V886" i="11"/>
  <c r="W886" i="11"/>
  <c r="X886" i="11"/>
  <c r="Y886" i="11"/>
  <c r="Z886" i="11"/>
  <c r="AA886" i="11"/>
  <c r="AB886" i="11"/>
  <c r="AD886" i="11"/>
  <c r="AE886" i="11"/>
  <c r="AF886" i="11"/>
  <c r="AG886" i="11"/>
  <c r="V887" i="11"/>
  <c r="W887" i="11"/>
  <c r="X887" i="11"/>
  <c r="Y887" i="11"/>
  <c r="Z887" i="11"/>
  <c r="AA887" i="11"/>
  <c r="AB887" i="11"/>
  <c r="AD887" i="11"/>
  <c r="AE887" i="11"/>
  <c r="AF887" i="11"/>
  <c r="AG887" i="11"/>
  <c r="V888" i="11"/>
  <c r="W888" i="11"/>
  <c r="X888" i="11"/>
  <c r="Y888" i="11"/>
  <c r="Z888" i="11"/>
  <c r="AA888" i="11"/>
  <c r="AB888" i="11"/>
  <c r="AD888" i="11"/>
  <c r="AE888" i="11"/>
  <c r="AF888" i="11"/>
  <c r="AG888" i="11"/>
  <c r="V889" i="11"/>
  <c r="W889" i="11"/>
  <c r="X889" i="11"/>
  <c r="Y889" i="11"/>
  <c r="Z889" i="11"/>
  <c r="AA889" i="11"/>
  <c r="AB889" i="11"/>
  <c r="AD889" i="11"/>
  <c r="AE889" i="11"/>
  <c r="AF889" i="11"/>
  <c r="AG889" i="11"/>
  <c r="V890" i="11"/>
  <c r="W890" i="11"/>
  <c r="X890" i="11"/>
  <c r="Y890" i="11"/>
  <c r="Z890" i="11"/>
  <c r="AA890" i="11"/>
  <c r="AB890" i="11"/>
  <c r="AD890" i="11"/>
  <c r="AE890" i="11"/>
  <c r="AF890" i="11"/>
  <c r="AG890" i="11"/>
  <c r="V891" i="11"/>
  <c r="W891" i="11"/>
  <c r="X891" i="11"/>
  <c r="Y891" i="11"/>
  <c r="Z891" i="11"/>
  <c r="AA891" i="11"/>
  <c r="AB891" i="11"/>
  <c r="AD891" i="11"/>
  <c r="AE891" i="11"/>
  <c r="AF891" i="11"/>
  <c r="AG891" i="11"/>
  <c r="V892" i="11"/>
  <c r="W892" i="11"/>
  <c r="X892" i="11"/>
  <c r="Y892" i="11"/>
  <c r="Z892" i="11"/>
  <c r="AA892" i="11"/>
  <c r="AB892" i="11"/>
  <c r="AD892" i="11"/>
  <c r="AE892" i="11"/>
  <c r="AF892" i="11"/>
  <c r="AG892" i="11"/>
  <c r="V893" i="11"/>
  <c r="W893" i="11"/>
  <c r="X893" i="11"/>
  <c r="Y893" i="11"/>
  <c r="Z893" i="11"/>
  <c r="AA893" i="11"/>
  <c r="AB893" i="11"/>
  <c r="AD893" i="11"/>
  <c r="AE893" i="11"/>
  <c r="AF893" i="11"/>
  <c r="AG893" i="11"/>
  <c r="V894" i="11"/>
  <c r="W894" i="11"/>
  <c r="X894" i="11"/>
  <c r="Y894" i="11"/>
  <c r="Z894" i="11"/>
  <c r="AA894" i="11"/>
  <c r="AB894" i="11"/>
  <c r="AD894" i="11"/>
  <c r="AE894" i="11"/>
  <c r="AF894" i="11"/>
  <c r="AG894" i="11"/>
  <c r="V895" i="11"/>
  <c r="W895" i="11"/>
  <c r="X895" i="11"/>
  <c r="Y895" i="11"/>
  <c r="Z895" i="11"/>
  <c r="AA895" i="11"/>
  <c r="AB895" i="11"/>
  <c r="AD895" i="11"/>
  <c r="AE895" i="11"/>
  <c r="AF895" i="11"/>
  <c r="AG895" i="11"/>
  <c r="V896" i="11"/>
  <c r="W896" i="11"/>
  <c r="X896" i="11"/>
  <c r="Y896" i="11"/>
  <c r="Z896" i="11"/>
  <c r="AA896" i="11"/>
  <c r="AB896" i="11"/>
  <c r="AD896" i="11"/>
  <c r="AE896" i="11"/>
  <c r="AF896" i="11"/>
  <c r="AG896" i="11"/>
  <c r="V897" i="11"/>
  <c r="W897" i="11"/>
  <c r="X897" i="11"/>
  <c r="Y897" i="11"/>
  <c r="Z897" i="11"/>
  <c r="AA897" i="11"/>
  <c r="AB897" i="11"/>
  <c r="AD897" i="11"/>
  <c r="AE897" i="11"/>
  <c r="AF897" i="11"/>
  <c r="AG897" i="11"/>
  <c r="V898" i="11"/>
  <c r="W898" i="11"/>
  <c r="X898" i="11"/>
  <c r="Y898" i="11"/>
  <c r="Z898" i="11"/>
  <c r="AA898" i="11"/>
  <c r="AB898" i="11"/>
  <c r="AD898" i="11"/>
  <c r="AE898" i="11"/>
  <c r="AF898" i="11"/>
  <c r="AG898" i="11"/>
  <c r="V899" i="11"/>
  <c r="W899" i="11"/>
  <c r="X899" i="11"/>
  <c r="Y899" i="11"/>
  <c r="Z899" i="11"/>
  <c r="AA899" i="11"/>
  <c r="AB899" i="11"/>
  <c r="AD899" i="11"/>
  <c r="AE899" i="11"/>
  <c r="AF899" i="11"/>
  <c r="AG899" i="11"/>
  <c r="V900" i="11"/>
  <c r="W900" i="11"/>
  <c r="X900" i="11"/>
  <c r="Y900" i="11"/>
  <c r="Z900" i="11"/>
  <c r="AA900" i="11"/>
  <c r="AB900" i="11"/>
  <c r="AD900" i="11"/>
  <c r="AE900" i="11"/>
  <c r="AF900" i="11"/>
  <c r="AG900" i="11"/>
  <c r="V901" i="11"/>
  <c r="W901" i="11"/>
  <c r="X901" i="11"/>
  <c r="Y901" i="11"/>
  <c r="Z901" i="11"/>
  <c r="AA901" i="11"/>
  <c r="AB901" i="11"/>
  <c r="AD901" i="11"/>
  <c r="AE901" i="11"/>
  <c r="AF901" i="11"/>
  <c r="AG901" i="11"/>
  <c r="V902" i="11"/>
  <c r="W902" i="11"/>
  <c r="X902" i="11"/>
  <c r="Y902" i="11"/>
  <c r="Z902" i="11"/>
  <c r="AA902" i="11"/>
  <c r="AB902" i="11"/>
  <c r="AD902" i="11"/>
  <c r="AE902" i="11"/>
  <c r="AF902" i="11"/>
  <c r="AG902" i="11"/>
  <c r="V903" i="11"/>
  <c r="W903" i="11"/>
  <c r="X903" i="11"/>
  <c r="Y903" i="11"/>
  <c r="Z903" i="11"/>
  <c r="AA903" i="11"/>
  <c r="AB903" i="11"/>
  <c r="AD903" i="11"/>
  <c r="AE903" i="11"/>
  <c r="AF903" i="11"/>
  <c r="AG903" i="11"/>
  <c r="V904" i="11"/>
  <c r="W904" i="11"/>
  <c r="X904" i="11"/>
  <c r="Y904" i="11"/>
  <c r="Z904" i="11"/>
  <c r="AA904" i="11"/>
  <c r="AB904" i="11"/>
  <c r="AD904" i="11"/>
  <c r="AE904" i="11"/>
  <c r="AF904" i="11"/>
  <c r="AG904" i="11"/>
  <c r="V905" i="11"/>
  <c r="W905" i="11"/>
  <c r="X905" i="11"/>
  <c r="Y905" i="11"/>
  <c r="Z905" i="11"/>
  <c r="AA905" i="11"/>
  <c r="AB905" i="11"/>
  <c r="AD905" i="11"/>
  <c r="AE905" i="11"/>
  <c r="AF905" i="11"/>
  <c r="AG905" i="11"/>
  <c r="V906" i="11"/>
  <c r="W906" i="11"/>
  <c r="X906" i="11"/>
  <c r="Y906" i="11"/>
  <c r="Z906" i="11"/>
  <c r="AA906" i="11"/>
  <c r="AB906" i="11"/>
  <c r="AD906" i="11"/>
  <c r="AE906" i="11"/>
  <c r="AF906" i="11"/>
  <c r="AG906" i="11"/>
  <c r="V907" i="11"/>
  <c r="W907" i="11"/>
  <c r="X907" i="11"/>
  <c r="Y907" i="11"/>
  <c r="Z907" i="11"/>
  <c r="AA907" i="11"/>
  <c r="AB907" i="11"/>
  <c r="AD907" i="11"/>
  <c r="AE907" i="11"/>
  <c r="AF907" i="11"/>
  <c r="AG907" i="11"/>
  <c r="V908" i="11"/>
  <c r="W908" i="11"/>
  <c r="X908" i="11"/>
  <c r="Y908" i="11"/>
  <c r="Z908" i="11"/>
  <c r="AA908" i="11"/>
  <c r="AB908" i="11"/>
  <c r="AD908" i="11"/>
  <c r="AE908" i="11"/>
  <c r="AF908" i="11"/>
  <c r="AG908" i="11"/>
  <c r="V909" i="11"/>
  <c r="W909" i="11"/>
  <c r="X909" i="11"/>
  <c r="Y909" i="11"/>
  <c r="Z909" i="11"/>
  <c r="AA909" i="11"/>
  <c r="AB909" i="11"/>
  <c r="AD909" i="11"/>
  <c r="AE909" i="11"/>
  <c r="AF909" i="11"/>
  <c r="AG909" i="11"/>
  <c r="V910" i="11"/>
  <c r="W910" i="11"/>
  <c r="X910" i="11"/>
  <c r="Y910" i="11"/>
  <c r="Z910" i="11"/>
  <c r="AA910" i="11"/>
  <c r="AB910" i="11"/>
  <c r="AD910" i="11"/>
  <c r="AE910" i="11"/>
  <c r="AF910" i="11"/>
  <c r="AG910" i="11"/>
  <c r="V911" i="11"/>
  <c r="W911" i="11"/>
  <c r="X911" i="11"/>
  <c r="Y911" i="11"/>
  <c r="Z911" i="11"/>
  <c r="AA911" i="11"/>
  <c r="AB911" i="11"/>
  <c r="AD911" i="11"/>
  <c r="AE911" i="11"/>
  <c r="AF911" i="11"/>
  <c r="AG911" i="11"/>
  <c r="V912" i="11"/>
  <c r="W912" i="11"/>
  <c r="X912" i="11"/>
  <c r="Y912" i="11"/>
  <c r="Z912" i="11"/>
  <c r="AA912" i="11"/>
  <c r="AB912" i="11"/>
  <c r="AD912" i="11"/>
  <c r="AE912" i="11"/>
  <c r="AF912" i="11"/>
  <c r="AG912" i="11"/>
  <c r="V913" i="11"/>
  <c r="W913" i="11"/>
  <c r="X913" i="11"/>
  <c r="Y913" i="11"/>
  <c r="Z913" i="11"/>
  <c r="AA913" i="11"/>
  <c r="AB913" i="11"/>
  <c r="AD913" i="11"/>
  <c r="AE913" i="11"/>
  <c r="AF913" i="11"/>
  <c r="AG913" i="11"/>
  <c r="V914" i="11"/>
  <c r="W914" i="11"/>
  <c r="X914" i="11"/>
  <c r="Y914" i="11"/>
  <c r="Z914" i="11"/>
  <c r="AA914" i="11"/>
  <c r="AB914" i="11"/>
  <c r="AD914" i="11"/>
  <c r="AE914" i="11"/>
  <c r="AF914" i="11"/>
  <c r="AG914" i="11"/>
  <c r="V915" i="11"/>
  <c r="W915" i="11"/>
  <c r="X915" i="11"/>
  <c r="Y915" i="11"/>
  <c r="Z915" i="11"/>
  <c r="AA915" i="11"/>
  <c r="AB915" i="11"/>
  <c r="AD915" i="11"/>
  <c r="AE915" i="11"/>
  <c r="AF915" i="11"/>
  <c r="AG915" i="11"/>
  <c r="V916" i="11"/>
  <c r="W916" i="11"/>
  <c r="X916" i="11"/>
  <c r="Y916" i="11"/>
  <c r="Z916" i="11"/>
  <c r="AA916" i="11"/>
  <c r="AB916" i="11"/>
  <c r="AD916" i="11"/>
  <c r="AE916" i="11"/>
  <c r="AF916" i="11"/>
  <c r="AG916" i="11"/>
  <c r="V917" i="11"/>
  <c r="W917" i="11"/>
  <c r="X917" i="11"/>
  <c r="Y917" i="11"/>
  <c r="Z917" i="11"/>
  <c r="AA917" i="11"/>
  <c r="AB917" i="11"/>
  <c r="AD917" i="11"/>
  <c r="AE917" i="11"/>
  <c r="AF917" i="11"/>
  <c r="AG917" i="11"/>
  <c r="V918" i="11"/>
  <c r="W918" i="11"/>
  <c r="X918" i="11"/>
  <c r="Y918" i="11"/>
  <c r="Z918" i="11"/>
  <c r="AA918" i="11"/>
  <c r="AB918" i="11"/>
  <c r="AD918" i="11"/>
  <c r="AE918" i="11"/>
  <c r="AF918" i="11"/>
  <c r="AG918" i="11"/>
  <c r="V919" i="11"/>
  <c r="W919" i="11"/>
  <c r="X919" i="11"/>
  <c r="Y919" i="11"/>
  <c r="Z919" i="11"/>
  <c r="AA919" i="11"/>
  <c r="AB919" i="11"/>
  <c r="AD919" i="11"/>
  <c r="AE919" i="11"/>
  <c r="AF919" i="11"/>
  <c r="AG919" i="11"/>
  <c r="V920" i="11"/>
  <c r="W920" i="11"/>
  <c r="X920" i="11"/>
  <c r="Y920" i="11"/>
  <c r="Z920" i="11"/>
  <c r="AA920" i="11"/>
  <c r="AB920" i="11"/>
  <c r="AD920" i="11"/>
  <c r="AE920" i="11"/>
  <c r="AF920" i="11"/>
  <c r="AG920" i="11"/>
  <c r="V921" i="11"/>
  <c r="W921" i="11"/>
  <c r="X921" i="11"/>
  <c r="Y921" i="11"/>
  <c r="Z921" i="11"/>
  <c r="AA921" i="11"/>
  <c r="AB921" i="11"/>
  <c r="AD921" i="11"/>
  <c r="AE921" i="11"/>
  <c r="AF921" i="11"/>
  <c r="AG921" i="11"/>
  <c r="V922" i="11"/>
  <c r="W922" i="11"/>
  <c r="X922" i="11"/>
  <c r="Y922" i="11"/>
  <c r="Z922" i="11"/>
  <c r="AA922" i="11"/>
  <c r="AB922" i="11"/>
  <c r="AD922" i="11"/>
  <c r="AE922" i="11"/>
  <c r="AF922" i="11"/>
  <c r="AG922" i="11"/>
  <c r="V923" i="11"/>
  <c r="W923" i="11"/>
  <c r="X923" i="11"/>
  <c r="Y923" i="11"/>
  <c r="Z923" i="11"/>
  <c r="AA923" i="11"/>
  <c r="AB923" i="11"/>
  <c r="AD923" i="11"/>
  <c r="AE923" i="11"/>
  <c r="AF923" i="11"/>
  <c r="AG923" i="11"/>
  <c r="V924" i="11"/>
  <c r="W924" i="11"/>
  <c r="X924" i="11"/>
  <c r="Y924" i="11"/>
  <c r="Z924" i="11"/>
  <c r="AA924" i="11"/>
  <c r="AB924" i="11"/>
  <c r="AD924" i="11"/>
  <c r="AE924" i="11"/>
  <c r="AF924" i="11"/>
  <c r="AG924" i="11"/>
  <c r="V925" i="11"/>
  <c r="W925" i="11"/>
  <c r="X925" i="11"/>
  <c r="Y925" i="11"/>
  <c r="Z925" i="11"/>
  <c r="AA925" i="11"/>
  <c r="AB925" i="11"/>
  <c r="AD925" i="11"/>
  <c r="AE925" i="11"/>
  <c r="AF925" i="11"/>
  <c r="AG925" i="11"/>
  <c r="V926" i="11"/>
  <c r="W926" i="11"/>
  <c r="X926" i="11"/>
  <c r="Y926" i="11"/>
  <c r="Z926" i="11"/>
  <c r="AA926" i="11"/>
  <c r="AB926" i="11"/>
  <c r="AD926" i="11"/>
  <c r="AE926" i="11"/>
  <c r="AF926" i="11"/>
  <c r="AG926" i="11"/>
  <c r="V927" i="11"/>
  <c r="W927" i="11"/>
  <c r="X927" i="11"/>
  <c r="Y927" i="11"/>
  <c r="Z927" i="11"/>
  <c r="AA927" i="11"/>
  <c r="AB927" i="11"/>
  <c r="AD927" i="11"/>
  <c r="AE927" i="11"/>
  <c r="AF927" i="11"/>
  <c r="AG927" i="11"/>
  <c r="V928" i="11"/>
  <c r="W928" i="11"/>
  <c r="X928" i="11"/>
  <c r="Y928" i="11"/>
  <c r="Z928" i="11"/>
  <c r="AA928" i="11"/>
  <c r="AB928" i="11"/>
  <c r="AD928" i="11"/>
  <c r="AE928" i="11"/>
  <c r="AF928" i="11"/>
  <c r="AG928" i="11"/>
  <c r="V929" i="11"/>
  <c r="W929" i="11"/>
  <c r="X929" i="11"/>
  <c r="Y929" i="11"/>
  <c r="Z929" i="11"/>
  <c r="AA929" i="11"/>
  <c r="AB929" i="11"/>
  <c r="AD929" i="11"/>
  <c r="AE929" i="11"/>
  <c r="AF929" i="11"/>
  <c r="AG929" i="11"/>
  <c r="V930" i="11"/>
  <c r="W930" i="11"/>
  <c r="X930" i="11"/>
  <c r="Y930" i="11"/>
  <c r="AA930" i="11"/>
  <c r="AB930" i="11"/>
  <c r="AD930" i="11"/>
  <c r="AE930" i="11"/>
  <c r="AF930" i="11"/>
  <c r="AG930" i="11"/>
  <c r="V931" i="11"/>
  <c r="W931" i="11"/>
  <c r="X931" i="11"/>
  <c r="Y931" i="11"/>
  <c r="AA931" i="11"/>
  <c r="AB931" i="11"/>
  <c r="AD931" i="11"/>
  <c r="AE931" i="11"/>
  <c r="AF931" i="11"/>
  <c r="AG931" i="11"/>
  <c r="V932" i="11"/>
  <c r="W932" i="11"/>
  <c r="X932" i="11"/>
  <c r="Y932" i="11"/>
  <c r="AA932" i="11"/>
  <c r="AB932" i="11"/>
  <c r="AD932" i="11"/>
  <c r="AE932" i="11"/>
  <c r="AF932" i="11"/>
  <c r="AG932" i="11"/>
  <c r="V933" i="11"/>
  <c r="W933" i="11"/>
  <c r="X933" i="11"/>
  <c r="Y933" i="11"/>
  <c r="AA933" i="11"/>
  <c r="AB933" i="11"/>
  <c r="AD933" i="11"/>
  <c r="AE933" i="11"/>
  <c r="AF933" i="11"/>
  <c r="AG933" i="11"/>
  <c r="V934" i="11"/>
  <c r="W934" i="11"/>
  <c r="X934" i="11"/>
  <c r="Y934" i="11"/>
  <c r="AA934" i="11"/>
  <c r="AB934" i="11"/>
  <c r="AD934" i="11"/>
  <c r="AE934" i="11"/>
  <c r="AF934" i="11"/>
  <c r="AG934" i="11"/>
  <c r="V935" i="11"/>
  <c r="W935" i="11"/>
  <c r="X935" i="11"/>
  <c r="Y935" i="11"/>
  <c r="AA935" i="11"/>
  <c r="AB935" i="11"/>
  <c r="AD935" i="11"/>
  <c r="AE935" i="11"/>
  <c r="AF935" i="11"/>
  <c r="AG935" i="11"/>
  <c r="V936" i="11"/>
  <c r="W936" i="11"/>
  <c r="X936" i="11"/>
  <c r="Y936" i="11"/>
  <c r="AA936" i="11"/>
  <c r="AB936" i="11"/>
  <c r="AD936" i="11"/>
  <c r="AE936" i="11"/>
  <c r="AF936" i="11"/>
  <c r="AG936" i="11"/>
  <c r="V937" i="11"/>
  <c r="W937" i="11"/>
  <c r="X937" i="11"/>
  <c r="Y937" i="11"/>
  <c r="AA937" i="11"/>
  <c r="AB937" i="11"/>
  <c r="AD937" i="11"/>
  <c r="AE937" i="11"/>
  <c r="AF937" i="11"/>
  <c r="AG937" i="11"/>
  <c r="V938" i="11"/>
  <c r="W938" i="11"/>
  <c r="X938" i="11"/>
  <c r="Y938" i="11"/>
  <c r="AA938" i="11"/>
  <c r="AB938" i="11"/>
  <c r="AD938" i="11"/>
  <c r="AE938" i="11"/>
  <c r="AF938" i="11"/>
  <c r="AG938" i="11"/>
  <c r="V939" i="11"/>
  <c r="W939" i="11"/>
  <c r="X939" i="11"/>
  <c r="Y939" i="11"/>
  <c r="AA939" i="11"/>
  <c r="AB939" i="11"/>
  <c r="AD939" i="11"/>
  <c r="AE939" i="11"/>
  <c r="AF939" i="11"/>
  <c r="AG939" i="11"/>
  <c r="V940" i="11"/>
  <c r="W940" i="11"/>
  <c r="X940" i="11"/>
  <c r="Y940" i="11"/>
  <c r="AA940" i="11"/>
  <c r="AB940" i="11"/>
  <c r="AD940" i="11"/>
  <c r="AE940" i="11"/>
  <c r="AF940" i="11"/>
  <c r="AG940" i="11"/>
  <c r="V941" i="11"/>
  <c r="W941" i="11"/>
  <c r="X941" i="11"/>
  <c r="Y941" i="11"/>
  <c r="AA941" i="11"/>
  <c r="AB941" i="11"/>
  <c r="AD941" i="11"/>
  <c r="AE941" i="11"/>
  <c r="AF941" i="11"/>
  <c r="AG941" i="11"/>
  <c r="V942" i="11"/>
  <c r="W942" i="11"/>
  <c r="X942" i="11"/>
  <c r="Y942" i="11"/>
  <c r="AA942" i="11"/>
  <c r="AB942" i="11"/>
  <c r="AD942" i="11"/>
  <c r="AE942" i="11"/>
  <c r="AF942" i="11"/>
  <c r="AG942" i="11"/>
  <c r="V943" i="11"/>
  <c r="W943" i="11"/>
  <c r="X943" i="11"/>
  <c r="Y943" i="11"/>
  <c r="AA943" i="11"/>
  <c r="AB943" i="11"/>
  <c r="AD943" i="11"/>
  <c r="AE943" i="11"/>
  <c r="AF943" i="11"/>
  <c r="AG943" i="11"/>
  <c r="V944" i="11"/>
  <c r="W944" i="11"/>
  <c r="X944" i="11"/>
  <c r="Y944" i="11"/>
  <c r="Z944" i="11"/>
  <c r="AA944" i="11"/>
  <c r="AB944" i="11"/>
  <c r="AD944" i="11"/>
  <c r="AE944" i="11"/>
  <c r="AF944" i="11"/>
  <c r="AG944" i="11"/>
  <c r="V945" i="11"/>
  <c r="W945" i="11"/>
  <c r="X945" i="11"/>
  <c r="Y945" i="11"/>
  <c r="Z945" i="11"/>
  <c r="AA945" i="11"/>
  <c r="AB945" i="11"/>
  <c r="AD945" i="11"/>
  <c r="AE945" i="11"/>
  <c r="AF945" i="11"/>
  <c r="AG945" i="11"/>
  <c r="V946" i="11"/>
  <c r="W946" i="11"/>
  <c r="X946" i="11"/>
  <c r="Y946" i="11"/>
  <c r="Z946" i="11"/>
  <c r="AA946" i="11"/>
  <c r="AB946" i="11"/>
  <c r="AD946" i="11"/>
  <c r="AE946" i="11"/>
  <c r="AF946" i="11"/>
  <c r="AG946" i="11"/>
  <c r="V947" i="11"/>
  <c r="W947" i="11"/>
  <c r="X947" i="11"/>
  <c r="Y947" i="11"/>
  <c r="Z947" i="11"/>
  <c r="AA947" i="11"/>
  <c r="AB947" i="11"/>
  <c r="AD947" i="11"/>
  <c r="AE947" i="11"/>
  <c r="AF947" i="11"/>
  <c r="AG947" i="11"/>
  <c r="V948" i="11"/>
  <c r="W948" i="11"/>
  <c r="X948" i="11"/>
  <c r="Y948" i="11"/>
  <c r="Z948" i="11"/>
  <c r="AA948" i="11"/>
  <c r="AB948" i="11"/>
  <c r="AD948" i="11"/>
  <c r="AE948" i="11"/>
  <c r="AF948" i="11"/>
  <c r="AG948" i="11"/>
  <c r="V949" i="11"/>
  <c r="W949" i="11"/>
  <c r="X949" i="11"/>
  <c r="Y949" i="11"/>
  <c r="Z949" i="11"/>
  <c r="AA949" i="11"/>
  <c r="AB949" i="11"/>
  <c r="AD949" i="11"/>
  <c r="AE949" i="11"/>
  <c r="AF949" i="11"/>
  <c r="AG949" i="11"/>
  <c r="V950" i="11"/>
  <c r="W950" i="11"/>
  <c r="X950" i="11"/>
  <c r="Y950" i="11"/>
  <c r="Z950" i="11"/>
  <c r="AA950" i="11"/>
  <c r="AB950" i="11"/>
  <c r="AD950" i="11"/>
  <c r="AE950" i="11"/>
  <c r="AF950" i="11"/>
  <c r="AG950" i="11"/>
  <c r="V951" i="11"/>
  <c r="W951" i="11"/>
  <c r="X951" i="11"/>
  <c r="Y951" i="11"/>
  <c r="Z951" i="11"/>
  <c r="AA951" i="11"/>
  <c r="AB951" i="11"/>
  <c r="AD951" i="11"/>
  <c r="AE951" i="11"/>
  <c r="AF951" i="11"/>
  <c r="AG951" i="11"/>
  <c r="V952" i="11"/>
  <c r="W952" i="11"/>
  <c r="X952" i="11"/>
  <c r="Y952" i="11"/>
  <c r="Z952" i="11"/>
  <c r="AA952" i="11"/>
  <c r="AB952" i="11"/>
  <c r="AD952" i="11"/>
  <c r="AE952" i="11"/>
  <c r="AF952" i="11"/>
  <c r="AG952" i="11"/>
  <c r="V953" i="11"/>
  <c r="W953" i="11"/>
  <c r="X953" i="11"/>
  <c r="Y953" i="11"/>
  <c r="Z953" i="11"/>
  <c r="AA953" i="11"/>
  <c r="AB953" i="11"/>
  <c r="AD953" i="11"/>
  <c r="AE953" i="11"/>
  <c r="AF953" i="11"/>
  <c r="AG953" i="11"/>
  <c r="V961" i="11"/>
  <c r="W961" i="11"/>
  <c r="X961" i="11"/>
  <c r="Y961" i="11"/>
  <c r="Z961" i="11"/>
  <c r="AA961" i="11"/>
  <c r="AB961" i="11"/>
  <c r="AD961" i="11"/>
  <c r="AE961" i="11"/>
  <c r="AF961" i="11"/>
  <c r="AG961" i="11"/>
  <c r="V962" i="11"/>
  <c r="W962" i="11"/>
  <c r="X962" i="11"/>
  <c r="Y962" i="11"/>
  <c r="Z962" i="11"/>
  <c r="AA962" i="11"/>
  <c r="AB962" i="11"/>
  <c r="AD962" i="11"/>
  <c r="AE962" i="11"/>
  <c r="AF962" i="11"/>
  <c r="AG962" i="11"/>
  <c r="V963" i="11"/>
  <c r="W963" i="11"/>
  <c r="X963" i="11"/>
  <c r="Y963" i="11"/>
  <c r="Z963" i="11"/>
  <c r="AA963" i="11"/>
  <c r="AB963" i="11"/>
  <c r="AD963" i="11"/>
  <c r="AE963" i="11"/>
  <c r="AF963" i="11"/>
  <c r="AG963" i="11"/>
  <c r="V964" i="11"/>
  <c r="W964" i="11"/>
  <c r="X964" i="11"/>
  <c r="Y964" i="11"/>
  <c r="Z964" i="11"/>
  <c r="AA964" i="11"/>
  <c r="AB964" i="11"/>
  <c r="AD964" i="11"/>
  <c r="AE964" i="11"/>
  <c r="AF964" i="11"/>
  <c r="AG964" i="11"/>
  <c r="V965" i="11"/>
  <c r="W965" i="11"/>
  <c r="X965" i="11"/>
  <c r="Y965" i="11"/>
  <c r="AA965" i="11"/>
  <c r="AB965" i="11"/>
  <c r="AD965" i="11"/>
  <c r="AE965" i="11"/>
  <c r="AF965" i="11"/>
  <c r="AG965" i="11"/>
  <c r="V966" i="11"/>
  <c r="W966" i="11"/>
  <c r="X966" i="11"/>
  <c r="Y966" i="11"/>
  <c r="Z966" i="11"/>
  <c r="AA966" i="11"/>
  <c r="AB966" i="11"/>
  <c r="AD966" i="11"/>
  <c r="AE966" i="11"/>
  <c r="AF966" i="11"/>
  <c r="AG966" i="11"/>
  <c r="V967" i="11"/>
  <c r="W967" i="11"/>
  <c r="X967" i="11"/>
  <c r="Y967" i="11"/>
  <c r="Z967" i="11"/>
  <c r="AA967" i="11"/>
  <c r="AB967" i="11"/>
  <c r="AD967" i="11"/>
  <c r="AE967" i="11"/>
  <c r="AF967" i="11"/>
  <c r="AG967" i="11"/>
  <c r="V968" i="11"/>
  <c r="W968" i="11"/>
  <c r="X968" i="11"/>
  <c r="Y968" i="11"/>
  <c r="Z968" i="11"/>
  <c r="AA968" i="11"/>
  <c r="AB968" i="11"/>
  <c r="AD968" i="11"/>
  <c r="AE968" i="11"/>
  <c r="AF968" i="11"/>
  <c r="AG968" i="11"/>
  <c r="V969" i="11"/>
  <c r="W969" i="11"/>
  <c r="X969" i="11"/>
  <c r="Y969" i="11"/>
  <c r="Z969" i="11"/>
  <c r="AA969" i="11"/>
  <c r="AB969" i="11"/>
  <c r="AD969" i="11"/>
  <c r="AE969" i="11"/>
  <c r="AF969" i="11"/>
  <c r="AG969" i="11"/>
  <c r="V970" i="11"/>
  <c r="W970" i="11"/>
  <c r="X970" i="11"/>
  <c r="Y970" i="11"/>
  <c r="Z970" i="11"/>
  <c r="AA970" i="11"/>
  <c r="AB970" i="11"/>
  <c r="AD970" i="11"/>
  <c r="AE970" i="11"/>
  <c r="AF970" i="11"/>
  <c r="AG970" i="11"/>
  <c r="V971" i="11"/>
  <c r="W971" i="11"/>
  <c r="X971" i="11"/>
  <c r="Y971" i="11"/>
  <c r="Z971" i="11"/>
  <c r="AA971" i="11"/>
  <c r="AB971" i="11"/>
  <c r="AD971" i="11"/>
  <c r="AE971" i="11"/>
  <c r="AF971" i="11"/>
  <c r="AG971" i="11"/>
  <c r="V972" i="11"/>
  <c r="W972" i="11"/>
  <c r="X972" i="11"/>
  <c r="Y972" i="11"/>
  <c r="Z972" i="11"/>
  <c r="AA972" i="11"/>
  <c r="AB972" i="11"/>
  <c r="AD972" i="11"/>
  <c r="AE972" i="11"/>
  <c r="AF972" i="11"/>
  <c r="AG972" i="11"/>
  <c r="V973" i="11"/>
  <c r="W973" i="11"/>
  <c r="X973" i="11"/>
  <c r="Y973" i="11"/>
  <c r="Z973" i="11"/>
  <c r="AA973" i="11"/>
  <c r="AB973" i="11"/>
  <c r="AD973" i="11"/>
  <c r="AE973" i="11"/>
  <c r="AF973" i="11"/>
  <c r="AG973" i="11"/>
  <c r="V975" i="11"/>
  <c r="W975" i="11"/>
  <c r="X975" i="11"/>
  <c r="Y975" i="11"/>
  <c r="Z975" i="11"/>
  <c r="AA975" i="11"/>
  <c r="AB975" i="11"/>
  <c r="AD975" i="11"/>
  <c r="AE975" i="11"/>
  <c r="AF975" i="11"/>
  <c r="AG975" i="11"/>
  <c r="V976" i="11"/>
  <c r="W976" i="11"/>
  <c r="X976" i="11"/>
  <c r="Y976" i="11"/>
  <c r="Z976" i="11"/>
  <c r="AA976" i="11"/>
  <c r="AB976" i="11"/>
  <c r="AD976" i="11"/>
  <c r="AE976" i="11"/>
  <c r="AF976" i="11"/>
  <c r="AG976" i="11"/>
  <c r="V978" i="11"/>
  <c r="W978" i="11"/>
  <c r="X978" i="11"/>
  <c r="Y978" i="11"/>
  <c r="Z978" i="11"/>
  <c r="AA978" i="11"/>
  <c r="AB978" i="11"/>
  <c r="AD978" i="11"/>
  <c r="AE978" i="11"/>
  <c r="AF978" i="11"/>
  <c r="AG978" i="11"/>
  <c r="V979" i="11"/>
  <c r="W979" i="11"/>
  <c r="X979" i="11"/>
  <c r="Y979" i="11"/>
  <c r="Z979" i="11"/>
  <c r="AA979" i="11"/>
  <c r="AB979" i="11"/>
  <c r="AD979" i="11"/>
  <c r="AE979" i="11"/>
  <c r="AF979" i="11"/>
  <c r="AG979" i="11"/>
  <c r="V980" i="11"/>
  <c r="W980" i="11"/>
  <c r="X980" i="11"/>
  <c r="Y980" i="11"/>
  <c r="Z980" i="11"/>
  <c r="AA980" i="11"/>
  <c r="AB980" i="11"/>
  <c r="AD980" i="11"/>
  <c r="AE980" i="11"/>
  <c r="AF980" i="11"/>
  <c r="AG980" i="11"/>
  <c r="V981" i="11"/>
  <c r="W981" i="11"/>
  <c r="X981" i="11"/>
  <c r="Y981" i="11"/>
  <c r="Z981" i="11"/>
  <c r="AA981" i="11"/>
  <c r="AB981" i="11"/>
  <c r="AD981" i="11"/>
  <c r="AE981" i="11"/>
  <c r="AF981" i="11"/>
  <c r="AG981" i="11"/>
  <c r="V982" i="11"/>
  <c r="W982" i="11"/>
  <c r="X982" i="11"/>
  <c r="Y982" i="11"/>
  <c r="Z982" i="11"/>
  <c r="AA982" i="11"/>
  <c r="AB982" i="11"/>
  <c r="AD982" i="11"/>
  <c r="AE982" i="11"/>
  <c r="AF982" i="11"/>
  <c r="AG982" i="11"/>
  <c r="V983" i="11"/>
  <c r="W983" i="11"/>
  <c r="X983" i="11"/>
  <c r="Y983" i="11"/>
  <c r="Z983" i="11"/>
  <c r="AA983" i="11"/>
  <c r="AB983" i="11"/>
  <c r="AD983" i="11"/>
  <c r="AE983" i="11"/>
  <c r="AF983" i="11"/>
  <c r="AG983" i="11"/>
  <c r="V984" i="11"/>
  <c r="W984" i="11"/>
  <c r="X984" i="11"/>
  <c r="Y984" i="11"/>
  <c r="Z984" i="11"/>
  <c r="AA984" i="11"/>
  <c r="AB984" i="11"/>
  <c r="AD984" i="11"/>
  <c r="AE984" i="11"/>
  <c r="AF984" i="11"/>
  <c r="AG984" i="11"/>
  <c r="V985" i="11"/>
  <c r="W985" i="11"/>
  <c r="X985" i="11"/>
  <c r="Y985" i="11"/>
  <c r="AA985" i="11"/>
  <c r="AB985" i="11"/>
  <c r="AD985" i="11"/>
  <c r="AE985" i="11"/>
  <c r="AF985" i="11"/>
  <c r="AG985" i="11"/>
  <c r="V986" i="11"/>
  <c r="W986" i="11"/>
  <c r="X986" i="11"/>
  <c r="Y986" i="11"/>
  <c r="Z986" i="11"/>
  <c r="AA986" i="11"/>
  <c r="AB986" i="11"/>
  <c r="AD986" i="11"/>
  <c r="AE986" i="11"/>
  <c r="AF986" i="11"/>
  <c r="AG986" i="11"/>
  <c r="V987" i="11"/>
  <c r="W987" i="11"/>
  <c r="X987" i="11"/>
  <c r="Y987" i="11"/>
  <c r="Z987" i="11"/>
  <c r="AA987" i="11"/>
  <c r="AB987" i="11"/>
  <c r="AD987" i="11"/>
  <c r="AE987" i="11"/>
  <c r="AF987" i="11"/>
  <c r="AG987" i="11"/>
  <c r="V988" i="11"/>
  <c r="W988" i="11"/>
  <c r="X988" i="11"/>
  <c r="Y988" i="11"/>
  <c r="Z988" i="11"/>
  <c r="AA988" i="11"/>
  <c r="AB988" i="11"/>
  <c r="AD988" i="11"/>
  <c r="AE988" i="11"/>
  <c r="AF988" i="11"/>
  <c r="AG988" i="11"/>
  <c r="V989" i="11"/>
  <c r="W989" i="11"/>
  <c r="X989" i="11"/>
  <c r="Y989" i="11"/>
  <c r="Z989" i="11"/>
  <c r="AA989" i="11"/>
  <c r="AB989" i="11"/>
  <c r="AD989" i="11"/>
  <c r="AE989" i="11"/>
  <c r="AF989" i="11"/>
  <c r="AG989" i="11"/>
  <c r="V990" i="11"/>
  <c r="W990" i="11"/>
  <c r="X990" i="11"/>
  <c r="Y990" i="11"/>
  <c r="Z990" i="11"/>
  <c r="AA990" i="11"/>
  <c r="AB990" i="11"/>
  <c r="AD990" i="11"/>
  <c r="AE990" i="11"/>
  <c r="AF990" i="11"/>
  <c r="AG990" i="11"/>
  <c r="V991" i="11"/>
  <c r="W991" i="11"/>
  <c r="X991" i="11"/>
  <c r="Y991" i="11"/>
  <c r="Z991" i="11"/>
  <c r="AA991" i="11"/>
  <c r="AB991" i="11"/>
  <c r="AD991" i="11"/>
  <c r="AE991" i="11"/>
  <c r="AF991" i="11"/>
  <c r="AG991" i="11"/>
  <c r="V992" i="11"/>
  <c r="W992" i="11"/>
  <c r="X992" i="11"/>
  <c r="Y992" i="11"/>
  <c r="Z992" i="11"/>
  <c r="AA992" i="11"/>
  <c r="AB992" i="11"/>
  <c r="AD992" i="11"/>
  <c r="AE992" i="11"/>
  <c r="AF992" i="11"/>
  <c r="AG992" i="11"/>
  <c r="V993" i="11"/>
  <c r="W993" i="11"/>
  <c r="X993" i="11"/>
  <c r="Y993" i="11"/>
  <c r="Z993" i="11"/>
  <c r="AA993" i="11"/>
  <c r="AB993" i="11"/>
  <c r="AD993" i="11"/>
  <c r="AE993" i="11"/>
  <c r="AF993" i="11"/>
  <c r="AG993" i="11"/>
  <c r="V994" i="11"/>
  <c r="W994" i="11"/>
  <c r="X994" i="11"/>
  <c r="Y994" i="11"/>
  <c r="Z994" i="11"/>
  <c r="AA994" i="11"/>
  <c r="AB994" i="11"/>
  <c r="AD994" i="11"/>
  <c r="AE994" i="11"/>
  <c r="AF994" i="11"/>
  <c r="AG994" i="11"/>
  <c r="V995" i="11"/>
  <c r="W995" i="11"/>
  <c r="X995" i="11"/>
  <c r="Y995" i="11"/>
  <c r="Z995" i="11"/>
  <c r="AA995" i="11"/>
  <c r="AB995" i="11"/>
  <c r="AD995" i="11"/>
  <c r="AE995" i="11"/>
  <c r="AF995" i="11"/>
  <c r="AG995" i="11"/>
  <c r="V996" i="11"/>
  <c r="W996" i="11"/>
  <c r="X996" i="11"/>
  <c r="Y996" i="11"/>
  <c r="Z996" i="11"/>
  <c r="AA996" i="11"/>
  <c r="AB996" i="11"/>
  <c r="AD996" i="11"/>
  <c r="AE996" i="11"/>
  <c r="AF996" i="11"/>
  <c r="AG996" i="11"/>
  <c r="V997" i="11"/>
  <c r="W997" i="11"/>
  <c r="X997" i="11"/>
  <c r="Y997" i="11"/>
  <c r="Z997" i="11"/>
  <c r="AA997" i="11"/>
  <c r="AB997" i="11"/>
  <c r="AD997" i="11"/>
  <c r="AE997" i="11"/>
  <c r="AF997" i="11"/>
  <c r="AG997" i="11"/>
  <c r="V998" i="11"/>
  <c r="W998" i="11"/>
  <c r="X998" i="11"/>
  <c r="Y998" i="11"/>
  <c r="Z998" i="11"/>
  <c r="AA998" i="11"/>
  <c r="AB998" i="11"/>
  <c r="AD998" i="11"/>
  <c r="AE998" i="11"/>
  <c r="AF998" i="11"/>
  <c r="AG998" i="11"/>
  <c r="V999" i="11"/>
  <c r="W999" i="11"/>
  <c r="X999" i="11"/>
  <c r="Y999" i="11"/>
  <c r="Z999" i="11"/>
  <c r="AA999" i="11"/>
  <c r="AB999" i="11"/>
  <c r="AD999" i="11"/>
  <c r="AE999" i="11"/>
  <c r="AF999" i="11"/>
  <c r="AG999" i="11"/>
  <c r="V1000" i="11"/>
  <c r="W1000" i="11"/>
  <c r="X1000" i="11"/>
  <c r="Y1000" i="11"/>
  <c r="Z1000" i="11"/>
  <c r="AA1000" i="11"/>
  <c r="AB1000" i="11"/>
  <c r="AD1000" i="11"/>
  <c r="AE1000" i="11"/>
  <c r="AF1000" i="11"/>
  <c r="AG1000" i="11"/>
  <c r="V1001" i="11"/>
  <c r="W1001" i="11"/>
  <c r="X1001" i="11"/>
  <c r="Y1001" i="11"/>
  <c r="Z1001" i="11"/>
  <c r="AA1001" i="11"/>
  <c r="AB1001" i="11"/>
  <c r="AD1001" i="11"/>
  <c r="AE1001" i="11"/>
  <c r="AF1001" i="11"/>
  <c r="AG1001" i="11"/>
  <c r="V1002" i="11"/>
  <c r="W1002" i="11"/>
  <c r="X1002" i="11"/>
  <c r="Y1002" i="11"/>
  <c r="Z1002" i="11"/>
  <c r="AA1002" i="11"/>
  <c r="AB1002" i="11"/>
  <c r="AD1002" i="11"/>
  <c r="AE1002" i="11"/>
  <c r="AF1002" i="11"/>
  <c r="AG1002" i="11"/>
  <c r="V1003" i="11"/>
  <c r="W1003" i="11"/>
  <c r="X1003" i="11"/>
  <c r="Y1003" i="11"/>
  <c r="Z1003" i="11"/>
  <c r="AA1003" i="11"/>
  <c r="AB1003" i="11"/>
  <c r="AD1003" i="11"/>
  <c r="AE1003" i="11"/>
  <c r="AF1003" i="11"/>
  <c r="AG1003" i="11"/>
  <c r="V1004" i="11"/>
  <c r="W1004" i="11"/>
  <c r="X1004" i="11"/>
  <c r="Y1004" i="11"/>
  <c r="Z1004" i="11"/>
  <c r="AA1004" i="11"/>
  <c r="AB1004" i="11"/>
  <c r="AD1004" i="11"/>
  <c r="AE1004" i="11"/>
  <c r="AF1004" i="11"/>
  <c r="AG1004" i="11"/>
  <c r="V1005" i="11"/>
  <c r="W1005" i="11"/>
  <c r="X1005" i="11"/>
  <c r="Y1005" i="11"/>
  <c r="Z1005" i="11"/>
  <c r="AA1005" i="11"/>
  <c r="AB1005" i="11"/>
  <c r="AD1005" i="11"/>
  <c r="AE1005" i="11"/>
  <c r="AF1005" i="11"/>
  <c r="AG1005" i="11"/>
  <c r="V1006" i="11"/>
  <c r="W1006" i="11"/>
  <c r="X1006" i="11"/>
  <c r="Y1006" i="11"/>
  <c r="Z1006" i="11"/>
  <c r="AA1006" i="11"/>
  <c r="AB1006" i="11"/>
  <c r="AD1006" i="11"/>
  <c r="AE1006" i="11"/>
  <c r="AF1006" i="11"/>
  <c r="AG1006" i="11"/>
  <c r="V1007" i="11"/>
  <c r="W1007" i="11"/>
  <c r="X1007" i="11"/>
  <c r="Y1007" i="11"/>
  <c r="Z1007" i="11"/>
  <c r="AA1007" i="11"/>
  <c r="AB1007" i="11"/>
  <c r="AD1007" i="11"/>
  <c r="AE1007" i="11"/>
  <c r="AF1007" i="11"/>
  <c r="AG1007" i="11"/>
  <c r="V1008" i="11"/>
  <c r="W1008" i="11"/>
  <c r="X1008" i="11"/>
  <c r="Y1008" i="11"/>
  <c r="Z1008" i="11"/>
  <c r="AA1008" i="11"/>
  <c r="AB1008" i="11"/>
  <c r="AD1008" i="11"/>
  <c r="AE1008" i="11"/>
  <c r="AF1008" i="11"/>
  <c r="AG1008" i="11"/>
  <c r="V1009" i="11"/>
  <c r="W1009" i="11"/>
  <c r="X1009" i="11"/>
  <c r="Y1009" i="11"/>
  <c r="Z1009" i="11"/>
  <c r="AA1009" i="11"/>
  <c r="AB1009" i="11"/>
  <c r="AD1009" i="11"/>
  <c r="AE1009" i="11"/>
  <c r="AF1009" i="11"/>
  <c r="AG1009" i="11"/>
  <c r="V1010" i="11"/>
  <c r="W1010" i="11"/>
  <c r="X1010" i="11"/>
  <c r="Y1010" i="11"/>
  <c r="Z1010" i="11"/>
  <c r="AA1010" i="11"/>
  <c r="AB1010" i="11"/>
  <c r="AD1010" i="11"/>
  <c r="AE1010" i="11"/>
  <c r="AF1010" i="11"/>
  <c r="AG1010" i="11"/>
  <c r="V1011" i="11"/>
  <c r="W1011" i="11"/>
  <c r="X1011" i="11"/>
  <c r="Y1011" i="11"/>
  <c r="Z1011" i="11"/>
  <c r="AA1011" i="11"/>
  <c r="AB1011" i="11"/>
  <c r="AD1011" i="11"/>
  <c r="AE1011" i="11"/>
  <c r="AF1011" i="11"/>
  <c r="AG1011" i="11"/>
  <c r="V1012" i="11"/>
  <c r="W1012" i="11"/>
  <c r="X1012" i="11"/>
  <c r="Y1012" i="11"/>
  <c r="Z1012" i="11"/>
  <c r="AA1012" i="11"/>
  <c r="AB1012" i="11"/>
  <c r="AD1012" i="11"/>
  <c r="AE1012" i="11"/>
  <c r="AF1012" i="11"/>
  <c r="AG1012" i="11"/>
  <c r="V1013" i="11"/>
  <c r="W1013" i="11"/>
  <c r="X1013" i="11"/>
  <c r="Y1013" i="11"/>
  <c r="Z1013" i="11"/>
  <c r="AA1013" i="11"/>
  <c r="AB1013" i="11"/>
  <c r="AD1013" i="11"/>
  <c r="AE1013" i="11"/>
  <c r="AF1013" i="11"/>
  <c r="AG1013" i="11"/>
  <c r="V1014" i="11"/>
  <c r="W1014" i="11"/>
  <c r="X1014" i="11"/>
  <c r="Y1014" i="11"/>
  <c r="Z1014" i="11"/>
  <c r="AA1014" i="11"/>
  <c r="AB1014" i="11"/>
  <c r="AD1014" i="11"/>
  <c r="AE1014" i="11"/>
  <c r="AF1014" i="11"/>
  <c r="AG1014" i="11"/>
  <c r="V1015" i="11"/>
  <c r="W1015" i="11"/>
  <c r="X1015" i="11"/>
  <c r="Y1015" i="11"/>
  <c r="Z1015" i="11"/>
  <c r="AA1015" i="11"/>
  <c r="AB1015" i="11"/>
  <c r="AD1015" i="11"/>
  <c r="AE1015" i="11"/>
  <c r="AF1015" i="11"/>
  <c r="AG1015" i="11"/>
  <c r="V1016" i="11"/>
  <c r="W1016" i="11"/>
  <c r="X1016" i="11"/>
  <c r="Y1016" i="11"/>
  <c r="Z1016" i="11"/>
  <c r="AA1016" i="11"/>
  <c r="AB1016" i="11"/>
  <c r="AD1016" i="11"/>
  <c r="AE1016" i="11"/>
  <c r="AF1016" i="11"/>
  <c r="AG1016" i="11"/>
  <c r="V1017" i="11"/>
  <c r="W1017" i="11"/>
  <c r="X1017" i="11"/>
  <c r="Y1017" i="11"/>
  <c r="Z1017" i="11"/>
  <c r="AA1017" i="11"/>
  <c r="AB1017" i="11"/>
  <c r="AD1017" i="11"/>
  <c r="AE1017" i="11"/>
  <c r="AF1017" i="11"/>
  <c r="AG1017" i="11"/>
  <c r="V1018" i="11"/>
  <c r="W1018" i="11"/>
  <c r="X1018" i="11"/>
  <c r="Y1018" i="11"/>
  <c r="Z1018" i="11"/>
  <c r="AA1018" i="11"/>
  <c r="AB1018" i="11"/>
  <c r="AD1018" i="11"/>
  <c r="AE1018" i="11"/>
  <c r="AF1018" i="11"/>
  <c r="AG1018" i="11"/>
  <c r="V1019" i="11"/>
  <c r="W1019" i="11"/>
  <c r="X1019" i="11"/>
  <c r="Y1019" i="11"/>
  <c r="Z1019" i="11"/>
  <c r="AA1019" i="11"/>
  <c r="AB1019" i="11"/>
  <c r="AD1019" i="11"/>
  <c r="AE1019" i="11"/>
  <c r="AF1019" i="11"/>
  <c r="AG1019" i="11"/>
  <c r="V1020" i="11"/>
  <c r="W1020" i="11"/>
  <c r="X1020" i="11"/>
  <c r="Y1020" i="11"/>
  <c r="AA1020" i="11"/>
  <c r="AB1020" i="11"/>
  <c r="AD1020" i="11"/>
  <c r="AE1020" i="11"/>
  <c r="AF1020" i="11"/>
  <c r="AG1020" i="11"/>
  <c r="V1021" i="11"/>
  <c r="W1021" i="11"/>
  <c r="X1021" i="11"/>
  <c r="Y1021" i="11"/>
  <c r="Z1021" i="11"/>
  <c r="AA1021" i="11"/>
  <c r="AB1021" i="11"/>
  <c r="AD1021" i="11"/>
  <c r="AE1021" i="11"/>
  <c r="AF1021" i="11"/>
  <c r="AG1021" i="11"/>
  <c r="V1022" i="11"/>
  <c r="W1022" i="11"/>
  <c r="X1022" i="11"/>
  <c r="Y1022" i="11"/>
  <c r="Z1022" i="11"/>
  <c r="AA1022" i="11"/>
  <c r="AB1022" i="11"/>
  <c r="AD1022" i="11"/>
  <c r="AE1022" i="11"/>
  <c r="AF1022" i="11"/>
  <c r="AG1022" i="11"/>
  <c r="V1023" i="11"/>
  <c r="W1023" i="11"/>
  <c r="X1023" i="11"/>
  <c r="Y1023" i="11"/>
  <c r="Z1023" i="11"/>
  <c r="AA1023" i="11"/>
  <c r="AB1023" i="11"/>
  <c r="AD1023" i="11"/>
  <c r="AE1023" i="11"/>
  <c r="AF1023" i="11"/>
  <c r="AG1023" i="11"/>
  <c r="V1024" i="11"/>
  <c r="W1024" i="11"/>
  <c r="X1024" i="11"/>
  <c r="Y1024" i="11"/>
  <c r="Z1024" i="11"/>
  <c r="AA1024" i="11"/>
  <c r="AB1024" i="11"/>
  <c r="AD1024" i="11"/>
  <c r="AE1024" i="11"/>
  <c r="AF1024" i="11"/>
  <c r="AG1024" i="11"/>
  <c r="V1025" i="11"/>
  <c r="W1025" i="11"/>
  <c r="X1025" i="11"/>
  <c r="Y1025" i="11"/>
  <c r="Z1025" i="11"/>
  <c r="AA1025" i="11"/>
  <c r="AB1025" i="11"/>
  <c r="AD1025" i="11"/>
  <c r="AE1025" i="11"/>
  <c r="AF1025" i="11"/>
  <c r="AG1025" i="11"/>
  <c r="V1026" i="11"/>
  <c r="W1026" i="11"/>
  <c r="X1026" i="11"/>
  <c r="Y1026" i="11"/>
  <c r="Z1026" i="11"/>
  <c r="AA1026" i="11"/>
  <c r="AB1026" i="11"/>
  <c r="AD1026" i="11"/>
  <c r="AE1026" i="11"/>
  <c r="AF1026" i="11"/>
  <c r="AG1026" i="11"/>
  <c r="V1027" i="11"/>
  <c r="W1027" i="11"/>
  <c r="X1027" i="11"/>
  <c r="Y1027" i="11"/>
  <c r="Z1027" i="11"/>
  <c r="AA1027" i="11"/>
  <c r="AB1027" i="11"/>
  <c r="AD1027" i="11"/>
  <c r="AE1027" i="11"/>
  <c r="AF1027" i="11"/>
  <c r="AG1027" i="11"/>
  <c r="V1028" i="11"/>
  <c r="W1028" i="11"/>
  <c r="X1028" i="11"/>
  <c r="Y1028" i="11"/>
  <c r="Z1028" i="11"/>
  <c r="AA1028" i="11"/>
  <c r="AB1028" i="11"/>
  <c r="AD1028" i="11"/>
  <c r="AE1028" i="11"/>
  <c r="AF1028" i="11"/>
  <c r="AG1028" i="11"/>
  <c r="V1029" i="11"/>
  <c r="W1029" i="11"/>
  <c r="X1029" i="11"/>
  <c r="Y1029" i="11"/>
  <c r="Z1029" i="11"/>
  <c r="AA1029" i="11"/>
  <c r="AB1029" i="11"/>
  <c r="AD1029" i="11"/>
  <c r="AE1029" i="11"/>
  <c r="AF1029" i="11"/>
  <c r="AG1029" i="11"/>
  <c r="V1030" i="11"/>
  <c r="W1030" i="11"/>
  <c r="X1030" i="11"/>
  <c r="Y1030" i="11"/>
  <c r="Z1030" i="11"/>
  <c r="AA1030" i="11"/>
  <c r="AB1030" i="11"/>
  <c r="AD1030" i="11"/>
  <c r="AE1030" i="11"/>
  <c r="AF1030" i="11"/>
  <c r="AG1030" i="11"/>
  <c r="V1031" i="11"/>
  <c r="W1031" i="11"/>
  <c r="X1031" i="11"/>
  <c r="Y1031" i="11"/>
  <c r="Z1031" i="11"/>
  <c r="AA1031" i="11"/>
  <c r="AB1031" i="11"/>
  <c r="AD1031" i="11"/>
  <c r="AE1031" i="11"/>
  <c r="AF1031" i="11"/>
  <c r="AG1031" i="11"/>
  <c r="V1032" i="11"/>
  <c r="W1032" i="11"/>
  <c r="X1032" i="11"/>
  <c r="Y1032" i="11"/>
  <c r="Z1032" i="11"/>
  <c r="AA1032" i="11"/>
  <c r="AB1032" i="11"/>
  <c r="AD1032" i="11"/>
  <c r="AE1032" i="11"/>
  <c r="AF1032" i="11"/>
  <c r="AG1032" i="11"/>
  <c r="V1033" i="11"/>
  <c r="W1033" i="11"/>
  <c r="X1033" i="11"/>
  <c r="Y1033" i="11"/>
  <c r="Z1033" i="11"/>
  <c r="AA1033" i="11"/>
  <c r="AB1033" i="11"/>
  <c r="AD1033" i="11"/>
  <c r="AE1033" i="11"/>
  <c r="AF1033" i="11"/>
  <c r="AG1033" i="11"/>
  <c r="V1034" i="11"/>
  <c r="W1034" i="11"/>
  <c r="X1034" i="11"/>
  <c r="Y1034" i="11"/>
  <c r="Z1034" i="11"/>
  <c r="AA1034" i="11"/>
  <c r="AB1034" i="11"/>
  <c r="AD1034" i="11"/>
  <c r="AE1034" i="11"/>
  <c r="AF1034" i="11"/>
  <c r="AG1034" i="11"/>
  <c r="V1035" i="11"/>
  <c r="W1035" i="11"/>
  <c r="X1035" i="11"/>
  <c r="Y1035" i="11"/>
  <c r="Z1035" i="11"/>
  <c r="AA1035" i="11"/>
  <c r="AB1035" i="11"/>
  <c r="AD1035" i="11"/>
  <c r="AE1035" i="11"/>
  <c r="AF1035" i="11"/>
  <c r="AG1035" i="11"/>
  <c r="V1036" i="11"/>
  <c r="W1036" i="11"/>
  <c r="X1036" i="11"/>
  <c r="Y1036" i="11"/>
  <c r="Z1036" i="11"/>
  <c r="AA1036" i="11"/>
  <c r="AB1036" i="11"/>
  <c r="AD1036" i="11"/>
  <c r="AE1036" i="11"/>
  <c r="AF1036" i="11"/>
  <c r="AG1036" i="11"/>
  <c r="V1037" i="11"/>
  <c r="W1037" i="11"/>
  <c r="X1037" i="11"/>
  <c r="Y1037" i="11"/>
  <c r="Z1037" i="11"/>
  <c r="AA1037" i="11"/>
  <c r="AB1037" i="11"/>
  <c r="AD1037" i="11"/>
  <c r="AE1037" i="11"/>
  <c r="AF1037" i="11"/>
  <c r="AG1037" i="11"/>
  <c r="V1038" i="11"/>
  <c r="W1038" i="11"/>
  <c r="X1038" i="11"/>
  <c r="Y1038" i="11"/>
  <c r="Z1038" i="11"/>
  <c r="AA1038" i="11"/>
  <c r="AB1038" i="11"/>
  <c r="AD1038" i="11"/>
  <c r="AE1038" i="11"/>
  <c r="AF1038" i="11"/>
  <c r="AG1038" i="11"/>
  <c r="V1039" i="11"/>
  <c r="W1039" i="11"/>
  <c r="X1039" i="11"/>
  <c r="Y1039" i="11"/>
  <c r="Z1039" i="11"/>
  <c r="AA1039" i="11"/>
  <c r="AB1039" i="11"/>
  <c r="AD1039" i="11"/>
  <c r="AE1039" i="11"/>
  <c r="AF1039" i="11"/>
  <c r="AG1039" i="11"/>
  <c r="V1040" i="11"/>
  <c r="W1040" i="11"/>
  <c r="X1040" i="11"/>
  <c r="Y1040" i="11"/>
  <c r="Z1040" i="11"/>
  <c r="AA1040" i="11"/>
  <c r="AB1040" i="11"/>
  <c r="AD1040" i="11"/>
  <c r="AE1040" i="11"/>
  <c r="AF1040" i="11"/>
  <c r="AG1040" i="11"/>
  <c r="V1041" i="11"/>
  <c r="W1041" i="11"/>
  <c r="X1041" i="11"/>
  <c r="Y1041" i="11"/>
  <c r="Z1041" i="11"/>
  <c r="AA1041" i="11"/>
  <c r="AB1041" i="11"/>
  <c r="AD1041" i="11"/>
  <c r="AE1041" i="11"/>
  <c r="AF1041" i="11"/>
  <c r="AG1041" i="11"/>
  <c r="V1042" i="11"/>
  <c r="W1042" i="11"/>
  <c r="X1042" i="11"/>
  <c r="Y1042" i="11"/>
  <c r="Z1042" i="11"/>
  <c r="AA1042" i="11"/>
  <c r="AB1042" i="11"/>
  <c r="AD1042" i="11"/>
  <c r="AE1042" i="11"/>
  <c r="AF1042" i="11"/>
  <c r="AG1042" i="11"/>
  <c r="V1043" i="11"/>
  <c r="W1043" i="11"/>
  <c r="X1043" i="11"/>
  <c r="Y1043" i="11"/>
  <c r="Z1043" i="11"/>
  <c r="AA1043" i="11"/>
  <c r="AB1043" i="11"/>
  <c r="AD1043" i="11"/>
  <c r="AE1043" i="11"/>
  <c r="AF1043" i="11"/>
  <c r="AG1043" i="11"/>
  <c r="V1044" i="11"/>
  <c r="W1044" i="11"/>
  <c r="X1044" i="11"/>
  <c r="Y1044" i="11"/>
  <c r="Z1044" i="11"/>
  <c r="AA1044" i="11"/>
  <c r="AB1044" i="11"/>
  <c r="AD1044" i="11"/>
  <c r="AE1044" i="11"/>
  <c r="AF1044" i="11"/>
  <c r="AG1044" i="11"/>
  <c r="V1045" i="11"/>
  <c r="W1045" i="11"/>
  <c r="X1045" i="11"/>
  <c r="Y1045" i="11"/>
  <c r="Z1045" i="11"/>
  <c r="AA1045" i="11"/>
  <c r="AB1045" i="11"/>
  <c r="AD1045" i="11"/>
  <c r="AE1045" i="11"/>
  <c r="AF1045" i="11"/>
  <c r="AG1045" i="11"/>
  <c r="V1046" i="11"/>
  <c r="W1046" i="11"/>
  <c r="X1046" i="11"/>
  <c r="Y1046" i="11"/>
  <c r="Z1046" i="11"/>
  <c r="AA1046" i="11"/>
  <c r="AB1046" i="11"/>
  <c r="AD1046" i="11"/>
  <c r="AE1046" i="11"/>
  <c r="AF1046" i="11"/>
  <c r="AG1046" i="11"/>
  <c r="V1047" i="11"/>
  <c r="W1047" i="11"/>
  <c r="X1047" i="11"/>
  <c r="Y1047" i="11"/>
  <c r="Z1047" i="11"/>
  <c r="AA1047" i="11"/>
  <c r="AB1047" i="11"/>
  <c r="AD1047" i="11"/>
  <c r="AE1047" i="11"/>
  <c r="AF1047" i="11"/>
  <c r="AG1047" i="11"/>
  <c r="V1048" i="11"/>
  <c r="W1048" i="11"/>
  <c r="X1048" i="11"/>
  <c r="Y1048" i="11"/>
  <c r="Z1048" i="11"/>
  <c r="AA1048" i="11"/>
  <c r="AB1048" i="11"/>
  <c r="AD1048" i="11"/>
  <c r="AE1048" i="11"/>
  <c r="AF1048" i="11"/>
  <c r="AG1048" i="11"/>
  <c r="V1049" i="11"/>
  <c r="W1049" i="11"/>
  <c r="X1049" i="11"/>
  <c r="Y1049" i="11"/>
  <c r="Z1049" i="11"/>
  <c r="AA1049" i="11"/>
  <c r="AB1049" i="11"/>
  <c r="AD1049" i="11"/>
  <c r="AE1049" i="11"/>
  <c r="AF1049" i="11"/>
  <c r="AG1049" i="11"/>
  <c r="V1050" i="11"/>
  <c r="W1050" i="11"/>
  <c r="X1050" i="11"/>
  <c r="Y1050" i="11"/>
  <c r="Z1050" i="11"/>
  <c r="AA1050" i="11"/>
  <c r="AB1050" i="11"/>
  <c r="AD1050" i="11"/>
  <c r="AE1050" i="11"/>
  <c r="AF1050" i="11"/>
  <c r="AG1050" i="11"/>
  <c r="V1051" i="11"/>
  <c r="W1051" i="11"/>
  <c r="X1051" i="11"/>
  <c r="Y1051" i="11"/>
  <c r="Z1051" i="11"/>
  <c r="AA1051" i="11"/>
  <c r="AB1051" i="11"/>
  <c r="AD1051" i="11"/>
  <c r="AE1051" i="11"/>
  <c r="AF1051" i="11"/>
  <c r="AG1051" i="11"/>
  <c r="V1052" i="11"/>
  <c r="W1052" i="11"/>
  <c r="X1052" i="11"/>
  <c r="Y1052" i="11"/>
  <c r="Z1052" i="11"/>
  <c r="AA1052" i="11"/>
  <c r="AB1052" i="11"/>
  <c r="AD1052" i="11"/>
  <c r="AE1052" i="11"/>
  <c r="AF1052" i="11"/>
  <c r="AG1052" i="11"/>
  <c r="V1053" i="11"/>
  <c r="W1053" i="11"/>
  <c r="X1053" i="11"/>
  <c r="Y1053" i="11"/>
  <c r="Z1053" i="11"/>
  <c r="AA1053" i="11"/>
  <c r="AB1053" i="11"/>
  <c r="AD1053" i="11"/>
  <c r="AE1053" i="11"/>
  <c r="AF1053" i="11"/>
  <c r="AG1053" i="11"/>
  <c r="V1054" i="11"/>
  <c r="W1054" i="11"/>
  <c r="X1054" i="11"/>
  <c r="Y1054" i="11"/>
  <c r="Z1054" i="11"/>
  <c r="AA1054" i="11"/>
  <c r="AB1054" i="11"/>
  <c r="AD1054" i="11"/>
  <c r="AE1054" i="11"/>
  <c r="AF1054" i="11"/>
  <c r="AG1054" i="11"/>
  <c r="V1055" i="11"/>
  <c r="W1055" i="11"/>
  <c r="X1055" i="11"/>
  <c r="Y1055" i="11"/>
  <c r="Z1055" i="11"/>
  <c r="AA1055" i="11"/>
  <c r="AB1055" i="11"/>
  <c r="AD1055" i="11"/>
  <c r="AE1055" i="11"/>
  <c r="AF1055" i="11"/>
  <c r="AG1055" i="11"/>
  <c r="V1056" i="11"/>
  <c r="W1056" i="11"/>
  <c r="X1056" i="11"/>
  <c r="Y1056" i="11"/>
  <c r="Z1056" i="11"/>
  <c r="AA1056" i="11"/>
  <c r="AB1056" i="11"/>
  <c r="AD1056" i="11"/>
  <c r="AE1056" i="11"/>
  <c r="AF1056" i="11"/>
  <c r="AG1056" i="11"/>
  <c r="V1057" i="11"/>
  <c r="W1057" i="11"/>
  <c r="X1057" i="11"/>
  <c r="Y1057" i="11"/>
  <c r="Z1057" i="11"/>
  <c r="AA1057" i="11"/>
  <c r="AB1057" i="11"/>
  <c r="AD1057" i="11"/>
  <c r="AE1057" i="11"/>
  <c r="AF1057" i="11"/>
  <c r="AG1057" i="11"/>
  <c r="V1058" i="11"/>
  <c r="W1058" i="11"/>
  <c r="X1058" i="11"/>
  <c r="Y1058" i="11"/>
  <c r="Z1058" i="11"/>
  <c r="AA1058" i="11"/>
  <c r="AB1058" i="11"/>
  <c r="AD1058" i="11"/>
  <c r="AE1058" i="11"/>
  <c r="AF1058" i="11"/>
  <c r="AG1058" i="11"/>
  <c r="V1059" i="11"/>
  <c r="W1059" i="11"/>
  <c r="X1059" i="11"/>
  <c r="Y1059" i="11"/>
  <c r="Z1059" i="11"/>
  <c r="AA1059" i="11"/>
  <c r="AB1059" i="11"/>
  <c r="AD1059" i="11"/>
  <c r="AE1059" i="11"/>
  <c r="AF1059" i="11"/>
  <c r="AG1059" i="11"/>
  <c r="V1060" i="11"/>
  <c r="W1060" i="11"/>
  <c r="X1060" i="11"/>
  <c r="Y1060" i="11"/>
  <c r="Z1060" i="11"/>
  <c r="AA1060" i="11"/>
  <c r="AB1060" i="11"/>
  <c r="AD1060" i="11"/>
  <c r="AE1060" i="11"/>
  <c r="AF1060" i="11"/>
  <c r="AG1060" i="11"/>
  <c r="V1061" i="11"/>
  <c r="W1061" i="11"/>
  <c r="X1061" i="11"/>
  <c r="Y1061" i="11"/>
  <c r="Z1061" i="11"/>
  <c r="AA1061" i="11"/>
  <c r="AB1061" i="11"/>
  <c r="AD1061" i="11"/>
  <c r="AE1061" i="11"/>
  <c r="AF1061" i="11"/>
  <c r="AG1061" i="11"/>
  <c r="V1062" i="11"/>
  <c r="W1062" i="11"/>
  <c r="X1062" i="11"/>
  <c r="Y1062" i="11"/>
  <c r="Z1062" i="11"/>
  <c r="AA1062" i="11"/>
  <c r="AB1062" i="11"/>
  <c r="AD1062" i="11"/>
  <c r="AE1062" i="11"/>
  <c r="AF1062" i="11"/>
  <c r="AG1062" i="11"/>
  <c r="V1063" i="11"/>
  <c r="W1063" i="11"/>
  <c r="X1063" i="11"/>
  <c r="Y1063" i="11"/>
  <c r="Z1063" i="11"/>
  <c r="AA1063" i="11"/>
  <c r="AB1063" i="11"/>
  <c r="AD1063" i="11"/>
  <c r="AE1063" i="11"/>
  <c r="AF1063" i="11"/>
  <c r="AG1063" i="11"/>
  <c r="V1064" i="11"/>
  <c r="W1064" i="11"/>
  <c r="X1064" i="11"/>
  <c r="Y1064" i="11"/>
  <c r="Z1064" i="11"/>
  <c r="AA1064" i="11"/>
  <c r="AB1064" i="11"/>
  <c r="AD1064" i="11"/>
  <c r="AE1064" i="11"/>
  <c r="AF1064" i="11"/>
  <c r="AG1064" i="11"/>
  <c r="V1065" i="11"/>
  <c r="W1065" i="11"/>
  <c r="X1065" i="11"/>
  <c r="Y1065" i="11"/>
  <c r="Z1065" i="11"/>
  <c r="AA1065" i="11"/>
  <c r="AB1065" i="11"/>
  <c r="AD1065" i="11"/>
  <c r="AE1065" i="11"/>
  <c r="AF1065" i="11"/>
  <c r="AG1065" i="11"/>
  <c r="V1066" i="11"/>
  <c r="W1066" i="11"/>
  <c r="X1066" i="11"/>
  <c r="Y1066" i="11"/>
  <c r="Z1066" i="11"/>
  <c r="AA1066" i="11"/>
  <c r="AB1066" i="11"/>
  <c r="AD1066" i="11"/>
  <c r="AE1066" i="11"/>
  <c r="AF1066" i="11"/>
  <c r="AG1066" i="11"/>
  <c r="V1067" i="11"/>
  <c r="W1067" i="11"/>
  <c r="X1067" i="11"/>
  <c r="Y1067" i="11"/>
  <c r="Z1067" i="11"/>
  <c r="AA1067" i="11"/>
  <c r="AB1067" i="11"/>
  <c r="AD1067" i="11"/>
  <c r="AE1067" i="11"/>
  <c r="AF1067" i="11"/>
  <c r="AG1067" i="11"/>
  <c r="V1068" i="11"/>
  <c r="W1068" i="11"/>
  <c r="X1068" i="11"/>
  <c r="Y1068" i="11"/>
  <c r="Z1068" i="11"/>
  <c r="AA1068" i="11"/>
  <c r="AB1068" i="11"/>
  <c r="AD1068" i="11"/>
  <c r="AE1068" i="11"/>
  <c r="AF1068" i="11"/>
  <c r="AG1068" i="11"/>
  <c r="V1069" i="11"/>
  <c r="W1069" i="11"/>
  <c r="X1069" i="11"/>
  <c r="Y1069" i="11"/>
  <c r="Z1069" i="11"/>
  <c r="AA1069" i="11"/>
  <c r="AB1069" i="11"/>
  <c r="AD1069" i="11"/>
  <c r="AE1069" i="11"/>
  <c r="AF1069" i="11"/>
  <c r="AG1069" i="11"/>
  <c r="V1070" i="11"/>
  <c r="W1070" i="11"/>
  <c r="X1070" i="11"/>
  <c r="Y1070" i="11"/>
  <c r="Z1070" i="11"/>
  <c r="AA1070" i="11"/>
  <c r="AB1070" i="11"/>
  <c r="AD1070" i="11"/>
  <c r="AE1070" i="11"/>
  <c r="AF1070" i="11"/>
  <c r="AG1070" i="11"/>
  <c r="V1071" i="11"/>
  <c r="W1071" i="11"/>
  <c r="X1071" i="11"/>
  <c r="Y1071" i="11"/>
  <c r="Z1071" i="11"/>
  <c r="AA1071" i="11"/>
  <c r="AB1071" i="11"/>
  <c r="AD1071" i="11"/>
  <c r="AE1071" i="11"/>
  <c r="AF1071" i="11"/>
  <c r="AG1071" i="11"/>
  <c r="V1072" i="11"/>
  <c r="W1072" i="11"/>
  <c r="X1072" i="11"/>
  <c r="Y1072" i="11"/>
  <c r="Z1072" i="11"/>
  <c r="AA1072" i="11"/>
  <c r="AB1072" i="11"/>
  <c r="AD1072" i="11"/>
  <c r="AE1072" i="11"/>
  <c r="AF1072" i="11"/>
  <c r="AG1072" i="11"/>
  <c r="V1073" i="11"/>
  <c r="W1073" i="11"/>
  <c r="X1073" i="11"/>
  <c r="Y1073" i="11"/>
  <c r="Z1073" i="11"/>
  <c r="AA1073" i="11"/>
  <c r="AB1073" i="11"/>
  <c r="AD1073" i="11"/>
  <c r="AE1073" i="11"/>
  <c r="AF1073" i="11"/>
  <c r="AG1073" i="11"/>
  <c r="V1075" i="11"/>
  <c r="W1075" i="11"/>
  <c r="X1075" i="11"/>
  <c r="Y1075" i="11"/>
  <c r="Z1075" i="11"/>
  <c r="AA1075" i="11"/>
  <c r="AB1075" i="11"/>
  <c r="AD1075" i="11"/>
  <c r="AE1075" i="11"/>
  <c r="AF1075" i="11"/>
  <c r="AG1075" i="11"/>
  <c r="V1076" i="11"/>
  <c r="W1076" i="11"/>
  <c r="X1076" i="11"/>
  <c r="Y1076" i="11"/>
  <c r="Z1076" i="11"/>
  <c r="AA1076" i="11"/>
  <c r="AB1076" i="11"/>
  <c r="AD1076" i="11"/>
  <c r="AE1076" i="11"/>
  <c r="AF1076" i="11"/>
  <c r="AG1076" i="11"/>
  <c r="V1077" i="11"/>
  <c r="W1077" i="11"/>
  <c r="X1077" i="11"/>
  <c r="Y1077" i="11"/>
  <c r="Z1077" i="11"/>
  <c r="AA1077" i="11"/>
  <c r="AB1077" i="11"/>
  <c r="AD1077" i="11"/>
  <c r="AE1077" i="11"/>
  <c r="AF1077" i="11"/>
  <c r="AG1077" i="11"/>
  <c r="V1078" i="11"/>
  <c r="W1078" i="11"/>
  <c r="X1078" i="11"/>
  <c r="Y1078" i="11"/>
  <c r="Z1078" i="11"/>
  <c r="AA1078" i="11"/>
  <c r="AB1078" i="11"/>
  <c r="AD1078" i="11"/>
  <c r="AE1078" i="11"/>
  <c r="AF1078" i="11"/>
  <c r="AG1078" i="11"/>
  <c r="V1079" i="11"/>
  <c r="W1079" i="11"/>
  <c r="X1079" i="11"/>
  <c r="Y1079" i="11"/>
  <c r="Z1079" i="11"/>
  <c r="AA1079" i="11"/>
  <c r="AB1079" i="11"/>
  <c r="AD1079" i="11"/>
  <c r="AE1079" i="11"/>
  <c r="AF1079" i="11"/>
  <c r="AG1079" i="11"/>
  <c r="V1080" i="11"/>
  <c r="W1080" i="11"/>
  <c r="X1080" i="11"/>
  <c r="Y1080" i="11"/>
  <c r="Z1080" i="11"/>
  <c r="AA1080" i="11"/>
  <c r="AB1080" i="11"/>
  <c r="AD1080" i="11"/>
  <c r="AE1080" i="11"/>
  <c r="AF1080" i="11"/>
  <c r="AG1080" i="11"/>
  <c r="V1081" i="11"/>
  <c r="W1081" i="11"/>
  <c r="X1081" i="11"/>
  <c r="Y1081" i="11"/>
  <c r="Z1081" i="11"/>
  <c r="AA1081" i="11"/>
  <c r="AB1081" i="11"/>
  <c r="AD1081" i="11"/>
  <c r="AE1081" i="11"/>
  <c r="AF1081" i="11"/>
  <c r="AG1081" i="11"/>
  <c r="V1082" i="11"/>
  <c r="W1082" i="11"/>
  <c r="X1082" i="11"/>
  <c r="Y1082" i="11"/>
  <c r="Z1082" i="11"/>
  <c r="AA1082" i="11"/>
  <c r="AB1082" i="11"/>
  <c r="AD1082" i="11"/>
  <c r="AE1082" i="11"/>
  <c r="AF1082" i="11"/>
  <c r="AG1082" i="11"/>
  <c r="V1083" i="11"/>
  <c r="W1083" i="11"/>
  <c r="X1083" i="11"/>
  <c r="Y1083" i="11"/>
  <c r="Z1083" i="11"/>
  <c r="AA1083" i="11"/>
  <c r="AB1083" i="11"/>
  <c r="AD1083" i="11"/>
  <c r="AE1083" i="11"/>
  <c r="AF1083" i="11"/>
  <c r="AG1083" i="11"/>
  <c r="V1084" i="11"/>
  <c r="W1084" i="11"/>
  <c r="X1084" i="11"/>
  <c r="Y1084" i="11"/>
  <c r="Z1084" i="11"/>
  <c r="AA1084" i="11"/>
  <c r="AB1084" i="11"/>
  <c r="AD1084" i="11"/>
  <c r="AE1084" i="11"/>
  <c r="AF1084" i="11"/>
  <c r="AG1084" i="11"/>
  <c r="V1085" i="11"/>
  <c r="W1085" i="11"/>
  <c r="X1085" i="11"/>
  <c r="Y1085" i="11"/>
  <c r="Z1085" i="11"/>
  <c r="AA1085" i="11"/>
  <c r="AB1085" i="11"/>
  <c r="AD1085" i="11"/>
  <c r="AE1085" i="11"/>
  <c r="AF1085" i="11"/>
  <c r="AG1085" i="11"/>
  <c r="V1086" i="11"/>
  <c r="W1086" i="11"/>
  <c r="X1086" i="11"/>
  <c r="Y1086" i="11"/>
  <c r="Z1086" i="11"/>
  <c r="AA1086" i="11"/>
  <c r="AB1086" i="11"/>
  <c r="AD1086" i="11"/>
  <c r="AE1086" i="11"/>
  <c r="AF1086" i="11"/>
  <c r="AG1086" i="11"/>
  <c r="V1087" i="11"/>
  <c r="W1087" i="11"/>
  <c r="X1087" i="11"/>
  <c r="Y1087" i="11"/>
  <c r="Z1087" i="11"/>
  <c r="AA1087" i="11"/>
  <c r="AB1087" i="11"/>
  <c r="AD1087" i="11"/>
  <c r="AE1087" i="11"/>
  <c r="AF1087" i="11"/>
  <c r="AG1087" i="11"/>
  <c r="V1088" i="11"/>
  <c r="W1088" i="11"/>
  <c r="X1088" i="11"/>
  <c r="Y1088" i="11"/>
  <c r="Z1088" i="11"/>
  <c r="AA1088" i="11"/>
  <c r="AB1088" i="11"/>
  <c r="AD1088" i="11"/>
  <c r="AE1088" i="11"/>
  <c r="AF1088" i="11"/>
  <c r="AG1088" i="11"/>
  <c r="V1089" i="11"/>
  <c r="W1089" i="11"/>
  <c r="X1089" i="11"/>
  <c r="Y1089" i="11"/>
  <c r="AA1089" i="11"/>
  <c r="AB1089" i="11"/>
  <c r="AD1089" i="11"/>
  <c r="AE1089" i="11"/>
  <c r="AF1089" i="11"/>
  <c r="AG1089" i="11"/>
  <c r="V1090" i="11"/>
  <c r="W1090" i="11"/>
  <c r="X1090" i="11"/>
  <c r="Y1090" i="11"/>
  <c r="AA1090" i="11"/>
  <c r="AB1090" i="11"/>
  <c r="AD1090" i="11"/>
  <c r="AE1090" i="11"/>
  <c r="AF1090" i="11"/>
  <c r="AG1090" i="11"/>
  <c r="V1091" i="11"/>
  <c r="W1091" i="11"/>
  <c r="X1091" i="11"/>
  <c r="Y1091" i="11"/>
  <c r="AA1091" i="11"/>
  <c r="AB1091" i="11"/>
  <c r="AD1091" i="11"/>
  <c r="AE1091" i="11"/>
  <c r="AF1091" i="11"/>
  <c r="AG1091" i="11"/>
  <c r="V1092" i="11"/>
  <c r="W1092" i="11"/>
  <c r="X1092" i="11"/>
  <c r="Y1092" i="11"/>
  <c r="AA1092" i="11"/>
  <c r="AB1092" i="11"/>
  <c r="AD1092" i="11"/>
  <c r="AE1092" i="11"/>
  <c r="AF1092" i="11"/>
  <c r="AG1092" i="11"/>
  <c r="V1093" i="11"/>
  <c r="W1093" i="11"/>
  <c r="X1093" i="11"/>
  <c r="Y1093" i="11"/>
  <c r="AA1093" i="11"/>
  <c r="AB1093" i="11"/>
  <c r="AD1093" i="11"/>
  <c r="AE1093" i="11"/>
  <c r="AF1093" i="11"/>
  <c r="AG1093" i="11"/>
  <c r="V1094" i="11"/>
  <c r="W1094" i="11"/>
  <c r="X1094" i="11"/>
  <c r="Y1094" i="11"/>
  <c r="AA1094" i="11"/>
  <c r="AB1094" i="11"/>
  <c r="AD1094" i="11"/>
  <c r="AE1094" i="11"/>
  <c r="AF1094" i="11"/>
  <c r="AG1094" i="11"/>
  <c r="V1095" i="11"/>
  <c r="W1095" i="11"/>
  <c r="X1095" i="11"/>
  <c r="Y1095" i="11"/>
  <c r="AA1095" i="11"/>
  <c r="AB1095" i="11"/>
  <c r="AD1095" i="11"/>
  <c r="AE1095" i="11"/>
  <c r="AF1095" i="11"/>
  <c r="AG1095" i="11"/>
  <c r="V1096" i="11"/>
  <c r="W1096" i="11"/>
  <c r="X1096" i="11"/>
  <c r="Y1096" i="11"/>
  <c r="Z1096" i="11"/>
  <c r="AA1096" i="11"/>
  <c r="AB1096" i="11"/>
  <c r="AD1096" i="11"/>
  <c r="AE1096" i="11"/>
  <c r="AF1096" i="11"/>
  <c r="AG1096" i="11"/>
  <c r="V1097" i="11"/>
  <c r="W1097" i="11"/>
  <c r="X1097" i="11"/>
  <c r="Y1097" i="11"/>
  <c r="Z1097" i="11"/>
  <c r="AA1097" i="11"/>
  <c r="AB1097" i="11"/>
  <c r="AD1097" i="11"/>
  <c r="AE1097" i="11"/>
  <c r="AF1097" i="11"/>
  <c r="AG1097" i="11"/>
  <c r="V1098" i="11"/>
  <c r="W1098" i="11"/>
  <c r="X1098" i="11"/>
  <c r="Y1098" i="11"/>
  <c r="Z1098" i="11"/>
  <c r="AA1098" i="11"/>
  <c r="AB1098" i="11"/>
  <c r="AD1098" i="11"/>
  <c r="AE1098" i="11"/>
  <c r="AF1098" i="11"/>
  <c r="AG1098" i="11"/>
  <c r="V1099" i="11"/>
  <c r="W1099" i="11"/>
  <c r="X1099" i="11"/>
  <c r="Y1099" i="11"/>
  <c r="Z1099" i="11"/>
  <c r="AA1099" i="11"/>
  <c r="AB1099" i="11"/>
  <c r="AD1099" i="11"/>
  <c r="AE1099" i="11"/>
  <c r="AF1099" i="11"/>
  <c r="AG1099" i="11"/>
  <c r="V1100" i="11"/>
  <c r="W1100" i="11"/>
  <c r="X1100" i="11"/>
  <c r="Y1100" i="11"/>
  <c r="Z1100" i="11"/>
  <c r="AA1100" i="11"/>
  <c r="AB1100" i="11"/>
  <c r="AD1100" i="11"/>
  <c r="AE1100" i="11"/>
  <c r="AF1100" i="11"/>
  <c r="AG1100" i="11"/>
  <c r="V1101" i="11"/>
  <c r="W1101" i="11"/>
  <c r="X1101" i="11"/>
  <c r="Y1101" i="11"/>
  <c r="Z1101" i="11"/>
  <c r="AA1101" i="11"/>
  <c r="AB1101" i="11"/>
  <c r="AD1101" i="11"/>
  <c r="AE1101" i="11"/>
  <c r="AF1101" i="11"/>
  <c r="AG1101" i="11"/>
  <c r="V1102" i="11"/>
  <c r="W1102" i="11"/>
  <c r="X1102" i="11"/>
  <c r="Y1102" i="11"/>
  <c r="Z1102" i="11"/>
  <c r="AA1102" i="11"/>
  <c r="AB1102" i="11"/>
  <c r="AD1102" i="11"/>
  <c r="AE1102" i="11"/>
  <c r="AF1102" i="11"/>
  <c r="AG1102" i="11"/>
  <c r="V1103" i="11"/>
  <c r="W1103" i="11"/>
  <c r="X1103" i="11"/>
  <c r="Y1103" i="11"/>
  <c r="Z1103" i="11"/>
  <c r="AA1103" i="11"/>
  <c r="AB1103" i="11"/>
  <c r="AD1103" i="11"/>
  <c r="AE1103" i="11"/>
  <c r="AF1103" i="11"/>
  <c r="AG1103" i="11"/>
  <c r="V1104" i="11"/>
  <c r="W1104" i="11"/>
  <c r="X1104" i="11"/>
  <c r="Y1104" i="11"/>
  <c r="Z1104" i="11"/>
  <c r="AA1104" i="11"/>
  <c r="AB1104" i="11"/>
  <c r="AD1104" i="11"/>
  <c r="AE1104" i="11"/>
  <c r="AF1104" i="11"/>
  <c r="AG1104" i="11"/>
  <c r="V1105" i="11"/>
  <c r="W1105" i="11"/>
  <c r="X1105" i="11"/>
  <c r="Y1105" i="11"/>
  <c r="Z1105" i="11"/>
  <c r="AA1105" i="11"/>
  <c r="AB1105" i="11"/>
  <c r="AD1105" i="11"/>
  <c r="AE1105" i="11"/>
  <c r="AF1105" i="11"/>
  <c r="AG1105" i="11"/>
  <c r="V1106" i="11"/>
  <c r="W1106" i="11"/>
  <c r="X1106" i="11"/>
  <c r="Y1106" i="11"/>
  <c r="Z1106" i="11"/>
  <c r="AA1106" i="11"/>
  <c r="AB1106" i="11"/>
  <c r="AD1106" i="11"/>
  <c r="AE1106" i="11"/>
  <c r="AF1106" i="11"/>
  <c r="AG1106" i="11"/>
  <c r="V1107" i="11"/>
  <c r="W1107" i="11"/>
  <c r="X1107" i="11"/>
  <c r="Y1107" i="11"/>
  <c r="Z1107" i="11"/>
  <c r="AA1107" i="11"/>
  <c r="AB1107" i="11"/>
  <c r="AD1107" i="11"/>
  <c r="AE1107" i="11"/>
  <c r="AF1107" i="11"/>
  <c r="AG1107" i="11"/>
  <c r="V1108" i="11"/>
  <c r="W1108" i="11"/>
  <c r="X1108" i="11"/>
  <c r="Y1108" i="11"/>
  <c r="Z1108" i="11"/>
  <c r="AA1108" i="11"/>
  <c r="AB1108" i="11"/>
  <c r="AD1108" i="11"/>
  <c r="AE1108" i="11"/>
  <c r="AF1108" i="11"/>
  <c r="AG1108" i="11"/>
  <c r="V1109" i="11"/>
  <c r="W1109" i="11"/>
  <c r="X1109" i="11"/>
  <c r="Y1109" i="11"/>
  <c r="Z1109" i="11"/>
  <c r="AA1109" i="11"/>
  <c r="AB1109" i="11"/>
  <c r="AD1109" i="11"/>
  <c r="AE1109" i="11"/>
  <c r="AF1109" i="11"/>
  <c r="AG1109" i="11"/>
  <c r="V1110" i="11"/>
  <c r="W1110" i="11"/>
  <c r="X1110" i="11"/>
  <c r="Y1110" i="11"/>
  <c r="Z1110" i="11"/>
  <c r="AA1110" i="11"/>
  <c r="AB1110" i="11"/>
  <c r="AD1110" i="11"/>
  <c r="AE1110" i="11"/>
  <c r="AF1110" i="11"/>
  <c r="AG1110" i="11"/>
  <c r="V1111" i="11"/>
  <c r="W1111" i="11"/>
  <c r="X1111" i="11"/>
  <c r="Y1111" i="11"/>
  <c r="Z1111" i="11"/>
  <c r="AA1111" i="11"/>
  <c r="AB1111" i="11"/>
  <c r="AD1111" i="11"/>
  <c r="AE1111" i="11"/>
  <c r="AF1111" i="11"/>
  <c r="AG1111" i="11"/>
  <c r="V1117" i="11"/>
  <c r="W1117" i="11"/>
  <c r="X1117" i="11"/>
  <c r="Y1117" i="11"/>
  <c r="Z1117" i="11"/>
  <c r="AA1117" i="11"/>
  <c r="AB1117" i="11"/>
  <c r="AD1117" i="11"/>
  <c r="AE1117" i="11"/>
  <c r="AF1117" i="11"/>
  <c r="AG1117" i="11"/>
  <c r="V1118" i="11"/>
  <c r="W1118" i="11"/>
  <c r="X1118" i="11"/>
  <c r="Y1118" i="11"/>
  <c r="Z1118" i="11"/>
  <c r="AA1118" i="11"/>
  <c r="AB1118" i="11"/>
  <c r="AD1118" i="11"/>
  <c r="AE1118" i="11"/>
  <c r="AF1118" i="11"/>
  <c r="AG1118" i="11"/>
  <c r="V1119" i="11"/>
  <c r="W1119" i="11"/>
  <c r="X1119" i="11"/>
  <c r="Y1119" i="11"/>
  <c r="Z1119" i="11"/>
  <c r="AA1119" i="11"/>
  <c r="AB1119" i="11"/>
  <c r="AD1119" i="11"/>
  <c r="AE1119" i="11"/>
  <c r="AF1119" i="11"/>
  <c r="AG1119" i="11"/>
  <c r="V1120" i="11"/>
  <c r="W1120" i="11"/>
  <c r="X1120" i="11"/>
  <c r="Y1120" i="11"/>
  <c r="AA1120" i="11"/>
  <c r="AB1120" i="11"/>
  <c r="AD1120" i="11"/>
  <c r="AE1120" i="11"/>
  <c r="AF1120" i="11"/>
  <c r="AG1120" i="11"/>
  <c r="V1121" i="11"/>
  <c r="W1121" i="11"/>
  <c r="X1121" i="11"/>
  <c r="Y1121" i="11"/>
  <c r="AA1121" i="11"/>
  <c r="AB1121" i="11"/>
  <c r="AD1121" i="11"/>
  <c r="AE1121" i="11"/>
  <c r="AF1121" i="11"/>
  <c r="AG1121" i="11"/>
  <c r="V1122" i="11"/>
  <c r="W1122" i="11"/>
  <c r="X1122" i="11"/>
  <c r="Y1122" i="11"/>
  <c r="Z1122" i="11"/>
  <c r="AA1122" i="11"/>
  <c r="AB1122" i="11"/>
  <c r="AD1122" i="11"/>
  <c r="AE1122" i="11"/>
  <c r="AF1122" i="11"/>
  <c r="AG1122" i="11"/>
  <c r="V1123" i="11"/>
  <c r="W1123" i="11"/>
  <c r="X1123" i="11"/>
  <c r="Y1123" i="11"/>
  <c r="Z1123" i="11"/>
  <c r="AA1123" i="11"/>
  <c r="AB1123" i="11"/>
  <c r="AD1123" i="11"/>
  <c r="AE1123" i="11"/>
  <c r="AF1123" i="11"/>
  <c r="AG1123" i="11"/>
  <c r="V1124" i="11"/>
  <c r="W1124" i="11"/>
  <c r="X1124" i="11"/>
  <c r="Y1124" i="11"/>
  <c r="Z1124" i="11"/>
  <c r="AA1124" i="11"/>
  <c r="AB1124" i="11"/>
  <c r="AD1124" i="11"/>
  <c r="AE1124" i="11"/>
  <c r="AF1124" i="11"/>
  <c r="AG1124" i="11"/>
  <c r="V1125" i="11"/>
  <c r="W1125" i="11"/>
  <c r="X1125" i="11"/>
  <c r="Y1125" i="11"/>
  <c r="Z1125" i="11"/>
  <c r="AA1125" i="11"/>
  <c r="AB1125" i="11"/>
  <c r="AD1125" i="11"/>
  <c r="AE1125" i="11"/>
  <c r="AF1125" i="11"/>
  <c r="AG1125" i="11"/>
  <c r="V1126" i="11"/>
  <c r="W1126" i="11"/>
  <c r="X1126" i="11"/>
  <c r="Y1126" i="11"/>
  <c r="Z1126" i="11"/>
  <c r="AA1126" i="11"/>
  <c r="AB1126" i="11"/>
  <c r="AD1126" i="11"/>
  <c r="AE1126" i="11"/>
  <c r="AF1126" i="11"/>
  <c r="AG1126" i="11"/>
  <c r="V1127" i="11"/>
  <c r="W1127" i="11"/>
  <c r="X1127" i="11"/>
  <c r="Y1127" i="11"/>
  <c r="AA1127" i="11"/>
  <c r="AB1127" i="11"/>
  <c r="AD1127" i="11"/>
  <c r="AE1127" i="11"/>
  <c r="AF1127" i="11"/>
  <c r="AG1127" i="11"/>
  <c r="V1128" i="11"/>
  <c r="W1128" i="11"/>
  <c r="X1128" i="11"/>
  <c r="Y1128" i="11"/>
  <c r="Z1128" i="11"/>
  <c r="AA1128" i="11"/>
  <c r="AB1128" i="11"/>
  <c r="AD1128" i="11"/>
  <c r="AE1128" i="11"/>
  <c r="AF1128" i="11"/>
  <c r="AG1128" i="11"/>
  <c r="V1129" i="11"/>
  <c r="W1129" i="11"/>
  <c r="X1129" i="11"/>
  <c r="Y1129" i="11"/>
  <c r="Z1129" i="11"/>
  <c r="AA1129" i="11"/>
  <c r="AB1129" i="11"/>
  <c r="AD1129" i="11"/>
  <c r="AE1129" i="11"/>
  <c r="AF1129" i="11"/>
  <c r="AG1129" i="11"/>
  <c r="V1130" i="11"/>
  <c r="W1130" i="11"/>
  <c r="X1130" i="11"/>
  <c r="Y1130" i="11"/>
  <c r="Z1130" i="11"/>
  <c r="AA1130" i="11"/>
  <c r="AB1130" i="11"/>
  <c r="AD1130" i="11"/>
  <c r="AE1130" i="11"/>
  <c r="AF1130" i="11"/>
  <c r="AG1130" i="11"/>
  <c r="V1131" i="11"/>
  <c r="W1131" i="11"/>
  <c r="X1131" i="11"/>
  <c r="Y1131" i="11"/>
  <c r="Z1131" i="11"/>
  <c r="AA1131" i="11"/>
  <c r="AB1131" i="11"/>
  <c r="AD1131" i="11"/>
  <c r="AE1131" i="11"/>
  <c r="AF1131" i="11"/>
  <c r="AG1131" i="11"/>
  <c r="V1132" i="11"/>
  <c r="W1132" i="11"/>
  <c r="X1132" i="11"/>
  <c r="Y1132" i="11"/>
  <c r="Z1132" i="11"/>
  <c r="AA1132" i="11"/>
  <c r="AB1132" i="11"/>
  <c r="AD1132" i="11"/>
  <c r="AE1132" i="11"/>
  <c r="AF1132" i="11"/>
  <c r="AG1132" i="11"/>
  <c r="V1133" i="11"/>
  <c r="W1133" i="11"/>
  <c r="X1133" i="11"/>
  <c r="Y1133" i="11"/>
  <c r="Z1133" i="11"/>
  <c r="AA1133" i="11"/>
  <c r="AB1133" i="11"/>
  <c r="AD1133" i="11"/>
  <c r="AE1133" i="11"/>
  <c r="AF1133" i="11"/>
  <c r="AG1133" i="11"/>
  <c r="V1134" i="11"/>
  <c r="W1134" i="11"/>
  <c r="X1134" i="11"/>
  <c r="Y1134" i="11"/>
  <c r="AA1134" i="11"/>
  <c r="AB1134" i="11"/>
  <c r="AD1134" i="11"/>
  <c r="AE1134" i="11"/>
  <c r="AF1134" i="11"/>
  <c r="AG1134" i="11"/>
  <c r="V1135" i="11"/>
  <c r="W1135" i="11"/>
  <c r="X1135" i="11"/>
  <c r="Y1135" i="11"/>
  <c r="Z1135" i="11"/>
  <c r="AA1135" i="11"/>
  <c r="AB1135" i="11"/>
  <c r="AD1135" i="11"/>
  <c r="AE1135" i="11"/>
  <c r="AF1135" i="11"/>
  <c r="AG1135" i="11"/>
  <c r="V1136" i="11"/>
  <c r="W1136" i="11"/>
  <c r="X1136" i="11"/>
  <c r="Y1136" i="11"/>
  <c r="Z1136" i="11"/>
  <c r="AA1136" i="11"/>
  <c r="AB1136" i="11"/>
  <c r="AD1136" i="11"/>
  <c r="AE1136" i="11"/>
  <c r="AF1136" i="11"/>
  <c r="AG1136" i="11"/>
  <c r="V1137" i="11"/>
  <c r="W1137" i="11"/>
  <c r="X1137" i="11"/>
  <c r="Y1137" i="11"/>
  <c r="Z1137" i="11"/>
  <c r="AA1137" i="11"/>
  <c r="AB1137" i="11"/>
  <c r="AD1137" i="11"/>
  <c r="AE1137" i="11"/>
  <c r="AF1137" i="11"/>
  <c r="AG1137" i="11"/>
  <c r="V1138" i="11"/>
  <c r="W1138" i="11"/>
  <c r="X1138" i="11"/>
  <c r="Y1138" i="11"/>
  <c r="Z1138" i="11"/>
  <c r="AA1138" i="11"/>
  <c r="AB1138" i="11"/>
  <c r="AD1138" i="11"/>
  <c r="AE1138" i="11"/>
  <c r="AF1138" i="11"/>
  <c r="AG1138" i="11"/>
  <c r="V1139" i="11"/>
  <c r="W1139" i="11"/>
  <c r="X1139" i="11"/>
  <c r="Y1139" i="11"/>
  <c r="Z1139" i="11"/>
  <c r="AA1139" i="11"/>
  <c r="AB1139" i="11"/>
  <c r="AD1139" i="11"/>
  <c r="AE1139" i="11"/>
  <c r="AF1139" i="11"/>
  <c r="AG1139" i="11"/>
  <c r="V1140" i="11"/>
  <c r="W1140" i="11"/>
  <c r="X1140" i="11"/>
  <c r="Y1140" i="11"/>
  <c r="Z1140" i="11"/>
  <c r="AA1140" i="11"/>
  <c r="AB1140" i="11"/>
  <c r="AD1140" i="11"/>
  <c r="AE1140" i="11"/>
  <c r="AF1140" i="11"/>
  <c r="AG1140" i="11"/>
  <c r="V1141" i="11"/>
  <c r="W1141" i="11"/>
  <c r="X1141" i="11"/>
  <c r="Y1141" i="11"/>
  <c r="Z1141" i="11"/>
  <c r="AA1141" i="11"/>
  <c r="AB1141" i="11"/>
  <c r="AD1141" i="11"/>
  <c r="AE1141" i="11"/>
  <c r="AF1141" i="11"/>
  <c r="AG1141" i="11"/>
  <c r="V1142" i="11"/>
  <c r="W1142" i="11"/>
  <c r="X1142" i="11"/>
  <c r="Y1142" i="11"/>
  <c r="Z1142" i="11"/>
  <c r="AA1142" i="11"/>
  <c r="AB1142" i="11"/>
  <c r="AD1142" i="11"/>
  <c r="AE1142" i="11"/>
  <c r="AF1142" i="11"/>
  <c r="AG1142" i="11"/>
  <c r="V1143" i="11"/>
  <c r="W1143" i="11"/>
  <c r="X1143" i="11"/>
  <c r="Y1143" i="11"/>
  <c r="Z1143" i="11"/>
  <c r="AA1143" i="11"/>
  <c r="AB1143" i="11"/>
  <c r="AD1143" i="11"/>
  <c r="AE1143" i="11"/>
  <c r="AF1143" i="11"/>
  <c r="AG1143" i="11"/>
  <c r="V1144" i="11"/>
  <c r="W1144" i="11"/>
  <c r="X1144" i="11"/>
  <c r="Y1144" i="11"/>
  <c r="Z1144" i="11"/>
  <c r="AA1144" i="11"/>
  <c r="AB1144" i="11"/>
  <c r="AD1144" i="11"/>
  <c r="AE1144" i="11"/>
  <c r="AF1144" i="11"/>
  <c r="AG1144" i="11"/>
  <c r="V1145" i="11"/>
  <c r="W1145" i="11"/>
  <c r="X1145" i="11"/>
  <c r="Y1145" i="11"/>
  <c r="Z1145" i="11"/>
  <c r="AA1145" i="11"/>
  <c r="AB1145" i="11"/>
  <c r="AD1145" i="11"/>
  <c r="AE1145" i="11"/>
  <c r="AF1145" i="11"/>
  <c r="AG1145" i="11"/>
  <c r="V1146" i="11"/>
  <c r="W1146" i="11"/>
  <c r="X1146" i="11"/>
  <c r="Y1146" i="11"/>
  <c r="Z1146" i="11"/>
  <c r="AA1146" i="11"/>
  <c r="AB1146" i="11"/>
  <c r="AD1146" i="11"/>
  <c r="AE1146" i="11"/>
  <c r="AF1146" i="11"/>
  <c r="AG1146" i="11"/>
  <c r="V1147" i="11"/>
  <c r="W1147" i="11"/>
  <c r="X1147" i="11"/>
  <c r="Y1147" i="11"/>
  <c r="Z1147" i="11"/>
  <c r="AA1147" i="11"/>
  <c r="AB1147" i="11"/>
  <c r="AD1147" i="11"/>
  <c r="AE1147" i="11"/>
  <c r="AF1147" i="11"/>
  <c r="AG1147" i="11"/>
  <c r="V1148" i="11"/>
  <c r="W1148" i="11"/>
  <c r="X1148" i="11"/>
  <c r="Y1148" i="11"/>
  <c r="Z1148" i="11"/>
  <c r="AA1148" i="11"/>
  <c r="AB1148" i="11"/>
  <c r="AD1148" i="11"/>
  <c r="AE1148" i="11"/>
  <c r="AF1148" i="11"/>
  <c r="AG1148" i="11"/>
  <c r="V1149" i="11"/>
  <c r="W1149" i="11"/>
  <c r="X1149" i="11"/>
  <c r="Y1149" i="11"/>
  <c r="Z1149" i="11"/>
  <c r="AA1149" i="11"/>
  <c r="AB1149" i="11"/>
  <c r="AD1149" i="11"/>
  <c r="AE1149" i="11"/>
  <c r="AF1149" i="11"/>
  <c r="AG1149" i="11"/>
  <c r="V1150" i="11"/>
  <c r="W1150" i="11"/>
  <c r="X1150" i="11"/>
  <c r="Y1150" i="11"/>
  <c r="Z1150" i="11"/>
  <c r="AA1150" i="11"/>
  <c r="AB1150" i="11"/>
  <c r="AD1150" i="11"/>
  <c r="AE1150" i="11"/>
  <c r="AF1150" i="11"/>
  <c r="AG1150" i="11"/>
  <c r="V1151" i="11"/>
  <c r="W1151" i="11"/>
  <c r="X1151" i="11"/>
  <c r="Y1151" i="11"/>
  <c r="Z1151" i="11"/>
  <c r="AA1151" i="11"/>
  <c r="AB1151" i="11"/>
  <c r="AD1151" i="11"/>
  <c r="AE1151" i="11"/>
  <c r="AF1151" i="11"/>
  <c r="AG1151" i="11"/>
  <c r="V1152" i="11"/>
  <c r="W1152" i="11"/>
  <c r="X1152" i="11"/>
  <c r="Y1152" i="11"/>
  <c r="Z1152" i="11"/>
  <c r="AA1152" i="11"/>
  <c r="AB1152" i="11"/>
  <c r="AD1152" i="11"/>
  <c r="AE1152" i="11"/>
  <c r="AF1152" i="11"/>
  <c r="AG1152" i="11"/>
  <c r="V1153" i="11"/>
  <c r="W1153" i="11"/>
  <c r="X1153" i="11"/>
  <c r="Y1153" i="11"/>
  <c r="Z1153" i="11"/>
  <c r="AA1153" i="11"/>
  <c r="AB1153" i="11"/>
  <c r="AD1153" i="11"/>
  <c r="AE1153" i="11"/>
  <c r="AF1153" i="11"/>
  <c r="AG1153" i="11"/>
  <c r="V1154" i="11"/>
  <c r="W1154" i="11"/>
  <c r="X1154" i="11"/>
  <c r="Y1154" i="11"/>
  <c r="Z1154" i="11"/>
  <c r="AA1154" i="11"/>
  <c r="AB1154" i="11"/>
  <c r="AD1154" i="11"/>
  <c r="AE1154" i="11"/>
  <c r="AF1154" i="11"/>
  <c r="AG1154" i="11"/>
  <c r="V1155" i="11"/>
  <c r="W1155" i="11"/>
  <c r="X1155" i="11"/>
  <c r="Y1155" i="11"/>
  <c r="Z1155" i="11"/>
  <c r="AA1155" i="11"/>
  <c r="AB1155" i="11"/>
  <c r="AD1155" i="11"/>
  <c r="AE1155" i="11"/>
  <c r="AF1155" i="11"/>
  <c r="AG1155" i="11"/>
  <c r="V1156" i="11"/>
  <c r="W1156" i="11"/>
  <c r="X1156" i="11"/>
  <c r="Y1156" i="11"/>
  <c r="Z1156" i="11"/>
  <c r="AA1156" i="11"/>
  <c r="AB1156" i="11"/>
  <c r="AD1156" i="11"/>
  <c r="AE1156" i="11"/>
  <c r="AF1156" i="11"/>
  <c r="AG1156" i="11"/>
  <c r="V1157" i="11"/>
  <c r="W1157" i="11"/>
  <c r="X1157" i="11"/>
  <c r="Y1157" i="11"/>
  <c r="Z1157" i="11"/>
  <c r="AA1157" i="11"/>
  <c r="AB1157" i="11"/>
  <c r="AD1157" i="11"/>
  <c r="AE1157" i="11"/>
  <c r="AF1157" i="11"/>
  <c r="AG1157" i="11"/>
  <c r="V1158" i="11"/>
  <c r="W1158" i="11"/>
  <c r="X1158" i="11"/>
  <c r="Y1158" i="11"/>
  <c r="Z1158" i="11"/>
  <c r="AA1158" i="11"/>
  <c r="AB1158" i="11"/>
  <c r="AD1158" i="11"/>
  <c r="AE1158" i="11"/>
  <c r="AF1158" i="11"/>
  <c r="AG1158" i="11"/>
  <c r="V1159" i="11"/>
  <c r="W1159" i="11"/>
  <c r="X1159" i="11"/>
  <c r="Y1159" i="11"/>
  <c r="Z1159" i="11"/>
  <c r="AA1159" i="11"/>
  <c r="AB1159" i="11"/>
  <c r="AD1159" i="11"/>
  <c r="AE1159" i="11"/>
  <c r="AF1159" i="11"/>
  <c r="AG1159" i="11"/>
  <c r="V1160" i="11"/>
  <c r="W1160" i="11"/>
  <c r="X1160" i="11"/>
  <c r="Y1160" i="11"/>
  <c r="Z1160" i="11"/>
  <c r="AA1160" i="11"/>
  <c r="AB1160" i="11"/>
  <c r="AD1160" i="11"/>
  <c r="AE1160" i="11"/>
  <c r="AF1160" i="11"/>
  <c r="AG1160" i="11"/>
  <c r="V1161" i="11"/>
  <c r="W1161" i="11"/>
  <c r="X1161" i="11"/>
  <c r="Y1161" i="11"/>
  <c r="Z1161" i="11"/>
  <c r="AA1161" i="11"/>
  <c r="AB1161" i="11"/>
  <c r="AD1161" i="11"/>
  <c r="AE1161" i="11"/>
  <c r="AF1161" i="11"/>
  <c r="AG1161" i="11"/>
  <c r="V1162" i="11"/>
  <c r="W1162" i="11"/>
  <c r="X1162" i="11"/>
  <c r="Y1162" i="11"/>
  <c r="Z1162" i="11"/>
  <c r="AA1162" i="11"/>
  <c r="AB1162" i="11"/>
  <c r="AD1162" i="11"/>
  <c r="AE1162" i="11"/>
  <c r="AF1162" i="11"/>
  <c r="AG1162" i="11"/>
  <c r="V1163" i="11"/>
  <c r="W1163" i="11"/>
  <c r="X1163" i="11"/>
  <c r="Y1163" i="11"/>
  <c r="Z1163" i="11"/>
  <c r="AA1163" i="11"/>
  <c r="AB1163" i="11"/>
  <c r="AD1163" i="11"/>
  <c r="AE1163" i="11"/>
  <c r="AF1163" i="11"/>
  <c r="AG1163" i="11"/>
  <c r="V1164" i="11"/>
  <c r="W1164" i="11"/>
  <c r="X1164" i="11"/>
  <c r="Y1164" i="11"/>
  <c r="Z1164" i="11"/>
  <c r="AA1164" i="11"/>
  <c r="AB1164" i="11"/>
  <c r="AD1164" i="11"/>
  <c r="AE1164" i="11"/>
  <c r="AF1164" i="11"/>
  <c r="AG1164" i="11"/>
  <c r="V1165" i="11"/>
  <c r="W1165" i="11"/>
  <c r="X1165" i="11"/>
  <c r="Y1165" i="11"/>
  <c r="AA1165" i="11"/>
  <c r="AB1165" i="11"/>
  <c r="AD1165" i="11"/>
  <c r="AE1165" i="11"/>
  <c r="AF1165" i="11"/>
  <c r="AG1165" i="11"/>
  <c r="V1166" i="11"/>
  <c r="W1166" i="11"/>
  <c r="X1166" i="11"/>
  <c r="Y1166" i="11"/>
  <c r="Z1166" i="11"/>
  <c r="AA1166" i="11"/>
  <c r="AB1166" i="11"/>
  <c r="AD1166" i="11"/>
  <c r="AE1166" i="11"/>
  <c r="AF1166" i="11"/>
  <c r="AG1166" i="11"/>
  <c r="V1167" i="11"/>
  <c r="W1167" i="11"/>
  <c r="X1167" i="11"/>
  <c r="Y1167" i="11"/>
  <c r="Z1167" i="11"/>
  <c r="AA1167" i="11"/>
  <c r="AB1167" i="11"/>
  <c r="AD1167" i="11"/>
  <c r="AE1167" i="11"/>
  <c r="AF1167" i="11"/>
  <c r="AG1167" i="11"/>
  <c r="V1168" i="11"/>
  <c r="W1168" i="11"/>
  <c r="X1168" i="11"/>
  <c r="Y1168" i="11"/>
  <c r="Z1168" i="11"/>
  <c r="AA1168" i="11"/>
  <c r="AB1168" i="11"/>
  <c r="AD1168" i="11"/>
  <c r="AE1168" i="11"/>
  <c r="AF1168" i="11"/>
  <c r="AG1168" i="11"/>
  <c r="V1169" i="11"/>
  <c r="W1169" i="11"/>
  <c r="X1169" i="11"/>
  <c r="Y1169" i="11"/>
  <c r="Z1169" i="11"/>
  <c r="AA1169" i="11"/>
  <c r="AB1169" i="11"/>
  <c r="AD1169" i="11"/>
  <c r="AE1169" i="11"/>
  <c r="AF1169" i="11"/>
  <c r="AG1169" i="11"/>
  <c r="V1170" i="11"/>
  <c r="W1170" i="11"/>
  <c r="X1170" i="11"/>
  <c r="Y1170" i="11"/>
  <c r="Z1170" i="11"/>
  <c r="AA1170" i="11"/>
  <c r="AB1170" i="11"/>
  <c r="AD1170" i="11"/>
  <c r="AE1170" i="11"/>
  <c r="AF1170" i="11"/>
  <c r="AG1170" i="11"/>
  <c r="V1171" i="11"/>
  <c r="W1171" i="11"/>
  <c r="X1171" i="11"/>
  <c r="Y1171" i="11"/>
  <c r="Z1171" i="11"/>
  <c r="AA1171" i="11"/>
  <c r="AB1171" i="11"/>
  <c r="AD1171" i="11"/>
  <c r="AE1171" i="11"/>
  <c r="AF1171" i="11"/>
  <c r="AG1171" i="11"/>
  <c r="V1172" i="11"/>
  <c r="W1172" i="11"/>
  <c r="X1172" i="11"/>
  <c r="Y1172" i="11"/>
  <c r="Z1172" i="11"/>
  <c r="AA1172" i="11"/>
  <c r="AB1172" i="11"/>
  <c r="AD1172" i="11"/>
  <c r="AE1172" i="11"/>
  <c r="AF1172" i="11"/>
  <c r="AG1172" i="11"/>
  <c r="V1173" i="11"/>
  <c r="W1173" i="11"/>
  <c r="X1173" i="11"/>
  <c r="Y1173" i="11"/>
  <c r="Z1173" i="11"/>
  <c r="AA1173" i="11"/>
  <c r="AB1173" i="11"/>
  <c r="AD1173" i="11"/>
  <c r="AE1173" i="11"/>
  <c r="AF1173" i="11"/>
  <c r="AG1173" i="11"/>
  <c r="V1174" i="11"/>
  <c r="W1174" i="11"/>
  <c r="X1174" i="11"/>
  <c r="Y1174" i="11"/>
  <c r="Z1174" i="11"/>
  <c r="AA1174" i="11"/>
  <c r="AB1174" i="11"/>
  <c r="AD1174" i="11"/>
  <c r="AE1174" i="11"/>
  <c r="AF1174" i="11"/>
  <c r="AG1174" i="11"/>
  <c r="V1175" i="11"/>
  <c r="W1175" i="11"/>
  <c r="X1175" i="11"/>
  <c r="Y1175" i="11"/>
  <c r="Z1175" i="11"/>
  <c r="AA1175" i="11"/>
  <c r="AB1175" i="11"/>
  <c r="AD1175" i="11"/>
  <c r="AE1175" i="11"/>
  <c r="AF1175" i="11"/>
  <c r="AG1175" i="11"/>
  <c r="V1176" i="11"/>
  <c r="W1176" i="11"/>
  <c r="X1176" i="11"/>
  <c r="Y1176" i="11"/>
  <c r="Z1176" i="11"/>
  <c r="AA1176" i="11"/>
  <c r="AB1176" i="11"/>
  <c r="AD1176" i="11"/>
  <c r="AE1176" i="11"/>
  <c r="AF1176" i="11"/>
  <c r="AG1176" i="11"/>
  <c r="V1177" i="11"/>
  <c r="W1177" i="11"/>
  <c r="X1177" i="11"/>
  <c r="Y1177" i="11"/>
  <c r="Z1177" i="11"/>
  <c r="AA1177" i="11"/>
  <c r="AB1177" i="11"/>
  <c r="AD1177" i="11"/>
  <c r="AE1177" i="11"/>
  <c r="AF1177" i="11"/>
  <c r="AG1177" i="11"/>
  <c r="V1178" i="11"/>
  <c r="W1178" i="11"/>
  <c r="X1178" i="11"/>
  <c r="Y1178" i="11"/>
  <c r="Z1178" i="11"/>
  <c r="AA1178" i="11"/>
  <c r="AB1178" i="11"/>
  <c r="AD1178" i="11"/>
  <c r="AE1178" i="11"/>
  <c r="AF1178" i="11"/>
  <c r="AG1178" i="11"/>
  <c r="V1179" i="11"/>
  <c r="W1179" i="11"/>
  <c r="X1179" i="11"/>
  <c r="Y1179" i="11"/>
  <c r="Z1179" i="11"/>
  <c r="AA1179" i="11"/>
  <c r="AB1179" i="11"/>
  <c r="AD1179" i="11"/>
  <c r="AE1179" i="11"/>
  <c r="AF1179" i="11"/>
  <c r="AG1179" i="11"/>
  <c r="V1180" i="11"/>
  <c r="W1180" i="11"/>
  <c r="X1180" i="11"/>
  <c r="Y1180" i="11"/>
  <c r="Z1180" i="11"/>
  <c r="AA1180" i="11"/>
  <c r="AB1180" i="11"/>
  <c r="AD1180" i="11"/>
  <c r="AE1180" i="11"/>
  <c r="AF1180" i="11"/>
  <c r="AG1180" i="11"/>
  <c r="V1181" i="11"/>
  <c r="W1181" i="11"/>
  <c r="X1181" i="11"/>
  <c r="Y1181" i="11"/>
  <c r="Z1181" i="11"/>
  <c r="AA1181" i="11"/>
  <c r="AB1181" i="11"/>
  <c r="AD1181" i="11"/>
  <c r="AE1181" i="11"/>
  <c r="AF1181" i="11"/>
  <c r="AG1181" i="11"/>
  <c r="V1182" i="11"/>
  <c r="W1182" i="11"/>
  <c r="X1182" i="11"/>
  <c r="Y1182" i="11"/>
  <c r="Z1182" i="11"/>
  <c r="AA1182" i="11"/>
  <c r="AB1182" i="11"/>
  <c r="AD1182" i="11"/>
  <c r="AE1182" i="11"/>
  <c r="AF1182" i="11"/>
  <c r="AG1182" i="11"/>
  <c r="V1183" i="11"/>
  <c r="W1183" i="11"/>
  <c r="X1183" i="11"/>
  <c r="Y1183" i="11"/>
  <c r="Z1183" i="11"/>
  <c r="AA1183" i="11"/>
  <c r="AB1183" i="11"/>
  <c r="AD1183" i="11"/>
  <c r="AE1183" i="11"/>
  <c r="AF1183" i="11"/>
  <c r="AG1183" i="11"/>
  <c r="V1184" i="11"/>
  <c r="W1184" i="11"/>
  <c r="X1184" i="11"/>
  <c r="Y1184" i="11"/>
  <c r="Z1184" i="11"/>
  <c r="AA1184" i="11"/>
  <c r="AB1184" i="11"/>
  <c r="AD1184" i="11"/>
  <c r="AE1184" i="11"/>
  <c r="AF1184" i="11"/>
  <c r="AG1184" i="11"/>
  <c r="V1185" i="11"/>
  <c r="W1185" i="11"/>
  <c r="X1185" i="11"/>
  <c r="Y1185" i="11"/>
  <c r="AA1185" i="11"/>
  <c r="AB1185" i="11"/>
  <c r="AD1185" i="11"/>
  <c r="AE1185" i="11"/>
  <c r="AF1185" i="11"/>
  <c r="AG1185" i="11"/>
  <c r="V1186" i="11"/>
  <c r="W1186" i="11"/>
  <c r="X1186" i="11"/>
  <c r="Y1186" i="11"/>
  <c r="AA1186" i="11"/>
  <c r="AB1186" i="11"/>
  <c r="AD1186" i="11"/>
  <c r="AE1186" i="11"/>
  <c r="AF1186" i="11"/>
  <c r="AG1186" i="11"/>
  <c r="V1187" i="11"/>
  <c r="W1187" i="11"/>
  <c r="X1187" i="11"/>
  <c r="Y1187" i="11"/>
  <c r="Z1187" i="11"/>
  <c r="AA1187" i="11"/>
  <c r="AB1187" i="11"/>
  <c r="AD1187" i="11"/>
  <c r="AE1187" i="11"/>
  <c r="AF1187" i="11"/>
  <c r="AG1187" i="11"/>
  <c r="V1188" i="11"/>
  <c r="W1188" i="11"/>
  <c r="X1188" i="11"/>
  <c r="Y1188" i="11"/>
  <c r="Z1188" i="11"/>
  <c r="AA1188" i="11"/>
  <c r="AB1188" i="11"/>
  <c r="AD1188" i="11"/>
  <c r="AE1188" i="11"/>
  <c r="AF1188" i="11"/>
  <c r="AG1188" i="11"/>
  <c r="V1189" i="11"/>
  <c r="W1189" i="11"/>
  <c r="X1189" i="11"/>
  <c r="Y1189" i="11"/>
  <c r="Z1189" i="11"/>
  <c r="AA1189" i="11"/>
  <c r="AB1189" i="11"/>
  <c r="AD1189" i="11"/>
  <c r="AE1189" i="11"/>
  <c r="AF1189" i="11"/>
  <c r="AG1189" i="11"/>
  <c r="V1190" i="11"/>
  <c r="W1190" i="11"/>
  <c r="X1190" i="11"/>
  <c r="Y1190" i="11"/>
  <c r="Z1190" i="11"/>
  <c r="AA1190" i="11"/>
  <c r="AB1190" i="11"/>
  <c r="AD1190" i="11"/>
  <c r="AE1190" i="11"/>
  <c r="AF1190" i="11"/>
  <c r="AG1190" i="11"/>
  <c r="V1191" i="11"/>
  <c r="W1191" i="11"/>
  <c r="X1191" i="11"/>
  <c r="Y1191" i="11"/>
  <c r="Z1191" i="11"/>
  <c r="AA1191" i="11"/>
  <c r="AB1191" i="11"/>
  <c r="AD1191" i="11"/>
  <c r="AE1191" i="11"/>
  <c r="AF1191" i="11"/>
  <c r="AG1191" i="11"/>
  <c r="V1192" i="11"/>
  <c r="W1192" i="11"/>
  <c r="X1192" i="11"/>
  <c r="Y1192" i="11"/>
  <c r="Z1192" i="11"/>
  <c r="AA1192" i="11"/>
  <c r="AB1192" i="11"/>
  <c r="AD1192" i="11"/>
  <c r="AE1192" i="11"/>
  <c r="AF1192" i="11"/>
  <c r="AG1192" i="11"/>
  <c r="V1193" i="11"/>
  <c r="W1193" i="11"/>
  <c r="X1193" i="11"/>
  <c r="Y1193" i="11"/>
  <c r="Z1193" i="11"/>
  <c r="AA1193" i="11"/>
  <c r="AB1193" i="11"/>
  <c r="AD1193" i="11"/>
  <c r="AE1193" i="11"/>
  <c r="AF1193" i="11"/>
  <c r="AG1193" i="11"/>
  <c r="V1194" i="11"/>
  <c r="W1194" i="11"/>
  <c r="X1194" i="11"/>
  <c r="Y1194" i="11"/>
  <c r="Z1194" i="11"/>
  <c r="AA1194" i="11"/>
  <c r="AB1194" i="11"/>
  <c r="AD1194" i="11"/>
  <c r="AE1194" i="11"/>
  <c r="AF1194" i="11"/>
  <c r="AG1194" i="11"/>
  <c r="V1195" i="11"/>
  <c r="W1195" i="11"/>
  <c r="X1195" i="11"/>
  <c r="Y1195" i="11"/>
  <c r="Z1195" i="11"/>
  <c r="AA1195" i="11"/>
  <c r="AB1195" i="11"/>
  <c r="AD1195" i="11"/>
  <c r="AE1195" i="11"/>
  <c r="AF1195" i="11"/>
  <c r="AG1195" i="11"/>
  <c r="V1196" i="11"/>
  <c r="W1196" i="11"/>
  <c r="X1196" i="11"/>
  <c r="Y1196" i="11"/>
  <c r="Z1196" i="11"/>
  <c r="AA1196" i="11"/>
  <c r="AB1196" i="11"/>
  <c r="AD1196" i="11"/>
  <c r="AE1196" i="11"/>
  <c r="AF1196" i="11"/>
  <c r="AG1196" i="11"/>
  <c r="V1200" i="11"/>
  <c r="W1200" i="11"/>
  <c r="X1200" i="11"/>
  <c r="Y1200" i="11"/>
  <c r="Z1200" i="11"/>
  <c r="AA1200" i="11"/>
  <c r="AB1200" i="11"/>
  <c r="AD1200" i="11"/>
  <c r="AE1200" i="11"/>
  <c r="AF1200" i="11"/>
  <c r="AG1200" i="11"/>
  <c r="V1201" i="11"/>
  <c r="W1201" i="11"/>
  <c r="X1201" i="11"/>
  <c r="Y1201" i="11"/>
  <c r="Z1201" i="11"/>
  <c r="AA1201" i="11"/>
  <c r="AB1201" i="11"/>
  <c r="AD1201" i="11"/>
  <c r="AE1201" i="11"/>
  <c r="AF1201" i="11"/>
  <c r="AG1201" i="11"/>
  <c r="V1202" i="11"/>
  <c r="W1202" i="11"/>
  <c r="X1202" i="11"/>
  <c r="Y1202" i="11"/>
  <c r="Z1202" i="11"/>
  <c r="AA1202" i="11"/>
  <c r="AB1202" i="11"/>
  <c r="AD1202" i="11"/>
  <c r="AE1202" i="11"/>
  <c r="AF1202" i="11"/>
  <c r="AG1202" i="11"/>
  <c r="V1203" i="11"/>
  <c r="W1203" i="11"/>
  <c r="X1203" i="11"/>
  <c r="Y1203" i="11"/>
  <c r="AA1203" i="11"/>
  <c r="AB1203" i="11"/>
  <c r="AD1203" i="11"/>
  <c r="AE1203" i="11"/>
  <c r="AF1203" i="11"/>
  <c r="AG1203" i="11"/>
  <c r="V1204" i="11"/>
  <c r="W1204" i="11"/>
  <c r="X1204" i="11"/>
  <c r="Y1204" i="11"/>
  <c r="AA1204" i="11"/>
  <c r="AB1204" i="11"/>
  <c r="AD1204" i="11"/>
  <c r="AE1204" i="11"/>
  <c r="AF1204" i="11"/>
  <c r="AG1204" i="11"/>
  <c r="V1205" i="11"/>
  <c r="W1205" i="11"/>
  <c r="X1205" i="11"/>
  <c r="Y1205" i="11"/>
  <c r="Z1205" i="11"/>
  <c r="AA1205" i="11"/>
  <c r="AB1205" i="11"/>
  <c r="AD1205" i="11"/>
  <c r="AE1205" i="11"/>
  <c r="AF1205" i="11"/>
  <c r="AG1205" i="11"/>
  <c r="V1206" i="11"/>
  <c r="W1206" i="11"/>
  <c r="X1206" i="11"/>
  <c r="Y1206" i="11"/>
  <c r="Z1206" i="11"/>
  <c r="AA1206" i="11"/>
  <c r="AB1206" i="11"/>
  <c r="AD1206" i="11"/>
  <c r="AE1206" i="11"/>
  <c r="AF1206" i="11"/>
  <c r="AG1206" i="11"/>
  <c r="V1207" i="11"/>
  <c r="W1207" i="11"/>
  <c r="X1207" i="11"/>
  <c r="Y1207" i="11"/>
  <c r="Z1207" i="11"/>
  <c r="AA1207" i="11"/>
  <c r="AB1207" i="11"/>
  <c r="AD1207" i="11"/>
  <c r="AE1207" i="11"/>
  <c r="AF1207" i="11"/>
  <c r="AG1207" i="11"/>
  <c r="V1208" i="11"/>
  <c r="W1208" i="11"/>
  <c r="X1208" i="11"/>
  <c r="Y1208" i="11"/>
  <c r="Z1208" i="11"/>
  <c r="AA1208" i="11"/>
  <c r="AB1208" i="11"/>
  <c r="AD1208" i="11"/>
  <c r="AE1208" i="11"/>
  <c r="AF1208" i="11"/>
  <c r="AG1208" i="11"/>
  <c r="V1209" i="11"/>
  <c r="W1209" i="11"/>
  <c r="X1209" i="11"/>
  <c r="Y1209" i="11"/>
  <c r="Z1209" i="11"/>
  <c r="AA1209" i="11"/>
  <c r="AB1209" i="11"/>
  <c r="AD1209" i="11"/>
  <c r="AE1209" i="11"/>
  <c r="AF1209" i="11"/>
  <c r="AG1209" i="11"/>
  <c r="V1210" i="11"/>
  <c r="W1210" i="11"/>
  <c r="X1210" i="11"/>
  <c r="Y1210" i="11"/>
  <c r="Z1210" i="11"/>
  <c r="AA1210" i="11"/>
  <c r="AB1210" i="11"/>
  <c r="AD1210" i="11"/>
  <c r="AE1210" i="11"/>
  <c r="AF1210" i="11"/>
  <c r="AG1210" i="11"/>
  <c r="V1211" i="11"/>
  <c r="W1211" i="11"/>
  <c r="X1211" i="11"/>
  <c r="Y1211" i="11"/>
  <c r="Z1211" i="11"/>
  <c r="AA1211" i="11"/>
  <c r="AB1211" i="11"/>
  <c r="AD1211" i="11"/>
  <c r="AE1211" i="11"/>
  <c r="AF1211" i="11"/>
  <c r="AG1211" i="11"/>
  <c r="V1212" i="11"/>
  <c r="W1212" i="11"/>
  <c r="X1212" i="11"/>
  <c r="Y1212" i="11"/>
  <c r="Z1212" i="11"/>
  <c r="AA1212" i="11"/>
  <c r="AB1212" i="11"/>
  <c r="AD1212" i="11"/>
  <c r="AE1212" i="11"/>
  <c r="AF1212" i="11"/>
  <c r="AG1212" i="11"/>
  <c r="V1213" i="11"/>
  <c r="W1213" i="11"/>
  <c r="X1213" i="11"/>
  <c r="Y1213" i="11"/>
  <c r="Z1213" i="11"/>
  <c r="AA1213" i="11"/>
  <c r="AB1213" i="11"/>
  <c r="AD1213" i="11"/>
  <c r="AE1213" i="11"/>
  <c r="AF1213" i="11"/>
  <c r="AG1213" i="11"/>
  <c r="V1214" i="11"/>
  <c r="W1214" i="11"/>
  <c r="X1214" i="11"/>
  <c r="Y1214" i="11"/>
  <c r="Z1214" i="11"/>
  <c r="AA1214" i="11"/>
  <c r="AB1214" i="11"/>
  <c r="AD1214" i="11"/>
  <c r="AE1214" i="11"/>
  <c r="AF1214" i="11"/>
  <c r="AG1214" i="11"/>
  <c r="V1215" i="11"/>
  <c r="W1215" i="11"/>
  <c r="X1215" i="11"/>
  <c r="Y1215" i="11"/>
  <c r="Z1215" i="11"/>
  <c r="AA1215" i="11"/>
  <c r="AB1215" i="11"/>
  <c r="AD1215" i="11"/>
  <c r="AE1215" i="11"/>
  <c r="AF1215" i="11"/>
  <c r="AG1215" i="11"/>
  <c r="V1216" i="11"/>
  <c r="W1216" i="11"/>
  <c r="X1216" i="11"/>
  <c r="Y1216" i="11"/>
  <c r="Z1216" i="11"/>
  <c r="AA1216" i="11"/>
  <c r="AB1216" i="11"/>
  <c r="AD1216" i="11"/>
  <c r="AE1216" i="11"/>
  <c r="AF1216" i="11"/>
  <c r="AG1216" i="11"/>
  <c r="V1217" i="11"/>
  <c r="W1217" i="11"/>
  <c r="X1217" i="11"/>
  <c r="Y1217" i="11"/>
  <c r="Z1217" i="11"/>
  <c r="AA1217" i="11"/>
  <c r="AB1217" i="11"/>
  <c r="AD1217" i="11"/>
  <c r="AE1217" i="11"/>
  <c r="AF1217" i="11"/>
  <c r="AG1217" i="11"/>
  <c r="V1218" i="11"/>
  <c r="W1218" i="11"/>
  <c r="X1218" i="11"/>
  <c r="Y1218" i="11"/>
  <c r="Z1218" i="11"/>
  <c r="AA1218" i="11"/>
  <c r="AB1218" i="11"/>
  <c r="AD1218" i="11"/>
  <c r="AE1218" i="11"/>
  <c r="AF1218" i="11"/>
  <c r="AG1218" i="11"/>
  <c r="V1219" i="11"/>
  <c r="W1219" i="11"/>
  <c r="X1219" i="11"/>
  <c r="Y1219" i="11"/>
  <c r="Z1219" i="11"/>
  <c r="AA1219" i="11"/>
  <c r="AB1219" i="11"/>
  <c r="AD1219" i="11"/>
  <c r="AE1219" i="11"/>
  <c r="AF1219" i="11"/>
  <c r="AG1219" i="11"/>
  <c r="V1220" i="11"/>
  <c r="W1220" i="11"/>
  <c r="X1220" i="11"/>
  <c r="Y1220" i="11"/>
  <c r="Z1220" i="11"/>
  <c r="AA1220" i="11"/>
  <c r="AB1220" i="11"/>
  <c r="AD1220" i="11"/>
  <c r="AE1220" i="11"/>
  <c r="AF1220" i="11"/>
  <c r="AG1220" i="11"/>
  <c r="V1221" i="11"/>
  <c r="W1221" i="11"/>
  <c r="X1221" i="11"/>
  <c r="Y1221" i="11"/>
  <c r="Z1221" i="11"/>
  <c r="AA1221" i="11"/>
  <c r="AB1221" i="11"/>
  <c r="AD1221" i="11"/>
  <c r="AE1221" i="11"/>
  <c r="AF1221" i="11"/>
  <c r="AG1221" i="11"/>
  <c r="V1222" i="11"/>
  <c r="W1222" i="11"/>
  <c r="X1222" i="11"/>
  <c r="Y1222" i="11"/>
  <c r="Z1222" i="11"/>
  <c r="AA1222" i="11"/>
  <c r="AB1222" i="11"/>
  <c r="AD1222" i="11"/>
  <c r="AE1222" i="11"/>
  <c r="AF1222" i="11"/>
  <c r="AG1222" i="11"/>
  <c r="V1224" i="11"/>
  <c r="W1224" i="11"/>
  <c r="X1224" i="11"/>
  <c r="Y1224" i="11"/>
  <c r="Z1224" i="11"/>
  <c r="AA1224" i="11"/>
  <c r="AB1224" i="11"/>
  <c r="AD1224" i="11"/>
  <c r="AE1224" i="11"/>
  <c r="AF1224" i="11"/>
  <c r="AG1224" i="11"/>
  <c r="V1225" i="11"/>
  <c r="W1225" i="11"/>
  <c r="X1225" i="11"/>
  <c r="Y1225" i="11"/>
  <c r="Z1225" i="11"/>
  <c r="AA1225" i="11"/>
  <c r="AB1225" i="11"/>
  <c r="AD1225" i="11"/>
  <c r="AE1225" i="11"/>
  <c r="AF1225" i="11"/>
  <c r="AG1225" i="11"/>
  <c r="V1226" i="11"/>
  <c r="W1226" i="11"/>
  <c r="X1226" i="11"/>
  <c r="Y1226" i="11"/>
  <c r="Z1226" i="11"/>
  <c r="AA1226" i="11"/>
  <c r="AB1226" i="11"/>
  <c r="AD1226" i="11"/>
  <c r="AE1226" i="11"/>
  <c r="AF1226" i="11"/>
  <c r="AG1226" i="11"/>
  <c r="V1227" i="11"/>
  <c r="W1227" i="11"/>
  <c r="X1227" i="11"/>
  <c r="Y1227" i="11"/>
  <c r="AA1227" i="11"/>
  <c r="AB1227" i="11"/>
  <c r="AD1227" i="11"/>
  <c r="AE1227" i="11"/>
  <c r="AF1227" i="11"/>
  <c r="AG1227" i="11"/>
  <c r="V1228" i="11"/>
  <c r="W1228" i="11"/>
  <c r="X1228" i="11"/>
  <c r="Y1228" i="11"/>
  <c r="Z1228" i="11"/>
  <c r="AA1228" i="11"/>
  <c r="AB1228" i="11"/>
  <c r="AD1228" i="11"/>
  <c r="AE1228" i="11"/>
  <c r="AF1228" i="11"/>
  <c r="AG1228" i="11"/>
  <c r="V1229" i="11"/>
  <c r="W1229" i="11"/>
  <c r="X1229" i="11"/>
  <c r="Y1229" i="11"/>
  <c r="Z1229" i="11"/>
  <c r="AA1229" i="11"/>
  <c r="AB1229" i="11"/>
  <c r="AD1229" i="11"/>
  <c r="AE1229" i="11"/>
  <c r="AF1229" i="11"/>
  <c r="AG1229" i="11"/>
  <c r="V1230" i="11"/>
  <c r="W1230" i="11"/>
  <c r="X1230" i="11"/>
  <c r="Y1230" i="11"/>
  <c r="Z1230" i="11"/>
  <c r="AA1230" i="11"/>
  <c r="AB1230" i="11"/>
  <c r="AD1230" i="11"/>
  <c r="AE1230" i="11"/>
  <c r="AF1230" i="11"/>
  <c r="AG1230" i="11"/>
  <c r="V1231" i="11"/>
  <c r="W1231" i="11"/>
  <c r="X1231" i="11"/>
  <c r="Y1231" i="11"/>
  <c r="Z1231" i="11"/>
  <c r="AA1231" i="11"/>
  <c r="AB1231" i="11"/>
  <c r="AD1231" i="11"/>
  <c r="AE1231" i="11"/>
  <c r="AF1231" i="11"/>
  <c r="AG1231" i="11"/>
  <c r="V1232" i="11"/>
  <c r="W1232" i="11"/>
  <c r="X1232" i="11"/>
  <c r="Y1232" i="11"/>
  <c r="Z1232" i="11"/>
  <c r="AA1232" i="11"/>
  <c r="AB1232" i="11"/>
  <c r="AD1232" i="11"/>
  <c r="AE1232" i="11"/>
  <c r="AF1232" i="11"/>
  <c r="AG1232" i="11"/>
  <c r="V1233" i="11"/>
  <c r="W1233" i="11"/>
  <c r="X1233" i="11"/>
  <c r="Y1233" i="11"/>
  <c r="Z1233" i="11"/>
  <c r="AA1233" i="11"/>
  <c r="AB1233" i="11"/>
  <c r="AD1233" i="11"/>
  <c r="AE1233" i="11"/>
  <c r="AF1233" i="11"/>
  <c r="AG1233" i="11"/>
  <c r="V1234" i="11"/>
  <c r="W1234" i="11"/>
  <c r="X1234" i="11"/>
  <c r="Y1234" i="11"/>
  <c r="Z1234" i="11"/>
  <c r="AA1234" i="11"/>
  <c r="AB1234" i="11"/>
  <c r="AD1234" i="11"/>
  <c r="AE1234" i="11"/>
  <c r="AF1234" i="11"/>
  <c r="AG1234" i="11"/>
  <c r="V1235" i="11"/>
  <c r="W1235" i="11"/>
  <c r="X1235" i="11"/>
  <c r="Y1235" i="11"/>
  <c r="Z1235" i="11"/>
  <c r="AA1235" i="11"/>
  <c r="AB1235" i="11"/>
  <c r="AD1235" i="11"/>
  <c r="AE1235" i="11"/>
  <c r="AF1235" i="11"/>
  <c r="AG1235" i="11"/>
  <c r="V1236" i="11"/>
  <c r="W1236" i="11"/>
  <c r="X1236" i="11"/>
  <c r="Y1236" i="11"/>
  <c r="Z1236" i="11"/>
  <c r="AA1236" i="11"/>
  <c r="AB1236" i="11"/>
  <c r="AD1236" i="11"/>
  <c r="AE1236" i="11"/>
  <c r="AF1236" i="11"/>
  <c r="AG1236" i="11"/>
  <c r="V1238" i="11"/>
  <c r="W1238" i="11"/>
  <c r="X1238" i="11"/>
  <c r="Y1238" i="11"/>
  <c r="Z1238" i="11"/>
  <c r="AA1238" i="11"/>
  <c r="AB1238" i="11"/>
  <c r="AD1238" i="11"/>
  <c r="AE1238" i="11"/>
  <c r="AF1238" i="11"/>
  <c r="AG1238" i="11"/>
  <c r="V1239" i="11"/>
  <c r="W1239" i="11"/>
  <c r="X1239" i="11"/>
  <c r="Y1239" i="11"/>
  <c r="Z1239" i="11"/>
  <c r="AA1239" i="11"/>
  <c r="AB1239" i="11"/>
  <c r="AD1239" i="11"/>
  <c r="AE1239" i="11"/>
  <c r="AF1239" i="11"/>
  <c r="AG1239" i="11"/>
  <c r="V1240" i="11"/>
  <c r="W1240" i="11"/>
  <c r="X1240" i="11"/>
  <c r="Y1240" i="11"/>
  <c r="AA1240" i="11"/>
  <c r="AB1240" i="11"/>
  <c r="AD1240" i="11"/>
  <c r="AE1240" i="11"/>
  <c r="AF1240" i="11"/>
  <c r="AG1240" i="11"/>
  <c r="V1241" i="11"/>
  <c r="W1241" i="11"/>
  <c r="X1241" i="11"/>
  <c r="Y1241" i="11"/>
  <c r="Z1241" i="11"/>
  <c r="AA1241" i="11"/>
  <c r="AB1241" i="11"/>
  <c r="AD1241" i="11"/>
  <c r="AE1241" i="11"/>
  <c r="AF1241" i="11"/>
  <c r="AG1241" i="11"/>
  <c r="V1242" i="11"/>
  <c r="W1242" i="11"/>
  <c r="X1242" i="11"/>
  <c r="Y1242" i="11"/>
  <c r="Z1242" i="11"/>
  <c r="AA1242" i="11"/>
  <c r="AB1242" i="11"/>
  <c r="AD1242" i="11"/>
  <c r="AE1242" i="11"/>
  <c r="AF1242" i="11"/>
  <c r="AG1242" i="11"/>
  <c r="V1243" i="11"/>
  <c r="W1243" i="11"/>
  <c r="X1243" i="11"/>
  <c r="Y1243" i="11"/>
  <c r="Z1243" i="11"/>
  <c r="AA1243" i="11"/>
  <c r="AB1243" i="11"/>
  <c r="AD1243" i="11"/>
  <c r="AE1243" i="11"/>
  <c r="AF1243" i="11"/>
  <c r="AG1243" i="11"/>
  <c r="V1244" i="11"/>
  <c r="W1244" i="11"/>
  <c r="X1244" i="11"/>
  <c r="Y1244" i="11"/>
  <c r="Z1244" i="11"/>
  <c r="AA1244" i="11"/>
  <c r="AB1244" i="11"/>
  <c r="AD1244" i="11"/>
  <c r="AE1244" i="11"/>
  <c r="AF1244" i="11"/>
  <c r="AG1244" i="11"/>
  <c r="V1245" i="11"/>
  <c r="W1245" i="11"/>
  <c r="X1245" i="11"/>
  <c r="Y1245" i="11"/>
  <c r="Z1245" i="11"/>
  <c r="AA1245" i="11"/>
  <c r="AB1245" i="11"/>
  <c r="AD1245" i="11"/>
  <c r="AE1245" i="11"/>
  <c r="AF1245" i="11"/>
  <c r="AG1245" i="11"/>
  <c r="V1246" i="11"/>
  <c r="W1246" i="11"/>
  <c r="X1246" i="11"/>
  <c r="Y1246" i="11"/>
  <c r="Z1246" i="11"/>
  <c r="AA1246" i="11"/>
  <c r="AB1246" i="11"/>
  <c r="AD1246" i="11"/>
  <c r="AE1246" i="11"/>
  <c r="AF1246" i="11"/>
  <c r="AG1246" i="11"/>
  <c r="V1247" i="11"/>
  <c r="W1247" i="11"/>
  <c r="X1247" i="11"/>
  <c r="Y1247" i="11"/>
  <c r="Z1247" i="11"/>
  <c r="AA1247" i="11"/>
  <c r="AB1247" i="11"/>
  <c r="AD1247" i="11"/>
  <c r="AE1247" i="11"/>
  <c r="AF1247" i="11"/>
  <c r="AG1247" i="11"/>
  <c r="V1248" i="11"/>
  <c r="W1248" i="11"/>
  <c r="X1248" i="11"/>
  <c r="Y1248" i="11"/>
  <c r="Z1248" i="11"/>
  <c r="AA1248" i="11"/>
  <c r="AB1248" i="11"/>
  <c r="AD1248" i="11"/>
  <c r="AE1248" i="11"/>
  <c r="AF1248" i="11"/>
  <c r="AG1248" i="11"/>
  <c r="V1249" i="11"/>
  <c r="W1249" i="11"/>
  <c r="X1249" i="11"/>
  <c r="Y1249" i="11"/>
  <c r="Z1249" i="11"/>
  <c r="AA1249" i="11"/>
  <c r="AB1249" i="11"/>
  <c r="AD1249" i="11"/>
  <c r="AE1249" i="11"/>
  <c r="AF1249" i="11"/>
  <c r="AG1249" i="11"/>
  <c r="V1250" i="11"/>
  <c r="W1250" i="11"/>
  <c r="X1250" i="11"/>
  <c r="Y1250" i="11"/>
  <c r="Z1250" i="11"/>
  <c r="AA1250" i="11"/>
  <c r="AB1250" i="11"/>
  <c r="AD1250" i="11"/>
  <c r="AE1250" i="11"/>
  <c r="AF1250" i="11"/>
  <c r="AG1250" i="11"/>
  <c r="V1251" i="11"/>
  <c r="W1251" i="11"/>
  <c r="X1251" i="11"/>
  <c r="Y1251" i="11"/>
  <c r="Z1251" i="11"/>
  <c r="AA1251" i="11"/>
  <c r="AB1251" i="11"/>
  <c r="AD1251" i="11"/>
  <c r="AE1251" i="11"/>
  <c r="AF1251" i="11"/>
  <c r="AG1251" i="11"/>
  <c r="V1252" i="11"/>
  <c r="W1252" i="11"/>
  <c r="X1252" i="11"/>
  <c r="Y1252" i="11"/>
  <c r="Z1252" i="11"/>
  <c r="AA1252" i="11"/>
  <c r="AB1252" i="11"/>
  <c r="AD1252" i="11"/>
  <c r="AE1252" i="11"/>
  <c r="AF1252" i="11"/>
  <c r="AG1252" i="11"/>
  <c r="V1254" i="11"/>
  <c r="W1254" i="11"/>
  <c r="X1254" i="11"/>
  <c r="Y1254" i="11"/>
  <c r="Z1254" i="11"/>
  <c r="AA1254" i="11"/>
  <c r="AB1254" i="11"/>
  <c r="AD1254" i="11"/>
  <c r="AE1254" i="11"/>
  <c r="AF1254" i="11"/>
  <c r="AG1254" i="11"/>
  <c r="V1255" i="11"/>
  <c r="W1255" i="11"/>
  <c r="X1255" i="11"/>
  <c r="Y1255" i="11"/>
  <c r="Z1255" i="11"/>
  <c r="AA1255" i="11"/>
  <c r="AB1255" i="11"/>
  <c r="AD1255" i="11"/>
  <c r="AE1255" i="11"/>
  <c r="AF1255" i="11"/>
  <c r="AG1255" i="11"/>
  <c r="V1256" i="11"/>
  <c r="W1256" i="11"/>
  <c r="X1256" i="11"/>
  <c r="Y1256" i="11"/>
  <c r="Z1256" i="11"/>
  <c r="AA1256" i="11"/>
  <c r="AB1256" i="11"/>
  <c r="AD1256" i="11"/>
  <c r="AE1256" i="11"/>
  <c r="AF1256" i="11"/>
  <c r="AG1256" i="11"/>
  <c r="V1257" i="11"/>
  <c r="W1257" i="11"/>
  <c r="X1257" i="11"/>
  <c r="Y1257" i="11"/>
  <c r="Z1257" i="11"/>
  <c r="AA1257" i="11"/>
  <c r="AB1257" i="11"/>
  <c r="AD1257" i="11"/>
  <c r="AE1257" i="11"/>
  <c r="AF1257" i="11"/>
  <c r="AG1257" i="11"/>
  <c r="V1258" i="11"/>
  <c r="W1258" i="11"/>
  <c r="X1258" i="11"/>
  <c r="Y1258" i="11"/>
  <c r="Z1258" i="11"/>
  <c r="AA1258" i="11"/>
  <c r="AB1258" i="11"/>
  <c r="AD1258" i="11"/>
  <c r="AE1258" i="11"/>
  <c r="AF1258" i="11"/>
  <c r="AG1258" i="11"/>
  <c r="V1259" i="11"/>
  <c r="W1259" i="11"/>
  <c r="X1259" i="11"/>
  <c r="Y1259" i="11"/>
  <c r="Z1259" i="11"/>
  <c r="AA1259" i="11"/>
  <c r="AB1259" i="11"/>
  <c r="AD1259" i="11"/>
  <c r="AE1259" i="11"/>
  <c r="AF1259" i="11"/>
  <c r="AG1259" i="11"/>
  <c r="V1260" i="11"/>
  <c r="W1260" i="11"/>
  <c r="X1260" i="11"/>
  <c r="Y1260" i="11"/>
  <c r="Z1260" i="11"/>
  <c r="AA1260" i="11"/>
  <c r="AB1260" i="11"/>
  <c r="AD1260" i="11"/>
  <c r="AE1260" i="11"/>
  <c r="AF1260" i="11"/>
  <c r="AG1260" i="11"/>
  <c r="V1261" i="11"/>
  <c r="W1261" i="11"/>
  <c r="X1261" i="11"/>
  <c r="Y1261" i="11"/>
  <c r="Z1261" i="11"/>
  <c r="AA1261" i="11"/>
  <c r="AB1261" i="11"/>
  <c r="AD1261" i="11"/>
  <c r="AE1261" i="11"/>
  <c r="AF1261" i="11"/>
  <c r="AG1261" i="11"/>
  <c r="V1262" i="11"/>
  <c r="W1262" i="11"/>
  <c r="X1262" i="11"/>
  <c r="Y1262" i="11"/>
  <c r="Z1262" i="11"/>
  <c r="AA1262" i="11"/>
  <c r="AB1262" i="11"/>
  <c r="AD1262" i="11"/>
  <c r="AE1262" i="11"/>
  <c r="AF1262" i="11"/>
  <c r="AG1262" i="11"/>
  <c r="V1263" i="11"/>
  <c r="W1263" i="11"/>
  <c r="X1263" i="11"/>
  <c r="Y1263" i="11"/>
  <c r="Z1263" i="11"/>
  <c r="AA1263" i="11"/>
  <c r="AB1263" i="11"/>
  <c r="AD1263" i="11"/>
  <c r="AE1263" i="11"/>
  <c r="AF1263" i="11"/>
  <c r="AG1263" i="11"/>
  <c r="V1264" i="11"/>
  <c r="W1264" i="11"/>
  <c r="X1264" i="11"/>
  <c r="Y1264" i="11"/>
  <c r="Z1264" i="11"/>
  <c r="AA1264" i="11"/>
  <c r="AB1264" i="11"/>
  <c r="AD1264" i="11"/>
  <c r="AE1264" i="11"/>
  <c r="AF1264" i="11"/>
  <c r="AG1264" i="11"/>
  <c r="V1265" i="11"/>
  <c r="W1265" i="11"/>
  <c r="X1265" i="11"/>
  <c r="Y1265" i="11"/>
  <c r="Z1265" i="11"/>
  <c r="AA1265" i="11"/>
  <c r="AB1265" i="11"/>
  <c r="AD1265" i="11"/>
  <c r="AE1265" i="11"/>
  <c r="AF1265" i="11"/>
  <c r="AG1265" i="11"/>
  <c r="V1266" i="11"/>
  <c r="W1266" i="11"/>
  <c r="X1266" i="11"/>
  <c r="Y1266" i="11"/>
  <c r="Z1266" i="11"/>
  <c r="AA1266" i="11"/>
  <c r="AB1266" i="11"/>
  <c r="AD1266" i="11"/>
  <c r="AE1266" i="11"/>
  <c r="AF1266" i="11"/>
  <c r="AG1266" i="11"/>
  <c r="V1267" i="11"/>
  <c r="W1267" i="11"/>
  <c r="X1267" i="11"/>
  <c r="Y1267" i="11"/>
  <c r="Z1267" i="11"/>
  <c r="AA1267" i="11"/>
  <c r="AB1267" i="11"/>
  <c r="AD1267" i="11"/>
  <c r="AE1267" i="11"/>
  <c r="AF1267" i="11"/>
  <c r="AG1267" i="11"/>
  <c r="V1268" i="11"/>
  <c r="W1268" i="11"/>
  <c r="X1268" i="11"/>
  <c r="Y1268" i="11"/>
  <c r="Z1268" i="11"/>
  <c r="AA1268" i="11"/>
  <c r="AB1268" i="11"/>
  <c r="AD1268" i="11"/>
  <c r="AE1268" i="11"/>
  <c r="AF1268" i="11"/>
  <c r="AG1268" i="11"/>
  <c r="AA472" i="11"/>
  <c r="AA465" i="11"/>
  <c r="AA466" i="11"/>
  <c r="AA467" i="11"/>
  <c r="AA468" i="11"/>
  <c r="AA469" i="11"/>
  <c r="AA470" i="11"/>
  <c r="AA471" i="11"/>
  <c r="V235" i="11"/>
  <c r="W235" i="11"/>
  <c r="X235" i="11"/>
  <c r="Y235" i="11"/>
  <c r="Z235" i="11"/>
  <c r="AA235" i="11"/>
  <c r="AB235" i="11"/>
  <c r="AD235" i="11"/>
  <c r="AE235" i="11"/>
  <c r="AF235" i="11"/>
  <c r="AG235" i="11"/>
  <c r="V236" i="11"/>
  <c r="W236" i="11"/>
  <c r="X236" i="11"/>
  <c r="Y236" i="11"/>
  <c r="Z236" i="11"/>
  <c r="AA236" i="11"/>
  <c r="AB236" i="11"/>
  <c r="AD236" i="11"/>
  <c r="AE236" i="11"/>
  <c r="AF236" i="11"/>
  <c r="AG236" i="11"/>
  <c r="V237" i="11"/>
  <c r="W237" i="11"/>
  <c r="X237" i="11"/>
  <c r="Y237" i="11"/>
  <c r="AA237" i="11"/>
  <c r="AB237" i="11"/>
  <c r="AD237" i="11"/>
  <c r="AE237" i="11"/>
  <c r="AF237" i="11"/>
  <c r="AG237" i="11"/>
  <c r="V238" i="11"/>
  <c r="W238" i="11"/>
  <c r="X238" i="11"/>
  <c r="Y238" i="11"/>
  <c r="Z238" i="11"/>
  <c r="AA238" i="11"/>
  <c r="AB238" i="11"/>
  <c r="AD238" i="11"/>
  <c r="AE238" i="11"/>
  <c r="AF238" i="11"/>
  <c r="AG238" i="11"/>
  <c r="V239" i="11"/>
  <c r="W239" i="11"/>
  <c r="X239" i="11"/>
  <c r="Y239" i="11"/>
  <c r="Z239" i="11"/>
  <c r="AA239" i="11"/>
  <c r="AB239" i="11"/>
  <c r="AD239" i="11"/>
  <c r="AE239" i="11"/>
  <c r="AF239" i="11"/>
  <c r="AG239" i="11"/>
  <c r="V240" i="11"/>
  <c r="W240" i="11"/>
  <c r="X240" i="11"/>
  <c r="Y240" i="11"/>
  <c r="Z240" i="11"/>
  <c r="AA240" i="11"/>
  <c r="AB240" i="11"/>
  <c r="AD240" i="11"/>
  <c r="AE240" i="11"/>
  <c r="AF240" i="11"/>
  <c r="AG240" i="11"/>
  <c r="V241" i="11"/>
  <c r="W241" i="11"/>
  <c r="X241" i="11"/>
  <c r="Y241" i="11"/>
  <c r="Z241" i="11"/>
  <c r="AA241" i="11"/>
  <c r="AB241" i="11"/>
  <c r="AD241" i="11"/>
  <c r="AE241" i="11"/>
  <c r="AF241" i="11"/>
  <c r="AG241" i="11"/>
  <c r="V242" i="11"/>
  <c r="W242" i="11"/>
  <c r="X242" i="11"/>
  <c r="Y242" i="11"/>
  <c r="Z242" i="11"/>
  <c r="AA242" i="11"/>
  <c r="AB242" i="11"/>
  <c r="AD242" i="11"/>
  <c r="AE242" i="11"/>
  <c r="AF242" i="11"/>
  <c r="AG242" i="11"/>
  <c r="V243" i="11"/>
  <c r="W243" i="11"/>
  <c r="X243" i="11"/>
  <c r="Y243" i="11"/>
  <c r="Z243" i="11"/>
  <c r="AA243" i="11"/>
  <c r="AB243" i="11"/>
  <c r="AD243" i="11"/>
  <c r="AE243" i="11"/>
  <c r="AF243" i="11"/>
  <c r="AG243" i="11"/>
  <c r="V244" i="11"/>
  <c r="W244" i="11"/>
  <c r="X244" i="11"/>
  <c r="Y244" i="11"/>
  <c r="Z244" i="11"/>
  <c r="AA244" i="11"/>
  <c r="AB244" i="11"/>
  <c r="AD244" i="11"/>
  <c r="AE244" i="11"/>
  <c r="AF244" i="11"/>
  <c r="AG244" i="11"/>
  <c r="V245" i="11"/>
  <c r="W245" i="11"/>
  <c r="X245" i="11"/>
  <c r="Y245" i="11"/>
  <c r="Z245" i="11"/>
  <c r="AA245" i="11"/>
  <c r="AB245" i="11"/>
  <c r="AD245" i="11"/>
  <c r="AE245" i="11"/>
  <c r="AF245" i="11"/>
  <c r="AG245" i="11"/>
  <c r="V246" i="11"/>
  <c r="W246" i="11"/>
  <c r="X246" i="11"/>
  <c r="Y246" i="11"/>
  <c r="Z246" i="11"/>
  <c r="AA246" i="11"/>
  <c r="AB246" i="11"/>
  <c r="AD246" i="11"/>
  <c r="AE246" i="11"/>
  <c r="AF246" i="11"/>
  <c r="AG246" i="11"/>
  <c r="V247" i="11"/>
  <c r="W247" i="11"/>
  <c r="X247" i="11"/>
  <c r="Y247" i="11"/>
  <c r="Z247" i="11"/>
  <c r="AA247" i="11"/>
  <c r="AB247" i="11"/>
  <c r="AD247" i="11"/>
  <c r="AE247" i="11"/>
  <c r="AF247" i="11"/>
  <c r="AG247" i="11"/>
  <c r="V248" i="11"/>
  <c r="W248" i="11"/>
  <c r="X248" i="11"/>
  <c r="Y248" i="11"/>
  <c r="Z248" i="11"/>
  <c r="AA248" i="11"/>
  <c r="AB248" i="11"/>
  <c r="AD248" i="11"/>
  <c r="AE248" i="11"/>
  <c r="AF248" i="11"/>
  <c r="AG248" i="11"/>
  <c r="V249" i="11"/>
  <c r="W249" i="11"/>
  <c r="X249" i="11"/>
  <c r="Y249" i="11"/>
  <c r="Z249" i="11"/>
  <c r="AA249" i="11"/>
  <c r="AB249" i="11"/>
  <c r="AD249" i="11"/>
  <c r="AE249" i="11"/>
  <c r="AF249" i="11"/>
  <c r="AG249" i="11"/>
  <c r="V250" i="11"/>
  <c r="W250" i="11"/>
  <c r="X250" i="11"/>
  <c r="Y250" i="11"/>
  <c r="Z250" i="11"/>
  <c r="AA250" i="11"/>
  <c r="AB250" i="11"/>
  <c r="AD250" i="11"/>
  <c r="AE250" i="11"/>
  <c r="AF250" i="11"/>
  <c r="AG250" i="11"/>
  <c r="V251" i="11"/>
  <c r="W251" i="11"/>
  <c r="X251" i="11"/>
  <c r="Y251" i="11"/>
  <c r="Z251" i="11"/>
  <c r="AA251" i="11"/>
  <c r="AB251" i="11"/>
  <c r="AD251" i="11"/>
  <c r="AE251" i="11"/>
  <c r="AF251" i="11"/>
  <c r="AG251" i="11"/>
  <c r="V252" i="11"/>
  <c r="W252" i="11"/>
  <c r="X252" i="11"/>
  <c r="Y252" i="11"/>
  <c r="Z252" i="11"/>
  <c r="AA252" i="11"/>
  <c r="AB252" i="11"/>
  <c r="AD252" i="11"/>
  <c r="AE252" i="11"/>
  <c r="AF252" i="11"/>
  <c r="AG252" i="11"/>
  <c r="V253" i="11"/>
  <c r="W253" i="11"/>
  <c r="X253" i="11"/>
  <c r="Y253" i="11"/>
  <c r="Z253" i="11"/>
  <c r="AA253" i="11"/>
  <c r="AB253" i="11"/>
  <c r="AD253" i="11"/>
  <c r="AE253" i="11"/>
  <c r="AF253" i="11"/>
  <c r="AG253" i="11"/>
  <c r="V254" i="11"/>
  <c r="W254" i="11"/>
  <c r="X254" i="11"/>
  <c r="Y254" i="11"/>
  <c r="Z254" i="11"/>
  <c r="AA254" i="11"/>
  <c r="AB254" i="11"/>
  <c r="AD254" i="11"/>
  <c r="AE254" i="11"/>
  <c r="AF254" i="11"/>
  <c r="AG254" i="11"/>
  <c r="V255" i="11"/>
  <c r="W255" i="11"/>
  <c r="X255" i="11"/>
  <c r="Y255" i="11"/>
  <c r="Z255" i="11"/>
  <c r="AA255" i="11"/>
  <c r="AB255" i="11"/>
  <c r="AD255" i="11"/>
  <c r="AE255" i="11"/>
  <c r="AF255" i="11"/>
  <c r="AG255" i="11"/>
  <c r="V256" i="11"/>
  <c r="W256" i="11"/>
  <c r="X256" i="11"/>
  <c r="Y256" i="11"/>
  <c r="Z256" i="11"/>
  <c r="AA256" i="11"/>
  <c r="AB256" i="11"/>
  <c r="AD256" i="11"/>
  <c r="AE256" i="11"/>
  <c r="AF256" i="11"/>
  <c r="AG256" i="11"/>
  <c r="V257" i="11"/>
  <c r="W257" i="11"/>
  <c r="X257" i="11"/>
  <c r="Y257" i="11"/>
  <c r="Z257" i="11"/>
  <c r="AA257" i="11"/>
  <c r="AB257" i="11"/>
  <c r="AD257" i="11"/>
  <c r="AE257" i="11"/>
  <c r="AF257" i="11"/>
  <c r="AG257" i="11"/>
  <c r="V258" i="11"/>
  <c r="W258" i="11"/>
  <c r="X258" i="11"/>
  <c r="Y258" i="11"/>
  <c r="Z258" i="11"/>
  <c r="AA258" i="11"/>
  <c r="AB258" i="11"/>
  <c r="AD258" i="11"/>
  <c r="AE258" i="11"/>
  <c r="AF258" i="11"/>
  <c r="AG258" i="11"/>
  <c r="V259" i="11"/>
  <c r="W259" i="11"/>
  <c r="X259" i="11"/>
  <c r="Y259" i="11"/>
  <c r="Z259" i="11"/>
  <c r="AA259" i="11"/>
  <c r="AB259" i="11"/>
  <c r="AD259" i="11"/>
  <c r="AE259" i="11"/>
  <c r="AF259" i="11"/>
  <c r="AG259" i="11"/>
  <c r="V260" i="11"/>
  <c r="W260" i="11"/>
  <c r="X260" i="11"/>
  <c r="Y260" i="11"/>
  <c r="Z260" i="11"/>
  <c r="AA260" i="11"/>
  <c r="AB260" i="11"/>
  <c r="AD260" i="11"/>
  <c r="AE260" i="11"/>
  <c r="AF260" i="11"/>
  <c r="AG260" i="11"/>
  <c r="V261" i="11"/>
  <c r="W261" i="11"/>
  <c r="X261" i="11"/>
  <c r="Y261" i="11"/>
  <c r="Z261" i="11"/>
  <c r="AA261" i="11"/>
  <c r="AB261" i="11"/>
  <c r="AD261" i="11"/>
  <c r="AE261" i="11"/>
  <c r="AF261" i="11"/>
  <c r="AG261" i="11"/>
  <c r="V262" i="11"/>
  <c r="W262" i="11"/>
  <c r="X262" i="11"/>
  <c r="Y262" i="11"/>
  <c r="AA262" i="11"/>
  <c r="AB262" i="11"/>
  <c r="AD262" i="11"/>
  <c r="AE262" i="11"/>
  <c r="AF262" i="11"/>
  <c r="AG262" i="11"/>
  <c r="V263" i="11"/>
  <c r="W263" i="11"/>
  <c r="X263" i="11"/>
  <c r="Y263" i="11"/>
  <c r="Z263" i="11"/>
  <c r="AA263" i="11"/>
  <c r="AB263" i="11"/>
  <c r="AD263" i="11"/>
  <c r="AE263" i="11"/>
  <c r="AF263" i="11"/>
  <c r="AG263" i="11"/>
  <c r="V264" i="11"/>
  <c r="W264" i="11"/>
  <c r="X264" i="11"/>
  <c r="Y264" i="11"/>
  <c r="Z264" i="11"/>
  <c r="AA264" i="11"/>
  <c r="AB264" i="11"/>
  <c r="AD264" i="11"/>
  <c r="AE264" i="11"/>
  <c r="AF264" i="11"/>
  <c r="AG264" i="11"/>
  <c r="V265" i="11"/>
  <c r="W265" i="11"/>
  <c r="X265" i="11"/>
  <c r="Y265" i="11"/>
  <c r="Z265" i="11"/>
  <c r="AA265" i="11"/>
  <c r="AB265" i="11"/>
  <c r="AD265" i="11"/>
  <c r="AE265" i="11"/>
  <c r="AF265" i="11"/>
  <c r="AG265" i="11"/>
  <c r="V266" i="11"/>
  <c r="W266" i="11"/>
  <c r="X266" i="11"/>
  <c r="Y266" i="11"/>
  <c r="Z266" i="11"/>
  <c r="AA266" i="11"/>
  <c r="AB266" i="11"/>
  <c r="AD266" i="11"/>
  <c r="AE266" i="11"/>
  <c r="AF266" i="11"/>
  <c r="AG266" i="11"/>
  <c r="V267" i="11"/>
  <c r="W267" i="11"/>
  <c r="X267" i="11"/>
  <c r="Y267" i="11"/>
  <c r="Z267" i="11"/>
  <c r="AA267" i="11"/>
  <c r="AB267" i="11"/>
  <c r="AD267" i="11"/>
  <c r="AE267" i="11"/>
  <c r="AF267" i="11"/>
  <c r="AG267" i="11"/>
  <c r="V268" i="11"/>
  <c r="W268" i="11"/>
  <c r="X268" i="11"/>
  <c r="Y268" i="11"/>
  <c r="Z268" i="11"/>
  <c r="AA268" i="11"/>
  <c r="AB268" i="11"/>
  <c r="AD268" i="11"/>
  <c r="AE268" i="11"/>
  <c r="AF268" i="11"/>
  <c r="AG268" i="11"/>
  <c r="V269" i="11"/>
  <c r="W269" i="11"/>
  <c r="X269" i="11"/>
  <c r="Y269" i="11"/>
  <c r="Z269" i="11"/>
  <c r="AA269" i="11"/>
  <c r="AB269" i="11"/>
  <c r="AD269" i="11"/>
  <c r="AE269" i="11"/>
  <c r="AF269" i="11"/>
  <c r="AG269" i="11"/>
  <c r="V270" i="11"/>
  <c r="W270" i="11"/>
  <c r="X270" i="11"/>
  <c r="Y270" i="11"/>
  <c r="Z270" i="11"/>
  <c r="AA270" i="11"/>
  <c r="AB270" i="11"/>
  <c r="AD270" i="11"/>
  <c r="AE270" i="11"/>
  <c r="AF270" i="11"/>
  <c r="AG270" i="11"/>
  <c r="V271" i="11"/>
  <c r="W271" i="11"/>
  <c r="X271" i="11"/>
  <c r="Y271" i="11"/>
  <c r="Z271" i="11"/>
  <c r="AA271" i="11"/>
  <c r="AB271" i="11"/>
  <c r="AD271" i="11"/>
  <c r="AE271" i="11"/>
  <c r="AF271" i="11"/>
  <c r="AG271" i="11"/>
  <c r="V272" i="11"/>
  <c r="W272" i="11"/>
  <c r="X272" i="11"/>
  <c r="Y272" i="11"/>
  <c r="Z272" i="11"/>
  <c r="AA272" i="11"/>
  <c r="AB272" i="11"/>
  <c r="AD272" i="11"/>
  <c r="AE272" i="11"/>
  <c r="AF272" i="11"/>
  <c r="AG272" i="11"/>
  <c r="V273" i="11"/>
  <c r="W273" i="11"/>
  <c r="X273" i="11"/>
  <c r="Y273" i="11"/>
  <c r="Z273" i="11"/>
  <c r="AA273" i="11"/>
  <c r="AB273" i="11"/>
  <c r="AD273" i="11"/>
  <c r="AE273" i="11"/>
  <c r="AF273" i="11"/>
  <c r="AG273" i="11"/>
  <c r="V274" i="11"/>
  <c r="W274" i="11"/>
  <c r="X274" i="11"/>
  <c r="Y274" i="11"/>
  <c r="Z274" i="11"/>
  <c r="AA274" i="11"/>
  <c r="AB274" i="11"/>
  <c r="AD274" i="11"/>
  <c r="AE274" i="11"/>
  <c r="AF274" i="11"/>
  <c r="AG274" i="11"/>
  <c r="V275" i="11"/>
  <c r="W275" i="11"/>
  <c r="X275" i="11"/>
  <c r="Y275" i="11"/>
  <c r="Z275" i="11"/>
  <c r="AA275" i="11"/>
  <c r="AB275" i="11"/>
  <c r="AD275" i="11"/>
  <c r="AE275" i="11"/>
  <c r="AF275" i="11"/>
  <c r="AG275" i="11"/>
  <c r="V276" i="11"/>
  <c r="W276" i="11"/>
  <c r="X276" i="11"/>
  <c r="Y276" i="11"/>
  <c r="Z276" i="11"/>
  <c r="AA276" i="11"/>
  <c r="AB276" i="11"/>
  <c r="AD276" i="11"/>
  <c r="AE276" i="11"/>
  <c r="AF276" i="11"/>
  <c r="AG276" i="11"/>
  <c r="V277" i="11"/>
  <c r="W277" i="11"/>
  <c r="X277" i="11"/>
  <c r="Y277" i="11"/>
  <c r="AA277" i="11"/>
  <c r="AB277" i="11"/>
  <c r="AD277" i="11"/>
  <c r="AE277" i="11"/>
  <c r="AF277" i="11"/>
  <c r="AG277" i="11"/>
  <c r="V278" i="11"/>
  <c r="W278" i="11"/>
  <c r="X278" i="11"/>
  <c r="Y278" i="11"/>
  <c r="AA278" i="11"/>
  <c r="AB278" i="11"/>
  <c r="AD278" i="11"/>
  <c r="AE278" i="11"/>
  <c r="AF278" i="11"/>
  <c r="AG278" i="11"/>
  <c r="V279" i="11"/>
  <c r="W279" i="11"/>
  <c r="X279" i="11"/>
  <c r="Y279" i="11"/>
  <c r="AA279" i="11"/>
  <c r="AB279" i="11"/>
  <c r="AD279" i="11"/>
  <c r="AE279" i="11"/>
  <c r="AF279" i="11"/>
  <c r="AG279" i="11"/>
  <c r="V280" i="11"/>
  <c r="W280" i="11"/>
  <c r="X280" i="11"/>
  <c r="Y280" i="11"/>
  <c r="AA280" i="11"/>
  <c r="AB280" i="11"/>
  <c r="AD280" i="11"/>
  <c r="AE280" i="11"/>
  <c r="AF280" i="11"/>
  <c r="AG280" i="11"/>
  <c r="V281" i="11"/>
  <c r="W281" i="11"/>
  <c r="X281" i="11"/>
  <c r="Y281" i="11"/>
  <c r="AA281" i="11"/>
  <c r="AB281" i="11"/>
  <c r="AD281" i="11"/>
  <c r="AE281" i="11"/>
  <c r="AF281" i="11"/>
  <c r="AG281" i="11"/>
  <c r="V282" i="11"/>
  <c r="W282" i="11"/>
  <c r="X282" i="11"/>
  <c r="Y282" i="11"/>
  <c r="AA282" i="11"/>
  <c r="AB282" i="11"/>
  <c r="AD282" i="11"/>
  <c r="AE282" i="11"/>
  <c r="AF282" i="11"/>
  <c r="AG282" i="11"/>
  <c r="V283" i="11"/>
  <c r="W283" i="11"/>
  <c r="X283" i="11"/>
  <c r="Y283" i="11"/>
  <c r="Z283" i="11"/>
  <c r="AA283" i="11"/>
  <c r="AD283" i="11"/>
  <c r="AE283" i="11"/>
  <c r="AF283" i="11"/>
  <c r="AG283" i="11"/>
  <c r="V284" i="11"/>
  <c r="W284" i="11"/>
  <c r="X284" i="11"/>
  <c r="Y284" i="11"/>
  <c r="Z284" i="11"/>
  <c r="AA284" i="11"/>
  <c r="AD284" i="11"/>
  <c r="AE284" i="11"/>
  <c r="AF284" i="11"/>
  <c r="AG284" i="11"/>
  <c r="V285" i="11"/>
  <c r="W285" i="11"/>
  <c r="X285" i="11"/>
  <c r="Y285" i="11"/>
  <c r="Z285" i="11"/>
  <c r="AA285" i="11"/>
  <c r="AD285" i="11"/>
  <c r="AE285" i="11"/>
  <c r="AF285" i="11"/>
  <c r="AG285" i="11"/>
  <c r="V286" i="11"/>
  <c r="W286" i="11"/>
  <c r="X286" i="11"/>
  <c r="Y286" i="11"/>
  <c r="Z286" i="11"/>
  <c r="AA286" i="11"/>
  <c r="AB286" i="11"/>
  <c r="AD286" i="11"/>
  <c r="AE286" i="11"/>
  <c r="AF286" i="11"/>
  <c r="AG286" i="11"/>
  <c r="V287" i="11"/>
  <c r="W287" i="11"/>
  <c r="X287" i="11"/>
  <c r="Y287" i="11"/>
  <c r="Z287" i="11"/>
  <c r="AA287" i="11"/>
  <c r="AB287" i="11"/>
  <c r="AD287" i="11"/>
  <c r="AE287" i="11"/>
  <c r="AF287" i="11"/>
  <c r="AG287" i="11"/>
  <c r="V288" i="11"/>
  <c r="W288" i="11"/>
  <c r="X288" i="11"/>
  <c r="Y288" i="11"/>
  <c r="Z288" i="11"/>
  <c r="AA288" i="11"/>
  <c r="AD288" i="11"/>
  <c r="AE288" i="11"/>
  <c r="AF288" i="11"/>
  <c r="AG288" i="11"/>
  <c r="V289" i="11"/>
  <c r="W289" i="11"/>
  <c r="X289" i="11"/>
  <c r="Y289" i="11"/>
  <c r="Z289" i="11"/>
  <c r="AA289" i="11"/>
  <c r="AD289" i="11"/>
  <c r="AE289" i="11"/>
  <c r="AF289" i="11"/>
  <c r="AG289" i="11"/>
  <c r="V290" i="11"/>
  <c r="W290" i="11"/>
  <c r="X290" i="11"/>
  <c r="Y290" i="11"/>
  <c r="Z290" i="11"/>
  <c r="AA290" i="11"/>
  <c r="AD290" i="11"/>
  <c r="AE290" i="11"/>
  <c r="AF290" i="11"/>
  <c r="AG290" i="11"/>
  <c r="V291" i="11"/>
  <c r="W291" i="11"/>
  <c r="X291" i="11"/>
  <c r="Y291" i="11"/>
  <c r="Z291" i="11"/>
  <c r="AA291" i="11"/>
  <c r="AD291" i="11"/>
  <c r="AE291" i="11"/>
  <c r="AF291" i="11"/>
  <c r="AG291" i="11"/>
  <c r="V292" i="11"/>
  <c r="W292" i="11"/>
  <c r="X292" i="11"/>
  <c r="Y292" i="11"/>
  <c r="Z292" i="11"/>
  <c r="AA292" i="11"/>
  <c r="AB292" i="11"/>
  <c r="AD292" i="11"/>
  <c r="AE292" i="11"/>
  <c r="AF292" i="11"/>
  <c r="AG292" i="11"/>
  <c r="V293" i="11"/>
  <c r="W293" i="11"/>
  <c r="X293" i="11"/>
  <c r="Y293" i="11"/>
  <c r="Z293" i="11"/>
  <c r="AA293" i="11"/>
  <c r="AB293" i="11"/>
  <c r="AD293" i="11"/>
  <c r="AE293" i="11"/>
  <c r="AF293" i="11"/>
  <c r="AG293" i="11"/>
  <c r="V294" i="11"/>
  <c r="W294" i="11"/>
  <c r="X294" i="11"/>
  <c r="Y294" i="11"/>
  <c r="Z294" i="11"/>
  <c r="AA294" i="11"/>
  <c r="AB294" i="11"/>
  <c r="AD294" i="11"/>
  <c r="AE294" i="11"/>
  <c r="AF294" i="11"/>
  <c r="AG294" i="11"/>
  <c r="V295" i="11"/>
  <c r="W295" i="11"/>
  <c r="X295" i="11"/>
  <c r="Y295" i="11"/>
  <c r="Z295" i="11"/>
  <c r="AA295" i="11"/>
  <c r="AB295" i="11"/>
  <c r="AD295" i="11"/>
  <c r="AE295" i="11"/>
  <c r="AF295" i="11"/>
  <c r="AG295" i="11"/>
  <c r="V296" i="11"/>
  <c r="W296" i="11"/>
  <c r="X296" i="11"/>
  <c r="Y296" i="11"/>
  <c r="Z296" i="11"/>
  <c r="AA296" i="11"/>
  <c r="AD296" i="11"/>
  <c r="AE296" i="11"/>
  <c r="AF296" i="11"/>
  <c r="AG296" i="11"/>
  <c r="V297" i="11"/>
  <c r="W297" i="11"/>
  <c r="X297" i="11"/>
  <c r="Y297" i="11"/>
  <c r="Z297" i="11"/>
  <c r="AA297" i="11"/>
  <c r="AD297" i="11"/>
  <c r="AE297" i="11"/>
  <c r="AF297" i="11"/>
  <c r="AG297" i="11"/>
  <c r="V298" i="11"/>
  <c r="W298" i="11"/>
  <c r="X298" i="11"/>
  <c r="Y298" i="11"/>
  <c r="Z298" i="11"/>
  <c r="AA298" i="11"/>
  <c r="AD298" i="11"/>
  <c r="AE298" i="11"/>
  <c r="AF298" i="11"/>
  <c r="AG298" i="11"/>
  <c r="V299" i="11"/>
  <c r="W299" i="11"/>
  <c r="X299" i="11"/>
  <c r="Y299" i="11"/>
  <c r="Z299" i="11"/>
  <c r="AA299" i="11"/>
  <c r="AB299" i="11"/>
  <c r="AD299" i="11"/>
  <c r="AE299" i="11"/>
  <c r="AF299" i="11"/>
  <c r="AG299" i="11"/>
  <c r="V300" i="11"/>
  <c r="W300" i="11"/>
  <c r="X300" i="11"/>
  <c r="Y300" i="11"/>
  <c r="AA300" i="11"/>
  <c r="AB300" i="11"/>
  <c r="AD300" i="11"/>
  <c r="AE300" i="11"/>
  <c r="AF300" i="11"/>
  <c r="AG300" i="11"/>
  <c r="V301" i="11"/>
  <c r="W301" i="11"/>
  <c r="X301" i="11"/>
  <c r="Y301" i="11"/>
  <c r="Z301" i="11"/>
  <c r="AA301" i="11"/>
  <c r="AB301" i="11"/>
  <c r="AD301" i="11"/>
  <c r="AE301" i="11"/>
  <c r="AF301" i="11"/>
  <c r="AG301" i="11"/>
  <c r="V302" i="11"/>
  <c r="W302" i="11"/>
  <c r="X302" i="11"/>
  <c r="Y302" i="11"/>
  <c r="Z302" i="11"/>
  <c r="AA302" i="11"/>
  <c r="AB302" i="11"/>
  <c r="AD302" i="11"/>
  <c r="AE302" i="11"/>
  <c r="AF302" i="11"/>
  <c r="AG302" i="11"/>
  <c r="V303" i="11"/>
  <c r="W303" i="11"/>
  <c r="X303" i="11"/>
  <c r="Y303" i="11"/>
  <c r="Z303" i="11"/>
  <c r="AA303" i="11"/>
  <c r="AB303" i="11"/>
  <c r="AD303" i="11"/>
  <c r="AE303" i="11"/>
  <c r="AF303" i="11"/>
  <c r="AG303" i="11"/>
  <c r="V304" i="11"/>
  <c r="W304" i="11"/>
  <c r="X304" i="11"/>
  <c r="Y304" i="11"/>
  <c r="Z304" i="11"/>
  <c r="AA304" i="11"/>
  <c r="AB304" i="11"/>
  <c r="AD304" i="11"/>
  <c r="AE304" i="11"/>
  <c r="AF304" i="11"/>
  <c r="AG304" i="11"/>
  <c r="V305" i="11"/>
  <c r="W305" i="11"/>
  <c r="X305" i="11"/>
  <c r="Y305" i="11"/>
  <c r="Z305" i="11"/>
  <c r="AA305" i="11"/>
  <c r="AB305" i="11"/>
  <c r="AD305" i="11"/>
  <c r="AE305" i="11"/>
  <c r="AF305" i="11"/>
  <c r="AG305" i="11"/>
  <c r="V306" i="11"/>
  <c r="W306" i="11"/>
  <c r="X306" i="11"/>
  <c r="Y306" i="11"/>
  <c r="Z306" i="11"/>
  <c r="AA306" i="11"/>
  <c r="AB306" i="11"/>
  <c r="AD306" i="11"/>
  <c r="AE306" i="11"/>
  <c r="AF306" i="11"/>
  <c r="AG306" i="11"/>
  <c r="V307" i="11"/>
  <c r="W307" i="11"/>
  <c r="X307" i="11"/>
  <c r="Y307" i="11"/>
  <c r="Z307" i="11"/>
  <c r="AA307" i="11"/>
  <c r="AB307" i="11"/>
  <c r="AD307" i="11"/>
  <c r="AE307" i="11"/>
  <c r="AF307" i="11"/>
  <c r="AG307" i="11"/>
  <c r="V308" i="11"/>
  <c r="W308" i="11"/>
  <c r="X308" i="11"/>
  <c r="Y308" i="11"/>
  <c r="Z308" i="11"/>
  <c r="AA308" i="11"/>
  <c r="AB308" i="11"/>
  <c r="AD308" i="11"/>
  <c r="AE308" i="11"/>
  <c r="AF308" i="11"/>
  <c r="AG308" i="11"/>
  <c r="V309" i="11"/>
  <c r="W309" i="11"/>
  <c r="X309" i="11"/>
  <c r="Y309" i="11"/>
  <c r="Z309" i="11"/>
  <c r="AA309" i="11"/>
  <c r="AB309" i="11"/>
  <c r="AD309" i="11"/>
  <c r="AE309" i="11"/>
  <c r="AF309" i="11"/>
  <c r="AG309" i="11"/>
  <c r="V310" i="11"/>
  <c r="W310" i="11"/>
  <c r="X310" i="11"/>
  <c r="Y310" i="11"/>
  <c r="Z310" i="11"/>
  <c r="AA310" i="11"/>
  <c r="AD310" i="11"/>
  <c r="AE310" i="11"/>
  <c r="AF310" i="11"/>
  <c r="AG310" i="11"/>
  <c r="V311" i="11"/>
  <c r="W311" i="11"/>
  <c r="X311" i="11"/>
  <c r="Y311" i="11"/>
  <c r="Z311" i="11"/>
  <c r="AA311" i="11"/>
  <c r="AD311" i="11"/>
  <c r="AE311" i="11"/>
  <c r="AF311" i="11"/>
  <c r="AG311" i="11"/>
  <c r="V312" i="11"/>
  <c r="W312" i="11"/>
  <c r="X312" i="11"/>
  <c r="Y312" i="11"/>
  <c r="Z312" i="11"/>
  <c r="AA312" i="11"/>
  <c r="AB312" i="11"/>
  <c r="AD312" i="11"/>
  <c r="AE312" i="11"/>
  <c r="AF312" i="11"/>
  <c r="AG312" i="11"/>
  <c r="V313" i="11"/>
  <c r="W313" i="11"/>
  <c r="X313" i="11"/>
  <c r="Y313" i="11"/>
  <c r="Z313" i="11"/>
  <c r="AA313" i="11"/>
  <c r="AB313" i="11"/>
  <c r="AD313" i="11"/>
  <c r="AE313" i="11"/>
  <c r="AF313" i="11"/>
  <c r="AG313" i="11"/>
  <c r="V314" i="11"/>
  <c r="W314" i="11"/>
  <c r="X314" i="11"/>
  <c r="Y314" i="11"/>
  <c r="Z314" i="11"/>
  <c r="AA314" i="11"/>
  <c r="AB314" i="11"/>
  <c r="AD314" i="11"/>
  <c r="AE314" i="11"/>
  <c r="AF314" i="11"/>
  <c r="AG314" i="11"/>
  <c r="V315" i="11"/>
  <c r="W315" i="11"/>
  <c r="X315" i="11"/>
  <c r="Y315" i="11"/>
  <c r="Z315" i="11"/>
  <c r="AA315" i="11"/>
  <c r="AB315" i="11"/>
  <c r="AD315" i="11"/>
  <c r="AE315" i="11"/>
  <c r="AF315" i="11"/>
  <c r="AG315" i="11"/>
  <c r="V316" i="11"/>
  <c r="W316" i="11"/>
  <c r="X316" i="11"/>
  <c r="Y316" i="11"/>
  <c r="Z316" i="11"/>
  <c r="AA316" i="11"/>
  <c r="AD316" i="11"/>
  <c r="AE316" i="11"/>
  <c r="AF316" i="11"/>
  <c r="AG316" i="11"/>
  <c r="V317" i="11"/>
  <c r="W317" i="11"/>
  <c r="X317" i="11"/>
  <c r="Y317" i="11"/>
  <c r="Z317" i="11"/>
  <c r="AA317" i="11"/>
  <c r="AD317" i="11"/>
  <c r="AE317" i="11"/>
  <c r="AF317" i="11"/>
  <c r="AG317" i="11"/>
  <c r="V318" i="11"/>
  <c r="W318" i="11"/>
  <c r="X318" i="11"/>
  <c r="Y318" i="11"/>
  <c r="Z318" i="11"/>
  <c r="AA318" i="11"/>
  <c r="AD318" i="11"/>
  <c r="AE318" i="11"/>
  <c r="AF318" i="11"/>
  <c r="AG318" i="11"/>
  <c r="V319" i="11"/>
  <c r="W319" i="11"/>
  <c r="X319" i="11"/>
  <c r="Y319" i="11"/>
  <c r="Z319" i="11"/>
  <c r="AA319" i="11"/>
  <c r="AD319" i="11"/>
  <c r="AE319" i="11"/>
  <c r="AF319" i="11"/>
  <c r="AG319" i="11"/>
  <c r="V320" i="11"/>
  <c r="W320" i="11"/>
  <c r="X320" i="11"/>
  <c r="Y320" i="11"/>
  <c r="Z320" i="11"/>
  <c r="AA320" i="11"/>
  <c r="AB320" i="11"/>
  <c r="AD320" i="11"/>
  <c r="AE320" i="11"/>
  <c r="AF320" i="11"/>
  <c r="AG320" i="11"/>
  <c r="V321" i="11"/>
  <c r="W321" i="11"/>
  <c r="X321" i="11"/>
  <c r="Y321" i="11"/>
  <c r="Z321" i="11"/>
  <c r="AA321" i="11"/>
  <c r="AB321" i="11"/>
  <c r="AD321" i="11"/>
  <c r="AE321" i="11"/>
  <c r="AF321" i="11"/>
  <c r="AG321" i="11"/>
  <c r="V322" i="11"/>
  <c r="W322" i="11"/>
  <c r="X322" i="11"/>
  <c r="Y322" i="11"/>
  <c r="Z322" i="11"/>
  <c r="AA322" i="11"/>
  <c r="AB322" i="11"/>
  <c r="AD322" i="11"/>
  <c r="AE322" i="11"/>
  <c r="AF322" i="11"/>
  <c r="AG322" i="11"/>
  <c r="V323" i="11"/>
  <c r="W323" i="11"/>
  <c r="X323" i="11"/>
  <c r="Y323" i="11"/>
  <c r="Z323" i="11"/>
  <c r="AA323" i="11"/>
  <c r="AB323" i="11"/>
  <c r="AD323" i="11"/>
  <c r="AE323" i="11"/>
  <c r="AF323" i="11"/>
  <c r="AG323" i="11"/>
  <c r="V324" i="11"/>
  <c r="W324" i="11"/>
  <c r="X324" i="11"/>
  <c r="Y324" i="11"/>
  <c r="Z324" i="11"/>
  <c r="AA324" i="11"/>
  <c r="AB324" i="11"/>
  <c r="AD324" i="11"/>
  <c r="AE324" i="11"/>
  <c r="AF324" i="11"/>
  <c r="AG324" i="11"/>
  <c r="V325" i="11"/>
  <c r="W325" i="11"/>
  <c r="X325" i="11"/>
  <c r="Y325" i="11"/>
  <c r="AA325" i="11"/>
  <c r="AB325" i="11"/>
  <c r="AD325" i="11"/>
  <c r="AE325" i="11"/>
  <c r="AF325" i="11"/>
  <c r="AG325" i="11"/>
  <c r="V326" i="11"/>
  <c r="W326" i="11"/>
  <c r="X326" i="11"/>
  <c r="Y326" i="11"/>
  <c r="Z326" i="11"/>
  <c r="AA326" i="11"/>
  <c r="AB326" i="11"/>
  <c r="AD326" i="11"/>
  <c r="AE326" i="11"/>
  <c r="AF326" i="11"/>
  <c r="AG326" i="11"/>
  <c r="V327" i="11"/>
  <c r="W327" i="11"/>
  <c r="X327" i="11"/>
  <c r="Y327" i="11"/>
  <c r="Z327" i="11"/>
  <c r="AA327" i="11"/>
  <c r="AB327" i="11"/>
  <c r="AD327" i="11"/>
  <c r="AE327" i="11"/>
  <c r="AF327" i="11"/>
  <c r="AG327" i="11"/>
  <c r="V328" i="11"/>
  <c r="W328" i="11"/>
  <c r="X328" i="11"/>
  <c r="Y328" i="11"/>
  <c r="Z328" i="11"/>
  <c r="AA328" i="11"/>
  <c r="AB328" i="11"/>
  <c r="AD328" i="11"/>
  <c r="AE328" i="11"/>
  <c r="AF328" i="11"/>
  <c r="AG328" i="11"/>
  <c r="V329" i="11"/>
  <c r="W329" i="11"/>
  <c r="X329" i="11"/>
  <c r="Y329" i="11"/>
  <c r="AA329" i="11"/>
  <c r="AB329" i="11"/>
  <c r="AD329" i="11"/>
  <c r="AE329" i="11"/>
  <c r="AF329" i="11"/>
  <c r="AG329" i="11"/>
  <c r="V330" i="11"/>
  <c r="W330" i="11"/>
  <c r="X330" i="11"/>
  <c r="Y330" i="11"/>
  <c r="Z330" i="11"/>
  <c r="AA330" i="11"/>
  <c r="AB330" i="11"/>
  <c r="AD330" i="11"/>
  <c r="AE330" i="11"/>
  <c r="AF330" i="11"/>
  <c r="AG330" i="11"/>
  <c r="V331" i="11"/>
  <c r="W331" i="11"/>
  <c r="X331" i="11"/>
  <c r="Y331" i="11"/>
  <c r="Z331" i="11"/>
  <c r="AA331" i="11"/>
  <c r="AB331" i="11"/>
  <c r="AD331" i="11"/>
  <c r="AE331" i="11"/>
  <c r="AF331" i="11"/>
  <c r="AG331" i="11"/>
  <c r="V332" i="11"/>
  <c r="W332" i="11"/>
  <c r="X332" i="11"/>
  <c r="Y332" i="11"/>
  <c r="Z332" i="11"/>
  <c r="AA332" i="11"/>
  <c r="AB332" i="11"/>
  <c r="AD332" i="11"/>
  <c r="AE332" i="11"/>
  <c r="AF332" i="11"/>
  <c r="AG332" i="11"/>
  <c r="V333" i="11"/>
  <c r="W333" i="11"/>
  <c r="X333" i="11"/>
  <c r="Y333" i="11"/>
  <c r="Z333" i="11"/>
  <c r="AA333" i="11"/>
  <c r="AB333" i="11"/>
  <c r="AD333" i="11"/>
  <c r="AE333" i="11"/>
  <c r="AF333" i="11"/>
  <c r="AG333" i="11"/>
  <c r="V334" i="11"/>
  <c r="W334" i="11"/>
  <c r="X334" i="11"/>
  <c r="Y334" i="11"/>
  <c r="Z334" i="11"/>
  <c r="AA334" i="11"/>
  <c r="AB334" i="11"/>
  <c r="AD334" i="11"/>
  <c r="AE334" i="11"/>
  <c r="AF334" i="11"/>
  <c r="AG334" i="11"/>
  <c r="V335" i="11"/>
  <c r="W335" i="11"/>
  <c r="X335" i="11"/>
  <c r="Y335" i="11"/>
  <c r="Z335" i="11"/>
  <c r="AA335" i="11"/>
  <c r="AB335" i="11"/>
  <c r="AD335" i="11"/>
  <c r="AE335" i="11"/>
  <c r="AF335" i="11"/>
  <c r="AG335" i="11"/>
  <c r="V336" i="11"/>
  <c r="W336" i="11"/>
  <c r="X336" i="11"/>
  <c r="Y336" i="11"/>
  <c r="Z336" i="11"/>
  <c r="AA336" i="11"/>
  <c r="AB336" i="11"/>
  <c r="AD336" i="11"/>
  <c r="AE336" i="11"/>
  <c r="AF336" i="11"/>
  <c r="AG336" i="11"/>
  <c r="V337" i="11"/>
  <c r="W337" i="11"/>
  <c r="X337" i="11"/>
  <c r="Y337" i="11"/>
  <c r="Z337" i="11"/>
  <c r="AA337" i="11"/>
  <c r="AB337" i="11"/>
  <c r="AD337" i="11"/>
  <c r="AE337" i="11"/>
  <c r="AF337" i="11"/>
  <c r="AG337" i="11"/>
  <c r="V338" i="11"/>
  <c r="W338" i="11"/>
  <c r="X338" i="11"/>
  <c r="Y338" i="11"/>
  <c r="Z338" i="11"/>
  <c r="AA338" i="11"/>
  <c r="AB338" i="11"/>
  <c r="AD338" i="11"/>
  <c r="AE338" i="11"/>
  <c r="AF338" i="11"/>
  <c r="AG338" i="11"/>
  <c r="V339" i="11"/>
  <c r="W339" i="11"/>
  <c r="X339" i="11"/>
  <c r="Y339" i="11"/>
  <c r="Z339" i="11"/>
  <c r="AA339" i="11"/>
  <c r="AB339" i="11"/>
  <c r="AD339" i="11"/>
  <c r="AE339" i="11"/>
  <c r="AF339" i="11"/>
  <c r="AG339" i="11"/>
  <c r="V340" i="11"/>
  <c r="W340" i="11"/>
  <c r="X340" i="11"/>
  <c r="Y340" i="11"/>
  <c r="Z340" i="11"/>
  <c r="AA340" i="11"/>
  <c r="AB340" i="11"/>
  <c r="AD340" i="11"/>
  <c r="AE340" i="11"/>
  <c r="AF340" i="11"/>
  <c r="AG340" i="11"/>
  <c r="V341" i="11"/>
  <c r="W341" i="11"/>
  <c r="X341" i="11"/>
  <c r="Y341" i="11"/>
  <c r="Z341" i="11"/>
  <c r="AA341" i="11"/>
  <c r="AB341" i="11"/>
  <c r="AD341" i="11"/>
  <c r="AE341" i="11"/>
  <c r="AF341" i="11"/>
  <c r="AG341" i="11"/>
  <c r="V342" i="11"/>
  <c r="W342" i="11"/>
  <c r="X342" i="11"/>
  <c r="Y342" i="11"/>
  <c r="Z342" i="11"/>
  <c r="AA342" i="11"/>
  <c r="AB342" i="11"/>
  <c r="AD342" i="11"/>
  <c r="AE342" i="11"/>
  <c r="AF342" i="11"/>
  <c r="AG342" i="11"/>
  <c r="V343" i="11"/>
  <c r="W343" i="11"/>
  <c r="X343" i="11"/>
  <c r="Y343" i="11"/>
  <c r="Z343" i="11"/>
  <c r="AA343" i="11"/>
  <c r="AB343" i="11"/>
  <c r="AD343" i="11"/>
  <c r="AE343" i="11"/>
  <c r="AF343" i="11"/>
  <c r="AG343" i="11"/>
  <c r="V344" i="11"/>
  <c r="W344" i="11"/>
  <c r="X344" i="11"/>
  <c r="Y344" i="11"/>
  <c r="AA344" i="11"/>
  <c r="AB344" i="11"/>
  <c r="AD344" i="11"/>
  <c r="AE344" i="11"/>
  <c r="AF344" i="11"/>
  <c r="AG344" i="11"/>
  <c r="V345" i="11"/>
  <c r="W345" i="11"/>
  <c r="X345" i="11"/>
  <c r="Y345" i="11"/>
  <c r="Z345" i="11"/>
  <c r="AA345" i="11"/>
  <c r="AB345" i="11"/>
  <c r="AD345" i="11"/>
  <c r="AE345" i="11"/>
  <c r="AF345" i="11"/>
  <c r="AG345" i="11"/>
  <c r="V346" i="11"/>
  <c r="W346" i="11"/>
  <c r="X346" i="11"/>
  <c r="Y346" i="11"/>
  <c r="Z346" i="11"/>
  <c r="AA346" i="11"/>
  <c r="AB346" i="11"/>
  <c r="AD346" i="11"/>
  <c r="AE346" i="11"/>
  <c r="AF346" i="11"/>
  <c r="AG346" i="11"/>
  <c r="V347" i="11"/>
  <c r="W347" i="11"/>
  <c r="X347" i="11"/>
  <c r="Y347" i="11"/>
  <c r="Z347" i="11"/>
  <c r="AA347" i="11"/>
  <c r="AB347" i="11"/>
  <c r="AD347" i="11"/>
  <c r="AE347" i="11"/>
  <c r="AF347" i="11"/>
  <c r="AG347" i="11"/>
  <c r="V348" i="11"/>
  <c r="W348" i="11"/>
  <c r="X348" i="11"/>
  <c r="Y348" i="11"/>
  <c r="Z348" i="11"/>
  <c r="AA348" i="11"/>
  <c r="AB348" i="11"/>
  <c r="AD348" i="11"/>
  <c r="AE348" i="11"/>
  <c r="AF348" i="11"/>
  <c r="AG348" i="11"/>
  <c r="V349" i="11"/>
  <c r="W349" i="11"/>
  <c r="X349" i="11"/>
  <c r="Y349" i="11"/>
  <c r="Z349" i="11"/>
  <c r="AA349" i="11"/>
  <c r="AB349" i="11"/>
  <c r="AD349" i="11"/>
  <c r="AE349" i="11"/>
  <c r="AF349" i="11"/>
  <c r="AG349" i="11"/>
  <c r="V350" i="11"/>
  <c r="W350" i="11"/>
  <c r="X350" i="11"/>
  <c r="Y350" i="11"/>
  <c r="Z350" i="11"/>
  <c r="AA350" i="11"/>
  <c r="AB350" i="11"/>
  <c r="AD350" i="11"/>
  <c r="AE350" i="11"/>
  <c r="AF350" i="11"/>
  <c r="AG350" i="11"/>
  <c r="V351" i="11"/>
  <c r="W351" i="11"/>
  <c r="X351" i="11"/>
  <c r="Y351" i="11"/>
  <c r="Z351" i="11"/>
  <c r="AA351" i="11"/>
  <c r="AB351" i="11"/>
  <c r="AD351" i="11"/>
  <c r="AE351" i="11"/>
  <c r="AF351" i="11"/>
  <c r="AG351" i="11"/>
  <c r="V352" i="11"/>
  <c r="W352" i="11"/>
  <c r="X352" i="11"/>
  <c r="Y352" i="11"/>
  <c r="Z352" i="11"/>
  <c r="AA352" i="11"/>
  <c r="AB352" i="11"/>
  <c r="AD352" i="11"/>
  <c r="AE352" i="11"/>
  <c r="AF352" i="11"/>
  <c r="AG352" i="11"/>
  <c r="V353" i="11"/>
  <c r="W353" i="11"/>
  <c r="X353" i="11"/>
  <c r="Y353" i="11"/>
  <c r="Z353" i="11"/>
  <c r="AA353" i="11"/>
  <c r="AB353" i="11"/>
  <c r="AD353" i="11"/>
  <c r="AE353" i="11"/>
  <c r="AF353" i="11"/>
  <c r="AG353" i="11"/>
  <c r="V354" i="11"/>
  <c r="W354" i="11"/>
  <c r="X354" i="11"/>
  <c r="Y354" i="11"/>
  <c r="Z354" i="11"/>
  <c r="AA354" i="11"/>
  <c r="AB354" i="11"/>
  <c r="AD354" i="11"/>
  <c r="AE354" i="11"/>
  <c r="AF354" i="11"/>
  <c r="AG354" i="11"/>
  <c r="V355" i="11"/>
  <c r="W355" i="11"/>
  <c r="X355" i="11"/>
  <c r="Y355" i="11"/>
  <c r="Z355" i="11"/>
  <c r="AA355" i="11"/>
  <c r="AB355" i="11"/>
  <c r="AD355" i="11"/>
  <c r="AE355" i="11"/>
  <c r="AF355" i="11"/>
  <c r="AG355" i="11"/>
  <c r="V356" i="11"/>
  <c r="W356" i="11"/>
  <c r="X356" i="11"/>
  <c r="Y356" i="11"/>
  <c r="Z356" i="11"/>
  <c r="AA356" i="11"/>
  <c r="AB356" i="11"/>
  <c r="AD356" i="11"/>
  <c r="AE356" i="11"/>
  <c r="AF356" i="11"/>
  <c r="AG356" i="11"/>
  <c r="V357" i="11"/>
  <c r="W357" i="11"/>
  <c r="X357" i="11"/>
  <c r="Y357" i="11"/>
  <c r="Z357" i="11"/>
  <c r="AA357" i="11"/>
  <c r="AB357" i="11"/>
  <c r="AD357" i="11"/>
  <c r="AE357" i="11"/>
  <c r="AF357" i="11"/>
  <c r="AG357" i="11"/>
  <c r="V358" i="11"/>
  <c r="W358" i="11"/>
  <c r="X358" i="11"/>
  <c r="Y358" i="11"/>
  <c r="Z358" i="11"/>
  <c r="AA358" i="11"/>
  <c r="AB358" i="11"/>
  <c r="AD358" i="11"/>
  <c r="AE358" i="11"/>
  <c r="AF358" i="11"/>
  <c r="AG358" i="11"/>
  <c r="V359" i="11"/>
  <c r="W359" i="11"/>
  <c r="X359" i="11"/>
  <c r="Y359" i="11"/>
  <c r="Z359" i="11"/>
  <c r="AA359" i="11"/>
  <c r="AB359" i="11"/>
  <c r="AD359" i="11"/>
  <c r="AE359" i="11"/>
  <c r="AF359" i="11"/>
  <c r="AG359" i="11"/>
  <c r="V360" i="11"/>
  <c r="W360" i="11"/>
  <c r="X360" i="11"/>
  <c r="Y360" i="11"/>
  <c r="Z360" i="11"/>
  <c r="AA360" i="11"/>
  <c r="AB360" i="11"/>
  <c r="AD360" i="11"/>
  <c r="AE360" i="11"/>
  <c r="AF360" i="11"/>
  <c r="AG360" i="11"/>
  <c r="V361" i="11"/>
  <c r="W361" i="11"/>
  <c r="X361" i="11"/>
  <c r="Y361" i="11"/>
  <c r="Z361" i="11"/>
  <c r="AA361" i="11"/>
  <c r="AB361" i="11"/>
  <c r="AD361" i="11"/>
  <c r="AE361" i="11"/>
  <c r="AF361" i="11"/>
  <c r="AG361" i="11"/>
  <c r="V362" i="11"/>
  <c r="W362" i="11"/>
  <c r="X362" i="11"/>
  <c r="Y362" i="11"/>
  <c r="Z362" i="11"/>
  <c r="AA362" i="11"/>
  <c r="AB362" i="11"/>
  <c r="AD362" i="11"/>
  <c r="AE362" i="11"/>
  <c r="AF362" i="11"/>
  <c r="AG362" i="11"/>
  <c r="V363" i="11"/>
  <c r="W363" i="11"/>
  <c r="X363" i="11"/>
  <c r="Y363" i="11"/>
  <c r="Z363" i="11"/>
  <c r="AA363" i="11"/>
  <c r="AB363" i="11"/>
  <c r="AD363" i="11"/>
  <c r="AE363" i="11"/>
  <c r="AF363" i="11"/>
  <c r="AG363" i="11"/>
  <c r="V364" i="11"/>
  <c r="W364" i="11"/>
  <c r="X364" i="11"/>
  <c r="Y364" i="11"/>
  <c r="Z364" i="11"/>
  <c r="AA364" i="11"/>
  <c r="AB364" i="11"/>
  <c r="AD364" i="11"/>
  <c r="AE364" i="11"/>
  <c r="AF364" i="11"/>
  <c r="AG364" i="11"/>
  <c r="V365" i="11"/>
  <c r="W365" i="11"/>
  <c r="X365" i="11"/>
  <c r="Y365" i="11"/>
  <c r="Z365" i="11"/>
  <c r="AA365" i="11"/>
  <c r="AB365" i="11"/>
  <c r="AD365" i="11"/>
  <c r="AE365" i="11"/>
  <c r="AF365" i="11"/>
  <c r="AG365" i="11"/>
  <c r="V366" i="11"/>
  <c r="W366" i="11"/>
  <c r="X366" i="11"/>
  <c r="Y366" i="11"/>
  <c r="Z366" i="11"/>
  <c r="AA366" i="11"/>
  <c r="AB366" i="11"/>
  <c r="AD366" i="11"/>
  <c r="AE366" i="11"/>
  <c r="AF366" i="11"/>
  <c r="AG366" i="11"/>
  <c r="V367" i="11"/>
  <c r="W367" i="11"/>
  <c r="X367" i="11"/>
  <c r="Y367" i="11"/>
  <c r="Z367" i="11"/>
  <c r="AA367" i="11"/>
  <c r="AB367" i="11"/>
  <c r="AD367" i="11"/>
  <c r="AE367" i="11"/>
  <c r="AF367" i="11"/>
  <c r="AG367" i="11"/>
  <c r="V368" i="11"/>
  <c r="W368" i="11"/>
  <c r="X368" i="11"/>
  <c r="Y368" i="11"/>
  <c r="Z368" i="11"/>
  <c r="AA368" i="11"/>
  <c r="AB368" i="11"/>
  <c r="AD368" i="11"/>
  <c r="AE368" i="11"/>
  <c r="AF368" i="11"/>
  <c r="AG368" i="11"/>
  <c r="V369" i="11"/>
  <c r="W369" i="11"/>
  <c r="X369" i="11"/>
  <c r="Y369" i="11"/>
  <c r="Z369" i="11"/>
  <c r="AA369" i="11"/>
  <c r="AB369" i="11"/>
  <c r="AD369" i="11"/>
  <c r="AE369" i="11"/>
  <c r="AF369" i="11"/>
  <c r="AG369" i="11"/>
  <c r="V370" i="11"/>
  <c r="W370" i="11"/>
  <c r="X370" i="11"/>
  <c r="Y370" i="11"/>
  <c r="Z370" i="11"/>
  <c r="AA370" i="11"/>
  <c r="AB370" i="11"/>
  <c r="AD370" i="11"/>
  <c r="AE370" i="11"/>
  <c r="AF370" i="11"/>
  <c r="AG370" i="11"/>
  <c r="V371" i="11"/>
  <c r="W371" i="11"/>
  <c r="X371" i="11"/>
  <c r="Y371" i="11"/>
  <c r="Z371" i="11"/>
  <c r="AA371" i="11"/>
  <c r="AB371" i="11"/>
  <c r="AD371" i="11"/>
  <c r="AE371" i="11"/>
  <c r="AF371" i="11"/>
  <c r="AG371" i="11"/>
  <c r="V372" i="11"/>
  <c r="W372" i="11"/>
  <c r="X372" i="11"/>
  <c r="Y372" i="11"/>
  <c r="Z372" i="11"/>
  <c r="AA372" i="11"/>
  <c r="AB372" i="11"/>
  <c r="AD372" i="11"/>
  <c r="AE372" i="11"/>
  <c r="AF372" i="11"/>
  <c r="AG372" i="11"/>
  <c r="V373" i="11"/>
  <c r="W373" i="11"/>
  <c r="X373" i="11"/>
  <c r="Y373" i="11"/>
  <c r="Z373" i="11"/>
  <c r="AA373" i="11"/>
  <c r="AB373" i="11"/>
  <c r="AD373" i="11"/>
  <c r="AE373" i="11"/>
  <c r="AF373" i="11"/>
  <c r="AG373" i="11"/>
  <c r="V374" i="11"/>
  <c r="W374" i="11"/>
  <c r="X374" i="11"/>
  <c r="Y374" i="11"/>
  <c r="Z374" i="11"/>
  <c r="AA374" i="11"/>
  <c r="AB374" i="11"/>
  <c r="AD374" i="11"/>
  <c r="AE374" i="11"/>
  <c r="AF374" i="11"/>
  <c r="AG374" i="11"/>
  <c r="V375" i="11"/>
  <c r="W375" i="11"/>
  <c r="X375" i="11"/>
  <c r="Y375" i="11"/>
  <c r="Z375" i="11"/>
  <c r="AA375" i="11"/>
  <c r="AB375" i="11"/>
  <c r="AD375" i="11"/>
  <c r="AE375" i="11"/>
  <c r="AF375" i="11"/>
  <c r="AG375" i="11"/>
  <c r="V376" i="11"/>
  <c r="W376" i="11"/>
  <c r="X376" i="11"/>
  <c r="Y376" i="11"/>
  <c r="Z376" i="11"/>
  <c r="AA376" i="11"/>
  <c r="AB376" i="11"/>
  <c r="AD376" i="11"/>
  <c r="AE376" i="11"/>
  <c r="AF376" i="11"/>
  <c r="AG376" i="11"/>
  <c r="V377" i="11"/>
  <c r="W377" i="11"/>
  <c r="X377" i="11"/>
  <c r="Y377" i="11"/>
  <c r="Z377" i="11"/>
  <c r="AA377" i="11"/>
  <c r="AB377" i="11"/>
  <c r="AD377" i="11"/>
  <c r="AE377" i="11"/>
  <c r="AF377" i="11"/>
  <c r="AG377" i="11"/>
  <c r="V378" i="11"/>
  <c r="W378" i="11"/>
  <c r="X378" i="11"/>
  <c r="Y378" i="11"/>
  <c r="Z378" i="11"/>
  <c r="AA378" i="11"/>
  <c r="AB378" i="11"/>
  <c r="AD378" i="11"/>
  <c r="AE378" i="11"/>
  <c r="AF378" i="11"/>
  <c r="AG378" i="11"/>
  <c r="V379" i="11"/>
  <c r="W379" i="11"/>
  <c r="X379" i="11"/>
  <c r="Y379" i="11"/>
  <c r="Z379" i="11"/>
  <c r="AA379" i="11"/>
  <c r="AB379" i="11"/>
  <c r="AD379" i="11"/>
  <c r="AE379" i="11"/>
  <c r="AF379" i="11"/>
  <c r="AG379" i="11"/>
  <c r="V380" i="11"/>
  <c r="W380" i="11"/>
  <c r="X380" i="11"/>
  <c r="Y380" i="11"/>
  <c r="Z380" i="11"/>
  <c r="AA380" i="11"/>
  <c r="AB380" i="11"/>
  <c r="AD380" i="11"/>
  <c r="AE380" i="11"/>
  <c r="AF380" i="11"/>
  <c r="AG380" i="11"/>
  <c r="V381" i="11"/>
  <c r="W381" i="11"/>
  <c r="X381" i="11"/>
  <c r="Y381" i="11"/>
  <c r="Z381" i="11"/>
  <c r="AA381" i="11"/>
  <c r="AB381" i="11"/>
  <c r="AD381" i="11"/>
  <c r="AE381" i="11"/>
  <c r="AF381" i="11"/>
  <c r="AG381" i="11"/>
  <c r="V382" i="11"/>
  <c r="W382" i="11"/>
  <c r="X382" i="11"/>
  <c r="Y382" i="11"/>
  <c r="Z382" i="11"/>
  <c r="AA382" i="11"/>
  <c r="AB382" i="11"/>
  <c r="AD382" i="11"/>
  <c r="AE382" i="11"/>
  <c r="AF382" i="11"/>
  <c r="AG382" i="11"/>
  <c r="V383" i="11"/>
  <c r="W383" i="11"/>
  <c r="X383" i="11"/>
  <c r="Y383" i="11"/>
  <c r="Z383" i="11"/>
  <c r="AA383" i="11"/>
  <c r="AB383" i="11"/>
  <c r="AD383" i="11"/>
  <c r="AE383" i="11"/>
  <c r="AF383" i="11"/>
  <c r="AG383" i="11"/>
  <c r="V384" i="11"/>
  <c r="W384" i="11"/>
  <c r="X384" i="11"/>
  <c r="Y384" i="11"/>
  <c r="Z384" i="11"/>
  <c r="AA384" i="11"/>
  <c r="AB384" i="11"/>
  <c r="AD384" i="11"/>
  <c r="AE384" i="11"/>
  <c r="AF384" i="11"/>
  <c r="AG384" i="11"/>
  <c r="V385" i="11"/>
  <c r="W385" i="11"/>
  <c r="X385" i="11"/>
  <c r="Y385" i="11"/>
  <c r="Z385" i="11"/>
  <c r="AA385" i="11"/>
  <c r="AB385" i="11"/>
  <c r="AD385" i="11"/>
  <c r="AE385" i="11"/>
  <c r="AF385" i="11"/>
  <c r="AG385" i="11"/>
  <c r="V386" i="11"/>
  <c r="W386" i="11"/>
  <c r="X386" i="11"/>
  <c r="Y386" i="11"/>
  <c r="Z386" i="11"/>
  <c r="AA386" i="11"/>
  <c r="AB386" i="11"/>
  <c r="AD386" i="11"/>
  <c r="AE386" i="11"/>
  <c r="AF386" i="11"/>
  <c r="AG386" i="11"/>
  <c r="V387" i="11"/>
  <c r="W387" i="11"/>
  <c r="X387" i="11"/>
  <c r="Y387" i="11"/>
  <c r="Z387" i="11"/>
  <c r="AA387" i="11"/>
  <c r="AB387" i="11"/>
  <c r="AD387" i="11"/>
  <c r="AE387" i="11"/>
  <c r="AF387" i="11"/>
  <c r="AG387" i="11"/>
  <c r="V388" i="11"/>
  <c r="W388" i="11"/>
  <c r="X388" i="11"/>
  <c r="Y388" i="11"/>
  <c r="Z388" i="11"/>
  <c r="AA388" i="11"/>
  <c r="AB388" i="11"/>
  <c r="AD388" i="11"/>
  <c r="AE388" i="11"/>
  <c r="AF388" i="11"/>
  <c r="AG388" i="11"/>
  <c r="V389" i="11"/>
  <c r="W389" i="11"/>
  <c r="X389" i="11"/>
  <c r="Y389" i="11"/>
  <c r="Z389" i="11"/>
  <c r="AA389" i="11"/>
  <c r="AB389" i="11"/>
  <c r="AD389" i="11"/>
  <c r="AE389" i="11"/>
  <c r="AF389" i="11"/>
  <c r="AG389" i="11"/>
  <c r="V390" i="11"/>
  <c r="W390" i="11"/>
  <c r="X390" i="11"/>
  <c r="Y390" i="11"/>
  <c r="Z390" i="11"/>
  <c r="AA390" i="11"/>
  <c r="AB390" i="11"/>
  <c r="AD390" i="11"/>
  <c r="AE390" i="11"/>
  <c r="AF390" i="11"/>
  <c r="AG390" i="11"/>
  <c r="V391" i="11"/>
  <c r="W391" i="11"/>
  <c r="X391" i="11"/>
  <c r="Y391" i="11"/>
  <c r="Z391" i="11"/>
  <c r="AA391" i="11"/>
  <c r="AB391" i="11"/>
  <c r="AD391" i="11"/>
  <c r="AE391" i="11"/>
  <c r="AF391" i="11"/>
  <c r="AG391" i="11"/>
  <c r="V392" i="11"/>
  <c r="W392" i="11"/>
  <c r="X392" i="11"/>
  <c r="Y392" i="11"/>
  <c r="Z392" i="11"/>
  <c r="AA392" i="11"/>
  <c r="AB392" i="11"/>
  <c r="AD392" i="11"/>
  <c r="AE392" i="11"/>
  <c r="AF392" i="11"/>
  <c r="AG392" i="11"/>
  <c r="V393" i="11"/>
  <c r="W393" i="11"/>
  <c r="X393" i="11"/>
  <c r="Y393" i="11"/>
  <c r="Z393" i="11"/>
  <c r="AA393" i="11"/>
  <c r="AB393" i="11"/>
  <c r="AD393" i="11"/>
  <c r="AE393" i="11"/>
  <c r="AF393" i="11"/>
  <c r="AG393" i="11"/>
  <c r="V394" i="11"/>
  <c r="W394" i="11"/>
  <c r="X394" i="11"/>
  <c r="Y394" i="11"/>
  <c r="Z394" i="11"/>
  <c r="AA394" i="11"/>
  <c r="AB394" i="11"/>
  <c r="AD394" i="11"/>
  <c r="AE394" i="11"/>
  <c r="AF394" i="11"/>
  <c r="AG394" i="11"/>
  <c r="V395" i="11"/>
  <c r="W395" i="11"/>
  <c r="X395" i="11"/>
  <c r="Y395" i="11"/>
  <c r="Z395" i="11"/>
  <c r="AA395" i="11"/>
  <c r="AB395" i="11"/>
  <c r="AD395" i="11"/>
  <c r="AE395" i="11"/>
  <c r="AF395" i="11"/>
  <c r="AG395" i="11"/>
  <c r="V396" i="11"/>
  <c r="W396" i="11"/>
  <c r="X396" i="11"/>
  <c r="Y396" i="11"/>
  <c r="Z396" i="11"/>
  <c r="AA396" i="11"/>
  <c r="AB396" i="11"/>
  <c r="AD396" i="11"/>
  <c r="AE396" i="11"/>
  <c r="AF396" i="11"/>
  <c r="AG396" i="11"/>
  <c r="V397" i="11"/>
  <c r="W397" i="11"/>
  <c r="X397" i="11"/>
  <c r="Y397" i="11"/>
  <c r="Z397" i="11"/>
  <c r="AA397" i="11"/>
  <c r="AB397" i="11"/>
  <c r="AD397" i="11"/>
  <c r="AE397" i="11"/>
  <c r="AF397" i="11"/>
  <c r="AG397" i="11"/>
  <c r="V398" i="11"/>
  <c r="W398" i="11"/>
  <c r="X398" i="11"/>
  <c r="Y398" i="11"/>
  <c r="Z398" i="11"/>
  <c r="AA398" i="11"/>
  <c r="AB398" i="11"/>
  <c r="AD398" i="11"/>
  <c r="AE398" i="11"/>
  <c r="AF398" i="11"/>
  <c r="AG398" i="11"/>
  <c r="V399" i="11"/>
  <c r="W399" i="11"/>
  <c r="X399" i="11"/>
  <c r="Y399" i="11"/>
  <c r="Z399" i="11"/>
  <c r="AA399" i="11"/>
  <c r="AB399" i="11"/>
  <c r="AD399" i="11"/>
  <c r="AE399" i="11"/>
  <c r="AF399" i="11"/>
  <c r="AG399" i="11"/>
  <c r="V400" i="11"/>
  <c r="W400" i="11"/>
  <c r="X400" i="11"/>
  <c r="Y400" i="11"/>
  <c r="Z400" i="11"/>
  <c r="AA400" i="11"/>
  <c r="AB400" i="11"/>
  <c r="AD400" i="11"/>
  <c r="AE400" i="11"/>
  <c r="AF400" i="11"/>
  <c r="AG400" i="11"/>
  <c r="V401" i="11"/>
  <c r="W401" i="11"/>
  <c r="X401" i="11"/>
  <c r="Y401" i="11"/>
  <c r="Z401" i="11"/>
  <c r="AA401" i="11"/>
  <c r="AB401" i="11"/>
  <c r="AD401" i="11"/>
  <c r="AE401" i="11"/>
  <c r="AF401" i="11"/>
  <c r="AG401" i="11"/>
  <c r="V402" i="11"/>
  <c r="W402" i="11"/>
  <c r="X402" i="11"/>
  <c r="Y402" i="11"/>
  <c r="Z402" i="11"/>
  <c r="AA402" i="11"/>
  <c r="AB402" i="11"/>
  <c r="AD402" i="11"/>
  <c r="AE402" i="11"/>
  <c r="AF402" i="11"/>
  <c r="AG402" i="11"/>
  <c r="V403" i="11"/>
  <c r="W403" i="11"/>
  <c r="X403" i="11"/>
  <c r="Y403" i="11"/>
  <c r="Z403" i="11"/>
  <c r="AA403" i="11"/>
  <c r="AB403" i="11"/>
  <c r="AD403" i="11"/>
  <c r="AE403" i="11"/>
  <c r="AF403" i="11"/>
  <c r="AG403" i="11"/>
  <c r="V404" i="11"/>
  <c r="W404" i="11"/>
  <c r="X404" i="11"/>
  <c r="Y404" i="11"/>
  <c r="Z404" i="11"/>
  <c r="AA404" i="11"/>
  <c r="AB404" i="11"/>
  <c r="AD404" i="11"/>
  <c r="AE404" i="11"/>
  <c r="AF404" i="11"/>
  <c r="AG404" i="11"/>
  <c r="V405" i="11"/>
  <c r="W405" i="11"/>
  <c r="X405" i="11"/>
  <c r="Y405" i="11"/>
  <c r="Z405" i="11"/>
  <c r="AA405" i="11"/>
  <c r="AB405" i="11"/>
  <c r="AD405" i="11"/>
  <c r="AE405" i="11"/>
  <c r="AF405" i="11"/>
  <c r="AG405" i="11"/>
  <c r="V406" i="11"/>
  <c r="W406" i="11"/>
  <c r="X406" i="11"/>
  <c r="Y406" i="11"/>
  <c r="Z406" i="11"/>
  <c r="AA406" i="11"/>
  <c r="AB406" i="11"/>
  <c r="AD406" i="11"/>
  <c r="AE406" i="11"/>
  <c r="AF406" i="11"/>
  <c r="AG406" i="11"/>
  <c r="V407" i="11"/>
  <c r="W407" i="11"/>
  <c r="X407" i="11"/>
  <c r="Y407" i="11"/>
  <c r="Z407" i="11"/>
  <c r="AA407" i="11"/>
  <c r="AB407" i="11"/>
  <c r="AD407" i="11"/>
  <c r="AE407" i="11"/>
  <c r="AF407" i="11"/>
  <c r="AG407" i="11"/>
  <c r="V408" i="11"/>
  <c r="W408" i="11"/>
  <c r="X408" i="11"/>
  <c r="Y408" i="11"/>
  <c r="Z408" i="11"/>
  <c r="AA408" i="11"/>
  <c r="AB408" i="11"/>
  <c r="AD408" i="11"/>
  <c r="AE408" i="11"/>
  <c r="AF408" i="11"/>
  <c r="AG408" i="11"/>
  <c r="V409" i="11"/>
  <c r="W409" i="11"/>
  <c r="X409" i="11"/>
  <c r="Y409" i="11"/>
  <c r="Z409" i="11"/>
  <c r="AA409" i="11"/>
  <c r="AB409" i="11"/>
  <c r="AD409" i="11"/>
  <c r="AE409" i="11"/>
  <c r="AF409" i="11"/>
  <c r="AG409" i="11"/>
  <c r="V410" i="11"/>
  <c r="W410" i="11"/>
  <c r="X410" i="11"/>
  <c r="Y410" i="11"/>
  <c r="Z410" i="11"/>
  <c r="AA410" i="11"/>
  <c r="AB410" i="11"/>
  <c r="AD410" i="11"/>
  <c r="AE410" i="11"/>
  <c r="AF410" i="11"/>
  <c r="AG410" i="11"/>
  <c r="V411" i="11"/>
  <c r="W411" i="11"/>
  <c r="X411" i="11"/>
  <c r="Y411" i="11"/>
  <c r="Z411" i="11"/>
  <c r="AA411" i="11"/>
  <c r="AB411" i="11"/>
  <c r="AD411" i="11"/>
  <c r="AE411" i="11"/>
  <c r="AF411" i="11"/>
  <c r="AG411" i="11"/>
  <c r="V412" i="11"/>
  <c r="W412" i="11"/>
  <c r="X412" i="11"/>
  <c r="Y412" i="11"/>
  <c r="Z412" i="11"/>
  <c r="AA412" i="11"/>
  <c r="AB412" i="11"/>
  <c r="AD412" i="11"/>
  <c r="AE412" i="11"/>
  <c r="AF412" i="11"/>
  <c r="AG412" i="11"/>
  <c r="V413" i="11"/>
  <c r="W413" i="11"/>
  <c r="X413" i="11"/>
  <c r="Y413" i="11"/>
  <c r="Z413" i="11"/>
  <c r="AA413" i="11"/>
  <c r="AB413" i="11"/>
  <c r="AD413" i="11"/>
  <c r="AE413" i="11"/>
  <c r="AF413" i="11"/>
  <c r="AG413" i="11"/>
  <c r="V414" i="11"/>
  <c r="W414" i="11"/>
  <c r="X414" i="11"/>
  <c r="Y414" i="11"/>
  <c r="Z414" i="11"/>
  <c r="AA414" i="11"/>
  <c r="AB414" i="11"/>
  <c r="AD414" i="11"/>
  <c r="AE414" i="11"/>
  <c r="AF414" i="11"/>
  <c r="AG414" i="11"/>
  <c r="V415" i="11"/>
  <c r="W415" i="11"/>
  <c r="X415" i="11"/>
  <c r="Y415" i="11"/>
  <c r="Z415" i="11"/>
  <c r="AA415" i="11"/>
  <c r="AB415" i="11"/>
  <c r="AD415" i="11"/>
  <c r="AE415" i="11"/>
  <c r="AF415" i="11"/>
  <c r="AG415" i="11"/>
  <c r="V416" i="11"/>
  <c r="W416" i="11"/>
  <c r="X416" i="11"/>
  <c r="Y416" i="11"/>
  <c r="Z416" i="11"/>
  <c r="AA416" i="11"/>
  <c r="AB416" i="11"/>
  <c r="AD416" i="11"/>
  <c r="AE416" i="11"/>
  <c r="AF416" i="11"/>
  <c r="AG416" i="11"/>
  <c r="V417" i="11"/>
  <c r="W417" i="11"/>
  <c r="X417" i="11"/>
  <c r="Y417" i="11"/>
  <c r="Z417" i="11"/>
  <c r="AA417" i="11"/>
  <c r="AB417" i="11"/>
  <c r="AD417" i="11"/>
  <c r="AE417" i="11"/>
  <c r="AF417" i="11"/>
  <c r="AG417" i="11"/>
  <c r="V418" i="11"/>
  <c r="W418" i="11"/>
  <c r="X418" i="11"/>
  <c r="Y418" i="11"/>
  <c r="Z418" i="11"/>
  <c r="AA418" i="11"/>
  <c r="AB418" i="11"/>
  <c r="AD418" i="11"/>
  <c r="AE418" i="11"/>
  <c r="AF418" i="11"/>
  <c r="AG418" i="11"/>
  <c r="V419" i="11"/>
  <c r="W419" i="11"/>
  <c r="X419" i="11"/>
  <c r="Y419" i="11"/>
  <c r="Z419" i="11"/>
  <c r="AA419" i="11"/>
  <c r="AB419" i="11"/>
  <c r="AD419" i="11"/>
  <c r="AE419" i="11"/>
  <c r="AF419" i="11"/>
  <c r="AG419" i="11"/>
  <c r="V420" i="11"/>
  <c r="W420" i="11"/>
  <c r="X420" i="11"/>
  <c r="Y420" i="11"/>
  <c r="Z420" i="11"/>
  <c r="AA420" i="11"/>
  <c r="AB420" i="11"/>
  <c r="AD420" i="11"/>
  <c r="AE420" i="11"/>
  <c r="AF420" i="11"/>
  <c r="AG420" i="11"/>
  <c r="V421" i="11"/>
  <c r="W421" i="11"/>
  <c r="X421" i="11"/>
  <c r="Y421" i="11"/>
  <c r="Z421" i="11"/>
  <c r="AA421" i="11"/>
  <c r="AB421" i="11"/>
  <c r="AD421" i="11"/>
  <c r="AE421" i="11"/>
  <c r="AF421" i="11"/>
  <c r="AG421" i="11"/>
  <c r="V422" i="11"/>
  <c r="W422" i="11"/>
  <c r="X422" i="11"/>
  <c r="Y422" i="11"/>
  <c r="Z422" i="11"/>
  <c r="AA422" i="11"/>
  <c r="AB422" i="11"/>
  <c r="AD422" i="11"/>
  <c r="AE422" i="11"/>
  <c r="AF422" i="11"/>
  <c r="AG422" i="11"/>
  <c r="V423" i="11"/>
  <c r="W423" i="11"/>
  <c r="X423" i="11"/>
  <c r="Y423" i="11"/>
  <c r="Z423" i="11"/>
  <c r="AA423" i="11"/>
  <c r="AB423" i="11"/>
  <c r="AD423" i="11"/>
  <c r="AE423" i="11"/>
  <c r="AF423" i="11"/>
  <c r="AG423" i="11"/>
  <c r="V424" i="11"/>
  <c r="W424" i="11"/>
  <c r="X424" i="11"/>
  <c r="Y424" i="11"/>
  <c r="Z424" i="11"/>
  <c r="AA424" i="11"/>
  <c r="AB424" i="11"/>
  <c r="AD424" i="11"/>
  <c r="AE424" i="11"/>
  <c r="AF424" i="11"/>
  <c r="AG424" i="11"/>
  <c r="V425" i="11"/>
  <c r="W425" i="11"/>
  <c r="X425" i="11"/>
  <c r="Y425" i="11"/>
  <c r="Z425" i="11"/>
  <c r="AA425" i="11"/>
  <c r="AB425" i="11"/>
  <c r="AD425" i="11"/>
  <c r="AE425" i="11"/>
  <c r="AF425" i="11"/>
  <c r="AG425" i="11"/>
  <c r="V426" i="11"/>
  <c r="W426" i="11"/>
  <c r="X426" i="11"/>
  <c r="Y426" i="11"/>
  <c r="Z426" i="11"/>
  <c r="AA426" i="11"/>
  <c r="AB426" i="11"/>
  <c r="AD426" i="11"/>
  <c r="AE426" i="11"/>
  <c r="AF426" i="11"/>
  <c r="AG426" i="11"/>
  <c r="V427" i="11"/>
  <c r="W427" i="11"/>
  <c r="X427" i="11"/>
  <c r="Y427" i="11"/>
  <c r="Z427" i="11"/>
  <c r="AA427" i="11"/>
  <c r="AB427" i="11"/>
  <c r="AD427" i="11"/>
  <c r="AE427" i="11"/>
  <c r="AF427" i="11"/>
  <c r="AG427" i="11"/>
  <c r="V428" i="11"/>
  <c r="W428" i="11"/>
  <c r="X428" i="11"/>
  <c r="Y428" i="11"/>
  <c r="Z428" i="11"/>
  <c r="AA428" i="11"/>
  <c r="AB428" i="11"/>
  <c r="AD428" i="11"/>
  <c r="AE428" i="11"/>
  <c r="AF428" i="11"/>
  <c r="AG428" i="11"/>
  <c r="V429" i="11"/>
  <c r="W429" i="11"/>
  <c r="X429" i="11"/>
  <c r="Y429" i="11"/>
  <c r="Z429" i="11"/>
  <c r="AA429" i="11"/>
  <c r="AB429" i="11"/>
  <c r="AD429" i="11"/>
  <c r="AE429" i="11"/>
  <c r="AF429" i="11"/>
  <c r="AG429" i="11"/>
  <c r="V430" i="11"/>
  <c r="W430" i="11"/>
  <c r="X430" i="11"/>
  <c r="Y430" i="11"/>
  <c r="Z430" i="11"/>
  <c r="AA430" i="11"/>
  <c r="AB430" i="11"/>
  <c r="AD430" i="11"/>
  <c r="AE430" i="11"/>
  <c r="AF430" i="11"/>
  <c r="AG430" i="11"/>
  <c r="V431" i="11"/>
  <c r="W431" i="11"/>
  <c r="X431" i="11"/>
  <c r="Y431" i="11"/>
  <c r="Z431" i="11"/>
  <c r="AA431" i="11"/>
  <c r="AB431" i="11"/>
  <c r="AD431" i="11"/>
  <c r="AE431" i="11"/>
  <c r="AF431" i="11"/>
  <c r="AG431" i="11"/>
  <c r="V432" i="11"/>
  <c r="W432" i="11"/>
  <c r="X432" i="11"/>
  <c r="Y432" i="11"/>
  <c r="Z432" i="11"/>
  <c r="AA432" i="11"/>
  <c r="AB432" i="11"/>
  <c r="AD432" i="11"/>
  <c r="AE432" i="11"/>
  <c r="AF432" i="11"/>
  <c r="AG432" i="11"/>
  <c r="V433" i="11"/>
  <c r="W433" i="11"/>
  <c r="X433" i="11"/>
  <c r="Y433" i="11"/>
  <c r="Z433" i="11"/>
  <c r="AA433" i="11"/>
  <c r="AB433" i="11"/>
  <c r="AD433" i="11"/>
  <c r="AE433" i="11"/>
  <c r="AF433" i="11"/>
  <c r="AG433" i="11"/>
  <c r="V434" i="11"/>
  <c r="W434" i="11"/>
  <c r="X434" i="11"/>
  <c r="Y434" i="11"/>
  <c r="Z434" i="11"/>
  <c r="AA434" i="11"/>
  <c r="AB434" i="11"/>
  <c r="AD434" i="11"/>
  <c r="AE434" i="11"/>
  <c r="AF434" i="11"/>
  <c r="AG434" i="11"/>
  <c r="V435" i="11"/>
  <c r="W435" i="11"/>
  <c r="X435" i="11"/>
  <c r="Y435" i="11"/>
  <c r="Z435" i="11"/>
  <c r="AA435" i="11"/>
  <c r="AB435" i="11"/>
  <c r="AD435" i="11"/>
  <c r="AE435" i="11"/>
  <c r="AF435" i="11"/>
  <c r="AG435" i="11"/>
  <c r="V436" i="11"/>
  <c r="W436" i="11"/>
  <c r="X436" i="11"/>
  <c r="Y436" i="11"/>
  <c r="Z436" i="11"/>
  <c r="AA436" i="11"/>
  <c r="AB436" i="11"/>
  <c r="AD436" i="11"/>
  <c r="AE436" i="11"/>
  <c r="AF436" i="11"/>
  <c r="AG436" i="11"/>
  <c r="V437" i="11"/>
  <c r="W437" i="11"/>
  <c r="X437" i="11"/>
  <c r="Y437" i="11"/>
  <c r="Z437" i="11"/>
  <c r="AA437" i="11"/>
  <c r="AB437" i="11"/>
  <c r="AD437" i="11"/>
  <c r="AE437" i="11"/>
  <c r="AF437" i="11"/>
  <c r="AG437" i="11"/>
  <c r="V438" i="11"/>
  <c r="W438" i="11"/>
  <c r="X438" i="11"/>
  <c r="Y438" i="11"/>
  <c r="Z438" i="11"/>
  <c r="AA438" i="11"/>
  <c r="AB438" i="11"/>
  <c r="AD438" i="11"/>
  <c r="AE438" i="11"/>
  <c r="AF438" i="11"/>
  <c r="AG438" i="11"/>
  <c r="V439" i="11"/>
  <c r="W439" i="11"/>
  <c r="X439" i="11"/>
  <c r="Y439" i="11"/>
  <c r="Z439" i="11"/>
  <c r="AA439" i="11"/>
  <c r="AB439" i="11"/>
  <c r="AD439" i="11"/>
  <c r="AE439" i="11"/>
  <c r="AF439" i="11"/>
  <c r="AG439" i="11"/>
  <c r="V440" i="11"/>
  <c r="W440" i="11"/>
  <c r="X440" i="11"/>
  <c r="Y440" i="11"/>
  <c r="Z440" i="11"/>
  <c r="AA440" i="11"/>
  <c r="AB440" i="11"/>
  <c r="AD440" i="11"/>
  <c r="AE440" i="11"/>
  <c r="AF440" i="11"/>
  <c r="AG440" i="11"/>
  <c r="V441" i="11"/>
  <c r="W441" i="11"/>
  <c r="X441" i="11"/>
  <c r="Y441" i="11"/>
  <c r="Z441" i="11"/>
  <c r="AA441" i="11"/>
  <c r="AB441" i="11"/>
  <c r="AD441" i="11"/>
  <c r="AE441" i="11"/>
  <c r="AF441" i="11"/>
  <c r="AG441" i="11"/>
  <c r="V442" i="11"/>
  <c r="W442" i="11"/>
  <c r="X442" i="11"/>
  <c r="Y442" i="11"/>
  <c r="Z442" i="11"/>
  <c r="AA442" i="11"/>
  <c r="AB442" i="11"/>
  <c r="AD442" i="11"/>
  <c r="AE442" i="11"/>
  <c r="AF442" i="11"/>
  <c r="AG442" i="11"/>
  <c r="V443" i="11"/>
  <c r="W443" i="11"/>
  <c r="X443" i="11"/>
  <c r="Y443" i="11"/>
  <c r="Z443" i="11"/>
  <c r="AA443" i="11"/>
  <c r="AB443" i="11"/>
  <c r="AD443" i="11"/>
  <c r="AE443" i="11"/>
  <c r="AF443" i="11"/>
  <c r="AG443" i="11"/>
  <c r="V444" i="11"/>
  <c r="W444" i="11"/>
  <c r="X444" i="11"/>
  <c r="Y444" i="11"/>
  <c r="Z444" i="11"/>
  <c r="AA444" i="11"/>
  <c r="AB444" i="11"/>
  <c r="AD444" i="11"/>
  <c r="AE444" i="11"/>
  <c r="AF444" i="11"/>
  <c r="AG444" i="11"/>
  <c r="V445" i="11"/>
  <c r="W445" i="11"/>
  <c r="X445" i="11"/>
  <c r="Y445" i="11"/>
  <c r="Z445" i="11"/>
  <c r="AA445" i="11"/>
  <c r="AB445" i="11"/>
  <c r="AD445" i="11"/>
  <c r="AE445" i="11"/>
  <c r="AF445" i="11"/>
  <c r="AG445" i="11"/>
  <c r="V446" i="11"/>
  <c r="W446" i="11"/>
  <c r="X446" i="11"/>
  <c r="Y446" i="11"/>
  <c r="Z446" i="11"/>
  <c r="AA446" i="11"/>
  <c r="AB446" i="11"/>
  <c r="AD446" i="11"/>
  <c r="AE446" i="11"/>
  <c r="AF446" i="11"/>
  <c r="AG446" i="11"/>
  <c r="V447" i="11"/>
  <c r="W447" i="11"/>
  <c r="X447" i="11"/>
  <c r="Y447" i="11"/>
  <c r="Z447" i="11"/>
  <c r="AA447" i="11"/>
  <c r="AB447" i="11"/>
  <c r="AD447" i="11"/>
  <c r="AE447" i="11"/>
  <c r="AF447" i="11"/>
  <c r="AG447" i="11"/>
  <c r="V448" i="11"/>
  <c r="W448" i="11"/>
  <c r="X448" i="11"/>
  <c r="Y448" i="11"/>
  <c r="Z448" i="11"/>
  <c r="AA448" i="11"/>
  <c r="AB448" i="11"/>
  <c r="AD448" i="11"/>
  <c r="AE448" i="11"/>
  <c r="AF448" i="11"/>
  <c r="AG448" i="11"/>
  <c r="V449" i="11"/>
  <c r="W449" i="11"/>
  <c r="X449" i="11"/>
  <c r="Y449" i="11"/>
  <c r="Z449" i="11"/>
  <c r="AA449" i="11"/>
  <c r="AB449" i="11"/>
  <c r="AD449" i="11"/>
  <c r="AE449" i="11"/>
  <c r="AF449" i="11"/>
  <c r="AG449" i="11"/>
  <c r="V450" i="11"/>
  <c r="W450" i="11"/>
  <c r="X450" i="11"/>
  <c r="Y450" i="11"/>
  <c r="Z450" i="11"/>
  <c r="AA450" i="11"/>
  <c r="AB450" i="11"/>
  <c r="AD450" i="11"/>
  <c r="AE450" i="11"/>
  <c r="AF450" i="11"/>
  <c r="AG450" i="11"/>
  <c r="V451" i="11"/>
  <c r="W451" i="11"/>
  <c r="X451" i="11"/>
  <c r="Y451" i="11"/>
  <c r="Z451" i="11"/>
  <c r="AA451" i="11"/>
  <c r="AB451" i="11"/>
  <c r="AD451" i="11"/>
  <c r="AE451" i="11"/>
  <c r="AF451" i="11"/>
  <c r="AG451" i="11"/>
  <c r="V452" i="11"/>
  <c r="W452" i="11"/>
  <c r="X452" i="11"/>
  <c r="Y452" i="11"/>
  <c r="Z452" i="11"/>
  <c r="AA452" i="11"/>
  <c r="AB452" i="11"/>
  <c r="AD452" i="11"/>
  <c r="AE452" i="11"/>
  <c r="AF452" i="11"/>
  <c r="AG452" i="11"/>
  <c r="V453" i="11"/>
  <c r="W453" i="11"/>
  <c r="X453" i="11"/>
  <c r="Y453" i="11"/>
  <c r="Z453" i="11"/>
  <c r="AA453" i="11"/>
  <c r="AB453" i="11"/>
  <c r="AD453" i="11"/>
  <c r="AE453" i="11"/>
  <c r="AF453" i="11"/>
  <c r="AG453" i="11"/>
  <c r="V454" i="11"/>
  <c r="W454" i="11"/>
  <c r="X454" i="11"/>
  <c r="Y454" i="11"/>
  <c r="Z454" i="11"/>
  <c r="AA454" i="11"/>
  <c r="AB454" i="11"/>
  <c r="AD454" i="11"/>
  <c r="AE454" i="11"/>
  <c r="AF454" i="11"/>
  <c r="AG454" i="11"/>
  <c r="V455" i="11"/>
  <c r="W455" i="11"/>
  <c r="X455" i="11"/>
  <c r="Y455" i="11"/>
  <c r="Z455" i="11"/>
  <c r="AA455" i="11"/>
  <c r="AB455" i="11"/>
  <c r="AD455" i="11"/>
  <c r="AE455" i="11"/>
  <c r="AF455" i="11"/>
  <c r="AG455" i="11"/>
  <c r="V456" i="11"/>
  <c r="W456" i="11"/>
  <c r="X456" i="11"/>
  <c r="Y456" i="11"/>
  <c r="AA456" i="11"/>
  <c r="AB456" i="11"/>
  <c r="AD456" i="11"/>
  <c r="AE456" i="11"/>
  <c r="AF456" i="11"/>
  <c r="AG456" i="11"/>
  <c r="V457" i="11"/>
  <c r="W457" i="11"/>
  <c r="X457" i="11"/>
  <c r="Y457" i="11"/>
  <c r="AA457" i="11"/>
  <c r="AB457" i="11"/>
  <c r="AD457" i="11"/>
  <c r="AE457" i="11"/>
  <c r="AF457" i="11"/>
  <c r="AG457" i="11"/>
  <c r="V458" i="11"/>
  <c r="W458" i="11"/>
  <c r="X458" i="11"/>
  <c r="Y458" i="11"/>
  <c r="Z458" i="11"/>
  <c r="AA458" i="11"/>
  <c r="AB458" i="11"/>
  <c r="AD458" i="11"/>
  <c r="AE458" i="11"/>
  <c r="AF458" i="11"/>
  <c r="AG458" i="11"/>
  <c r="V459" i="11"/>
  <c r="W459" i="11"/>
  <c r="X459" i="11"/>
  <c r="Y459" i="11"/>
  <c r="AA459" i="11"/>
  <c r="AB459" i="11"/>
  <c r="AD459" i="11"/>
  <c r="AE459" i="11"/>
  <c r="AF459" i="11"/>
  <c r="AG459" i="11"/>
  <c r="V460" i="11"/>
  <c r="W460" i="11"/>
  <c r="X460" i="11"/>
  <c r="Y460" i="11"/>
  <c r="Z460" i="11"/>
  <c r="AA460" i="11"/>
  <c r="AB460" i="11"/>
  <c r="AD460" i="11"/>
  <c r="AE460" i="11"/>
  <c r="AF460" i="11"/>
  <c r="AG460" i="11"/>
  <c r="V461" i="11"/>
  <c r="W461" i="11"/>
  <c r="X461" i="11"/>
  <c r="Y461" i="11"/>
  <c r="Z461" i="11"/>
  <c r="AA461" i="11"/>
  <c r="AB461" i="11"/>
  <c r="AD461" i="11"/>
  <c r="AE461" i="11"/>
  <c r="AF461" i="11"/>
  <c r="AG461" i="11"/>
  <c r="V462" i="11"/>
  <c r="W462" i="11"/>
  <c r="X462" i="11"/>
  <c r="Y462" i="11"/>
  <c r="Z462" i="11"/>
  <c r="AA462" i="11"/>
  <c r="AB462" i="11"/>
  <c r="AD462" i="11"/>
  <c r="AE462" i="11"/>
  <c r="AF462" i="11"/>
  <c r="AG462" i="11"/>
  <c r="V463" i="11"/>
  <c r="W463" i="11"/>
  <c r="X463" i="11"/>
  <c r="Y463" i="11"/>
  <c r="Z463" i="11"/>
  <c r="AA463" i="11"/>
  <c r="AB463" i="11"/>
  <c r="AD463" i="11"/>
  <c r="AE463" i="11"/>
  <c r="AF463" i="11"/>
  <c r="AG463" i="11"/>
  <c r="V464" i="11"/>
  <c r="W464" i="11"/>
  <c r="X464" i="11"/>
  <c r="Y464" i="11"/>
  <c r="Z464" i="11"/>
  <c r="AA464" i="11"/>
  <c r="AB464" i="11"/>
  <c r="AD464" i="11"/>
  <c r="AE464" i="11"/>
  <c r="AF464" i="11"/>
  <c r="AG464" i="11"/>
  <c r="V473" i="11"/>
  <c r="W473" i="11"/>
  <c r="X473" i="11"/>
  <c r="Y473" i="11"/>
  <c r="Z473" i="11"/>
  <c r="AA473" i="11"/>
  <c r="AB473" i="11"/>
  <c r="AD473" i="11"/>
  <c r="AE473" i="11"/>
  <c r="AF473" i="11"/>
  <c r="AG473" i="11"/>
  <c r="V474" i="11"/>
  <c r="W474" i="11"/>
  <c r="X474" i="11"/>
  <c r="Y474" i="11"/>
  <c r="Z474" i="11"/>
  <c r="AA474" i="11"/>
  <c r="AB474" i="11"/>
  <c r="AD474" i="11"/>
  <c r="AE474" i="11"/>
  <c r="AF474" i="11"/>
  <c r="AG474" i="11"/>
  <c r="V475" i="11"/>
  <c r="W475" i="11"/>
  <c r="X475" i="11"/>
  <c r="Y475" i="11"/>
  <c r="AA475" i="11"/>
  <c r="AB475" i="11"/>
  <c r="AD475" i="11"/>
  <c r="AE475" i="11"/>
  <c r="AF475" i="11"/>
  <c r="AG475" i="11"/>
  <c r="V476" i="11"/>
  <c r="W476" i="11"/>
  <c r="X476" i="11"/>
  <c r="Y476" i="11"/>
  <c r="Z476" i="11"/>
  <c r="AA476" i="11"/>
  <c r="AB476" i="11"/>
  <c r="AD476" i="11"/>
  <c r="AE476" i="11"/>
  <c r="AF476" i="11"/>
  <c r="AG476" i="11"/>
  <c r="V477" i="11"/>
  <c r="W477" i="11"/>
  <c r="X477" i="11"/>
  <c r="Y477" i="11"/>
  <c r="Z477" i="11"/>
  <c r="AA477" i="11"/>
  <c r="AB477" i="11"/>
  <c r="AD477" i="11"/>
  <c r="AE477" i="11"/>
  <c r="AF477" i="11"/>
  <c r="AG477" i="11"/>
  <c r="V478" i="11"/>
  <c r="W478" i="11"/>
  <c r="X478" i="11"/>
  <c r="Y478" i="11"/>
  <c r="Z478" i="11"/>
  <c r="AA478" i="11"/>
  <c r="AB478" i="11"/>
  <c r="AD478" i="11"/>
  <c r="AE478" i="11"/>
  <c r="AF478" i="11"/>
  <c r="AG478" i="11"/>
  <c r="V479" i="11"/>
  <c r="W479" i="11"/>
  <c r="X479" i="11"/>
  <c r="Y479" i="11"/>
  <c r="Z479" i="11"/>
  <c r="AA479" i="11"/>
  <c r="AB479" i="11"/>
  <c r="AD479" i="11"/>
  <c r="AE479" i="11"/>
  <c r="AF479" i="11"/>
  <c r="AG479" i="11"/>
  <c r="V480" i="11"/>
  <c r="W480" i="11"/>
  <c r="X480" i="11"/>
  <c r="Y480" i="11"/>
  <c r="Z480" i="11"/>
  <c r="AA480" i="11"/>
  <c r="AB480" i="11"/>
  <c r="AD480" i="11"/>
  <c r="AE480" i="11"/>
  <c r="AF480" i="11"/>
  <c r="AG480" i="11"/>
  <c r="V481" i="11"/>
  <c r="W481" i="11"/>
  <c r="X481" i="11"/>
  <c r="Y481" i="11"/>
  <c r="Z481" i="11"/>
  <c r="AA481" i="11"/>
  <c r="AB481" i="11"/>
  <c r="AD481" i="11"/>
  <c r="AE481" i="11"/>
  <c r="AF481" i="11"/>
  <c r="AG481" i="11"/>
  <c r="V482" i="11"/>
  <c r="W482" i="11"/>
  <c r="X482" i="11"/>
  <c r="Y482" i="11"/>
  <c r="Z482" i="11"/>
  <c r="AA482" i="11"/>
  <c r="AB482" i="11"/>
  <c r="AD482" i="11"/>
  <c r="AE482" i="11"/>
  <c r="AF482" i="11"/>
  <c r="AG482" i="11"/>
  <c r="V483" i="11"/>
  <c r="W483" i="11"/>
  <c r="X483" i="11"/>
  <c r="Y483" i="11"/>
  <c r="Z483" i="11"/>
  <c r="AA483" i="11"/>
  <c r="AB483" i="11"/>
  <c r="AD483" i="11"/>
  <c r="AE483" i="11"/>
  <c r="AF483" i="11"/>
  <c r="AG483" i="11"/>
  <c r="V484" i="11"/>
  <c r="W484" i="11"/>
  <c r="X484" i="11"/>
  <c r="Y484" i="11"/>
  <c r="Z484" i="11"/>
  <c r="AA484" i="11"/>
  <c r="AB484" i="11"/>
  <c r="AD484" i="11"/>
  <c r="AE484" i="11"/>
  <c r="AF484" i="11"/>
  <c r="AG484" i="11"/>
  <c r="V485" i="11"/>
  <c r="W485" i="11"/>
  <c r="X485" i="11"/>
  <c r="Y485" i="11"/>
  <c r="Z485" i="11"/>
  <c r="AA485" i="11"/>
  <c r="AB485" i="11"/>
  <c r="AD485" i="11"/>
  <c r="AE485" i="11"/>
  <c r="AF485" i="11"/>
  <c r="AG485" i="11"/>
  <c r="V486" i="11"/>
  <c r="W486" i="11"/>
  <c r="X486" i="11"/>
  <c r="Y486" i="11"/>
  <c r="Z486" i="11"/>
  <c r="AA486" i="11"/>
  <c r="AB486" i="11"/>
  <c r="AD486" i="11"/>
  <c r="AE486" i="11"/>
  <c r="AF486" i="11"/>
  <c r="AG486" i="11"/>
  <c r="V487" i="11"/>
  <c r="W487" i="11"/>
  <c r="X487" i="11"/>
  <c r="Y487" i="11"/>
  <c r="Z487" i="11"/>
  <c r="AA487" i="11"/>
  <c r="AB487" i="11"/>
  <c r="AD487" i="11"/>
  <c r="AE487" i="11"/>
  <c r="AF487" i="11"/>
  <c r="AG487" i="11"/>
  <c r="V488" i="11"/>
  <c r="W488" i="11"/>
  <c r="X488" i="11"/>
  <c r="Y488" i="11"/>
  <c r="Z488" i="11"/>
  <c r="AA488" i="11"/>
  <c r="AB488" i="11"/>
  <c r="AD488" i="11"/>
  <c r="AE488" i="11"/>
  <c r="AF488" i="11"/>
  <c r="AG488" i="11"/>
  <c r="V489" i="11"/>
  <c r="W489" i="11"/>
  <c r="X489" i="11"/>
  <c r="Y489" i="11"/>
  <c r="Z489" i="11"/>
  <c r="AA489" i="11"/>
  <c r="AB489" i="11"/>
  <c r="AD489" i="11"/>
  <c r="AE489" i="11"/>
  <c r="AF489" i="11"/>
  <c r="AG489" i="11"/>
  <c r="V490" i="11"/>
  <c r="W490" i="11"/>
  <c r="X490" i="11"/>
  <c r="Y490" i="11"/>
  <c r="Z490" i="11"/>
  <c r="AA490" i="11"/>
  <c r="AB490" i="11"/>
  <c r="AD490" i="11"/>
  <c r="AE490" i="11"/>
  <c r="AF490" i="11"/>
  <c r="AG490" i="11"/>
  <c r="V491" i="11"/>
  <c r="W491" i="11"/>
  <c r="X491" i="11"/>
  <c r="Y491" i="11"/>
  <c r="Z491" i="11"/>
  <c r="AA491" i="11"/>
  <c r="AB491" i="11"/>
  <c r="AD491" i="11"/>
  <c r="AE491" i="11"/>
  <c r="AF491" i="11"/>
  <c r="AG491" i="11"/>
  <c r="V492" i="11"/>
  <c r="W492" i="11"/>
  <c r="X492" i="11"/>
  <c r="Y492" i="11"/>
  <c r="Z492" i="11"/>
  <c r="AA492" i="11"/>
  <c r="AB492" i="11"/>
  <c r="AD492" i="11"/>
  <c r="AE492" i="11"/>
  <c r="AF492" i="11"/>
  <c r="AG492" i="11"/>
  <c r="V493" i="11"/>
  <c r="W493" i="11"/>
  <c r="X493" i="11"/>
  <c r="Y493" i="11"/>
  <c r="Z493" i="11"/>
  <c r="AA493" i="11"/>
  <c r="AB493" i="11"/>
  <c r="AD493" i="11"/>
  <c r="AE493" i="11"/>
  <c r="AF493" i="11"/>
  <c r="AG493" i="11"/>
  <c r="V494" i="11"/>
  <c r="W494" i="11"/>
  <c r="X494" i="11"/>
  <c r="Y494" i="11"/>
  <c r="Z494" i="11"/>
  <c r="AA494" i="11"/>
  <c r="AB494" i="11"/>
  <c r="AD494" i="11"/>
  <c r="AE494" i="11"/>
  <c r="AF494" i="11"/>
  <c r="AG494" i="11"/>
  <c r="V495" i="11"/>
  <c r="W495" i="11"/>
  <c r="X495" i="11"/>
  <c r="Y495" i="11"/>
  <c r="Z495" i="11"/>
  <c r="AA495" i="11"/>
  <c r="AB495" i="11"/>
  <c r="AD495" i="11"/>
  <c r="AE495" i="11"/>
  <c r="AF495" i="11"/>
  <c r="AG495" i="11"/>
  <c r="V496" i="11"/>
  <c r="W496" i="11"/>
  <c r="X496" i="11"/>
  <c r="Y496" i="11"/>
  <c r="Z496" i="11"/>
  <c r="AA496" i="11"/>
  <c r="AB496" i="11"/>
  <c r="AD496" i="11"/>
  <c r="AE496" i="11"/>
  <c r="AF496" i="11"/>
  <c r="AG496" i="11"/>
  <c r="V497" i="11"/>
  <c r="W497" i="11"/>
  <c r="X497" i="11"/>
  <c r="Y497" i="11"/>
  <c r="Z497" i="11"/>
  <c r="AA497" i="11"/>
  <c r="AB497" i="11"/>
  <c r="AD497" i="11"/>
  <c r="AE497" i="11"/>
  <c r="AF497" i="11"/>
  <c r="AG497" i="11"/>
  <c r="V498" i="11"/>
  <c r="W498" i="11"/>
  <c r="X498" i="11"/>
  <c r="Y498" i="11"/>
  <c r="Z498" i="11"/>
  <c r="AA498" i="11"/>
  <c r="AB498" i="11"/>
  <c r="AD498" i="11"/>
  <c r="AE498" i="11"/>
  <c r="AF498" i="11"/>
  <c r="AG498" i="11"/>
  <c r="V499" i="11"/>
  <c r="W499" i="11"/>
  <c r="X499" i="11"/>
  <c r="Y499" i="11"/>
  <c r="Z499" i="11"/>
  <c r="AA499" i="11"/>
  <c r="AB499" i="11"/>
  <c r="AD499" i="11"/>
  <c r="AE499" i="11"/>
  <c r="AF499" i="11"/>
  <c r="AG499" i="11"/>
  <c r="V500" i="11"/>
  <c r="W500" i="11"/>
  <c r="X500" i="11"/>
  <c r="Y500" i="11"/>
  <c r="Z500" i="11"/>
  <c r="AA500" i="11"/>
  <c r="AB500" i="11"/>
  <c r="AD500" i="11"/>
  <c r="AE500" i="11"/>
  <c r="AF500" i="11"/>
  <c r="AG500" i="11"/>
  <c r="V501" i="11"/>
  <c r="W501" i="11"/>
  <c r="X501" i="11"/>
  <c r="Y501" i="11"/>
  <c r="Z501" i="11"/>
  <c r="AA501" i="11"/>
  <c r="AB501" i="11"/>
  <c r="AD501" i="11"/>
  <c r="AE501" i="11"/>
  <c r="AF501" i="11"/>
  <c r="AG501" i="11"/>
  <c r="V502" i="11"/>
  <c r="W502" i="11"/>
  <c r="X502" i="11"/>
  <c r="Y502" i="11"/>
  <c r="Z502" i="11"/>
  <c r="AA502" i="11"/>
  <c r="AB502" i="11"/>
  <c r="AD502" i="11"/>
  <c r="AE502" i="11"/>
  <c r="AF502" i="11"/>
  <c r="AG502" i="11"/>
  <c r="V503" i="11"/>
  <c r="W503" i="11"/>
  <c r="X503" i="11"/>
  <c r="Y503" i="11"/>
  <c r="Z503" i="11"/>
  <c r="AA503" i="11"/>
  <c r="AB503" i="11"/>
  <c r="AD503" i="11"/>
  <c r="AE503" i="11"/>
  <c r="AF503" i="11"/>
  <c r="AG503" i="11"/>
  <c r="V504" i="11"/>
  <c r="W504" i="11"/>
  <c r="X504" i="11"/>
  <c r="Y504" i="11"/>
  <c r="Z504" i="11"/>
  <c r="AA504" i="11"/>
  <c r="AB504" i="11"/>
  <c r="AD504" i="11"/>
  <c r="AE504" i="11"/>
  <c r="AF504" i="11"/>
  <c r="AG504" i="11"/>
  <c r="V505" i="11"/>
  <c r="W505" i="11"/>
  <c r="X505" i="11"/>
  <c r="Y505" i="11"/>
  <c r="Z505" i="11"/>
  <c r="AA505" i="11"/>
  <c r="AB505" i="11"/>
  <c r="AD505" i="11"/>
  <c r="AE505" i="11"/>
  <c r="AF505" i="11"/>
  <c r="AG505" i="11"/>
  <c r="V506" i="11"/>
  <c r="W506" i="11"/>
  <c r="X506" i="11"/>
  <c r="Y506" i="11"/>
  <c r="Z506" i="11"/>
  <c r="AA506" i="11"/>
  <c r="AB506" i="11"/>
  <c r="AD506" i="11"/>
  <c r="AE506" i="11"/>
  <c r="AF506" i="11"/>
  <c r="AG506" i="11"/>
  <c r="V507" i="11"/>
  <c r="W507" i="11"/>
  <c r="X507" i="11"/>
  <c r="Y507" i="11"/>
  <c r="Z507" i="11"/>
  <c r="AA507" i="11"/>
  <c r="AB507" i="11"/>
  <c r="AD507" i="11"/>
  <c r="AE507" i="11"/>
  <c r="AF507" i="11"/>
  <c r="AG507" i="11"/>
  <c r="V508" i="11"/>
  <c r="W508" i="11"/>
  <c r="X508" i="11"/>
  <c r="Y508" i="11"/>
  <c r="Z508" i="11"/>
  <c r="AA508" i="11"/>
  <c r="AB508" i="11"/>
  <c r="AD508" i="11"/>
  <c r="AE508" i="11"/>
  <c r="AF508" i="11"/>
  <c r="AG508" i="11"/>
  <c r="V509" i="11"/>
  <c r="W509" i="11"/>
  <c r="X509" i="11"/>
  <c r="Y509" i="11"/>
  <c r="Z509" i="11"/>
  <c r="AA509" i="11"/>
  <c r="AB509" i="11"/>
  <c r="AD509" i="11"/>
  <c r="AE509" i="11"/>
  <c r="AF509" i="11"/>
  <c r="AG509" i="11"/>
  <c r="V510" i="11"/>
  <c r="W510" i="11"/>
  <c r="X510" i="11"/>
  <c r="Y510" i="11"/>
  <c r="Z510" i="11"/>
  <c r="AA510" i="11"/>
  <c r="AB510" i="11"/>
  <c r="AD510" i="11"/>
  <c r="AE510" i="11"/>
  <c r="AF510" i="11"/>
  <c r="AG510" i="11"/>
  <c r="V511" i="11"/>
  <c r="W511" i="11"/>
  <c r="X511" i="11"/>
  <c r="Y511" i="11"/>
  <c r="Z511" i="11"/>
  <c r="AA511" i="11"/>
  <c r="AB511" i="11"/>
  <c r="AD511" i="11"/>
  <c r="AE511" i="11"/>
  <c r="AF511" i="11"/>
  <c r="AG511" i="11"/>
  <c r="V512" i="11"/>
  <c r="W512" i="11"/>
  <c r="X512" i="11"/>
  <c r="Y512" i="11"/>
  <c r="Z512" i="11"/>
  <c r="AA512" i="11"/>
  <c r="AB512" i="11"/>
  <c r="AD512" i="11"/>
  <c r="AE512" i="11"/>
  <c r="AF512" i="11"/>
  <c r="AG512" i="11"/>
  <c r="V513" i="11"/>
  <c r="W513" i="11"/>
  <c r="X513" i="11"/>
  <c r="Y513" i="11"/>
  <c r="Z513" i="11"/>
  <c r="AA513" i="11"/>
  <c r="AB513" i="11"/>
  <c r="AD513" i="11"/>
  <c r="AE513" i="11"/>
  <c r="AF513" i="11"/>
  <c r="AG513" i="11"/>
  <c r="V514" i="11"/>
  <c r="W514" i="11"/>
  <c r="X514" i="11"/>
  <c r="Y514" i="11"/>
  <c r="Z514" i="11"/>
  <c r="AA514" i="11"/>
  <c r="AB514" i="11"/>
  <c r="AD514" i="11"/>
  <c r="AE514" i="11"/>
  <c r="AF514" i="11"/>
  <c r="AG514" i="11"/>
  <c r="V515" i="11"/>
  <c r="W515" i="11"/>
  <c r="X515" i="11"/>
  <c r="Y515" i="11"/>
  <c r="Z515" i="11"/>
  <c r="AA515" i="11"/>
  <c r="AB515" i="11"/>
  <c r="AD515" i="11"/>
  <c r="AE515" i="11"/>
  <c r="AF515" i="11"/>
  <c r="AG515" i="11"/>
  <c r="V516" i="11"/>
  <c r="W516" i="11"/>
  <c r="X516" i="11"/>
  <c r="Y516" i="11"/>
  <c r="Z516" i="11"/>
  <c r="AA516" i="11"/>
  <c r="AB516" i="11"/>
  <c r="AD516" i="11"/>
  <c r="AE516" i="11"/>
  <c r="AF516" i="11"/>
  <c r="AG516" i="11"/>
  <c r="V517" i="11"/>
  <c r="W517" i="11"/>
  <c r="X517" i="11"/>
  <c r="Y517" i="11"/>
  <c r="Z517" i="11"/>
  <c r="AA517" i="11"/>
  <c r="AB517" i="11"/>
  <c r="AD517" i="11"/>
  <c r="AE517" i="11"/>
  <c r="AF517" i="11"/>
  <c r="AG517" i="11"/>
  <c r="V518" i="11"/>
  <c r="W518" i="11"/>
  <c r="X518" i="11"/>
  <c r="Y518" i="11"/>
  <c r="Z518" i="11"/>
  <c r="AA518" i="11"/>
  <c r="AB518" i="11"/>
  <c r="AD518" i="11"/>
  <c r="AE518" i="11"/>
  <c r="AF518" i="11"/>
  <c r="AG518" i="11"/>
  <c r="V519" i="11"/>
  <c r="W519" i="11"/>
  <c r="X519" i="11"/>
  <c r="Y519" i="11"/>
  <c r="Z519" i="11"/>
  <c r="AA519" i="11"/>
  <c r="AB519" i="11"/>
  <c r="AD519" i="11"/>
  <c r="AE519" i="11"/>
  <c r="AF519" i="11"/>
  <c r="AG519" i="11"/>
  <c r="V520" i="11"/>
  <c r="W520" i="11"/>
  <c r="X520" i="11"/>
  <c r="Y520" i="11"/>
  <c r="Z520" i="11"/>
  <c r="AA520" i="11"/>
  <c r="AB520" i="11"/>
  <c r="AD520" i="11"/>
  <c r="AE520" i="11"/>
  <c r="AF520" i="11"/>
  <c r="AG520" i="11"/>
  <c r="V521" i="11"/>
  <c r="W521" i="11"/>
  <c r="X521" i="11"/>
  <c r="Y521" i="11"/>
  <c r="Z521" i="11"/>
  <c r="AA521" i="11"/>
  <c r="AB521" i="11"/>
  <c r="AD521" i="11"/>
  <c r="AE521" i="11"/>
  <c r="AF521" i="11"/>
  <c r="AG521" i="11"/>
  <c r="V522" i="11"/>
  <c r="W522" i="11"/>
  <c r="X522" i="11"/>
  <c r="Y522" i="11"/>
  <c r="Z522" i="11"/>
  <c r="AA522" i="11"/>
  <c r="AB522" i="11"/>
  <c r="AD522" i="11"/>
  <c r="AE522" i="11"/>
  <c r="AF522" i="11"/>
  <c r="AG522" i="11"/>
  <c r="V523" i="11"/>
  <c r="W523" i="11"/>
  <c r="X523" i="11"/>
  <c r="Y523" i="11"/>
  <c r="Z523" i="11"/>
  <c r="AA523" i="11"/>
  <c r="AB523" i="11"/>
  <c r="AD523" i="11"/>
  <c r="AE523" i="11"/>
  <c r="AF523" i="11"/>
  <c r="AG523" i="11"/>
  <c r="V524" i="11"/>
  <c r="W524" i="11"/>
  <c r="X524" i="11"/>
  <c r="Y524" i="11"/>
  <c r="Z524" i="11"/>
  <c r="AA524" i="11"/>
  <c r="AB524" i="11"/>
  <c r="AD524" i="11"/>
  <c r="AE524" i="11"/>
  <c r="AF524" i="11"/>
  <c r="AG524" i="11"/>
  <c r="V525" i="11"/>
  <c r="W525" i="11"/>
  <c r="X525" i="11"/>
  <c r="Y525" i="11"/>
  <c r="Z525" i="11"/>
  <c r="AA525" i="11"/>
  <c r="AB525" i="11"/>
  <c r="AD525" i="11"/>
  <c r="AE525" i="11"/>
  <c r="AF525" i="11"/>
  <c r="AG525" i="11"/>
  <c r="V526" i="11"/>
  <c r="W526" i="11"/>
  <c r="X526" i="11"/>
  <c r="Y526" i="11"/>
  <c r="Z526" i="11"/>
  <c r="AA526" i="11"/>
  <c r="AB526" i="11"/>
  <c r="AD526" i="11"/>
  <c r="AE526" i="11"/>
  <c r="AF526" i="11"/>
  <c r="AG526" i="11"/>
  <c r="V527" i="11"/>
  <c r="W527" i="11"/>
  <c r="X527" i="11"/>
  <c r="Y527" i="11"/>
  <c r="Z527" i="11"/>
  <c r="AA527" i="11"/>
  <c r="AB527" i="11"/>
  <c r="AD527" i="11"/>
  <c r="AE527" i="11"/>
  <c r="AF527" i="11"/>
  <c r="AG527" i="11"/>
  <c r="V528" i="11"/>
  <c r="W528" i="11"/>
  <c r="X528" i="11"/>
  <c r="Y528" i="11"/>
  <c r="Z528" i="11"/>
  <c r="AA528" i="11"/>
  <c r="AB528" i="11"/>
  <c r="AD528" i="11"/>
  <c r="AE528" i="11"/>
  <c r="AF528" i="11"/>
  <c r="AG528" i="11"/>
  <c r="V529" i="11"/>
  <c r="W529" i="11"/>
  <c r="X529" i="11"/>
  <c r="Y529" i="11"/>
  <c r="Z529" i="11"/>
  <c r="AA529" i="11"/>
  <c r="AB529" i="11"/>
  <c r="AD529" i="11"/>
  <c r="AE529" i="11"/>
  <c r="AF529" i="11"/>
  <c r="AG529" i="11"/>
  <c r="V530" i="11"/>
  <c r="W530" i="11"/>
  <c r="X530" i="11"/>
  <c r="Y530" i="11"/>
  <c r="Z530" i="11"/>
  <c r="AA530" i="11"/>
  <c r="AB530" i="11"/>
  <c r="AD530" i="11"/>
  <c r="AE530" i="11"/>
  <c r="AF530" i="11"/>
  <c r="AG530" i="11"/>
  <c r="V531" i="11"/>
  <c r="W531" i="11"/>
  <c r="X531" i="11"/>
  <c r="Y531" i="11"/>
  <c r="Z531" i="11"/>
  <c r="AA531" i="11"/>
  <c r="AB531" i="11"/>
  <c r="AD531" i="11"/>
  <c r="AE531" i="11"/>
  <c r="AF531" i="11"/>
  <c r="AG531" i="11"/>
  <c r="V532" i="11"/>
  <c r="W532" i="11"/>
  <c r="X532" i="11"/>
  <c r="Y532" i="11"/>
  <c r="Z532" i="11"/>
  <c r="AA532" i="11"/>
  <c r="AB532" i="11"/>
  <c r="AD532" i="11"/>
  <c r="AE532" i="11"/>
  <c r="AF532" i="11"/>
  <c r="AG532" i="11"/>
  <c r="V533" i="11"/>
  <c r="W533" i="11"/>
  <c r="X533" i="11"/>
  <c r="Y533" i="11"/>
  <c r="Z533" i="11"/>
  <c r="AA533" i="11"/>
  <c r="AB533" i="11"/>
  <c r="AD533" i="11"/>
  <c r="AE533" i="11"/>
  <c r="AF533" i="11"/>
  <c r="AG533" i="11"/>
  <c r="V534" i="11"/>
  <c r="W534" i="11"/>
  <c r="X534" i="11"/>
  <c r="Y534" i="11"/>
  <c r="Z534" i="11"/>
  <c r="AA534" i="11"/>
  <c r="AB534" i="11"/>
  <c r="AD534" i="11"/>
  <c r="AE534" i="11"/>
  <c r="AF534" i="11"/>
  <c r="AG534" i="11"/>
  <c r="V535" i="11"/>
  <c r="W535" i="11"/>
  <c r="X535" i="11"/>
  <c r="Y535" i="11"/>
  <c r="Z535" i="11"/>
  <c r="AA535" i="11"/>
  <c r="AB535" i="11"/>
  <c r="AD535" i="11"/>
  <c r="AE535" i="11"/>
  <c r="AF535" i="11"/>
  <c r="AG535" i="11"/>
  <c r="V536" i="11"/>
  <c r="W536" i="11"/>
  <c r="X536" i="11"/>
  <c r="Y536" i="11"/>
  <c r="Z536" i="11"/>
  <c r="AA536" i="11"/>
  <c r="AB536" i="11"/>
  <c r="AD536" i="11"/>
  <c r="AE536" i="11"/>
  <c r="AF536" i="11"/>
  <c r="AG536" i="11"/>
  <c r="V537" i="11"/>
  <c r="W537" i="11"/>
  <c r="X537" i="11"/>
  <c r="Y537" i="11"/>
  <c r="Z537" i="11"/>
  <c r="AA537" i="11"/>
  <c r="AB537" i="11"/>
  <c r="AD537" i="11"/>
  <c r="AE537" i="11"/>
  <c r="AF537" i="11"/>
  <c r="AG537" i="11"/>
  <c r="V538" i="11"/>
  <c r="W538" i="11"/>
  <c r="X538" i="11"/>
  <c r="Y538" i="11"/>
  <c r="Z538" i="11"/>
  <c r="AA538" i="11"/>
  <c r="AB538" i="11"/>
  <c r="AD538" i="11"/>
  <c r="AE538" i="11"/>
  <c r="AF538" i="11"/>
  <c r="AG538" i="11"/>
  <c r="V539" i="11"/>
  <c r="W539" i="11"/>
  <c r="X539" i="11"/>
  <c r="Y539" i="11"/>
  <c r="Z539" i="11"/>
  <c r="AA539" i="11"/>
  <c r="AB539" i="11"/>
  <c r="AD539" i="11"/>
  <c r="AE539" i="11"/>
  <c r="AF539" i="11"/>
  <c r="AG539" i="11"/>
  <c r="V540" i="11"/>
  <c r="W540" i="11"/>
  <c r="X540" i="11"/>
  <c r="Y540" i="11"/>
  <c r="Z540" i="11"/>
  <c r="AA540" i="11"/>
  <c r="AB540" i="11"/>
  <c r="AD540" i="11"/>
  <c r="AE540" i="11"/>
  <c r="AF540" i="11"/>
  <c r="AG540" i="11"/>
  <c r="V541" i="11"/>
  <c r="W541" i="11"/>
  <c r="X541" i="11"/>
  <c r="Y541" i="11"/>
  <c r="Z541" i="11"/>
  <c r="AA541" i="11"/>
  <c r="AB541" i="11"/>
  <c r="AD541" i="11"/>
  <c r="AE541" i="11"/>
  <c r="AF541" i="11"/>
  <c r="AG541" i="11"/>
  <c r="V542" i="11"/>
  <c r="W542" i="11"/>
  <c r="X542" i="11"/>
  <c r="Y542" i="11"/>
  <c r="Z542" i="11"/>
  <c r="AA542" i="11"/>
  <c r="AB542" i="11"/>
  <c r="AD542" i="11"/>
  <c r="AE542" i="11"/>
  <c r="AF542" i="11"/>
  <c r="AG542" i="11"/>
  <c r="V543" i="11"/>
  <c r="W543" i="11"/>
  <c r="X543" i="11"/>
  <c r="Y543" i="11"/>
  <c r="Z543" i="11"/>
  <c r="AA543" i="11"/>
  <c r="AB543" i="11"/>
  <c r="AD543" i="11"/>
  <c r="AE543" i="11"/>
  <c r="AF543" i="11"/>
  <c r="AG543" i="11"/>
  <c r="V544" i="11"/>
  <c r="W544" i="11"/>
  <c r="X544" i="11"/>
  <c r="Y544" i="11"/>
  <c r="Z544" i="11"/>
  <c r="AA544" i="11"/>
  <c r="AB544" i="11"/>
  <c r="AD544" i="11"/>
  <c r="AE544" i="11"/>
  <c r="AF544" i="11"/>
  <c r="AG544" i="11"/>
  <c r="V545" i="11"/>
  <c r="W545" i="11"/>
  <c r="X545" i="11"/>
  <c r="Y545" i="11"/>
  <c r="Z545" i="11"/>
  <c r="AA545" i="11"/>
  <c r="AB545" i="11"/>
  <c r="AD545" i="11"/>
  <c r="AE545" i="11"/>
  <c r="AF545" i="11"/>
  <c r="AG545" i="11"/>
  <c r="V546" i="11"/>
  <c r="W546" i="11"/>
  <c r="X546" i="11"/>
  <c r="Y546" i="11"/>
  <c r="Z546" i="11"/>
  <c r="AA546" i="11"/>
  <c r="AB546" i="11"/>
  <c r="AD546" i="11"/>
  <c r="AE546" i="11"/>
  <c r="AF546" i="11"/>
  <c r="AG546" i="11"/>
  <c r="V547" i="11"/>
  <c r="W547" i="11"/>
  <c r="X547" i="11"/>
  <c r="Y547" i="11"/>
  <c r="Z547" i="11"/>
  <c r="AA547" i="11"/>
  <c r="AB547" i="11"/>
  <c r="AD547" i="11"/>
  <c r="AE547" i="11"/>
  <c r="AF547" i="11"/>
  <c r="AG547" i="11"/>
  <c r="V548" i="11"/>
  <c r="W548" i="11"/>
  <c r="X548" i="11"/>
  <c r="Y548" i="11"/>
  <c r="Z548" i="11"/>
  <c r="AA548" i="11"/>
  <c r="AB548" i="11"/>
  <c r="AD548" i="11"/>
  <c r="AE548" i="11"/>
  <c r="AF548" i="11"/>
  <c r="AG548" i="11"/>
  <c r="V549" i="11"/>
  <c r="W549" i="11"/>
  <c r="X549" i="11"/>
  <c r="Y549" i="11"/>
  <c r="Z549" i="11"/>
  <c r="AA549" i="11"/>
  <c r="AB549" i="11"/>
  <c r="AD549" i="11"/>
  <c r="AE549" i="11"/>
  <c r="AF549" i="11"/>
  <c r="AG549" i="11"/>
  <c r="V550" i="11"/>
  <c r="W550" i="11"/>
  <c r="X550" i="11"/>
  <c r="Y550" i="11"/>
  <c r="Z550" i="11"/>
  <c r="AA550" i="11"/>
  <c r="AB550" i="11"/>
  <c r="AD550" i="11"/>
  <c r="AE550" i="11"/>
  <c r="AF550" i="11"/>
  <c r="AG550" i="11"/>
  <c r="V551" i="11"/>
  <c r="W551" i="11"/>
  <c r="X551" i="11"/>
  <c r="Y551" i="11"/>
  <c r="Z551" i="11"/>
  <c r="AA551" i="11"/>
  <c r="AB551" i="11"/>
  <c r="AD551" i="11"/>
  <c r="AE551" i="11"/>
  <c r="AF551" i="11"/>
  <c r="AG551" i="11"/>
  <c r="V552" i="11"/>
  <c r="W552" i="11"/>
  <c r="X552" i="11"/>
  <c r="Y552" i="11"/>
  <c r="Z552" i="11"/>
  <c r="AA552" i="11"/>
  <c r="AB552" i="11"/>
  <c r="AD552" i="11"/>
  <c r="AE552" i="11"/>
  <c r="AF552" i="11"/>
  <c r="AG552" i="11"/>
  <c r="V553" i="11"/>
  <c r="W553" i="11"/>
  <c r="X553" i="11"/>
  <c r="Y553" i="11"/>
  <c r="Z553" i="11"/>
  <c r="AA553" i="11"/>
  <c r="AB553" i="11"/>
  <c r="AD553" i="11"/>
  <c r="AE553" i="11"/>
  <c r="AF553" i="11"/>
  <c r="AG553" i="11"/>
  <c r="V554" i="11"/>
  <c r="W554" i="11"/>
  <c r="X554" i="11"/>
  <c r="Y554" i="11"/>
  <c r="Z554" i="11"/>
  <c r="AA554" i="11"/>
  <c r="AB554" i="11"/>
  <c r="AD554" i="11"/>
  <c r="AE554" i="11"/>
  <c r="AF554" i="11"/>
  <c r="AG554" i="11"/>
  <c r="V555" i="11"/>
  <c r="W555" i="11"/>
  <c r="X555" i="11"/>
  <c r="Y555" i="11"/>
  <c r="Z555" i="11"/>
  <c r="AA555" i="11"/>
  <c r="AB555" i="11"/>
  <c r="AD555" i="11"/>
  <c r="AE555" i="11"/>
  <c r="AF555" i="11"/>
  <c r="AG555" i="11"/>
  <c r="V556" i="11"/>
  <c r="W556" i="11"/>
  <c r="X556" i="11"/>
  <c r="Y556" i="11"/>
  <c r="Z556" i="11"/>
  <c r="AA556" i="11"/>
  <c r="AB556" i="11"/>
  <c r="AD556" i="11"/>
  <c r="AE556" i="11"/>
  <c r="AF556" i="11"/>
  <c r="AG556" i="11"/>
  <c r="V557" i="11"/>
  <c r="W557" i="11"/>
  <c r="X557" i="11"/>
  <c r="Y557" i="11"/>
  <c r="Z557" i="11"/>
  <c r="AA557" i="11"/>
  <c r="AB557" i="11"/>
  <c r="AD557" i="11"/>
  <c r="AE557" i="11"/>
  <c r="AF557" i="11"/>
  <c r="AG557" i="11"/>
  <c r="V558" i="11"/>
  <c r="W558" i="11"/>
  <c r="X558" i="11"/>
  <c r="Y558" i="11"/>
  <c r="Z558" i="11"/>
  <c r="AA558" i="11"/>
  <c r="AB558" i="11"/>
  <c r="AD558" i="11"/>
  <c r="AE558" i="11"/>
  <c r="AF558" i="11"/>
  <c r="AG558" i="11"/>
  <c r="V559" i="11"/>
  <c r="W559" i="11"/>
  <c r="X559" i="11"/>
  <c r="Y559" i="11"/>
  <c r="Z559" i="11"/>
  <c r="AA559" i="11"/>
  <c r="AB559" i="11"/>
  <c r="AD559" i="11"/>
  <c r="AE559" i="11"/>
  <c r="AF559" i="11"/>
  <c r="AG559" i="11"/>
  <c r="V560" i="11"/>
  <c r="W560" i="11"/>
  <c r="X560" i="11"/>
  <c r="Y560" i="11"/>
  <c r="Z560" i="11"/>
  <c r="AA560" i="11"/>
  <c r="AB560" i="11"/>
  <c r="AD560" i="11"/>
  <c r="AE560" i="11"/>
  <c r="AF560" i="11"/>
  <c r="AG560" i="11"/>
  <c r="V561" i="11"/>
  <c r="W561" i="11"/>
  <c r="X561" i="11"/>
  <c r="Y561" i="11"/>
  <c r="Z561" i="11"/>
  <c r="AA561" i="11"/>
  <c r="AB561" i="11"/>
  <c r="AD561" i="11"/>
  <c r="AE561" i="11"/>
  <c r="AF561" i="11"/>
  <c r="AG561" i="11"/>
  <c r="V562" i="11"/>
  <c r="W562" i="11"/>
  <c r="X562" i="11"/>
  <c r="Y562" i="11"/>
  <c r="Z562" i="11"/>
  <c r="AA562" i="11"/>
  <c r="AB562" i="11"/>
  <c r="AD562" i="11"/>
  <c r="AE562" i="11"/>
  <c r="AF562" i="11"/>
  <c r="AG562" i="11"/>
  <c r="V563" i="11"/>
  <c r="W563" i="11"/>
  <c r="X563" i="11"/>
  <c r="Y563" i="11"/>
  <c r="Z563" i="11"/>
  <c r="AA563" i="11"/>
  <c r="AB563" i="11"/>
  <c r="AD563" i="11"/>
  <c r="AE563" i="11"/>
  <c r="AF563" i="11"/>
  <c r="AG563" i="11"/>
  <c r="V564" i="11"/>
  <c r="W564" i="11"/>
  <c r="X564" i="11"/>
  <c r="Y564" i="11"/>
  <c r="Z564" i="11"/>
  <c r="AA564" i="11"/>
  <c r="AB564" i="11"/>
  <c r="AD564" i="11"/>
  <c r="AE564" i="11"/>
  <c r="AF564" i="11"/>
  <c r="AG564" i="11"/>
  <c r="V565" i="11"/>
  <c r="W565" i="11"/>
  <c r="X565" i="11"/>
  <c r="Y565" i="11"/>
  <c r="Z565" i="11"/>
  <c r="AA565" i="11"/>
  <c r="AB565" i="11"/>
  <c r="AD565" i="11"/>
  <c r="AE565" i="11"/>
  <c r="AF565" i="11"/>
  <c r="AG565" i="11"/>
  <c r="V566" i="11"/>
  <c r="W566" i="11"/>
  <c r="X566" i="11"/>
  <c r="Y566" i="11"/>
  <c r="Z566" i="11"/>
  <c r="AA566" i="11"/>
  <c r="AB566" i="11"/>
  <c r="AD566" i="11"/>
  <c r="AE566" i="11"/>
  <c r="AF566" i="11"/>
  <c r="AG566" i="11"/>
  <c r="V567" i="11"/>
  <c r="W567" i="11"/>
  <c r="X567" i="11"/>
  <c r="Y567" i="11"/>
  <c r="Z567" i="11"/>
  <c r="AA567" i="11"/>
  <c r="AB567" i="11"/>
  <c r="AD567" i="11"/>
  <c r="AE567" i="11"/>
  <c r="AF567" i="11"/>
  <c r="AG567" i="11"/>
  <c r="V568" i="11"/>
  <c r="W568" i="11"/>
  <c r="X568" i="11"/>
  <c r="Y568" i="11"/>
  <c r="Z568" i="11"/>
  <c r="AA568" i="11"/>
  <c r="AB568" i="11"/>
  <c r="AD568" i="11"/>
  <c r="AE568" i="11"/>
  <c r="AF568" i="11"/>
  <c r="AG568" i="11"/>
  <c r="V569" i="11"/>
  <c r="W569" i="11"/>
  <c r="X569" i="11"/>
  <c r="Y569" i="11"/>
  <c r="Z569" i="11"/>
  <c r="AA569" i="11"/>
  <c r="AB569" i="11"/>
  <c r="AD569" i="11"/>
  <c r="AE569" i="11"/>
  <c r="AF569" i="11"/>
  <c r="AG569" i="11"/>
  <c r="V570" i="11"/>
  <c r="W570" i="11"/>
  <c r="X570" i="11"/>
  <c r="Y570" i="11"/>
  <c r="Z570" i="11"/>
  <c r="AA570" i="11"/>
  <c r="AB570" i="11"/>
  <c r="AD570" i="11"/>
  <c r="AE570" i="11"/>
  <c r="AF570" i="11"/>
  <c r="AG570" i="11"/>
  <c r="V571" i="11"/>
  <c r="W571" i="11"/>
  <c r="X571" i="11"/>
  <c r="Y571" i="11"/>
  <c r="Z571" i="11"/>
  <c r="AA571" i="11"/>
  <c r="AB571" i="11"/>
  <c r="AD571" i="11"/>
  <c r="AE571" i="11"/>
  <c r="AF571" i="11"/>
  <c r="AG571" i="11"/>
  <c r="V572" i="11"/>
  <c r="W572" i="11"/>
  <c r="X572" i="11"/>
  <c r="Y572" i="11"/>
  <c r="Z572" i="11"/>
  <c r="AA572" i="11"/>
  <c r="AB572" i="11"/>
  <c r="AD572" i="11"/>
  <c r="AE572" i="11"/>
  <c r="AF572" i="11"/>
  <c r="AG572" i="11"/>
  <c r="V573" i="11"/>
  <c r="W573" i="11"/>
  <c r="X573" i="11"/>
  <c r="Y573" i="11"/>
  <c r="Z573" i="11"/>
  <c r="AA573" i="11"/>
  <c r="AB573" i="11"/>
  <c r="AD573" i="11"/>
  <c r="AE573" i="11"/>
  <c r="AF573" i="11"/>
  <c r="AG573" i="11"/>
  <c r="V574" i="11"/>
  <c r="W574" i="11"/>
  <c r="X574" i="11"/>
  <c r="Y574" i="11"/>
  <c r="Z574" i="11"/>
  <c r="AA574" i="11"/>
  <c r="AB574" i="11"/>
  <c r="AD574" i="11"/>
  <c r="AE574" i="11"/>
  <c r="AF574" i="11"/>
  <c r="AG574" i="11"/>
  <c r="V575" i="11"/>
  <c r="W575" i="11"/>
  <c r="X575" i="11"/>
  <c r="Y575" i="11"/>
  <c r="Z575" i="11"/>
  <c r="AA575" i="11"/>
  <c r="AB575" i="11"/>
  <c r="AD575" i="11"/>
  <c r="AE575" i="11"/>
  <c r="AF575" i="11"/>
  <c r="AG575" i="11"/>
  <c r="V576" i="11"/>
  <c r="W576" i="11"/>
  <c r="X576" i="11"/>
  <c r="Y576" i="11"/>
  <c r="Z576" i="11"/>
  <c r="AA576" i="11"/>
  <c r="AB576" i="11"/>
  <c r="AD576" i="11"/>
  <c r="AE576" i="11"/>
  <c r="AF576" i="11"/>
  <c r="AG576" i="11"/>
  <c r="V577" i="11"/>
  <c r="W577" i="11"/>
  <c r="X577" i="11"/>
  <c r="Y577" i="11"/>
  <c r="Z577" i="11"/>
  <c r="AA577" i="11"/>
  <c r="AB577" i="11"/>
  <c r="AD577" i="11"/>
  <c r="AE577" i="11"/>
  <c r="AF577" i="11"/>
  <c r="AG577" i="11"/>
  <c r="V578" i="11"/>
  <c r="W578" i="11"/>
  <c r="X578" i="11"/>
  <c r="Y578" i="11"/>
  <c r="Z578" i="11"/>
  <c r="AA578" i="11"/>
  <c r="AB578" i="11"/>
  <c r="AD578" i="11"/>
  <c r="AE578" i="11"/>
  <c r="AF578" i="11"/>
  <c r="AG578" i="11"/>
  <c r="V579" i="11"/>
  <c r="W579" i="11"/>
  <c r="X579" i="11"/>
  <c r="Y579" i="11"/>
  <c r="Z579" i="11"/>
  <c r="AA579" i="11"/>
  <c r="AB579" i="11"/>
  <c r="AD579" i="11"/>
  <c r="AE579" i="11"/>
  <c r="AF579" i="11"/>
  <c r="AG579" i="11"/>
  <c r="V580" i="11"/>
  <c r="W580" i="11"/>
  <c r="X580" i="11"/>
  <c r="Y580" i="11"/>
  <c r="Z580" i="11"/>
  <c r="AA580" i="11"/>
  <c r="AB580" i="11"/>
  <c r="AD580" i="11"/>
  <c r="AE580" i="11"/>
  <c r="AF580" i="11"/>
  <c r="AG580" i="11"/>
  <c r="V581" i="11"/>
  <c r="W581" i="11"/>
  <c r="X581" i="11"/>
  <c r="Y581" i="11"/>
  <c r="Z581" i="11"/>
  <c r="AA581" i="11"/>
  <c r="AB581" i="11"/>
  <c r="AD581" i="11"/>
  <c r="AE581" i="11"/>
  <c r="AF581" i="11"/>
  <c r="AG581" i="11"/>
  <c r="V582" i="11"/>
  <c r="W582" i="11"/>
  <c r="X582" i="11"/>
  <c r="Y582" i="11"/>
  <c r="Z582" i="11"/>
  <c r="AA582" i="11"/>
  <c r="AB582" i="11"/>
  <c r="AD582" i="11"/>
  <c r="AE582" i="11"/>
  <c r="AF582" i="11"/>
  <c r="AG582" i="11"/>
  <c r="V583" i="11"/>
  <c r="W583" i="11"/>
  <c r="X583" i="11"/>
  <c r="Y583" i="11"/>
  <c r="Z583" i="11"/>
  <c r="AA583" i="11"/>
  <c r="AB583" i="11"/>
  <c r="AD583" i="11"/>
  <c r="AE583" i="11"/>
  <c r="AF583" i="11"/>
  <c r="AG583" i="11"/>
  <c r="V584" i="11"/>
  <c r="W584" i="11"/>
  <c r="X584" i="11"/>
  <c r="Y584" i="11"/>
  <c r="Z584" i="11"/>
  <c r="AA584" i="11"/>
  <c r="AB584" i="11"/>
  <c r="AD584" i="11"/>
  <c r="AE584" i="11"/>
  <c r="AF584" i="11"/>
  <c r="AG584" i="11"/>
  <c r="V585" i="11"/>
  <c r="W585" i="11"/>
  <c r="X585" i="11"/>
  <c r="Y585" i="11"/>
  <c r="Z585" i="11"/>
  <c r="AA585" i="11"/>
  <c r="AB585" i="11"/>
  <c r="AD585" i="11"/>
  <c r="AE585" i="11"/>
  <c r="AF585" i="11"/>
  <c r="AG585" i="11"/>
  <c r="V586" i="11"/>
  <c r="W586" i="11"/>
  <c r="X586" i="11"/>
  <c r="Y586" i="11"/>
  <c r="Z586" i="11"/>
  <c r="AA586" i="11"/>
  <c r="AB586" i="11"/>
  <c r="AD586" i="11"/>
  <c r="AE586" i="11"/>
  <c r="AF586" i="11"/>
  <c r="AG586" i="11"/>
  <c r="V587" i="11"/>
  <c r="W587" i="11"/>
  <c r="X587" i="11"/>
  <c r="Y587" i="11"/>
  <c r="Z587" i="11"/>
  <c r="AA587" i="11"/>
  <c r="AB587" i="11"/>
  <c r="AD587" i="11"/>
  <c r="AE587" i="11"/>
  <c r="AF587" i="11"/>
  <c r="AG587" i="11"/>
  <c r="V588" i="11"/>
  <c r="W588" i="11"/>
  <c r="X588" i="11"/>
  <c r="Y588" i="11"/>
  <c r="Z588" i="11"/>
  <c r="AA588" i="11"/>
  <c r="AB588" i="11"/>
  <c r="AD588" i="11"/>
  <c r="AE588" i="11"/>
  <c r="AF588" i="11"/>
  <c r="AG588" i="11"/>
  <c r="V589" i="11"/>
  <c r="W589" i="11"/>
  <c r="X589" i="11"/>
  <c r="Y589" i="11"/>
  <c r="Z589" i="11"/>
  <c r="AA589" i="11"/>
  <c r="AB589" i="11"/>
  <c r="AD589" i="11"/>
  <c r="AE589" i="11"/>
  <c r="AF589" i="11"/>
  <c r="AG589" i="11"/>
  <c r="V590" i="11"/>
  <c r="W590" i="11"/>
  <c r="X590" i="11"/>
  <c r="Y590" i="11"/>
  <c r="Z590" i="11"/>
  <c r="AA590" i="11"/>
  <c r="AB590" i="11"/>
  <c r="AD590" i="11"/>
  <c r="AE590" i="11"/>
  <c r="AF590" i="11"/>
  <c r="AG590" i="11"/>
  <c r="V591" i="11"/>
  <c r="W591" i="11"/>
  <c r="X591" i="11"/>
  <c r="Y591" i="11"/>
  <c r="Z591" i="11"/>
  <c r="AA591" i="11"/>
  <c r="AB591" i="11"/>
  <c r="AD591" i="11"/>
  <c r="AE591" i="11"/>
  <c r="AF591" i="11"/>
  <c r="AG591" i="11"/>
  <c r="V592" i="11"/>
  <c r="W592" i="11"/>
  <c r="X592" i="11"/>
  <c r="Y592" i="11"/>
  <c r="Z592" i="11"/>
  <c r="AA592" i="11"/>
  <c r="AB592" i="11"/>
  <c r="AD592" i="11"/>
  <c r="AE592" i="11"/>
  <c r="AF592" i="11"/>
  <c r="AG592" i="11"/>
  <c r="V593" i="11"/>
  <c r="W593" i="11"/>
  <c r="X593" i="11"/>
  <c r="Y593" i="11"/>
  <c r="Z593" i="11"/>
  <c r="AA593" i="11"/>
  <c r="AB593" i="11"/>
  <c r="AD593" i="11"/>
  <c r="AE593" i="11"/>
  <c r="AF593" i="11"/>
  <c r="AG593" i="11"/>
  <c r="V594" i="11"/>
  <c r="W594" i="11"/>
  <c r="X594" i="11"/>
  <c r="Y594" i="11"/>
  <c r="Z594" i="11"/>
  <c r="AA594" i="11"/>
  <c r="AB594" i="11"/>
  <c r="AD594" i="11"/>
  <c r="AE594" i="11"/>
  <c r="AF594" i="11"/>
  <c r="AG594" i="11"/>
  <c r="V595" i="11"/>
  <c r="W595" i="11"/>
  <c r="X595" i="11"/>
  <c r="Y595" i="11"/>
  <c r="Z595" i="11"/>
  <c r="AA595" i="11"/>
  <c r="AB595" i="11"/>
  <c r="AD595" i="11"/>
  <c r="AE595" i="11"/>
  <c r="AF595" i="11"/>
  <c r="AG595" i="11"/>
  <c r="V596" i="11"/>
  <c r="W596" i="11"/>
  <c r="X596" i="11"/>
  <c r="Y596" i="11"/>
  <c r="Z596" i="11"/>
  <c r="AA596" i="11"/>
  <c r="AB596" i="11"/>
  <c r="AD596" i="11"/>
  <c r="AE596" i="11"/>
  <c r="AF596" i="11"/>
  <c r="AG596" i="11"/>
  <c r="V597" i="11"/>
  <c r="W597" i="11"/>
  <c r="X597" i="11"/>
  <c r="Y597" i="11"/>
  <c r="Z597" i="11"/>
  <c r="AA597" i="11"/>
  <c r="AB597" i="11"/>
  <c r="AD597" i="11"/>
  <c r="AE597" i="11"/>
  <c r="AF597" i="11"/>
  <c r="AG597" i="11"/>
  <c r="V598" i="11"/>
  <c r="W598" i="11"/>
  <c r="X598" i="11"/>
  <c r="Y598" i="11"/>
  <c r="Z598" i="11"/>
  <c r="AA598" i="11"/>
  <c r="AB598" i="11"/>
  <c r="AD598" i="11"/>
  <c r="AE598" i="11"/>
  <c r="AF598" i="11"/>
  <c r="AG598" i="11"/>
  <c r="V599" i="11"/>
  <c r="W599" i="11"/>
  <c r="X599" i="11"/>
  <c r="Y599" i="11"/>
  <c r="Z599" i="11"/>
  <c r="AA599" i="11"/>
  <c r="AB599" i="11"/>
  <c r="AD599" i="11"/>
  <c r="AE599" i="11"/>
  <c r="AF599" i="11"/>
  <c r="AG599" i="11"/>
  <c r="V600" i="11"/>
  <c r="W600" i="11"/>
  <c r="X600" i="11"/>
  <c r="Y600" i="11"/>
  <c r="Z600" i="11"/>
  <c r="AA600" i="11"/>
  <c r="AB600" i="11"/>
  <c r="AD600" i="11"/>
  <c r="AE600" i="11"/>
  <c r="AF600" i="11"/>
  <c r="AG600" i="11"/>
  <c r="V601" i="11"/>
  <c r="W601" i="11"/>
  <c r="X601" i="11"/>
  <c r="Y601" i="11"/>
  <c r="Z601" i="11"/>
  <c r="AA601" i="11"/>
  <c r="AB601" i="11"/>
  <c r="AD601" i="11"/>
  <c r="AE601" i="11"/>
  <c r="AF601" i="11"/>
  <c r="AG601" i="11"/>
  <c r="V602" i="11"/>
  <c r="W602" i="11"/>
  <c r="X602" i="11"/>
  <c r="Y602" i="11"/>
  <c r="Z602" i="11"/>
  <c r="AA602" i="11"/>
  <c r="AB602" i="11"/>
  <c r="AD602" i="11"/>
  <c r="AE602" i="11"/>
  <c r="AF602" i="11"/>
  <c r="AG602" i="11"/>
  <c r="V603" i="11"/>
  <c r="W603" i="11"/>
  <c r="X603" i="11"/>
  <c r="Y603" i="11"/>
  <c r="Z603" i="11"/>
  <c r="AA603" i="11"/>
  <c r="AB603" i="11"/>
  <c r="AD603" i="11"/>
  <c r="AE603" i="11"/>
  <c r="AF603" i="11"/>
  <c r="AG603" i="11"/>
  <c r="V604" i="11"/>
  <c r="W604" i="11"/>
  <c r="X604" i="11"/>
  <c r="Y604" i="11"/>
  <c r="Z604" i="11"/>
  <c r="AA604" i="11"/>
  <c r="AB604" i="11"/>
  <c r="AD604" i="11"/>
  <c r="AE604" i="11"/>
  <c r="AF604" i="11"/>
  <c r="AG604" i="11"/>
  <c r="V605" i="11"/>
  <c r="W605" i="11"/>
  <c r="X605" i="11"/>
  <c r="Y605" i="11"/>
  <c r="Z605" i="11"/>
  <c r="AA605" i="11"/>
  <c r="AB605" i="11"/>
  <c r="AD605" i="11"/>
  <c r="AE605" i="11"/>
  <c r="AF605" i="11"/>
  <c r="AG605" i="11"/>
  <c r="V606" i="11"/>
  <c r="W606" i="11"/>
  <c r="X606" i="11"/>
  <c r="Y606" i="11"/>
  <c r="Z606" i="11"/>
  <c r="AA606" i="11"/>
  <c r="AB606" i="11"/>
  <c r="AD606" i="11"/>
  <c r="AE606" i="11"/>
  <c r="AF606" i="11"/>
  <c r="AG606" i="11"/>
  <c r="V607" i="11"/>
  <c r="W607" i="11"/>
  <c r="X607" i="11"/>
  <c r="Y607" i="11"/>
  <c r="Z607" i="11"/>
  <c r="AA607" i="11"/>
  <c r="AB607" i="11"/>
  <c r="AD607" i="11"/>
  <c r="AE607" i="11"/>
  <c r="AF607" i="11"/>
  <c r="AG607" i="11"/>
  <c r="V608" i="11"/>
  <c r="W608" i="11"/>
  <c r="X608" i="11"/>
  <c r="Y608" i="11"/>
  <c r="Z608" i="11"/>
  <c r="AA608" i="11"/>
  <c r="AB608" i="11"/>
  <c r="AD608" i="11"/>
  <c r="AE608" i="11"/>
  <c r="AF608" i="11"/>
  <c r="AG608" i="11"/>
  <c r="V609" i="11"/>
  <c r="W609" i="11"/>
  <c r="X609" i="11"/>
  <c r="Y609" i="11"/>
  <c r="Z609" i="11"/>
  <c r="AA609" i="11"/>
  <c r="AB609" i="11"/>
  <c r="AD609" i="11"/>
  <c r="AE609" i="11"/>
  <c r="AF609" i="11"/>
  <c r="AG609" i="11"/>
  <c r="V610" i="11"/>
  <c r="W610" i="11"/>
  <c r="X610" i="11"/>
  <c r="Y610" i="11"/>
  <c r="Z610" i="11"/>
  <c r="AA610" i="11"/>
  <c r="AB610" i="11"/>
  <c r="AD610" i="11"/>
  <c r="AE610" i="11"/>
  <c r="AF610" i="11"/>
  <c r="AG610" i="11"/>
  <c r="V611" i="11"/>
  <c r="W611" i="11"/>
  <c r="X611" i="11"/>
  <c r="Y611" i="11"/>
  <c r="Z611" i="11"/>
  <c r="AA611" i="11"/>
  <c r="AB611" i="11"/>
  <c r="AD611" i="11"/>
  <c r="AE611" i="11"/>
  <c r="AF611" i="11"/>
  <c r="AG611" i="11"/>
  <c r="V612" i="11"/>
  <c r="W612" i="11"/>
  <c r="X612" i="11"/>
  <c r="Y612" i="11"/>
  <c r="Z612" i="11"/>
  <c r="AA612" i="11"/>
  <c r="AB612" i="11"/>
  <c r="AD612" i="11"/>
  <c r="AE612" i="11"/>
  <c r="AF612" i="11"/>
  <c r="AG612" i="11"/>
  <c r="V613" i="11"/>
  <c r="W613" i="11"/>
  <c r="X613" i="11"/>
  <c r="Y613" i="11"/>
  <c r="Z613" i="11"/>
  <c r="AA613" i="11"/>
  <c r="AB613" i="11"/>
  <c r="AD613" i="11"/>
  <c r="AE613" i="11"/>
  <c r="AF613" i="11"/>
  <c r="AG613" i="11"/>
  <c r="V614" i="11"/>
  <c r="W614" i="11"/>
  <c r="X614" i="11"/>
  <c r="Y614" i="11"/>
  <c r="Z614" i="11"/>
  <c r="AA614" i="11"/>
  <c r="AB614" i="11"/>
  <c r="AD614" i="11"/>
  <c r="AE614" i="11"/>
  <c r="AF614" i="11"/>
  <c r="AG614" i="11"/>
  <c r="V615" i="11"/>
  <c r="W615" i="11"/>
  <c r="X615" i="11"/>
  <c r="Y615" i="11"/>
  <c r="Z615" i="11"/>
  <c r="AA615" i="11"/>
  <c r="AB615" i="11"/>
  <c r="AD615" i="11"/>
  <c r="AE615" i="11"/>
  <c r="AF615" i="11"/>
  <c r="AG615" i="11"/>
  <c r="V616" i="11"/>
  <c r="W616" i="11"/>
  <c r="X616" i="11"/>
  <c r="Y616" i="11"/>
  <c r="Z616" i="11"/>
  <c r="AA616" i="11"/>
  <c r="AB616" i="11"/>
  <c r="AD616" i="11"/>
  <c r="AE616" i="11"/>
  <c r="AF616" i="11"/>
  <c r="AG616" i="11"/>
  <c r="V617" i="11"/>
  <c r="W617" i="11"/>
  <c r="X617" i="11"/>
  <c r="Y617" i="11"/>
  <c r="Z617" i="11"/>
  <c r="AA617" i="11"/>
  <c r="AB617" i="11"/>
  <c r="AD617" i="11"/>
  <c r="AE617" i="11"/>
  <c r="AF617" i="11"/>
  <c r="AG617" i="11"/>
  <c r="V618" i="11"/>
  <c r="W618" i="11"/>
  <c r="X618" i="11"/>
  <c r="Y618" i="11"/>
  <c r="Z618" i="11"/>
  <c r="AA618" i="11"/>
  <c r="AB618" i="11"/>
  <c r="AD618" i="11"/>
  <c r="AE618" i="11"/>
  <c r="AF618" i="11"/>
  <c r="AG618" i="11"/>
  <c r="V619" i="11"/>
  <c r="W619" i="11"/>
  <c r="X619" i="11"/>
  <c r="Y619" i="11"/>
  <c r="Z619" i="11"/>
  <c r="AA619" i="11"/>
  <c r="AB619" i="11"/>
  <c r="AD619" i="11"/>
  <c r="AE619" i="11"/>
  <c r="AF619" i="11"/>
  <c r="AG619" i="11"/>
  <c r="V620" i="11"/>
  <c r="W620" i="11"/>
  <c r="X620" i="11"/>
  <c r="Y620" i="11"/>
  <c r="Z620" i="11"/>
  <c r="AA620" i="11"/>
  <c r="AB620" i="11"/>
  <c r="AD620" i="11"/>
  <c r="AE620" i="11"/>
  <c r="AF620" i="11"/>
  <c r="AG620" i="11"/>
  <c r="V621" i="11"/>
  <c r="W621" i="11"/>
  <c r="X621" i="11"/>
  <c r="Y621" i="11"/>
  <c r="Z621" i="11"/>
  <c r="AA621" i="11"/>
  <c r="AB621" i="11"/>
  <c r="AD621" i="11"/>
  <c r="AE621" i="11"/>
  <c r="AF621" i="11"/>
  <c r="AG621" i="11"/>
  <c r="V622" i="11"/>
  <c r="W622" i="11"/>
  <c r="X622" i="11"/>
  <c r="Y622" i="11"/>
  <c r="Z622" i="11"/>
  <c r="AA622" i="11"/>
  <c r="AB622" i="11"/>
  <c r="AD622" i="11"/>
  <c r="AE622" i="11"/>
  <c r="AF622" i="11"/>
  <c r="AG622" i="11"/>
  <c r="V623" i="11"/>
  <c r="W623" i="11"/>
  <c r="X623" i="11"/>
  <c r="Y623" i="11"/>
  <c r="Z623" i="11"/>
  <c r="AA623" i="11"/>
  <c r="AB623" i="11"/>
  <c r="AD623" i="11"/>
  <c r="AE623" i="11"/>
  <c r="AF623" i="11"/>
  <c r="AG623" i="11"/>
  <c r="V624" i="11"/>
  <c r="W624" i="11"/>
  <c r="X624" i="11"/>
  <c r="Y624" i="11"/>
  <c r="Z624" i="11"/>
  <c r="AA624" i="11"/>
  <c r="AB624" i="11"/>
  <c r="AD624" i="11"/>
  <c r="AE624" i="11"/>
  <c r="AF624" i="11"/>
  <c r="AG624" i="11"/>
  <c r="V625" i="11"/>
  <c r="W625" i="11"/>
  <c r="X625" i="11"/>
  <c r="Y625" i="11"/>
  <c r="Z625" i="11"/>
  <c r="AA625" i="11"/>
  <c r="AB625" i="11"/>
  <c r="AD625" i="11"/>
  <c r="AE625" i="11"/>
  <c r="AF625" i="11"/>
  <c r="AG625" i="11"/>
  <c r="V626" i="11"/>
  <c r="W626" i="11"/>
  <c r="X626" i="11"/>
  <c r="Y626" i="11"/>
  <c r="Z626" i="11"/>
  <c r="AA626" i="11"/>
  <c r="AB626" i="11"/>
  <c r="AD626" i="11"/>
  <c r="AE626" i="11"/>
  <c r="AF626" i="11"/>
  <c r="AG626" i="11"/>
  <c r="V627" i="11"/>
  <c r="W627" i="11"/>
  <c r="X627" i="11"/>
  <c r="Y627" i="11"/>
  <c r="Z627" i="11"/>
  <c r="AA627" i="11"/>
  <c r="AB627" i="11"/>
  <c r="AD627" i="11"/>
  <c r="AE627" i="11"/>
  <c r="AF627" i="11"/>
  <c r="AG627" i="11"/>
  <c r="V628" i="11"/>
  <c r="W628" i="11"/>
  <c r="X628" i="11"/>
  <c r="Y628" i="11"/>
  <c r="Z628" i="11"/>
  <c r="AA628" i="11"/>
  <c r="AB628" i="11"/>
  <c r="AD628" i="11"/>
  <c r="AE628" i="11"/>
  <c r="AF628" i="11"/>
  <c r="AG628" i="11"/>
  <c r="V629" i="11"/>
  <c r="W629" i="11"/>
  <c r="X629" i="11"/>
  <c r="Y629" i="11"/>
  <c r="Z629" i="11"/>
  <c r="AA629" i="11"/>
  <c r="AB629" i="11"/>
  <c r="AD629" i="11"/>
  <c r="AE629" i="11"/>
  <c r="AF629" i="11"/>
  <c r="AG629" i="11"/>
  <c r="V630" i="11"/>
  <c r="W630" i="11"/>
  <c r="X630" i="11"/>
  <c r="Y630" i="11"/>
  <c r="Z630" i="11"/>
  <c r="AA630" i="11"/>
  <c r="AB630" i="11"/>
  <c r="AD630" i="11"/>
  <c r="AE630" i="11"/>
  <c r="AF630" i="11"/>
  <c r="AG630" i="11"/>
  <c r="V631" i="11"/>
  <c r="W631" i="11"/>
  <c r="X631" i="11"/>
  <c r="Y631" i="11"/>
  <c r="Z631" i="11"/>
  <c r="AA631" i="11"/>
  <c r="AB631" i="11"/>
  <c r="AD631" i="11"/>
  <c r="AE631" i="11"/>
  <c r="AF631" i="11"/>
  <c r="AG631" i="11"/>
  <c r="V632" i="11"/>
  <c r="W632" i="11"/>
  <c r="X632" i="11"/>
  <c r="Y632" i="11"/>
  <c r="Z632" i="11"/>
  <c r="AA632" i="11"/>
  <c r="AB632" i="11"/>
  <c r="AD632" i="11"/>
  <c r="AE632" i="11"/>
  <c r="AF632" i="11"/>
  <c r="AG632" i="11"/>
  <c r="V633" i="11"/>
  <c r="W633" i="11"/>
  <c r="X633" i="11"/>
  <c r="Y633" i="11"/>
  <c r="Z633" i="11"/>
  <c r="AA633" i="11"/>
  <c r="AB633" i="11"/>
  <c r="AD633" i="11"/>
  <c r="AE633" i="11"/>
  <c r="AF633" i="11"/>
  <c r="AG633" i="11"/>
  <c r="V634" i="11"/>
  <c r="W634" i="11"/>
  <c r="X634" i="11"/>
  <c r="Y634" i="11"/>
  <c r="Z634" i="11"/>
  <c r="AA634" i="11"/>
  <c r="AB634" i="11"/>
  <c r="AD634" i="11"/>
  <c r="AE634" i="11"/>
  <c r="AF634" i="11"/>
  <c r="AG634" i="11"/>
  <c r="V635" i="11"/>
  <c r="W635" i="11"/>
  <c r="X635" i="11"/>
  <c r="Y635" i="11"/>
  <c r="Z635" i="11"/>
  <c r="AA635" i="11"/>
  <c r="AB635" i="11"/>
  <c r="AD635" i="11"/>
  <c r="AE635" i="11"/>
  <c r="AF635" i="11"/>
  <c r="AG635" i="11"/>
  <c r="V636" i="11"/>
  <c r="W636" i="11"/>
  <c r="X636" i="11"/>
  <c r="Y636" i="11"/>
  <c r="Z636" i="11"/>
  <c r="AA636" i="11"/>
  <c r="AB636" i="11"/>
  <c r="AD636" i="11"/>
  <c r="AE636" i="11"/>
  <c r="AF636" i="11"/>
  <c r="AG636" i="11"/>
  <c r="V637" i="11"/>
  <c r="W637" i="11"/>
  <c r="X637" i="11"/>
  <c r="Y637" i="11"/>
  <c r="Z637" i="11"/>
  <c r="AA637" i="11"/>
  <c r="AB637" i="11"/>
  <c r="AD637" i="11"/>
  <c r="AE637" i="11"/>
  <c r="AF637" i="11"/>
  <c r="AG637" i="11"/>
  <c r="V638" i="11"/>
  <c r="W638" i="11"/>
  <c r="X638" i="11"/>
  <c r="Y638" i="11"/>
  <c r="Z638" i="11"/>
  <c r="AA638" i="11"/>
  <c r="AB638" i="11"/>
  <c r="AD638" i="11"/>
  <c r="AE638" i="11"/>
  <c r="AF638" i="11"/>
  <c r="AG638" i="11"/>
  <c r="V639" i="11"/>
  <c r="W639" i="11"/>
  <c r="X639" i="11"/>
  <c r="Y639" i="11"/>
  <c r="Z639" i="11"/>
  <c r="AA639" i="11"/>
  <c r="AB639" i="11"/>
  <c r="AD639" i="11"/>
  <c r="AE639" i="11"/>
  <c r="AF639" i="11"/>
  <c r="AG639" i="11"/>
  <c r="V640" i="11"/>
  <c r="W640" i="11"/>
  <c r="X640" i="11"/>
  <c r="Y640" i="11"/>
  <c r="Z640" i="11"/>
  <c r="AA640" i="11"/>
  <c r="AB640" i="11"/>
  <c r="AD640" i="11"/>
  <c r="AE640" i="11"/>
  <c r="AF640" i="11"/>
  <c r="AG640" i="11"/>
  <c r="V641" i="11"/>
  <c r="W641" i="11"/>
  <c r="X641" i="11"/>
  <c r="Y641" i="11"/>
  <c r="Z641" i="11"/>
  <c r="AA641" i="11"/>
  <c r="AB641" i="11"/>
  <c r="AD641" i="11"/>
  <c r="AE641" i="11"/>
  <c r="AF641" i="11"/>
  <c r="AG641" i="11"/>
  <c r="V642" i="11"/>
  <c r="W642" i="11"/>
  <c r="X642" i="11"/>
  <c r="Y642" i="11"/>
  <c r="Z642" i="11"/>
  <c r="AA642" i="11"/>
  <c r="AB642" i="11"/>
  <c r="AD642" i="11"/>
  <c r="AE642" i="11"/>
  <c r="AF642" i="11"/>
  <c r="AG642" i="11"/>
  <c r="V643" i="11"/>
  <c r="W643" i="11"/>
  <c r="X643" i="11"/>
  <c r="Y643" i="11"/>
  <c r="Z643" i="11"/>
  <c r="AA643" i="11"/>
  <c r="AB643" i="11"/>
  <c r="AD643" i="11"/>
  <c r="AE643" i="11"/>
  <c r="AF643" i="11"/>
  <c r="AG643" i="11"/>
  <c r="V644" i="11"/>
  <c r="W644" i="11"/>
  <c r="X644" i="11"/>
  <c r="Y644" i="11"/>
  <c r="Z644" i="11"/>
  <c r="AA644" i="11"/>
  <c r="AB644" i="11"/>
  <c r="AD644" i="11"/>
  <c r="AE644" i="11"/>
  <c r="AF644" i="11"/>
  <c r="AG644" i="11"/>
  <c r="V645" i="11"/>
  <c r="W645" i="11"/>
  <c r="X645" i="11"/>
  <c r="Y645" i="11"/>
  <c r="Z645" i="11"/>
  <c r="AA645" i="11"/>
  <c r="AB645" i="11"/>
  <c r="AD645" i="11"/>
  <c r="AE645" i="11"/>
  <c r="AF645" i="11"/>
  <c r="AG645" i="11"/>
  <c r="V646" i="11"/>
  <c r="W646" i="11"/>
  <c r="X646" i="11"/>
  <c r="Y646" i="11"/>
  <c r="Z646" i="11"/>
  <c r="AA646" i="11"/>
  <c r="AB646" i="11"/>
  <c r="AD646" i="11"/>
  <c r="AE646" i="11"/>
  <c r="AF646" i="11"/>
  <c r="AG646" i="11"/>
  <c r="V647" i="11"/>
  <c r="W647" i="11"/>
  <c r="X647" i="11"/>
  <c r="Y647" i="11"/>
  <c r="Z647" i="11"/>
  <c r="AA647" i="11"/>
  <c r="AB647" i="11"/>
  <c r="AD647" i="11"/>
  <c r="AE647" i="11"/>
  <c r="AF647" i="11"/>
  <c r="AG647" i="11"/>
  <c r="V648" i="11"/>
  <c r="W648" i="11"/>
  <c r="X648" i="11"/>
  <c r="Y648" i="11"/>
  <c r="Z648" i="11"/>
  <c r="AA648" i="11"/>
  <c r="AB648" i="11"/>
  <c r="AD648" i="11"/>
  <c r="AE648" i="11"/>
  <c r="AF648" i="11"/>
  <c r="AG648" i="11"/>
  <c r="V649" i="11"/>
  <c r="W649" i="11"/>
  <c r="X649" i="11"/>
  <c r="Y649" i="11"/>
  <c r="Z649" i="11"/>
  <c r="AA649" i="11"/>
  <c r="AB649" i="11"/>
  <c r="AD649" i="11"/>
  <c r="AE649" i="11"/>
  <c r="AF649" i="11"/>
  <c r="AG649" i="11"/>
  <c r="V650" i="11"/>
  <c r="W650" i="11"/>
  <c r="X650" i="11"/>
  <c r="Y650" i="11"/>
  <c r="Z650" i="11"/>
  <c r="AA650" i="11"/>
  <c r="AB650" i="11"/>
  <c r="AD650" i="11"/>
  <c r="AE650" i="11"/>
  <c r="AF650" i="11"/>
  <c r="AG650" i="11"/>
  <c r="V651" i="11"/>
  <c r="W651" i="11"/>
  <c r="X651" i="11"/>
  <c r="Y651" i="11"/>
  <c r="Z651" i="11"/>
  <c r="AA651" i="11"/>
  <c r="AB651" i="11"/>
  <c r="AD651" i="11"/>
  <c r="AE651" i="11"/>
  <c r="AF651" i="11"/>
  <c r="AG651" i="11"/>
  <c r="V652" i="11"/>
  <c r="W652" i="11"/>
  <c r="X652" i="11"/>
  <c r="Y652" i="11"/>
  <c r="Z652" i="11"/>
  <c r="AA652" i="11"/>
  <c r="AB652" i="11"/>
  <c r="AD652" i="11"/>
  <c r="AE652" i="11"/>
  <c r="AF652" i="11"/>
  <c r="AG652" i="11"/>
  <c r="V653" i="11"/>
  <c r="W653" i="11"/>
  <c r="X653" i="11"/>
  <c r="Y653" i="11"/>
  <c r="Z653" i="11"/>
  <c r="AA653" i="11"/>
  <c r="AB653" i="11"/>
  <c r="AD653" i="11"/>
  <c r="AE653" i="11"/>
  <c r="AF653" i="11"/>
  <c r="AG653" i="11"/>
  <c r="V654" i="11"/>
  <c r="W654" i="11"/>
  <c r="X654" i="11"/>
  <c r="Y654" i="11"/>
  <c r="Z654" i="11"/>
  <c r="AA654" i="11"/>
  <c r="AB654" i="11"/>
  <c r="AD654" i="11"/>
  <c r="AE654" i="11"/>
  <c r="AF654" i="11"/>
  <c r="AG654" i="11"/>
  <c r="V655" i="11"/>
  <c r="W655" i="11"/>
  <c r="X655" i="11"/>
  <c r="Y655" i="11"/>
  <c r="Z655" i="11"/>
  <c r="AA655" i="11"/>
  <c r="AB655" i="11"/>
  <c r="AD655" i="11"/>
  <c r="AE655" i="11"/>
  <c r="AF655" i="11"/>
  <c r="AG655" i="11"/>
  <c r="V656" i="11"/>
  <c r="W656" i="11"/>
  <c r="X656" i="11"/>
  <c r="Y656" i="11"/>
  <c r="Z656" i="11"/>
  <c r="AA656" i="11"/>
  <c r="AB656" i="11"/>
  <c r="AD656" i="11"/>
  <c r="AE656" i="11"/>
  <c r="AF656" i="11"/>
  <c r="AG656" i="11"/>
  <c r="V657" i="11"/>
  <c r="W657" i="11"/>
  <c r="X657" i="11"/>
  <c r="Y657" i="11"/>
  <c r="Z657" i="11"/>
  <c r="AA657" i="11"/>
  <c r="AB657" i="11"/>
  <c r="AD657" i="11"/>
  <c r="AE657" i="11"/>
  <c r="AF657" i="11"/>
  <c r="AG657" i="11"/>
  <c r="V658" i="11"/>
  <c r="W658" i="11"/>
  <c r="X658" i="11"/>
  <c r="Y658" i="11"/>
  <c r="Z658" i="11"/>
  <c r="AA658" i="11"/>
  <c r="AB658" i="11"/>
  <c r="AD658" i="11"/>
  <c r="AE658" i="11"/>
  <c r="AF658" i="11"/>
  <c r="AG658" i="11"/>
  <c r="V659" i="11"/>
  <c r="W659" i="11"/>
  <c r="X659" i="11"/>
  <c r="Y659" i="11"/>
  <c r="Z659" i="11"/>
  <c r="AA659" i="11"/>
  <c r="AB659" i="11"/>
  <c r="AD659" i="11"/>
  <c r="AE659" i="11"/>
  <c r="AF659" i="11"/>
  <c r="AG659" i="11"/>
  <c r="V660" i="11"/>
  <c r="W660" i="11"/>
  <c r="X660" i="11"/>
  <c r="Y660" i="11"/>
  <c r="Z660" i="11"/>
  <c r="AA660" i="11"/>
  <c r="AB660" i="11"/>
  <c r="AD660" i="11"/>
  <c r="AE660" i="11"/>
  <c r="AF660" i="11"/>
  <c r="AG660" i="11"/>
  <c r="V661" i="11"/>
  <c r="W661" i="11"/>
  <c r="X661" i="11"/>
  <c r="Y661" i="11"/>
  <c r="Z661" i="11"/>
  <c r="AA661" i="11"/>
  <c r="AB661" i="11"/>
  <c r="AD661" i="11"/>
  <c r="AE661" i="11"/>
  <c r="AF661" i="11"/>
  <c r="AG661" i="11"/>
  <c r="V662" i="11"/>
  <c r="W662" i="11"/>
  <c r="X662" i="11"/>
  <c r="Y662" i="11"/>
  <c r="Z662" i="11"/>
  <c r="AA662" i="11"/>
  <c r="AB662" i="11"/>
  <c r="AD662" i="11"/>
  <c r="AE662" i="11"/>
  <c r="AF662" i="11"/>
  <c r="AG662" i="11"/>
  <c r="V663" i="11"/>
  <c r="W663" i="11"/>
  <c r="X663" i="11"/>
  <c r="Y663" i="11"/>
  <c r="Z663" i="11"/>
  <c r="AA663" i="11"/>
  <c r="AB663" i="11"/>
  <c r="AD663" i="11"/>
  <c r="AE663" i="11"/>
  <c r="AF663" i="11"/>
  <c r="AG663" i="11"/>
  <c r="V664" i="11"/>
  <c r="W664" i="11"/>
  <c r="X664" i="11"/>
  <c r="Y664" i="11"/>
  <c r="Z664" i="11"/>
  <c r="AA664" i="11"/>
  <c r="AB664" i="11"/>
  <c r="AD664" i="11"/>
  <c r="AE664" i="11"/>
  <c r="AF664" i="11"/>
  <c r="AG664" i="11"/>
  <c r="V665" i="11"/>
  <c r="W665" i="11"/>
  <c r="X665" i="11"/>
  <c r="Y665" i="11"/>
  <c r="Z665" i="11"/>
  <c r="AA665" i="11"/>
  <c r="AB665" i="11"/>
  <c r="AD665" i="11"/>
  <c r="AE665" i="11"/>
  <c r="AF665" i="11"/>
  <c r="AG665" i="11"/>
  <c r="V666" i="11"/>
  <c r="W666" i="11"/>
  <c r="X666" i="11"/>
  <c r="Y666" i="11"/>
  <c r="Z666" i="11"/>
  <c r="AA666" i="11"/>
  <c r="AB666" i="11"/>
  <c r="AD666" i="11"/>
  <c r="AE666" i="11"/>
  <c r="AF666" i="11"/>
  <c r="AG666" i="11"/>
  <c r="V667" i="11"/>
  <c r="W667" i="11"/>
  <c r="X667" i="11"/>
  <c r="Y667" i="11"/>
  <c r="Z667" i="11"/>
  <c r="AA667" i="11"/>
  <c r="AB667" i="11"/>
  <c r="AD667" i="11"/>
  <c r="AE667" i="11"/>
  <c r="AF667" i="11"/>
  <c r="AG667" i="11"/>
  <c r="V668" i="11"/>
  <c r="W668" i="11"/>
  <c r="X668" i="11"/>
  <c r="Y668" i="11"/>
  <c r="Z668" i="11"/>
  <c r="AA668" i="11"/>
  <c r="AB668" i="11"/>
  <c r="AD668" i="11"/>
  <c r="AE668" i="11"/>
  <c r="AF668" i="11"/>
  <c r="AG668" i="11"/>
  <c r="V669" i="11"/>
  <c r="W669" i="11"/>
  <c r="X669" i="11"/>
  <c r="Y669" i="11"/>
  <c r="Z669" i="11"/>
  <c r="AA669" i="11"/>
  <c r="AB669" i="11"/>
  <c r="AD669" i="11"/>
  <c r="AE669" i="11"/>
  <c r="AF669" i="11"/>
  <c r="AG669" i="11"/>
  <c r="V670" i="11"/>
  <c r="W670" i="11"/>
  <c r="X670" i="11"/>
  <c r="Y670" i="11"/>
  <c r="Z670" i="11"/>
  <c r="AA670" i="11"/>
  <c r="AB670" i="11"/>
  <c r="AD670" i="11"/>
  <c r="AE670" i="11"/>
  <c r="AF670" i="11"/>
  <c r="AG670" i="11"/>
  <c r="V671" i="11"/>
  <c r="W671" i="11"/>
  <c r="X671" i="11"/>
  <c r="Y671" i="11"/>
  <c r="Z671" i="11"/>
  <c r="AA671" i="11"/>
  <c r="AB671" i="11"/>
  <c r="AD671" i="11"/>
  <c r="AE671" i="11"/>
  <c r="AF671" i="11"/>
  <c r="AG671" i="11"/>
  <c r="V672" i="11"/>
  <c r="W672" i="11"/>
  <c r="X672" i="11"/>
  <c r="Y672" i="11"/>
  <c r="Z672" i="11"/>
  <c r="AA672" i="11"/>
  <c r="AB672" i="11"/>
  <c r="AD672" i="11"/>
  <c r="AE672" i="11"/>
  <c r="AF672" i="11"/>
  <c r="AG672" i="11"/>
  <c r="V673" i="11"/>
  <c r="W673" i="11"/>
  <c r="X673" i="11"/>
  <c r="Y673" i="11"/>
  <c r="Z673" i="11"/>
  <c r="AA673" i="11"/>
  <c r="AB673" i="11"/>
  <c r="AD673" i="11"/>
  <c r="AE673" i="11"/>
  <c r="AF673" i="11"/>
  <c r="AG673" i="11"/>
  <c r="V674" i="11"/>
  <c r="W674" i="11"/>
  <c r="X674" i="11"/>
  <c r="Y674" i="11"/>
  <c r="Z674" i="11"/>
  <c r="AA674" i="11"/>
  <c r="AB674" i="11"/>
  <c r="AD674" i="11"/>
  <c r="AE674" i="11"/>
  <c r="AF674" i="11"/>
  <c r="AG674" i="11"/>
  <c r="V675" i="11"/>
  <c r="W675" i="11"/>
  <c r="X675" i="11"/>
  <c r="Y675" i="11"/>
  <c r="Z675" i="11"/>
  <c r="AA675" i="11"/>
  <c r="AB675" i="11"/>
  <c r="AD675" i="11"/>
  <c r="AE675" i="11"/>
  <c r="AF675" i="11"/>
  <c r="AG675" i="11"/>
  <c r="V676" i="11"/>
  <c r="W676" i="11"/>
  <c r="X676" i="11"/>
  <c r="Y676" i="11"/>
  <c r="Z676" i="11"/>
  <c r="AA676" i="11"/>
  <c r="AB676" i="11"/>
  <c r="AD676" i="11"/>
  <c r="AE676" i="11"/>
  <c r="AF676" i="11"/>
  <c r="AG676" i="11"/>
  <c r="V677" i="11"/>
  <c r="W677" i="11"/>
  <c r="X677" i="11"/>
  <c r="Y677" i="11"/>
  <c r="Z677" i="11"/>
  <c r="AA677" i="11"/>
  <c r="AB677" i="11"/>
  <c r="AD677" i="11"/>
  <c r="AE677" i="11"/>
  <c r="AF677" i="11"/>
  <c r="AG677" i="11"/>
  <c r="V678" i="11"/>
  <c r="W678" i="11"/>
  <c r="X678" i="11"/>
  <c r="Y678" i="11"/>
  <c r="Z678" i="11"/>
  <c r="AA678" i="11"/>
  <c r="AB678" i="11"/>
  <c r="AD678" i="11"/>
  <c r="AE678" i="11"/>
  <c r="AF678" i="11"/>
  <c r="AG678" i="11"/>
  <c r="V679" i="11"/>
  <c r="W679" i="11"/>
  <c r="X679" i="11"/>
  <c r="Y679" i="11"/>
  <c r="Z679" i="11"/>
  <c r="AA679" i="11"/>
  <c r="AB679" i="11"/>
  <c r="AD679" i="11"/>
  <c r="AE679" i="11"/>
  <c r="AF679" i="11"/>
  <c r="AG679" i="11"/>
  <c r="V680" i="11"/>
  <c r="W680" i="11"/>
  <c r="X680" i="11"/>
  <c r="Y680" i="11"/>
  <c r="Z680" i="11"/>
  <c r="AA680" i="11"/>
  <c r="AB680" i="11"/>
  <c r="AD680" i="11"/>
  <c r="AE680" i="11"/>
  <c r="AF680" i="11"/>
  <c r="AG680" i="11"/>
  <c r="V681" i="11"/>
  <c r="W681" i="11"/>
  <c r="X681" i="11"/>
  <c r="Y681" i="11"/>
  <c r="Z681" i="11"/>
  <c r="AA681" i="11"/>
  <c r="AB681" i="11"/>
  <c r="AD681" i="11"/>
  <c r="AE681" i="11"/>
  <c r="AF681" i="11"/>
  <c r="AG681" i="11"/>
  <c r="V682" i="11"/>
  <c r="W682" i="11"/>
  <c r="X682" i="11"/>
  <c r="Y682" i="11"/>
  <c r="Z682" i="11"/>
  <c r="AA682" i="11"/>
  <c r="AB682" i="11"/>
  <c r="AD682" i="11"/>
  <c r="AE682" i="11"/>
  <c r="AF682" i="11"/>
  <c r="AG682" i="11"/>
  <c r="V683" i="11"/>
  <c r="W683" i="11"/>
  <c r="X683" i="11"/>
  <c r="Y683" i="11"/>
  <c r="Z683" i="11"/>
  <c r="AA683" i="11"/>
  <c r="AB683" i="11"/>
  <c r="AD683" i="11"/>
  <c r="AE683" i="11"/>
  <c r="AF683" i="11"/>
  <c r="AG683" i="11"/>
  <c r="V684" i="11"/>
  <c r="W684" i="11"/>
  <c r="X684" i="11"/>
  <c r="Y684" i="11"/>
  <c r="AA684" i="11"/>
  <c r="AB684" i="11"/>
  <c r="AD684" i="11"/>
  <c r="AE684" i="11"/>
  <c r="AF684" i="11"/>
  <c r="AG684" i="11"/>
  <c r="V685" i="11"/>
  <c r="W685" i="11"/>
  <c r="X685" i="11"/>
  <c r="Y685" i="11"/>
  <c r="AA685" i="11"/>
  <c r="AB685" i="11"/>
  <c r="AD685" i="11"/>
  <c r="AE685" i="11"/>
  <c r="AF685" i="11"/>
  <c r="AG685" i="11"/>
  <c r="V686" i="11"/>
  <c r="W686" i="11"/>
  <c r="X686" i="11"/>
  <c r="Y686" i="11"/>
  <c r="AA686" i="11"/>
  <c r="AB686" i="11"/>
  <c r="AD686" i="11"/>
  <c r="AE686" i="11"/>
  <c r="AF686" i="11"/>
  <c r="AG686" i="11"/>
  <c r="V687" i="11"/>
  <c r="W687" i="11"/>
  <c r="X687" i="11"/>
  <c r="Y687" i="11"/>
  <c r="Z687" i="11"/>
  <c r="AA687" i="11"/>
  <c r="AB687" i="11"/>
  <c r="AD687" i="11"/>
  <c r="AE687" i="11"/>
  <c r="AF687" i="11"/>
  <c r="AG687" i="11"/>
  <c r="V688" i="11"/>
  <c r="W688" i="11"/>
  <c r="X688" i="11"/>
  <c r="Y688" i="11"/>
  <c r="AA688" i="11"/>
  <c r="AB688" i="11"/>
  <c r="AD688" i="11"/>
  <c r="AE688" i="11"/>
  <c r="AF688" i="11"/>
  <c r="AG688" i="11"/>
  <c r="V689" i="11"/>
  <c r="W689" i="11"/>
  <c r="X689" i="11"/>
  <c r="Y689" i="11"/>
  <c r="AA689" i="11"/>
  <c r="AB689" i="11"/>
  <c r="AD689" i="11"/>
  <c r="AE689" i="11"/>
  <c r="AF689" i="11"/>
  <c r="AG689" i="11"/>
  <c r="V690" i="11"/>
  <c r="W690" i="11"/>
  <c r="X690" i="11"/>
  <c r="Y690" i="11"/>
  <c r="AA690" i="11"/>
  <c r="AB690" i="11"/>
  <c r="AD690" i="11"/>
  <c r="AE690" i="11"/>
  <c r="AF690" i="11"/>
  <c r="AG690" i="11"/>
  <c r="V691" i="11"/>
  <c r="W691" i="11"/>
  <c r="X691" i="11"/>
  <c r="Y691" i="11"/>
  <c r="AA691" i="11"/>
  <c r="AB691" i="11"/>
  <c r="AD691" i="11"/>
  <c r="AE691" i="11"/>
  <c r="AF691" i="11"/>
  <c r="AG691" i="11"/>
  <c r="V692" i="11"/>
  <c r="W692" i="11"/>
  <c r="X692" i="11"/>
  <c r="Y692" i="11"/>
  <c r="AA692" i="11"/>
  <c r="AB692" i="11"/>
  <c r="AD692" i="11"/>
  <c r="AE692" i="11"/>
  <c r="AF692" i="11"/>
  <c r="AG692" i="11"/>
  <c r="V693" i="11"/>
  <c r="W693" i="11"/>
  <c r="X693" i="11"/>
  <c r="Y693" i="11"/>
  <c r="AA693" i="11"/>
  <c r="AB693" i="11"/>
  <c r="AD693" i="11"/>
  <c r="AE693" i="11"/>
  <c r="AF693" i="11"/>
  <c r="AG693" i="11"/>
  <c r="V694" i="11"/>
  <c r="W694" i="11"/>
  <c r="X694" i="11"/>
  <c r="Y694" i="11"/>
  <c r="AA694" i="11"/>
  <c r="AB694" i="11"/>
  <c r="AD694" i="11"/>
  <c r="AE694" i="11"/>
  <c r="AF694" i="11"/>
  <c r="AG694" i="11"/>
  <c r="V695" i="11"/>
  <c r="W695" i="11"/>
  <c r="X695" i="11"/>
  <c r="Y695" i="11"/>
  <c r="AA695" i="11"/>
  <c r="AB695" i="11"/>
  <c r="AD695" i="11"/>
  <c r="AE695" i="11"/>
  <c r="AF695" i="11"/>
  <c r="AG695" i="11"/>
  <c r="V696" i="11"/>
  <c r="W696" i="11"/>
  <c r="X696" i="11"/>
  <c r="Y696" i="11"/>
  <c r="AA696" i="11"/>
  <c r="AB696" i="11"/>
  <c r="AD696" i="11"/>
  <c r="AE696" i="11"/>
  <c r="AF696" i="11"/>
  <c r="AG696" i="11"/>
  <c r="V697" i="11"/>
  <c r="W697" i="11"/>
  <c r="X697" i="11"/>
  <c r="Y697" i="11"/>
  <c r="AA697" i="11"/>
  <c r="AB697" i="11"/>
  <c r="AD697" i="11"/>
  <c r="AE697" i="11"/>
  <c r="AF697" i="11"/>
  <c r="AG697" i="11"/>
  <c r="V698" i="11"/>
  <c r="W698" i="11"/>
  <c r="X698" i="11"/>
  <c r="Y698" i="11"/>
  <c r="Z698" i="11"/>
  <c r="AA698" i="11"/>
  <c r="AB698" i="11"/>
  <c r="AD698" i="11"/>
  <c r="AE698" i="11"/>
  <c r="AF698" i="11"/>
  <c r="AG698" i="11"/>
  <c r="V699" i="11"/>
  <c r="W699" i="11"/>
  <c r="X699" i="11"/>
  <c r="Y699" i="11"/>
  <c r="Z699" i="11"/>
  <c r="AA699" i="11"/>
  <c r="AB699" i="11"/>
  <c r="AD699" i="11"/>
  <c r="AE699" i="11"/>
  <c r="AF699" i="11"/>
  <c r="AG699" i="11"/>
  <c r="V700" i="11"/>
  <c r="W700" i="11"/>
  <c r="X700" i="11"/>
  <c r="Y700" i="11"/>
  <c r="Z700" i="11"/>
  <c r="AA700" i="11"/>
  <c r="AB700" i="11"/>
  <c r="AD700" i="11"/>
  <c r="AE700" i="11"/>
  <c r="AF700" i="11"/>
  <c r="AG700" i="11"/>
  <c r="V701" i="11"/>
  <c r="W701" i="11"/>
  <c r="X701" i="11"/>
  <c r="Y701" i="11"/>
  <c r="Z701" i="11"/>
  <c r="AA701" i="11"/>
  <c r="AB701" i="11"/>
  <c r="AD701" i="11"/>
  <c r="AE701" i="11"/>
  <c r="AF701" i="11"/>
  <c r="AG701" i="11"/>
  <c r="V702" i="11"/>
  <c r="W702" i="11"/>
  <c r="X702" i="11"/>
  <c r="Y702" i="11"/>
  <c r="Z702" i="11"/>
  <c r="AA702" i="11"/>
  <c r="AB702" i="11"/>
  <c r="AD702" i="11"/>
  <c r="AE702" i="11"/>
  <c r="AF702" i="11"/>
  <c r="AG702" i="11"/>
  <c r="V703" i="11"/>
  <c r="W703" i="11"/>
  <c r="X703" i="11"/>
  <c r="Y703" i="11"/>
  <c r="Z703" i="11"/>
  <c r="AA703" i="11"/>
  <c r="AB703" i="11"/>
  <c r="AD703" i="11"/>
  <c r="AE703" i="11"/>
  <c r="AF703" i="11"/>
  <c r="AG703" i="11"/>
  <c r="V704" i="11"/>
  <c r="W704" i="11"/>
  <c r="X704" i="11"/>
  <c r="Y704" i="11"/>
  <c r="Z704" i="11"/>
  <c r="AA704" i="11"/>
  <c r="AB704" i="11"/>
  <c r="AD704" i="11"/>
  <c r="AE704" i="11"/>
  <c r="AF704" i="11"/>
  <c r="AG704" i="11"/>
  <c r="V705" i="11"/>
  <c r="W705" i="11"/>
  <c r="X705" i="11"/>
  <c r="Y705" i="11"/>
  <c r="Z705" i="11"/>
  <c r="AA705" i="11"/>
  <c r="AB705" i="11"/>
  <c r="AD705" i="11"/>
  <c r="AE705" i="11"/>
  <c r="AF705" i="11"/>
  <c r="AG705" i="11"/>
  <c r="V706" i="11"/>
  <c r="W706" i="11"/>
  <c r="X706" i="11"/>
  <c r="Y706" i="11"/>
  <c r="Z706" i="11"/>
  <c r="AA706" i="11"/>
  <c r="AB706" i="11"/>
  <c r="AD706" i="11"/>
  <c r="AE706" i="11"/>
  <c r="AF706" i="11"/>
  <c r="AG706" i="11"/>
  <c r="V707" i="11"/>
  <c r="W707" i="11"/>
  <c r="X707" i="11"/>
  <c r="Y707" i="11"/>
  <c r="Z707" i="11"/>
  <c r="AA707" i="11"/>
  <c r="AB707" i="11"/>
  <c r="AD707" i="11"/>
  <c r="AE707" i="11"/>
  <c r="AF707" i="11"/>
  <c r="AG707" i="11"/>
  <c r="V708" i="11"/>
  <c r="W708" i="11"/>
  <c r="X708" i="11"/>
  <c r="Y708" i="11"/>
  <c r="Z708" i="11"/>
  <c r="AA708" i="11"/>
  <c r="AB708" i="11"/>
  <c r="AD708" i="11"/>
  <c r="AE708" i="11"/>
  <c r="AF708" i="11"/>
  <c r="AG708" i="11"/>
  <c r="Z459" i="11"/>
  <c r="Z475" i="11"/>
  <c r="Z718" i="11"/>
  <c r="Z329" i="11"/>
  <c r="Z1204" i="11"/>
  <c r="Z1127" i="11"/>
  <c r="Z1120" i="11"/>
  <c r="Z1089" i="11"/>
  <c r="Z237" i="11"/>
  <c r="Z1240" i="11"/>
  <c r="Z985" i="11"/>
  <c r="Z932" i="11"/>
  <c r="Z931" i="11"/>
  <c r="Z1227" i="11"/>
  <c r="Z1165" i="11"/>
  <c r="Z1095" i="11"/>
  <c r="Z1091" i="11"/>
  <c r="Z1020" i="11"/>
  <c r="Z1121" i="11"/>
  <c r="Z1094" i="11"/>
  <c r="Z1203" i="11"/>
  <c r="Z930" i="11"/>
  <c r="Z457" i="11"/>
  <c r="Z325" i="11"/>
  <c r="Z1134" i="11"/>
  <c r="Z456" i="11"/>
  <c r="Z344" i="11"/>
  <c r="Z300" i="11"/>
  <c r="Z1185" i="11"/>
  <c r="Z822" i="11"/>
  <c r="Z1092" i="11"/>
  <c r="Z1186" i="11"/>
  <c r="Z965" i="11"/>
  <c r="Z1093" i="11"/>
  <c r="Z1090" i="11"/>
  <c r="Z695" i="11"/>
  <c r="Z937" i="11"/>
  <c r="Z939" i="11"/>
  <c r="Z935" i="11"/>
  <c r="Z942" i="11"/>
  <c r="Z690" i="11"/>
  <c r="Z933" i="11"/>
  <c r="Z943" i="11"/>
  <c r="Z940" i="11"/>
  <c r="Z688" i="11"/>
  <c r="Z280" i="11"/>
  <c r="Z694" i="11"/>
  <c r="Z279" i="11"/>
  <c r="Z262" i="11"/>
  <c r="Z684" i="11"/>
  <c r="Z281" i="11"/>
  <c r="Z692" i="11"/>
  <c r="Z277" i="11"/>
  <c r="Z693" i="11"/>
  <c r="Z686" i="11"/>
  <c r="Z685" i="11"/>
  <c r="Z691" i="11"/>
  <c r="Z697" i="11"/>
  <c r="Z936" i="11"/>
  <c r="Z696" i="11"/>
  <c r="Z689" i="11"/>
  <c r="Z941" i="11"/>
  <c r="Z934" i="11"/>
  <c r="Z938" i="11"/>
  <c r="Z282" i="11"/>
  <c r="Z278" i="11"/>
  <c r="AA109" i="11"/>
  <c r="AA110" i="11"/>
  <c r="AA111" i="11"/>
  <c r="AA106" i="11"/>
  <c r="AA107" i="11"/>
  <c r="AA108" i="11"/>
  <c r="AA112" i="11"/>
  <c r="Z8" i="11"/>
  <c r="Z9" i="11"/>
  <c r="Z10" i="11"/>
  <c r="Z11" i="11"/>
  <c r="Z12" i="11"/>
  <c r="Z13" i="11"/>
  <c r="Z14" i="11"/>
  <c r="Z15" i="11"/>
  <c r="Z16" i="11"/>
  <c r="Z17" i="11"/>
  <c r="Z18" i="11"/>
  <c r="Z19" i="11"/>
  <c r="Z20" i="11"/>
  <c r="Z21" i="11"/>
  <c r="Z22" i="11"/>
  <c r="Z23" i="11"/>
  <c r="Z24" i="11"/>
  <c r="Z25" i="11"/>
  <c r="Z26" i="11"/>
  <c r="Z27" i="11"/>
  <c r="Z28" i="11"/>
  <c r="Z29" i="11"/>
  <c r="Z30" i="11"/>
  <c r="Z31" i="11"/>
  <c r="Z32" i="11"/>
  <c r="Z33" i="11"/>
  <c r="Z34" i="11"/>
  <c r="Z35" i="11"/>
  <c r="Z36" i="11"/>
  <c r="Z37" i="11"/>
  <c r="Z38" i="11"/>
  <c r="Z39" i="11"/>
  <c r="Z40" i="11"/>
  <c r="Z41" i="11"/>
  <c r="Z42" i="11"/>
  <c r="Z43" i="11"/>
  <c r="Z44" i="11"/>
  <c r="Z45" i="11"/>
  <c r="Z46" i="11"/>
  <c r="Z47" i="11"/>
  <c r="Z48" i="11"/>
  <c r="Z49" i="11"/>
  <c r="Z50" i="11"/>
  <c r="Z51" i="11"/>
  <c r="Z52" i="11"/>
  <c r="Z53" i="11"/>
  <c r="Z54" i="11"/>
  <c r="Z55" i="11"/>
  <c r="Z56" i="11"/>
  <c r="Z57" i="11"/>
  <c r="Z58" i="11"/>
  <c r="Z59" i="11"/>
  <c r="Z60" i="11"/>
  <c r="Z61" i="11"/>
  <c r="Z62" i="11"/>
  <c r="Z63" i="11"/>
  <c r="Z64" i="11"/>
  <c r="Z65" i="11"/>
  <c r="Z66" i="11"/>
  <c r="Z67" i="11"/>
  <c r="Z68" i="11"/>
  <c r="Z69" i="11"/>
  <c r="Z70" i="11"/>
  <c r="Z71" i="11"/>
  <c r="Z72" i="11"/>
  <c r="Z73" i="11"/>
  <c r="Z74" i="11"/>
  <c r="Z75" i="11"/>
  <c r="Z76" i="11"/>
  <c r="Z77" i="11"/>
  <c r="Z78" i="11"/>
  <c r="Z79" i="11"/>
  <c r="Z80" i="11"/>
  <c r="Z81" i="11"/>
  <c r="Z83" i="11"/>
  <c r="Z84" i="11"/>
  <c r="Z85" i="11"/>
  <c r="Z86" i="11"/>
  <c r="Z87" i="11"/>
  <c r="Z88" i="11"/>
  <c r="Z89" i="11"/>
  <c r="Z90" i="11"/>
  <c r="Z91" i="11"/>
  <c r="Z92" i="11"/>
  <c r="Z93" i="11"/>
  <c r="Z94" i="11"/>
  <c r="Z95" i="11"/>
  <c r="Z96" i="11"/>
  <c r="Z97" i="11"/>
  <c r="Z98" i="11"/>
  <c r="Z99" i="11"/>
  <c r="Z100" i="11"/>
  <c r="Z102" i="11"/>
  <c r="Z103" i="11"/>
  <c r="Z104" i="11"/>
  <c r="Z105" i="11"/>
  <c r="Z113" i="11"/>
  <c r="Z114" i="11"/>
  <c r="Z115" i="11"/>
  <c r="Z116" i="11"/>
  <c r="Z118" i="11"/>
  <c r="Z119" i="11"/>
  <c r="Z120" i="11"/>
  <c r="Z121" i="11"/>
  <c r="Z122" i="11"/>
  <c r="Z123" i="11"/>
  <c r="Z124" i="11"/>
  <c r="Z125" i="11"/>
  <c r="Z126" i="11"/>
  <c r="Z127" i="11"/>
  <c r="Z128" i="11"/>
  <c r="Z129" i="11"/>
  <c r="Z130" i="11"/>
  <c r="Z132" i="11"/>
  <c r="Z133" i="11"/>
  <c r="Z134" i="11"/>
  <c r="Z136" i="11"/>
  <c r="Z138" i="11"/>
  <c r="Z139" i="11"/>
  <c r="Z140" i="11"/>
  <c r="Z141" i="11"/>
  <c r="Z142" i="11"/>
  <c r="Z143" i="11"/>
  <c r="Z144" i="11"/>
  <c r="Z145" i="11"/>
  <c r="Z146" i="11"/>
  <c r="Z147" i="11"/>
  <c r="Z148" i="11"/>
  <c r="Z150" i="11"/>
  <c r="Z151" i="11"/>
  <c r="Z152" i="11"/>
  <c r="Z153" i="11"/>
  <c r="Z154" i="11"/>
  <c r="Z158" i="11"/>
  <c r="Z161" i="11"/>
  <c r="Z162" i="11"/>
  <c r="Z163" i="11"/>
  <c r="Z164" i="11"/>
  <c r="Z166" i="11"/>
  <c r="Z167" i="11"/>
  <c r="Z168" i="11"/>
  <c r="Z169" i="11"/>
  <c r="Z170" i="11"/>
  <c r="Z171" i="11"/>
  <c r="Z172" i="11"/>
  <c r="Z173" i="11"/>
  <c r="Z174" i="11"/>
  <c r="Z175" i="11"/>
  <c r="Z176" i="11"/>
  <c r="Z177" i="11"/>
  <c r="Z178" i="11"/>
  <c r="Z179" i="11"/>
  <c r="Z180" i="11"/>
  <c r="Z181" i="11"/>
  <c r="Z183" i="11"/>
  <c r="Z184" i="11"/>
  <c r="Z185" i="11"/>
  <c r="Z186" i="11"/>
  <c r="Z187" i="11"/>
  <c r="Z188" i="11"/>
  <c r="Z189" i="11"/>
  <c r="Z190" i="11"/>
  <c r="Z191" i="11"/>
  <c r="Z192" i="11"/>
  <c r="Z193" i="11"/>
  <c r="Z194" i="11"/>
  <c r="Z195" i="11"/>
  <c r="Z196" i="11"/>
  <c r="Z199" i="11"/>
  <c r="Z200" i="11"/>
  <c r="Z201" i="11"/>
  <c r="Z202" i="11"/>
  <c r="Z203" i="11"/>
  <c r="Z204" i="11"/>
  <c r="Z205" i="11"/>
  <c r="Z206" i="11"/>
  <c r="Z207" i="11"/>
  <c r="Z208" i="11"/>
  <c r="Z210" i="11"/>
  <c r="Z211" i="11"/>
  <c r="Z212" i="11"/>
  <c r="Z213" i="11"/>
  <c r="Z214" i="11"/>
  <c r="Z215" i="11"/>
  <c r="Z216" i="11"/>
  <c r="Z217" i="11"/>
  <c r="Z218" i="11"/>
  <c r="Z219" i="11"/>
  <c r="Z220" i="11"/>
  <c r="Z221" i="11"/>
  <c r="Z222" i="11"/>
  <c r="Z224" i="11"/>
  <c r="Z225" i="11"/>
  <c r="Z226" i="11"/>
  <c r="Z227" i="11"/>
  <c r="Z228" i="11"/>
  <c r="Z229" i="11"/>
  <c r="Z230" i="11"/>
  <c r="Z231" i="11"/>
  <c r="Z232" i="11"/>
  <c r="Z233" i="11"/>
  <c r="Z234" i="11"/>
  <c r="Z7" i="11"/>
  <c r="I23" i="25"/>
  <c r="E23" i="25"/>
  <c r="AJ56" i="11"/>
  <c r="F23" i="25"/>
  <c r="AL56" i="11"/>
  <c r="H13" i="25"/>
  <c r="H11" i="25"/>
  <c r="H5" i="25"/>
  <c r="H6" i="25"/>
  <c r="H4" i="25"/>
  <c r="AG8" i="11"/>
  <c r="AG9" i="11"/>
  <c r="AG10" i="11"/>
  <c r="AG11" i="11"/>
  <c r="AG12" i="11"/>
  <c r="AG13" i="11"/>
  <c r="AG14" i="11"/>
  <c r="AG15" i="11"/>
  <c r="AG16" i="11"/>
  <c r="AG17" i="11"/>
  <c r="AG18" i="11"/>
  <c r="AG19" i="11"/>
  <c r="AG20" i="11"/>
  <c r="AG21" i="11"/>
  <c r="AG22" i="11"/>
  <c r="AG23" i="11"/>
  <c r="AG24" i="11"/>
  <c r="AG25" i="11"/>
  <c r="AG26" i="11"/>
  <c r="AG27" i="11"/>
  <c r="AG28" i="11"/>
  <c r="AG29" i="11"/>
  <c r="AG30" i="11"/>
  <c r="AG31" i="11"/>
  <c r="AG32" i="11"/>
  <c r="AG33" i="11"/>
  <c r="AG34" i="11"/>
  <c r="AG35" i="11"/>
  <c r="AG36" i="11"/>
  <c r="AG37" i="11"/>
  <c r="AG38" i="11"/>
  <c r="AG39" i="11"/>
  <c r="AG40" i="11"/>
  <c r="AG41" i="11"/>
  <c r="AG42" i="11"/>
  <c r="AG43" i="11"/>
  <c r="AG44" i="11"/>
  <c r="AG45" i="11"/>
  <c r="AG46" i="11"/>
  <c r="AG47" i="11"/>
  <c r="AG48" i="11"/>
  <c r="AG49" i="11"/>
  <c r="AG50" i="11"/>
  <c r="AG51" i="11"/>
  <c r="AG52" i="11"/>
  <c r="AG53" i="11"/>
  <c r="AG54" i="11"/>
  <c r="AG55" i="11"/>
  <c r="AG56" i="11"/>
  <c r="AG57" i="11"/>
  <c r="AG58" i="11"/>
  <c r="AG59" i="11"/>
  <c r="AG60" i="11"/>
  <c r="AG61" i="11"/>
  <c r="AG62" i="11"/>
  <c r="AG63" i="11"/>
  <c r="AG64" i="11"/>
  <c r="AG65" i="11"/>
  <c r="AG66" i="11"/>
  <c r="AG67" i="11"/>
  <c r="AG68" i="11"/>
  <c r="AG69" i="11"/>
  <c r="AG70" i="11"/>
  <c r="AG71" i="11"/>
  <c r="AG72" i="11"/>
  <c r="AG73" i="11"/>
  <c r="AG74" i="11"/>
  <c r="AG75" i="11"/>
  <c r="AG76" i="11"/>
  <c r="AG77" i="11"/>
  <c r="AG78" i="11"/>
  <c r="AG79" i="11"/>
  <c r="AG80" i="11"/>
  <c r="AG81" i="11"/>
  <c r="AG82" i="11"/>
  <c r="AG83" i="11"/>
  <c r="AG84" i="11"/>
  <c r="AG85" i="11"/>
  <c r="AG86" i="11"/>
  <c r="AG87" i="11"/>
  <c r="AG88" i="11"/>
  <c r="AG89" i="11"/>
  <c r="AG90" i="11"/>
  <c r="AG91" i="11"/>
  <c r="AG92" i="11"/>
  <c r="AG93" i="11"/>
  <c r="AG94" i="11"/>
  <c r="AG95" i="11"/>
  <c r="AG96" i="11"/>
  <c r="AG97" i="11"/>
  <c r="AG98" i="11"/>
  <c r="AG99" i="11"/>
  <c r="AG100" i="11"/>
  <c r="AG101" i="11"/>
  <c r="AG102" i="11"/>
  <c r="AG103" i="11"/>
  <c r="AG104" i="11"/>
  <c r="AG105" i="11"/>
  <c r="AG113" i="11"/>
  <c r="AG114" i="11"/>
  <c r="AG115" i="11"/>
  <c r="AG116" i="11"/>
  <c r="AG117" i="11"/>
  <c r="AG118" i="11"/>
  <c r="AG119" i="11"/>
  <c r="AG120" i="11"/>
  <c r="AG121" i="11"/>
  <c r="AG122" i="11"/>
  <c r="AG123" i="11"/>
  <c r="AG124" i="11"/>
  <c r="AG125" i="11"/>
  <c r="AG126" i="11"/>
  <c r="AG127" i="11"/>
  <c r="AG128" i="11"/>
  <c r="AG129" i="11"/>
  <c r="AG130" i="11"/>
  <c r="AG131" i="11"/>
  <c r="AG132" i="11"/>
  <c r="AG133" i="11"/>
  <c r="AG134" i="11"/>
  <c r="AG135" i="11"/>
  <c r="AG136" i="11"/>
  <c r="AG137" i="11"/>
  <c r="AG138" i="11"/>
  <c r="AG139" i="11"/>
  <c r="AG140" i="11"/>
  <c r="AG141" i="11"/>
  <c r="AG142" i="11"/>
  <c r="AG143" i="11"/>
  <c r="AG144" i="11"/>
  <c r="AG145" i="11"/>
  <c r="AG146" i="11"/>
  <c r="AG147" i="11"/>
  <c r="AG148" i="11"/>
  <c r="AG149" i="11"/>
  <c r="AG150" i="11"/>
  <c r="AG151" i="11"/>
  <c r="AG152" i="11"/>
  <c r="AG153" i="11"/>
  <c r="AG154" i="11"/>
  <c r="AG155" i="11"/>
  <c r="AG156" i="11"/>
  <c r="AG157" i="11"/>
  <c r="AG158" i="11"/>
  <c r="AG159" i="11"/>
  <c r="AG160" i="11"/>
  <c r="AG161" i="11"/>
  <c r="AG162" i="11"/>
  <c r="AG163" i="11"/>
  <c r="AG164" i="11"/>
  <c r="AG165" i="11"/>
  <c r="AG166" i="11"/>
  <c r="AG167" i="11"/>
  <c r="AG168" i="11"/>
  <c r="AG169" i="11"/>
  <c r="AG170" i="11"/>
  <c r="AG171" i="11"/>
  <c r="AG172" i="11"/>
  <c r="AG173" i="11"/>
  <c r="AG174" i="11"/>
  <c r="AG175" i="11"/>
  <c r="AG176" i="11"/>
  <c r="AG177" i="11"/>
  <c r="AG178" i="11"/>
  <c r="AG179" i="11"/>
  <c r="AG180" i="11"/>
  <c r="AG181" i="11"/>
  <c r="AG182" i="11"/>
  <c r="AG183" i="11"/>
  <c r="AG184" i="11"/>
  <c r="AG185" i="11"/>
  <c r="AG186" i="11"/>
  <c r="AG187" i="11"/>
  <c r="AG188" i="11"/>
  <c r="AG189" i="11"/>
  <c r="AG190" i="11"/>
  <c r="AG191" i="11"/>
  <c r="AG192" i="11"/>
  <c r="AG193" i="11"/>
  <c r="AG194" i="11"/>
  <c r="AG195" i="11"/>
  <c r="AG196" i="11"/>
  <c r="AG197" i="11"/>
  <c r="AG198" i="11"/>
  <c r="AG199" i="11"/>
  <c r="AG200" i="11"/>
  <c r="AG201" i="11"/>
  <c r="AG202" i="11"/>
  <c r="AG203" i="11"/>
  <c r="AG204" i="11"/>
  <c r="AG205" i="11"/>
  <c r="AG206" i="11"/>
  <c r="AG207" i="11"/>
  <c r="AG208" i="11"/>
  <c r="AG209" i="11"/>
  <c r="AG210" i="11"/>
  <c r="AG211" i="11"/>
  <c r="AG212" i="11"/>
  <c r="AG213" i="11"/>
  <c r="AG214" i="11"/>
  <c r="AG215" i="11"/>
  <c r="AG216" i="11"/>
  <c r="AG217" i="11"/>
  <c r="AG218" i="11"/>
  <c r="AG219" i="11"/>
  <c r="AG220" i="11"/>
  <c r="AG221" i="11"/>
  <c r="AG222" i="11"/>
  <c r="AG223" i="11"/>
  <c r="AG224" i="11"/>
  <c r="AG225" i="11"/>
  <c r="AG226" i="11"/>
  <c r="AG227" i="11"/>
  <c r="AG228" i="11"/>
  <c r="AG229" i="11"/>
  <c r="AG230" i="11"/>
  <c r="AG231" i="11"/>
  <c r="AG232" i="11"/>
  <c r="AG233" i="11"/>
  <c r="AG234" i="11"/>
  <c r="AG7" i="11"/>
  <c r="AF8" i="11"/>
  <c r="AF9" i="11"/>
  <c r="AF10" i="11"/>
  <c r="AF11" i="11"/>
  <c r="AF12" i="11"/>
  <c r="AF13" i="11"/>
  <c r="AF14" i="11"/>
  <c r="AF15" i="11"/>
  <c r="AF16" i="11"/>
  <c r="AF17" i="11"/>
  <c r="AF18" i="11"/>
  <c r="AF19" i="11"/>
  <c r="AF20" i="11"/>
  <c r="AF21" i="11"/>
  <c r="AF22" i="11"/>
  <c r="AF23" i="11"/>
  <c r="AF24" i="11"/>
  <c r="AF25" i="11"/>
  <c r="AF26" i="11"/>
  <c r="AF27" i="11"/>
  <c r="AF28" i="11"/>
  <c r="AF29" i="11"/>
  <c r="AF30" i="11"/>
  <c r="AF31" i="11"/>
  <c r="AF32" i="11"/>
  <c r="AF33" i="11"/>
  <c r="AF34" i="11"/>
  <c r="AF35" i="11"/>
  <c r="AF36" i="11"/>
  <c r="AF37" i="11"/>
  <c r="AF38" i="11"/>
  <c r="AF39" i="11"/>
  <c r="AF40" i="11"/>
  <c r="AF41" i="11"/>
  <c r="AF42" i="11"/>
  <c r="AF43" i="11"/>
  <c r="AF44" i="11"/>
  <c r="AF45" i="11"/>
  <c r="AF46" i="11"/>
  <c r="AF47" i="11"/>
  <c r="AF48" i="11"/>
  <c r="AF49" i="11"/>
  <c r="AF50" i="11"/>
  <c r="AF51" i="11"/>
  <c r="AF52" i="11"/>
  <c r="AF53" i="11"/>
  <c r="AF54" i="11"/>
  <c r="AF55" i="11"/>
  <c r="AF56" i="11"/>
  <c r="AF57" i="11"/>
  <c r="AF58" i="11"/>
  <c r="AF59" i="11"/>
  <c r="AF60" i="11"/>
  <c r="AF61" i="11"/>
  <c r="AF62" i="11"/>
  <c r="AF63" i="11"/>
  <c r="AF64" i="11"/>
  <c r="AF65" i="11"/>
  <c r="AF66" i="11"/>
  <c r="AF67" i="11"/>
  <c r="AF68" i="11"/>
  <c r="AF69" i="11"/>
  <c r="AF70" i="11"/>
  <c r="AF71" i="11"/>
  <c r="AF72" i="11"/>
  <c r="AF73" i="11"/>
  <c r="AF74" i="11"/>
  <c r="AF75" i="11"/>
  <c r="AF76" i="11"/>
  <c r="AF77" i="11"/>
  <c r="AF78" i="11"/>
  <c r="AF79" i="11"/>
  <c r="AF80" i="11"/>
  <c r="AF81" i="11"/>
  <c r="AF82" i="11"/>
  <c r="AF83" i="11"/>
  <c r="AF84" i="11"/>
  <c r="AF85" i="11"/>
  <c r="AF86" i="11"/>
  <c r="AF87" i="11"/>
  <c r="AF88" i="11"/>
  <c r="AF89" i="11"/>
  <c r="AF90" i="11"/>
  <c r="AF91" i="11"/>
  <c r="AF92" i="11"/>
  <c r="AF93" i="11"/>
  <c r="AF94" i="11"/>
  <c r="AF95" i="11"/>
  <c r="AF96" i="11"/>
  <c r="AF97" i="11"/>
  <c r="AF98" i="11"/>
  <c r="AF99" i="11"/>
  <c r="AF100" i="11"/>
  <c r="AF101" i="11"/>
  <c r="AF102" i="11"/>
  <c r="AF103" i="11"/>
  <c r="AF104" i="11"/>
  <c r="AF105" i="11"/>
  <c r="AF113" i="11"/>
  <c r="AF114" i="11"/>
  <c r="AF115" i="11"/>
  <c r="AF116" i="11"/>
  <c r="AF117" i="11"/>
  <c r="AF118" i="11"/>
  <c r="AF119" i="11"/>
  <c r="AF120" i="11"/>
  <c r="AF121" i="11"/>
  <c r="AF122" i="11"/>
  <c r="AF123" i="11"/>
  <c r="AF124" i="11"/>
  <c r="AF125" i="11"/>
  <c r="AF126" i="11"/>
  <c r="AF127" i="11"/>
  <c r="AF128" i="11"/>
  <c r="AF129" i="11"/>
  <c r="AF130" i="11"/>
  <c r="AF131" i="11"/>
  <c r="AF132" i="11"/>
  <c r="AF133" i="11"/>
  <c r="AF134" i="11"/>
  <c r="AF135" i="11"/>
  <c r="AF136" i="11"/>
  <c r="AF137" i="11"/>
  <c r="AF138" i="11"/>
  <c r="AF139" i="11"/>
  <c r="AF140" i="11"/>
  <c r="AF141" i="11"/>
  <c r="AF142" i="11"/>
  <c r="AF143" i="11"/>
  <c r="AF144" i="11"/>
  <c r="AF145" i="11"/>
  <c r="AF146" i="11"/>
  <c r="AF147" i="11"/>
  <c r="AF148" i="11"/>
  <c r="AF149" i="11"/>
  <c r="AF150" i="11"/>
  <c r="AF151" i="11"/>
  <c r="AF152" i="11"/>
  <c r="AF153" i="11"/>
  <c r="AF154" i="11"/>
  <c r="AF155" i="11"/>
  <c r="AF156" i="11"/>
  <c r="AF157" i="11"/>
  <c r="AF158" i="11"/>
  <c r="AF159" i="11"/>
  <c r="AF160" i="11"/>
  <c r="AF161" i="11"/>
  <c r="AF162" i="11"/>
  <c r="AF163" i="11"/>
  <c r="AF164" i="11"/>
  <c r="AF165" i="11"/>
  <c r="AF166" i="11"/>
  <c r="AF167" i="11"/>
  <c r="AF168" i="11"/>
  <c r="AF169" i="11"/>
  <c r="AF170" i="11"/>
  <c r="AF171" i="11"/>
  <c r="AF172" i="11"/>
  <c r="AF173" i="11"/>
  <c r="AF174" i="11"/>
  <c r="AF175" i="11"/>
  <c r="AF176" i="11"/>
  <c r="AF177" i="11"/>
  <c r="AF178" i="11"/>
  <c r="AF179" i="11"/>
  <c r="AF180" i="11"/>
  <c r="AF181" i="11"/>
  <c r="AF182" i="11"/>
  <c r="AF183" i="11"/>
  <c r="AF184" i="11"/>
  <c r="AF185" i="11"/>
  <c r="AF186" i="11"/>
  <c r="AF187" i="11"/>
  <c r="AF188" i="11"/>
  <c r="AF189" i="11"/>
  <c r="AF190" i="11"/>
  <c r="AF191" i="11"/>
  <c r="AF192" i="11"/>
  <c r="AF193" i="11"/>
  <c r="AF194" i="11"/>
  <c r="AF195" i="11"/>
  <c r="AF196" i="11"/>
  <c r="AF197" i="11"/>
  <c r="AF198" i="11"/>
  <c r="AF199" i="11"/>
  <c r="AF200" i="11"/>
  <c r="AF201" i="11"/>
  <c r="AF202" i="11"/>
  <c r="AF203" i="11"/>
  <c r="AF204" i="11"/>
  <c r="AF205" i="11"/>
  <c r="AF206" i="11"/>
  <c r="AF207" i="11"/>
  <c r="AF208" i="11"/>
  <c r="AF209" i="11"/>
  <c r="AF210" i="11"/>
  <c r="AF211" i="11"/>
  <c r="AF212" i="11"/>
  <c r="AF213" i="11"/>
  <c r="AF214" i="11"/>
  <c r="AF215" i="11"/>
  <c r="AF216" i="11"/>
  <c r="AF217" i="11"/>
  <c r="AF218" i="11"/>
  <c r="AF219" i="11"/>
  <c r="AF220" i="11"/>
  <c r="AF221" i="11"/>
  <c r="AF222" i="11"/>
  <c r="AF223" i="11"/>
  <c r="AF224" i="11"/>
  <c r="AF225" i="11"/>
  <c r="AF226" i="11"/>
  <c r="AF227" i="11"/>
  <c r="AF228" i="11"/>
  <c r="AF229" i="11"/>
  <c r="AF230" i="11"/>
  <c r="AF231" i="11"/>
  <c r="AF232" i="11"/>
  <c r="AF233" i="11"/>
  <c r="AF234" i="11"/>
  <c r="AF7" i="11"/>
  <c r="AE8" i="11"/>
  <c r="AE9" i="11"/>
  <c r="AE10" i="11"/>
  <c r="AE11" i="11"/>
  <c r="AE12" i="11"/>
  <c r="AE13" i="11"/>
  <c r="AE14" i="11"/>
  <c r="AE15" i="11"/>
  <c r="AE16" i="11"/>
  <c r="AE17" i="11"/>
  <c r="AE18" i="11"/>
  <c r="AE19" i="11"/>
  <c r="AE20" i="11"/>
  <c r="AE21" i="11"/>
  <c r="AE22" i="11"/>
  <c r="AE23" i="11"/>
  <c r="AE24" i="11"/>
  <c r="AE25" i="11"/>
  <c r="AE26" i="11"/>
  <c r="AE27" i="11"/>
  <c r="AE28" i="11"/>
  <c r="AE29" i="11"/>
  <c r="AE30" i="11"/>
  <c r="AE31" i="11"/>
  <c r="AE32" i="11"/>
  <c r="AE33" i="11"/>
  <c r="AE34" i="11"/>
  <c r="AE35" i="11"/>
  <c r="AE36" i="11"/>
  <c r="AE37" i="11"/>
  <c r="AE38" i="11"/>
  <c r="AE39" i="11"/>
  <c r="AE40" i="11"/>
  <c r="AE41" i="11"/>
  <c r="AE42" i="11"/>
  <c r="AE43" i="11"/>
  <c r="AE44" i="11"/>
  <c r="AE45" i="11"/>
  <c r="AE46" i="11"/>
  <c r="AE47" i="11"/>
  <c r="AE48" i="11"/>
  <c r="AE49" i="11"/>
  <c r="AE50" i="11"/>
  <c r="AE51" i="11"/>
  <c r="AE52" i="11"/>
  <c r="AE53" i="11"/>
  <c r="AE54" i="11"/>
  <c r="AE55" i="11"/>
  <c r="AE56" i="11"/>
  <c r="AE57" i="11"/>
  <c r="AE58" i="11"/>
  <c r="AE59" i="11"/>
  <c r="AE60" i="11"/>
  <c r="AE61" i="11"/>
  <c r="AE62" i="11"/>
  <c r="AE63" i="11"/>
  <c r="AE64" i="11"/>
  <c r="AE65" i="11"/>
  <c r="AE66" i="11"/>
  <c r="AE67" i="11"/>
  <c r="AE68" i="11"/>
  <c r="AE69" i="11"/>
  <c r="AE70" i="11"/>
  <c r="AE71" i="11"/>
  <c r="AE72" i="11"/>
  <c r="AE73" i="11"/>
  <c r="AE74" i="11"/>
  <c r="AE75" i="11"/>
  <c r="AE76" i="11"/>
  <c r="AE77" i="11"/>
  <c r="AE78" i="11"/>
  <c r="AE79" i="11"/>
  <c r="AE80" i="11"/>
  <c r="AE81" i="11"/>
  <c r="AE82" i="11"/>
  <c r="AE83" i="11"/>
  <c r="AE84" i="11"/>
  <c r="AE85" i="11"/>
  <c r="AE86" i="11"/>
  <c r="AE87" i="11"/>
  <c r="AE88" i="11"/>
  <c r="AE89" i="11"/>
  <c r="AE90" i="11"/>
  <c r="AE91" i="11"/>
  <c r="AE92" i="11"/>
  <c r="AE93" i="11"/>
  <c r="AE94" i="11"/>
  <c r="AE95" i="11"/>
  <c r="AE96" i="11"/>
  <c r="AE97" i="11"/>
  <c r="AE98" i="11"/>
  <c r="AE99" i="11"/>
  <c r="AE100" i="11"/>
  <c r="AE101" i="11"/>
  <c r="AE102" i="11"/>
  <c r="AE103" i="11"/>
  <c r="AE104" i="11"/>
  <c r="AE105" i="11"/>
  <c r="AE113" i="11"/>
  <c r="AE114" i="11"/>
  <c r="AE115" i="11"/>
  <c r="AE116" i="11"/>
  <c r="AE117" i="11"/>
  <c r="AE118" i="11"/>
  <c r="AE119" i="11"/>
  <c r="AE120" i="11"/>
  <c r="AE121" i="11"/>
  <c r="AE122" i="11"/>
  <c r="AE123" i="11"/>
  <c r="AE124" i="11"/>
  <c r="AE125" i="11"/>
  <c r="AE126" i="11"/>
  <c r="AE127" i="11"/>
  <c r="AE128" i="11"/>
  <c r="AE129" i="11"/>
  <c r="AE130" i="11"/>
  <c r="AE131" i="11"/>
  <c r="AE132" i="11"/>
  <c r="AE133" i="11"/>
  <c r="AE134" i="11"/>
  <c r="AE135" i="11"/>
  <c r="AE136" i="11"/>
  <c r="AE137" i="11"/>
  <c r="AE138" i="11"/>
  <c r="AE139" i="11"/>
  <c r="AE140" i="11"/>
  <c r="AE141" i="11"/>
  <c r="AE142" i="11"/>
  <c r="AE143" i="11"/>
  <c r="AE144" i="11"/>
  <c r="AE145" i="11"/>
  <c r="AE146" i="11"/>
  <c r="AE147" i="11"/>
  <c r="AE148" i="11"/>
  <c r="AE149" i="11"/>
  <c r="AE150" i="11"/>
  <c r="AE151" i="11"/>
  <c r="AE152" i="11"/>
  <c r="AE153" i="11"/>
  <c r="AE154" i="11"/>
  <c r="AE155" i="11"/>
  <c r="AE156" i="11"/>
  <c r="AE157" i="11"/>
  <c r="AE158" i="11"/>
  <c r="AE159" i="11"/>
  <c r="AE160" i="11"/>
  <c r="AE161" i="11"/>
  <c r="AE162" i="11"/>
  <c r="AE163" i="11"/>
  <c r="AE164" i="11"/>
  <c r="AE165" i="11"/>
  <c r="AE166" i="11"/>
  <c r="AE167" i="11"/>
  <c r="AE168" i="11"/>
  <c r="AE169" i="11"/>
  <c r="AE170" i="11"/>
  <c r="AE171" i="11"/>
  <c r="AE172" i="11"/>
  <c r="AE173" i="11"/>
  <c r="AE174" i="11"/>
  <c r="AE175" i="11"/>
  <c r="AE176" i="11"/>
  <c r="AE177" i="11"/>
  <c r="AE178" i="11"/>
  <c r="AE179" i="11"/>
  <c r="AE180" i="11"/>
  <c r="AE181" i="11"/>
  <c r="AE182" i="11"/>
  <c r="AE183" i="11"/>
  <c r="AE184" i="11"/>
  <c r="AE185" i="11"/>
  <c r="AE186" i="11"/>
  <c r="AE187" i="11"/>
  <c r="AE188" i="11"/>
  <c r="AE189" i="11"/>
  <c r="AE190" i="11"/>
  <c r="AE191" i="11"/>
  <c r="AE192" i="11"/>
  <c r="AE193" i="11"/>
  <c r="AE194" i="11"/>
  <c r="AE195" i="11"/>
  <c r="AE196" i="11"/>
  <c r="AE197" i="11"/>
  <c r="AE198" i="11"/>
  <c r="AE199" i="11"/>
  <c r="AE200" i="11"/>
  <c r="AE201" i="11"/>
  <c r="AE202" i="11"/>
  <c r="AE203" i="11"/>
  <c r="AE204" i="11"/>
  <c r="AE205" i="11"/>
  <c r="AE206" i="11"/>
  <c r="AE207" i="11"/>
  <c r="AE208" i="11"/>
  <c r="AE209" i="11"/>
  <c r="AE210" i="11"/>
  <c r="AE211" i="11"/>
  <c r="AE212" i="11"/>
  <c r="AE213" i="11"/>
  <c r="AE214" i="11"/>
  <c r="AE215" i="11"/>
  <c r="AE216" i="11"/>
  <c r="AE217" i="11"/>
  <c r="AE218" i="11"/>
  <c r="AE219" i="11"/>
  <c r="AE220" i="11"/>
  <c r="AE221" i="11"/>
  <c r="AE222" i="11"/>
  <c r="AE223" i="11"/>
  <c r="AE224" i="11"/>
  <c r="AE225" i="11"/>
  <c r="AE226" i="11"/>
  <c r="AE227" i="11"/>
  <c r="AE228" i="11"/>
  <c r="AE229" i="11"/>
  <c r="AE230" i="11"/>
  <c r="AE231" i="11"/>
  <c r="AE232" i="11"/>
  <c r="AE233" i="11"/>
  <c r="AE234" i="11"/>
  <c r="AE7" i="11"/>
  <c r="S19" i="11"/>
  <c r="S18" i="11"/>
  <c r="H23" i="25"/>
  <c r="D23" i="25"/>
  <c r="AK56" i="11"/>
  <c r="AC9" i="11"/>
  <c r="V8" i="11"/>
  <c r="W8" i="11"/>
  <c r="X8" i="11"/>
  <c r="Y8" i="11"/>
  <c r="AA8" i="11"/>
  <c r="AB8" i="11"/>
  <c r="AD8" i="11"/>
  <c r="V9" i="11"/>
  <c r="W9" i="11"/>
  <c r="X9" i="11"/>
  <c r="Y9" i="11"/>
  <c r="AA9" i="11"/>
  <c r="AB9" i="11"/>
  <c r="AD9" i="11"/>
  <c r="V10" i="11"/>
  <c r="W10" i="11"/>
  <c r="X10" i="11"/>
  <c r="Y10" i="11"/>
  <c r="AA10" i="11"/>
  <c r="AB10" i="11"/>
  <c r="AD10" i="11"/>
  <c r="V11" i="11"/>
  <c r="W11" i="11"/>
  <c r="X11" i="11"/>
  <c r="Y11" i="11"/>
  <c r="AA11" i="11"/>
  <c r="AB11" i="11"/>
  <c r="AD11" i="11"/>
  <c r="V12" i="11"/>
  <c r="W12" i="11"/>
  <c r="X12" i="11"/>
  <c r="Y12" i="11"/>
  <c r="AA12" i="11"/>
  <c r="AB12" i="11"/>
  <c r="AD12" i="11"/>
  <c r="V13" i="11"/>
  <c r="W13" i="11"/>
  <c r="X13" i="11"/>
  <c r="Y13" i="11"/>
  <c r="AA13" i="11"/>
  <c r="AB13" i="11"/>
  <c r="AD13" i="11"/>
  <c r="V14" i="11"/>
  <c r="W14" i="11"/>
  <c r="X14" i="11"/>
  <c r="Y14" i="11"/>
  <c r="AA14" i="11"/>
  <c r="AB14" i="11"/>
  <c r="AD14" i="11"/>
  <c r="V15" i="11"/>
  <c r="W15" i="11"/>
  <c r="X15" i="11"/>
  <c r="Y15" i="11"/>
  <c r="AA15" i="11"/>
  <c r="AB15" i="11"/>
  <c r="AD15" i="11"/>
  <c r="V16" i="11"/>
  <c r="W16" i="11"/>
  <c r="X16" i="11"/>
  <c r="Y16" i="11"/>
  <c r="AA16" i="11"/>
  <c r="AB16" i="11"/>
  <c r="AD16" i="11"/>
  <c r="V17" i="11"/>
  <c r="W17" i="11"/>
  <c r="X17" i="11"/>
  <c r="Y17" i="11"/>
  <c r="AA17" i="11"/>
  <c r="AB17" i="11"/>
  <c r="AD17" i="11"/>
  <c r="V18" i="11"/>
  <c r="W18" i="11"/>
  <c r="X18" i="11"/>
  <c r="Y18" i="11"/>
  <c r="AA18" i="11"/>
  <c r="AB18" i="11"/>
  <c r="AD18" i="11"/>
  <c r="V19" i="11"/>
  <c r="W19" i="11"/>
  <c r="X19" i="11"/>
  <c r="Y19" i="11"/>
  <c r="AA19" i="11"/>
  <c r="AB19" i="11"/>
  <c r="AD19" i="11"/>
  <c r="V20" i="11"/>
  <c r="W20" i="11"/>
  <c r="X20" i="11"/>
  <c r="Y20" i="11"/>
  <c r="AA20" i="11"/>
  <c r="AB20" i="11"/>
  <c r="AD20" i="11"/>
  <c r="V21" i="11"/>
  <c r="W21" i="11"/>
  <c r="X21" i="11"/>
  <c r="Y21" i="11"/>
  <c r="AA21" i="11"/>
  <c r="AB21" i="11"/>
  <c r="AD21" i="11"/>
  <c r="V22" i="11"/>
  <c r="W22" i="11"/>
  <c r="X22" i="11"/>
  <c r="Y22" i="11"/>
  <c r="AA22" i="11"/>
  <c r="AB22" i="11"/>
  <c r="AD22" i="11"/>
  <c r="V23" i="11"/>
  <c r="W23" i="11"/>
  <c r="X23" i="11"/>
  <c r="Y23" i="11"/>
  <c r="AA23" i="11"/>
  <c r="AB23" i="11"/>
  <c r="AD23" i="11"/>
  <c r="V24" i="11"/>
  <c r="W24" i="11"/>
  <c r="X24" i="11"/>
  <c r="Y24" i="11"/>
  <c r="AA24" i="11"/>
  <c r="AB24" i="11"/>
  <c r="AD24" i="11"/>
  <c r="V25" i="11"/>
  <c r="W25" i="11"/>
  <c r="X25" i="11"/>
  <c r="Y25" i="11"/>
  <c r="AA25" i="11"/>
  <c r="AB25" i="11"/>
  <c r="AD25" i="11"/>
  <c r="V26" i="11"/>
  <c r="W26" i="11"/>
  <c r="X26" i="11"/>
  <c r="Y26" i="11"/>
  <c r="AA26" i="11"/>
  <c r="AB26" i="11"/>
  <c r="AD26" i="11"/>
  <c r="V27" i="11"/>
  <c r="W27" i="11"/>
  <c r="X27" i="11"/>
  <c r="Y27" i="11"/>
  <c r="AA27" i="11"/>
  <c r="AB27" i="11"/>
  <c r="AD27" i="11"/>
  <c r="V28" i="11"/>
  <c r="W28" i="11"/>
  <c r="X28" i="11"/>
  <c r="Y28" i="11"/>
  <c r="AA28" i="11"/>
  <c r="AB28" i="11"/>
  <c r="AD28" i="11"/>
  <c r="V29" i="11"/>
  <c r="W29" i="11"/>
  <c r="X29" i="11"/>
  <c r="Y29" i="11"/>
  <c r="AA29" i="11"/>
  <c r="AB29" i="11"/>
  <c r="AD29" i="11"/>
  <c r="V30" i="11"/>
  <c r="W30" i="11"/>
  <c r="X30" i="11"/>
  <c r="Y30" i="11"/>
  <c r="AA30" i="11"/>
  <c r="AB30" i="11"/>
  <c r="AD30" i="11"/>
  <c r="V31" i="11"/>
  <c r="W31" i="11"/>
  <c r="X31" i="11"/>
  <c r="Y31" i="11"/>
  <c r="AA31" i="11"/>
  <c r="AB31" i="11"/>
  <c r="AD31" i="11"/>
  <c r="V32" i="11"/>
  <c r="W32" i="11"/>
  <c r="X32" i="11"/>
  <c r="Y32" i="11"/>
  <c r="AA32" i="11"/>
  <c r="AB32" i="11"/>
  <c r="AD32" i="11"/>
  <c r="V33" i="11"/>
  <c r="W33" i="11"/>
  <c r="X33" i="11"/>
  <c r="Y33" i="11"/>
  <c r="AA33" i="11"/>
  <c r="AB33" i="11"/>
  <c r="AD33" i="11"/>
  <c r="V34" i="11"/>
  <c r="W34" i="11"/>
  <c r="X34" i="11"/>
  <c r="Y34" i="11"/>
  <c r="AA34" i="11"/>
  <c r="AB34" i="11"/>
  <c r="AD34" i="11"/>
  <c r="V35" i="11"/>
  <c r="W35" i="11"/>
  <c r="X35" i="11"/>
  <c r="Y35" i="11"/>
  <c r="AA35" i="11"/>
  <c r="AB35" i="11"/>
  <c r="AD35" i="11"/>
  <c r="V36" i="11"/>
  <c r="W36" i="11"/>
  <c r="X36" i="11"/>
  <c r="Y36" i="11"/>
  <c r="AA36" i="11"/>
  <c r="AB36" i="11"/>
  <c r="AD36" i="11"/>
  <c r="V37" i="11"/>
  <c r="W37" i="11"/>
  <c r="X37" i="11"/>
  <c r="Y37" i="11"/>
  <c r="AA37" i="11"/>
  <c r="AB37" i="11"/>
  <c r="AD37" i="11"/>
  <c r="V38" i="11"/>
  <c r="W38" i="11"/>
  <c r="X38" i="11"/>
  <c r="Y38" i="11"/>
  <c r="AA38" i="11"/>
  <c r="AB38" i="11"/>
  <c r="AD38" i="11"/>
  <c r="V39" i="11"/>
  <c r="W39" i="11"/>
  <c r="X39" i="11"/>
  <c r="Y39" i="11"/>
  <c r="AA39" i="11"/>
  <c r="AB39" i="11"/>
  <c r="AD39" i="11"/>
  <c r="V40" i="11"/>
  <c r="W40" i="11"/>
  <c r="X40" i="11"/>
  <c r="Y40" i="11"/>
  <c r="AA40" i="11"/>
  <c r="AB40" i="11"/>
  <c r="AD40" i="11"/>
  <c r="V41" i="11"/>
  <c r="W41" i="11"/>
  <c r="X41" i="11"/>
  <c r="Y41" i="11"/>
  <c r="AA41" i="11"/>
  <c r="AB41" i="11"/>
  <c r="AD41" i="11"/>
  <c r="V42" i="11"/>
  <c r="W42" i="11"/>
  <c r="X42" i="11"/>
  <c r="Y42" i="11"/>
  <c r="AA42" i="11"/>
  <c r="AB42" i="11"/>
  <c r="AD42" i="11"/>
  <c r="V43" i="11"/>
  <c r="W43" i="11"/>
  <c r="X43" i="11"/>
  <c r="Y43" i="11"/>
  <c r="AA43" i="11"/>
  <c r="AB43" i="11"/>
  <c r="AD43" i="11"/>
  <c r="V44" i="11"/>
  <c r="W44" i="11"/>
  <c r="X44" i="11"/>
  <c r="Y44" i="11"/>
  <c r="AA44" i="11"/>
  <c r="AB44" i="11"/>
  <c r="AD44" i="11"/>
  <c r="V45" i="11"/>
  <c r="W45" i="11"/>
  <c r="X45" i="11"/>
  <c r="Y45" i="11"/>
  <c r="AA45" i="11"/>
  <c r="AB45" i="11"/>
  <c r="AD45" i="11"/>
  <c r="V46" i="11"/>
  <c r="W46" i="11"/>
  <c r="X46" i="11"/>
  <c r="Y46" i="11"/>
  <c r="AA46" i="11"/>
  <c r="AB46" i="11"/>
  <c r="AD46" i="11"/>
  <c r="V47" i="11"/>
  <c r="W47" i="11"/>
  <c r="X47" i="11"/>
  <c r="Y47" i="11"/>
  <c r="AA47" i="11"/>
  <c r="AB47" i="11"/>
  <c r="AD47" i="11"/>
  <c r="V48" i="11"/>
  <c r="W48" i="11"/>
  <c r="X48" i="11"/>
  <c r="Y48" i="11"/>
  <c r="AA48" i="11"/>
  <c r="AB48" i="11"/>
  <c r="AD48" i="11"/>
  <c r="V49" i="11"/>
  <c r="W49" i="11"/>
  <c r="X49" i="11"/>
  <c r="Y49" i="11"/>
  <c r="AA49" i="11"/>
  <c r="AB49" i="11"/>
  <c r="AD49" i="11"/>
  <c r="V50" i="11"/>
  <c r="W50" i="11"/>
  <c r="X50" i="11"/>
  <c r="Y50" i="11"/>
  <c r="AA50" i="11"/>
  <c r="AB50" i="11"/>
  <c r="AD50" i="11"/>
  <c r="V51" i="11"/>
  <c r="W51" i="11"/>
  <c r="X51" i="11"/>
  <c r="Y51" i="11"/>
  <c r="AA51" i="11"/>
  <c r="AB51" i="11"/>
  <c r="AD51" i="11"/>
  <c r="V52" i="11"/>
  <c r="W52" i="11"/>
  <c r="X52" i="11"/>
  <c r="Y52" i="11"/>
  <c r="AA52" i="11"/>
  <c r="AB52" i="11"/>
  <c r="AD52" i="11"/>
  <c r="V53" i="11"/>
  <c r="W53" i="11"/>
  <c r="X53" i="11"/>
  <c r="Y53" i="11"/>
  <c r="AA53" i="11"/>
  <c r="AB53" i="11"/>
  <c r="AD53" i="11"/>
  <c r="V54" i="11"/>
  <c r="W54" i="11"/>
  <c r="X54" i="11"/>
  <c r="Y54" i="11"/>
  <c r="AA54" i="11"/>
  <c r="AB54" i="11"/>
  <c r="AD54" i="11"/>
  <c r="V55" i="11"/>
  <c r="W55" i="11"/>
  <c r="X55" i="11"/>
  <c r="Y55" i="11"/>
  <c r="AA55" i="11"/>
  <c r="AB55" i="11"/>
  <c r="AD55" i="11"/>
  <c r="V56" i="11"/>
  <c r="W56" i="11"/>
  <c r="X56" i="11"/>
  <c r="Y56" i="11"/>
  <c r="AA56" i="11"/>
  <c r="AB56" i="11"/>
  <c r="AD56" i="11"/>
  <c r="V57" i="11"/>
  <c r="W57" i="11"/>
  <c r="X57" i="11"/>
  <c r="Y57" i="11"/>
  <c r="AA57" i="11"/>
  <c r="AB57" i="11"/>
  <c r="AD57" i="11"/>
  <c r="V58" i="11"/>
  <c r="W58" i="11"/>
  <c r="X58" i="11"/>
  <c r="Y58" i="11"/>
  <c r="AA58" i="11"/>
  <c r="AB58" i="11"/>
  <c r="AD58" i="11"/>
  <c r="V59" i="11"/>
  <c r="W59" i="11"/>
  <c r="X59" i="11"/>
  <c r="Y59" i="11"/>
  <c r="AA59" i="11"/>
  <c r="AB59" i="11"/>
  <c r="AD59" i="11"/>
  <c r="V60" i="11"/>
  <c r="W60" i="11"/>
  <c r="X60" i="11"/>
  <c r="Y60" i="11"/>
  <c r="AA60" i="11"/>
  <c r="AB60" i="11"/>
  <c r="AD60" i="11"/>
  <c r="V61" i="11"/>
  <c r="W61" i="11"/>
  <c r="X61" i="11"/>
  <c r="Y61" i="11"/>
  <c r="AA61" i="11"/>
  <c r="AB61" i="11"/>
  <c r="AD61" i="11"/>
  <c r="V62" i="11"/>
  <c r="W62" i="11"/>
  <c r="X62" i="11"/>
  <c r="Y62" i="11"/>
  <c r="AA62" i="11"/>
  <c r="AB62" i="11"/>
  <c r="AD62" i="11"/>
  <c r="V63" i="11"/>
  <c r="W63" i="11"/>
  <c r="X63" i="11"/>
  <c r="Y63" i="11"/>
  <c r="AA63" i="11"/>
  <c r="AB63" i="11"/>
  <c r="AD63" i="11"/>
  <c r="V64" i="11"/>
  <c r="W64" i="11"/>
  <c r="X64" i="11"/>
  <c r="Y64" i="11"/>
  <c r="AA64" i="11"/>
  <c r="AB64" i="11"/>
  <c r="AD64" i="11"/>
  <c r="V65" i="11"/>
  <c r="W65" i="11"/>
  <c r="X65" i="11"/>
  <c r="Y65" i="11"/>
  <c r="AA65" i="11"/>
  <c r="AB65" i="11"/>
  <c r="AD65" i="11"/>
  <c r="V66" i="11"/>
  <c r="W66" i="11"/>
  <c r="X66" i="11"/>
  <c r="Y66" i="11"/>
  <c r="AA66" i="11"/>
  <c r="AB66" i="11"/>
  <c r="AD66" i="11"/>
  <c r="V67" i="11"/>
  <c r="W67" i="11"/>
  <c r="X67" i="11"/>
  <c r="Y67" i="11"/>
  <c r="AA67" i="11"/>
  <c r="AB67" i="11"/>
  <c r="AD67" i="11"/>
  <c r="V68" i="11"/>
  <c r="W68" i="11"/>
  <c r="X68" i="11"/>
  <c r="Y68" i="11"/>
  <c r="AA68" i="11"/>
  <c r="AB68" i="11"/>
  <c r="AD68" i="11"/>
  <c r="V69" i="11"/>
  <c r="W69" i="11"/>
  <c r="X69" i="11"/>
  <c r="Y69" i="11"/>
  <c r="AA69" i="11"/>
  <c r="AB69" i="11"/>
  <c r="AD69" i="11"/>
  <c r="V70" i="11"/>
  <c r="W70" i="11"/>
  <c r="X70" i="11"/>
  <c r="Y70" i="11"/>
  <c r="AA70" i="11"/>
  <c r="AB70" i="11"/>
  <c r="AD70" i="11"/>
  <c r="V71" i="11"/>
  <c r="W71" i="11"/>
  <c r="X71" i="11"/>
  <c r="Y71" i="11"/>
  <c r="AA71" i="11"/>
  <c r="AB71" i="11"/>
  <c r="AD71" i="11"/>
  <c r="V72" i="11"/>
  <c r="W72" i="11"/>
  <c r="X72" i="11"/>
  <c r="Y72" i="11"/>
  <c r="AA72" i="11"/>
  <c r="AB72" i="11"/>
  <c r="AD72" i="11"/>
  <c r="V73" i="11"/>
  <c r="W73" i="11"/>
  <c r="X73" i="11"/>
  <c r="Y73" i="11"/>
  <c r="AA73" i="11"/>
  <c r="AB73" i="11"/>
  <c r="AD73" i="11"/>
  <c r="V74" i="11"/>
  <c r="W74" i="11"/>
  <c r="X74" i="11"/>
  <c r="Y74" i="11"/>
  <c r="AA74" i="11"/>
  <c r="AB74" i="11"/>
  <c r="AD74" i="11"/>
  <c r="V75" i="11"/>
  <c r="W75" i="11"/>
  <c r="X75" i="11"/>
  <c r="Y75" i="11"/>
  <c r="AA75" i="11"/>
  <c r="AB75" i="11"/>
  <c r="AD75" i="11"/>
  <c r="V76" i="11"/>
  <c r="W76" i="11"/>
  <c r="X76" i="11"/>
  <c r="Y76" i="11"/>
  <c r="AA76" i="11"/>
  <c r="AB76" i="11"/>
  <c r="AD76" i="11"/>
  <c r="V77" i="11"/>
  <c r="W77" i="11"/>
  <c r="X77" i="11"/>
  <c r="Y77" i="11"/>
  <c r="AA77" i="11"/>
  <c r="AB77" i="11"/>
  <c r="AD77" i="11"/>
  <c r="V78" i="11"/>
  <c r="W78" i="11"/>
  <c r="X78" i="11"/>
  <c r="Y78" i="11"/>
  <c r="AA78" i="11"/>
  <c r="AB78" i="11"/>
  <c r="AD78" i="11"/>
  <c r="V79" i="11"/>
  <c r="W79" i="11"/>
  <c r="X79" i="11"/>
  <c r="Y79" i="11"/>
  <c r="AA79" i="11"/>
  <c r="AB79" i="11"/>
  <c r="AD79" i="11"/>
  <c r="V80" i="11"/>
  <c r="W80" i="11"/>
  <c r="X80" i="11"/>
  <c r="Y80" i="11"/>
  <c r="AA80" i="11"/>
  <c r="AB80" i="11"/>
  <c r="AD80" i="11"/>
  <c r="V81" i="11"/>
  <c r="W81" i="11"/>
  <c r="X81" i="11"/>
  <c r="Y81" i="11"/>
  <c r="AA81" i="11"/>
  <c r="AB81" i="11"/>
  <c r="AD81" i="11"/>
  <c r="V82" i="11"/>
  <c r="W82" i="11"/>
  <c r="X82" i="11"/>
  <c r="Y82" i="11"/>
  <c r="AA82" i="11"/>
  <c r="AB82" i="11"/>
  <c r="AD82" i="11"/>
  <c r="V83" i="11"/>
  <c r="W83" i="11"/>
  <c r="X83" i="11"/>
  <c r="Y83" i="11"/>
  <c r="AA83" i="11"/>
  <c r="AB83" i="11"/>
  <c r="AD83" i="11"/>
  <c r="V84" i="11"/>
  <c r="W84" i="11"/>
  <c r="X84" i="11"/>
  <c r="Y84" i="11"/>
  <c r="AA84" i="11"/>
  <c r="AB84" i="11"/>
  <c r="AD84" i="11"/>
  <c r="V85" i="11"/>
  <c r="W85" i="11"/>
  <c r="X85" i="11"/>
  <c r="Y85" i="11"/>
  <c r="AA85" i="11"/>
  <c r="AB85" i="11"/>
  <c r="AD85" i="11"/>
  <c r="V86" i="11"/>
  <c r="W86" i="11"/>
  <c r="X86" i="11"/>
  <c r="Y86" i="11"/>
  <c r="AA86" i="11"/>
  <c r="AB86" i="11"/>
  <c r="AD86" i="11"/>
  <c r="V87" i="11"/>
  <c r="W87" i="11"/>
  <c r="X87" i="11"/>
  <c r="Y87" i="11"/>
  <c r="AA87" i="11"/>
  <c r="AB87" i="11"/>
  <c r="AD87" i="11"/>
  <c r="V88" i="11"/>
  <c r="W88" i="11"/>
  <c r="X88" i="11"/>
  <c r="Y88" i="11"/>
  <c r="AA88" i="11"/>
  <c r="AB88" i="11"/>
  <c r="AD88" i="11"/>
  <c r="V89" i="11"/>
  <c r="W89" i="11"/>
  <c r="X89" i="11"/>
  <c r="Y89" i="11"/>
  <c r="AA89" i="11"/>
  <c r="AB89" i="11"/>
  <c r="AD89" i="11"/>
  <c r="V90" i="11"/>
  <c r="W90" i="11"/>
  <c r="X90" i="11"/>
  <c r="Y90" i="11"/>
  <c r="AA90" i="11"/>
  <c r="AB90" i="11"/>
  <c r="AD90" i="11"/>
  <c r="V91" i="11"/>
  <c r="W91" i="11"/>
  <c r="X91" i="11"/>
  <c r="Y91" i="11"/>
  <c r="AA91" i="11"/>
  <c r="AB91" i="11"/>
  <c r="AD91" i="11"/>
  <c r="V92" i="11"/>
  <c r="W92" i="11"/>
  <c r="X92" i="11"/>
  <c r="Y92" i="11"/>
  <c r="AA92" i="11"/>
  <c r="AB92" i="11"/>
  <c r="AD92" i="11"/>
  <c r="V93" i="11"/>
  <c r="W93" i="11"/>
  <c r="X93" i="11"/>
  <c r="Y93" i="11"/>
  <c r="AA93" i="11"/>
  <c r="AB93" i="11"/>
  <c r="AD93" i="11"/>
  <c r="V94" i="11"/>
  <c r="W94" i="11"/>
  <c r="X94" i="11"/>
  <c r="Y94" i="11"/>
  <c r="AA94" i="11"/>
  <c r="AB94" i="11"/>
  <c r="AD94" i="11"/>
  <c r="V95" i="11"/>
  <c r="W95" i="11"/>
  <c r="X95" i="11"/>
  <c r="Y95" i="11"/>
  <c r="AA95" i="11"/>
  <c r="AB95" i="11"/>
  <c r="AD95" i="11"/>
  <c r="V96" i="11"/>
  <c r="W96" i="11"/>
  <c r="X96" i="11"/>
  <c r="Y96" i="11"/>
  <c r="AA96" i="11"/>
  <c r="AB96" i="11"/>
  <c r="AD96" i="11"/>
  <c r="V97" i="11"/>
  <c r="W97" i="11"/>
  <c r="X97" i="11"/>
  <c r="Y97" i="11"/>
  <c r="AA97" i="11"/>
  <c r="AB97" i="11"/>
  <c r="AD97" i="11"/>
  <c r="V98" i="11"/>
  <c r="W98" i="11"/>
  <c r="X98" i="11"/>
  <c r="Y98" i="11"/>
  <c r="AA98" i="11"/>
  <c r="AB98" i="11"/>
  <c r="AD98" i="11"/>
  <c r="V99" i="11"/>
  <c r="W99" i="11"/>
  <c r="X99" i="11"/>
  <c r="Y99" i="11"/>
  <c r="AA99" i="11"/>
  <c r="AB99" i="11"/>
  <c r="AD99" i="11"/>
  <c r="V100" i="11"/>
  <c r="W100" i="11"/>
  <c r="X100" i="11"/>
  <c r="Y100" i="11"/>
  <c r="AA100" i="11"/>
  <c r="AB100" i="11"/>
  <c r="AD100" i="11"/>
  <c r="V101" i="11"/>
  <c r="W101" i="11"/>
  <c r="X101" i="11"/>
  <c r="Y101" i="11"/>
  <c r="AA101" i="11"/>
  <c r="AB101" i="11"/>
  <c r="AD101" i="11"/>
  <c r="V102" i="11"/>
  <c r="W102" i="11"/>
  <c r="X102" i="11"/>
  <c r="Y102" i="11"/>
  <c r="AA102" i="11"/>
  <c r="AB102" i="11"/>
  <c r="AD102" i="11"/>
  <c r="V103" i="11"/>
  <c r="W103" i="11"/>
  <c r="X103" i="11"/>
  <c r="Y103" i="11"/>
  <c r="AA103" i="11"/>
  <c r="AB103" i="11"/>
  <c r="AD103" i="11"/>
  <c r="V104" i="11"/>
  <c r="W104" i="11"/>
  <c r="X104" i="11"/>
  <c r="Y104" i="11"/>
  <c r="AA104" i="11"/>
  <c r="AB104" i="11"/>
  <c r="AD104" i="11"/>
  <c r="V105" i="11"/>
  <c r="W105" i="11"/>
  <c r="X105" i="11"/>
  <c r="Y105" i="11"/>
  <c r="AA105" i="11"/>
  <c r="AB105" i="11"/>
  <c r="AD105" i="11"/>
  <c r="V113" i="11"/>
  <c r="W113" i="11"/>
  <c r="X113" i="11"/>
  <c r="Y113" i="11"/>
  <c r="AA113" i="11"/>
  <c r="AB113" i="11"/>
  <c r="AD113" i="11"/>
  <c r="V114" i="11"/>
  <c r="W114" i="11"/>
  <c r="X114" i="11"/>
  <c r="Y114" i="11"/>
  <c r="AA114" i="11"/>
  <c r="AB114" i="11"/>
  <c r="AD114" i="11"/>
  <c r="V115" i="11"/>
  <c r="W115" i="11"/>
  <c r="X115" i="11"/>
  <c r="Y115" i="11"/>
  <c r="AA115" i="11"/>
  <c r="AB115" i="11"/>
  <c r="AD115" i="11"/>
  <c r="W116" i="11"/>
  <c r="X116" i="11"/>
  <c r="Y116" i="11"/>
  <c r="AA116" i="11"/>
  <c r="AB116" i="11"/>
  <c r="AD116" i="11"/>
  <c r="W117" i="11"/>
  <c r="X117" i="11"/>
  <c r="Y117" i="11"/>
  <c r="AA117" i="11"/>
  <c r="AB117" i="11"/>
  <c r="AD117" i="11"/>
  <c r="V118" i="11"/>
  <c r="W118" i="11"/>
  <c r="X118" i="11"/>
  <c r="Y118" i="11"/>
  <c r="AA118" i="11"/>
  <c r="AB118" i="11"/>
  <c r="AD118" i="11"/>
  <c r="V119" i="11"/>
  <c r="W119" i="11"/>
  <c r="X119" i="11"/>
  <c r="Y119" i="11"/>
  <c r="AA119" i="11"/>
  <c r="AB119" i="11"/>
  <c r="AD119" i="11"/>
  <c r="V120" i="11"/>
  <c r="W120" i="11"/>
  <c r="X120" i="11"/>
  <c r="Y120" i="11"/>
  <c r="AA120" i="11"/>
  <c r="AB120" i="11"/>
  <c r="AD120" i="11"/>
  <c r="V121" i="11"/>
  <c r="W121" i="11"/>
  <c r="X121" i="11"/>
  <c r="Y121" i="11"/>
  <c r="AA121" i="11"/>
  <c r="AB121" i="11"/>
  <c r="AD121" i="11"/>
  <c r="V122" i="11"/>
  <c r="W122" i="11"/>
  <c r="X122" i="11"/>
  <c r="Y122" i="11"/>
  <c r="AA122" i="11"/>
  <c r="AB122" i="11"/>
  <c r="AD122" i="11"/>
  <c r="V123" i="11"/>
  <c r="W123" i="11"/>
  <c r="X123" i="11"/>
  <c r="Y123" i="11"/>
  <c r="AA123" i="11"/>
  <c r="AB123" i="11"/>
  <c r="AD123" i="11"/>
  <c r="V124" i="11"/>
  <c r="W124" i="11"/>
  <c r="X124" i="11"/>
  <c r="Y124" i="11"/>
  <c r="AA124" i="11"/>
  <c r="AB124" i="11"/>
  <c r="AD124" i="11"/>
  <c r="V125" i="11"/>
  <c r="W125" i="11"/>
  <c r="X125" i="11"/>
  <c r="Y125" i="11"/>
  <c r="AA125" i="11"/>
  <c r="AB125" i="11"/>
  <c r="AD125" i="11"/>
  <c r="V126" i="11"/>
  <c r="W126" i="11"/>
  <c r="X126" i="11"/>
  <c r="Y126" i="11"/>
  <c r="AA126" i="11"/>
  <c r="AB126" i="11"/>
  <c r="AD126" i="11"/>
  <c r="V127" i="11"/>
  <c r="W127" i="11"/>
  <c r="X127" i="11"/>
  <c r="Y127" i="11"/>
  <c r="AA127" i="11"/>
  <c r="AB127" i="11"/>
  <c r="AD127" i="11"/>
  <c r="V128" i="11"/>
  <c r="W128" i="11"/>
  <c r="X128" i="11"/>
  <c r="Y128" i="11"/>
  <c r="AA128" i="11"/>
  <c r="AB128" i="11"/>
  <c r="AD128" i="11"/>
  <c r="V129" i="11"/>
  <c r="W129" i="11"/>
  <c r="X129" i="11"/>
  <c r="Y129" i="11"/>
  <c r="AA129" i="11"/>
  <c r="AB129" i="11"/>
  <c r="AD129" i="11"/>
  <c r="V130" i="11"/>
  <c r="W130" i="11"/>
  <c r="X130" i="11"/>
  <c r="Y130" i="11"/>
  <c r="AA130" i="11"/>
  <c r="AB130" i="11"/>
  <c r="AD130" i="11"/>
  <c r="V131" i="11"/>
  <c r="W131" i="11"/>
  <c r="X131" i="11"/>
  <c r="Y131" i="11"/>
  <c r="AA131" i="11"/>
  <c r="AB131" i="11"/>
  <c r="AD131" i="11"/>
  <c r="V132" i="11"/>
  <c r="W132" i="11"/>
  <c r="X132" i="11"/>
  <c r="Y132" i="11"/>
  <c r="AA132" i="11"/>
  <c r="AB132" i="11"/>
  <c r="AD132" i="11"/>
  <c r="V133" i="11"/>
  <c r="W133" i="11"/>
  <c r="X133" i="11"/>
  <c r="Y133" i="11"/>
  <c r="AA133" i="11"/>
  <c r="AB133" i="11"/>
  <c r="AD133" i="11"/>
  <c r="V134" i="11"/>
  <c r="W134" i="11"/>
  <c r="X134" i="11"/>
  <c r="Y134" i="11"/>
  <c r="AA134" i="11"/>
  <c r="AB134" i="11"/>
  <c r="AD134" i="11"/>
  <c r="V135" i="11"/>
  <c r="W135" i="11"/>
  <c r="X135" i="11"/>
  <c r="Y135" i="11"/>
  <c r="AA135" i="11"/>
  <c r="AB135" i="11"/>
  <c r="AD135" i="11"/>
  <c r="V136" i="11"/>
  <c r="W136" i="11"/>
  <c r="X136" i="11"/>
  <c r="Y136" i="11"/>
  <c r="AA136" i="11"/>
  <c r="AB136" i="11"/>
  <c r="AD136" i="11"/>
  <c r="V137" i="11"/>
  <c r="W137" i="11"/>
  <c r="X137" i="11"/>
  <c r="Y137" i="11"/>
  <c r="AA137" i="11"/>
  <c r="AB137" i="11"/>
  <c r="AD137" i="11"/>
  <c r="V138" i="11"/>
  <c r="W138" i="11"/>
  <c r="X138" i="11"/>
  <c r="Y138" i="11"/>
  <c r="AA138" i="11"/>
  <c r="AB138" i="11"/>
  <c r="AD138" i="11"/>
  <c r="V139" i="11"/>
  <c r="W139" i="11"/>
  <c r="X139" i="11"/>
  <c r="Y139" i="11"/>
  <c r="AA139" i="11"/>
  <c r="AB139" i="11"/>
  <c r="AD139" i="11"/>
  <c r="V140" i="11"/>
  <c r="W140" i="11"/>
  <c r="X140" i="11"/>
  <c r="Y140" i="11"/>
  <c r="AA140" i="11"/>
  <c r="AB140" i="11"/>
  <c r="AD140" i="11"/>
  <c r="V141" i="11"/>
  <c r="W141" i="11"/>
  <c r="X141" i="11"/>
  <c r="Y141" i="11"/>
  <c r="AA141" i="11"/>
  <c r="AB141" i="11"/>
  <c r="AD141" i="11"/>
  <c r="V142" i="11"/>
  <c r="W142" i="11"/>
  <c r="X142" i="11"/>
  <c r="Y142" i="11"/>
  <c r="AA142" i="11"/>
  <c r="AB142" i="11"/>
  <c r="AD142" i="11"/>
  <c r="V143" i="11"/>
  <c r="W143" i="11"/>
  <c r="X143" i="11"/>
  <c r="Y143" i="11"/>
  <c r="AA143" i="11"/>
  <c r="AB143" i="11"/>
  <c r="AD143" i="11"/>
  <c r="V144" i="11"/>
  <c r="W144" i="11"/>
  <c r="X144" i="11"/>
  <c r="Y144" i="11"/>
  <c r="AA144" i="11"/>
  <c r="AB144" i="11"/>
  <c r="AD144" i="11"/>
  <c r="V145" i="11"/>
  <c r="W145" i="11"/>
  <c r="X145" i="11"/>
  <c r="Y145" i="11"/>
  <c r="AA145" i="11"/>
  <c r="AB145" i="11"/>
  <c r="AD145" i="11"/>
  <c r="V146" i="11"/>
  <c r="W146" i="11"/>
  <c r="X146" i="11"/>
  <c r="Y146" i="11"/>
  <c r="AA146" i="11"/>
  <c r="AB146" i="11"/>
  <c r="AD146" i="11"/>
  <c r="V147" i="11"/>
  <c r="W147" i="11"/>
  <c r="X147" i="11"/>
  <c r="Y147" i="11"/>
  <c r="AA147" i="11"/>
  <c r="AB147" i="11"/>
  <c r="AD147" i="11"/>
  <c r="V148" i="11"/>
  <c r="W148" i="11"/>
  <c r="X148" i="11"/>
  <c r="Y148" i="11"/>
  <c r="AA148" i="11"/>
  <c r="AB148" i="11"/>
  <c r="AD148" i="11"/>
  <c r="V149" i="11"/>
  <c r="W149" i="11"/>
  <c r="X149" i="11"/>
  <c r="Y149" i="11"/>
  <c r="AA149" i="11"/>
  <c r="AB149" i="11"/>
  <c r="AD149" i="11"/>
  <c r="V150" i="11"/>
  <c r="W150" i="11"/>
  <c r="X150" i="11"/>
  <c r="Y150" i="11"/>
  <c r="AA150" i="11"/>
  <c r="AB150" i="11"/>
  <c r="AD150" i="11"/>
  <c r="V151" i="11"/>
  <c r="W151" i="11"/>
  <c r="X151" i="11"/>
  <c r="Y151" i="11"/>
  <c r="AA151" i="11"/>
  <c r="AB151" i="11"/>
  <c r="AD151" i="11"/>
  <c r="V152" i="11"/>
  <c r="W152" i="11"/>
  <c r="X152" i="11"/>
  <c r="Y152" i="11"/>
  <c r="AA152" i="11"/>
  <c r="AB152" i="11"/>
  <c r="AD152" i="11"/>
  <c r="V153" i="11"/>
  <c r="W153" i="11"/>
  <c r="X153" i="11"/>
  <c r="Y153" i="11"/>
  <c r="AA153" i="11"/>
  <c r="AB153" i="11"/>
  <c r="AD153" i="11"/>
  <c r="V154" i="11"/>
  <c r="W154" i="11"/>
  <c r="X154" i="11"/>
  <c r="Y154" i="11"/>
  <c r="AA154" i="11"/>
  <c r="AB154" i="11"/>
  <c r="AD154" i="11"/>
  <c r="V155" i="11"/>
  <c r="W155" i="11"/>
  <c r="X155" i="11"/>
  <c r="Y155" i="11"/>
  <c r="AA155" i="11"/>
  <c r="AB155" i="11"/>
  <c r="AD155" i="11"/>
  <c r="V156" i="11"/>
  <c r="W156" i="11"/>
  <c r="X156" i="11"/>
  <c r="Y156" i="11"/>
  <c r="AA156" i="11"/>
  <c r="AB156" i="11"/>
  <c r="AD156" i="11"/>
  <c r="V157" i="11"/>
  <c r="W157" i="11"/>
  <c r="X157" i="11"/>
  <c r="Y157" i="11"/>
  <c r="AA157" i="11"/>
  <c r="AB157" i="11"/>
  <c r="AD157" i="11"/>
  <c r="V158" i="11"/>
  <c r="W158" i="11"/>
  <c r="X158" i="11"/>
  <c r="Y158" i="11"/>
  <c r="AA158" i="11"/>
  <c r="AB158" i="11"/>
  <c r="AD158" i="11"/>
  <c r="V159" i="11"/>
  <c r="W159" i="11"/>
  <c r="X159" i="11"/>
  <c r="Y159" i="11"/>
  <c r="AA159" i="11"/>
  <c r="AB159" i="11"/>
  <c r="AD159" i="11"/>
  <c r="V160" i="11"/>
  <c r="W160" i="11"/>
  <c r="X160" i="11"/>
  <c r="Y160" i="11"/>
  <c r="AA160" i="11"/>
  <c r="AB160" i="11"/>
  <c r="AD160" i="11"/>
  <c r="V161" i="11"/>
  <c r="W161" i="11"/>
  <c r="X161" i="11"/>
  <c r="Y161" i="11"/>
  <c r="AA161" i="11"/>
  <c r="AB161" i="11"/>
  <c r="AD161" i="11"/>
  <c r="V162" i="11"/>
  <c r="W162" i="11"/>
  <c r="X162" i="11"/>
  <c r="Y162" i="11"/>
  <c r="AA162" i="11"/>
  <c r="AB162" i="11"/>
  <c r="AD162" i="11"/>
  <c r="V163" i="11"/>
  <c r="W163" i="11"/>
  <c r="X163" i="11"/>
  <c r="Y163" i="11"/>
  <c r="AA163" i="11"/>
  <c r="AB163" i="11"/>
  <c r="AD163" i="11"/>
  <c r="V164" i="11"/>
  <c r="W164" i="11"/>
  <c r="X164" i="11"/>
  <c r="Y164" i="11"/>
  <c r="AA164" i="11"/>
  <c r="AB164" i="11"/>
  <c r="AD164" i="11"/>
  <c r="V165" i="11"/>
  <c r="W165" i="11"/>
  <c r="X165" i="11"/>
  <c r="Y165" i="11"/>
  <c r="AA165" i="11"/>
  <c r="AB165" i="11"/>
  <c r="AD165" i="11"/>
  <c r="V166" i="11"/>
  <c r="W166" i="11"/>
  <c r="X166" i="11"/>
  <c r="Y166" i="11"/>
  <c r="AA166" i="11"/>
  <c r="AB166" i="11"/>
  <c r="AD166" i="11"/>
  <c r="V167" i="11"/>
  <c r="W167" i="11"/>
  <c r="X167" i="11"/>
  <c r="Y167" i="11"/>
  <c r="AA167" i="11"/>
  <c r="AB167" i="11"/>
  <c r="AD167" i="11"/>
  <c r="V168" i="11"/>
  <c r="W168" i="11"/>
  <c r="X168" i="11"/>
  <c r="Y168" i="11"/>
  <c r="AA168" i="11"/>
  <c r="AB168" i="11"/>
  <c r="AD168" i="11"/>
  <c r="V169" i="11"/>
  <c r="W169" i="11"/>
  <c r="X169" i="11"/>
  <c r="Y169" i="11"/>
  <c r="AA169" i="11"/>
  <c r="AB169" i="11"/>
  <c r="AD169" i="11"/>
  <c r="V170" i="11"/>
  <c r="W170" i="11"/>
  <c r="X170" i="11"/>
  <c r="Y170" i="11"/>
  <c r="AA170" i="11"/>
  <c r="AB170" i="11"/>
  <c r="AD170" i="11"/>
  <c r="V171" i="11"/>
  <c r="W171" i="11"/>
  <c r="X171" i="11"/>
  <c r="Y171" i="11"/>
  <c r="AA171" i="11"/>
  <c r="AB171" i="11"/>
  <c r="AD171" i="11"/>
  <c r="V172" i="11"/>
  <c r="W172" i="11"/>
  <c r="X172" i="11"/>
  <c r="Y172" i="11"/>
  <c r="AA172" i="11"/>
  <c r="AB172" i="11"/>
  <c r="AD172" i="11"/>
  <c r="V173" i="11"/>
  <c r="W173" i="11"/>
  <c r="X173" i="11"/>
  <c r="Y173" i="11"/>
  <c r="AA173" i="11"/>
  <c r="AB173" i="11"/>
  <c r="AD173" i="11"/>
  <c r="V174" i="11"/>
  <c r="W174" i="11"/>
  <c r="X174" i="11"/>
  <c r="Y174" i="11"/>
  <c r="AA174" i="11"/>
  <c r="AB174" i="11"/>
  <c r="AD174" i="11"/>
  <c r="V175" i="11"/>
  <c r="W175" i="11"/>
  <c r="X175" i="11"/>
  <c r="Y175" i="11"/>
  <c r="AA175" i="11"/>
  <c r="AB175" i="11"/>
  <c r="AD175" i="11"/>
  <c r="V176" i="11"/>
  <c r="W176" i="11"/>
  <c r="X176" i="11"/>
  <c r="Y176" i="11"/>
  <c r="AA176" i="11"/>
  <c r="AB176" i="11"/>
  <c r="AD176" i="11"/>
  <c r="V177" i="11"/>
  <c r="W177" i="11"/>
  <c r="X177" i="11"/>
  <c r="Y177" i="11"/>
  <c r="AA177" i="11"/>
  <c r="AB177" i="11"/>
  <c r="AD177" i="11"/>
  <c r="V178" i="11"/>
  <c r="W178" i="11"/>
  <c r="X178" i="11"/>
  <c r="Y178" i="11"/>
  <c r="AA178" i="11"/>
  <c r="AB178" i="11"/>
  <c r="AD178" i="11"/>
  <c r="V179" i="11"/>
  <c r="W179" i="11"/>
  <c r="X179" i="11"/>
  <c r="Y179" i="11"/>
  <c r="AA179" i="11"/>
  <c r="AB179" i="11"/>
  <c r="AD179" i="11"/>
  <c r="V180" i="11"/>
  <c r="W180" i="11"/>
  <c r="X180" i="11"/>
  <c r="Y180" i="11"/>
  <c r="AA180" i="11"/>
  <c r="AB180" i="11"/>
  <c r="AD180" i="11"/>
  <c r="V181" i="11"/>
  <c r="W181" i="11"/>
  <c r="X181" i="11"/>
  <c r="Y181" i="11"/>
  <c r="AA181" i="11"/>
  <c r="AB181" i="11"/>
  <c r="AD181" i="11"/>
  <c r="V182" i="11"/>
  <c r="W182" i="11"/>
  <c r="X182" i="11"/>
  <c r="Y182" i="11"/>
  <c r="AA182" i="11"/>
  <c r="AB182" i="11"/>
  <c r="AD182" i="11"/>
  <c r="V183" i="11"/>
  <c r="W183" i="11"/>
  <c r="X183" i="11"/>
  <c r="Y183" i="11"/>
  <c r="AA183" i="11"/>
  <c r="AB183" i="11"/>
  <c r="AD183" i="11"/>
  <c r="V184" i="11"/>
  <c r="W184" i="11"/>
  <c r="X184" i="11"/>
  <c r="Y184" i="11"/>
  <c r="AA184" i="11"/>
  <c r="AB184" i="11"/>
  <c r="AD184" i="11"/>
  <c r="V185" i="11"/>
  <c r="W185" i="11"/>
  <c r="X185" i="11"/>
  <c r="Y185" i="11"/>
  <c r="AA185" i="11"/>
  <c r="AB185" i="11"/>
  <c r="AD185" i="11"/>
  <c r="V186" i="11"/>
  <c r="W186" i="11"/>
  <c r="X186" i="11"/>
  <c r="Y186" i="11"/>
  <c r="AA186" i="11"/>
  <c r="AB186" i="11"/>
  <c r="AD186" i="11"/>
  <c r="V187" i="11"/>
  <c r="W187" i="11"/>
  <c r="X187" i="11"/>
  <c r="Y187" i="11"/>
  <c r="AA187" i="11"/>
  <c r="AB187" i="11"/>
  <c r="AD187" i="11"/>
  <c r="V188" i="11"/>
  <c r="W188" i="11"/>
  <c r="X188" i="11"/>
  <c r="Y188" i="11"/>
  <c r="AA188" i="11"/>
  <c r="AB188" i="11"/>
  <c r="AD188" i="11"/>
  <c r="V189" i="11"/>
  <c r="W189" i="11"/>
  <c r="X189" i="11"/>
  <c r="Y189" i="11"/>
  <c r="AA189" i="11"/>
  <c r="AB189" i="11"/>
  <c r="AD189" i="11"/>
  <c r="V190" i="11"/>
  <c r="W190" i="11"/>
  <c r="X190" i="11"/>
  <c r="Y190" i="11"/>
  <c r="AA190" i="11"/>
  <c r="AB190" i="11"/>
  <c r="AD190" i="11"/>
  <c r="V191" i="11"/>
  <c r="W191" i="11"/>
  <c r="X191" i="11"/>
  <c r="Y191" i="11"/>
  <c r="AA191" i="11"/>
  <c r="AB191" i="11"/>
  <c r="AD191" i="11"/>
  <c r="V192" i="11"/>
  <c r="W192" i="11"/>
  <c r="X192" i="11"/>
  <c r="Y192" i="11"/>
  <c r="AA192" i="11"/>
  <c r="AB192" i="11"/>
  <c r="AD192" i="11"/>
  <c r="V193" i="11"/>
  <c r="W193" i="11"/>
  <c r="X193" i="11"/>
  <c r="Y193" i="11"/>
  <c r="AA193" i="11"/>
  <c r="AB193" i="11"/>
  <c r="AD193" i="11"/>
  <c r="V194" i="11"/>
  <c r="W194" i="11"/>
  <c r="X194" i="11"/>
  <c r="Y194" i="11"/>
  <c r="AA194" i="11"/>
  <c r="AB194" i="11"/>
  <c r="AD194" i="11"/>
  <c r="V195" i="11"/>
  <c r="W195" i="11"/>
  <c r="X195" i="11"/>
  <c r="Y195" i="11"/>
  <c r="AA195" i="11"/>
  <c r="AB195" i="11"/>
  <c r="AD195" i="11"/>
  <c r="V196" i="11"/>
  <c r="W196" i="11"/>
  <c r="X196" i="11"/>
  <c r="Y196" i="11"/>
  <c r="AA196" i="11"/>
  <c r="AB196" i="11"/>
  <c r="AD196" i="11"/>
  <c r="V197" i="11"/>
  <c r="W197" i="11"/>
  <c r="X197" i="11"/>
  <c r="Y197" i="11"/>
  <c r="AA197" i="11"/>
  <c r="AB197" i="11"/>
  <c r="AD197" i="11"/>
  <c r="V198" i="11"/>
  <c r="W198" i="11"/>
  <c r="X198" i="11"/>
  <c r="Y198" i="11"/>
  <c r="AA198" i="11"/>
  <c r="AB198" i="11"/>
  <c r="AD198" i="11"/>
  <c r="V199" i="11"/>
  <c r="W199" i="11"/>
  <c r="X199" i="11"/>
  <c r="Y199" i="11"/>
  <c r="AA199" i="11"/>
  <c r="AB199" i="11"/>
  <c r="AD199" i="11"/>
  <c r="V200" i="11"/>
  <c r="W200" i="11"/>
  <c r="X200" i="11"/>
  <c r="Y200" i="11"/>
  <c r="AA200" i="11"/>
  <c r="AB200" i="11"/>
  <c r="AD200" i="11"/>
  <c r="V201" i="11"/>
  <c r="W201" i="11"/>
  <c r="X201" i="11"/>
  <c r="Y201" i="11"/>
  <c r="AA201" i="11"/>
  <c r="AB201" i="11"/>
  <c r="AD201" i="11"/>
  <c r="V202" i="11"/>
  <c r="W202" i="11"/>
  <c r="X202" i="11"/>
  <c r="Y202" i="11"/>
  <c r="AA202" i="11"/>
  <c r="AB202" i="11"/>
  <c r="AD202" i="11"/>
  <c r="V203" i="11"/>
  <c r="W203" i="11"/>
  <c r="X203" i="11"/>
  <c r="Y203" i="11"/>
  <c r="AA203" i="11"/>
  <c r="AB203" i="11"/>
  <c r="AD203" i="11"/>
  <c r="V204" i="11"/>
  <c r="W204" i="11"/>
  <c r="X204" i="11"/>
  <c r="Y204" i="11"/>
  <c r="AA204" i="11"/>
  <c r="AB204" i="11"/>
  <c r="AD204" i="11"/>
  <c r="V205" i="11"/>
  <c r="W205" i="11"/>
  <c r="X205" i="11"/>
  <c r="Y205" i="11"/>
  <c r="AA205" i="11"/>
  <c r="AB205" i="11"/>
  <c r="AD205" i="11"/>
  <c r="V206" i="11"/>
  <c r="W206" i="11"/>
  <c r="X206" i="11"/>
  <c r="Y206" i="11"/>
  <c r="AA206" i="11"/>
  <c r="AB206" i="11"/>
  <c r="AD206" i="11"/>
  <c r="V207" i="11"/>
  <c r="W207" i="11"/>
  <c r="X207" i="11"/>
  <c r="Y207" i="11"/>
  <c r="AA207" i="11"/>
  <c r="AB207" i="11"/>
  <c r="AD207" i="11"/>
  <c r="V208" i="11"/>
  <c r="W208" i="11"/>
  <c r="X208" i="11"/>
  <c r="Y208" i="11"/>
  <c r="AA208" i="11"/>
  <c r="AB208" i="11"/>
  <c r="AD208" i="11"/>
  <c r="V209" i="11"/>
  <c r="W209" i="11"/>
  <c r="X209" i="11"/>
  <c r="Y209" i="11"/>
  <c r="AA209" i="11"/>
  <c r="AB209" i="11"/>
  <c r="AD209" i="11"/>
  <c r="V210" i="11"/>
  <c r="W210" i="11"/>
  <c r="X210" i="11"/>
  <c r="Y210" i="11"/>
  <c r="AA210" i="11"/>
  <c r="AB210" i="11"/>
  <c r="AD210" i="11"/>
  <c r="V211" i="11"/>
  <c r="W211" i="11"/>
  <c r="X211" i="11"/>
  <c r="Y211" i="11"/>
  <c r="AA211" i="11"/>
  <c r="AB211" i="11"/>
  <c r="AD211" i="11"/>
  <c r="V212" i="11"/>
  <c r="W212" i="11"/>
  <c r="X212" i="11"/>
  <c r="Y212" i="11"/>
  <c r="AA212" i="11"/>
  <c r="AB212" i="11"/>
  <c r="AD212" i="11"/>
  <c r="V213" i="11"/>
  <c r="W213" i="11"/>
  <c r="X213" i="11"/>
  <c r="Y213" i="11"/>
  <c r="AA213" i="11"/>
  <c r="AB213" i="11"/>
  <c r="AD213" i="11"/>
  <c r="V214" i="11"/>
  <c r="W214" i="11"/>
  <c r="X214" i="11"/>
  <c r="Y214" i="11"/>
  <c r="AA214" i="11"/>
  <c r="AB214" i="11"/>
  <c r="AD214" i="11"/>
  <c r="V215" i="11"/>
  <c r="W215" i="11"/>
  <c r="X215" i="11"/>
  <c r="Y215" i="11"/>
  <c r="AA215" i="11"/>
  <c r="AB215" i="11"/>
  <c r="AD215" i="11"/>
  <c r="V216" i="11"/>
  <c r="W216" i="11"/>
  <c r="X216" i="11"/>
  <c r="Y216" i="11"/>
  <c r="AA216" i="11"/>
  <c r="AB216" i="11"/>
  <c r="AD216" i="11"/>
  <c r="V217" i="11"/>
  <c r="W217" i="11"/>
  <c r="X217" i="11"/>
  <c r="Y217" i="11"/>
  <c r="AA217" i="11"/>
  <c r="AB217" i="11"/>
  <c r="AD217" i="11"/>
  <c r="V218" i="11"/>
  <c r="W218" i="11"/>
  <c r="X218" i="11"/>
  <c r="Y218" i="11"/>
  <c r="AA218" i="11"/>
  <c r="AB218" i="11"/>
  <c r="AD218" i="11"/>
  <c r="V219" i="11"/>
  <c r="W219" i="11"/>
  <c r="X219" i="11"/>
  <c r="Y219" i="11"/>
  <c r="AA219" i="11"/>
  <c r="AB219" i="11"/>
  <c r="AD219" i="11"/>
  <c r="V220" i="11"/>
  <c r="W220" i="11"/>
  <c r="X220" i="11"/>
  <c r="Y220" i="11"/>
  <c r="AA220" i="11"/>
  <c r="AB220" i="11"/>
  <c r="AD220" i="11"/>
  <c r="V221" i="11"/>
  <c r="W221" i="11"/>
  <c r="X221" i="11"/>
  <c r="Y221" i="11"/>
  <c r="AA221" i="11"/>
  <c r="AB221" i="11"/>
  <c r="AD221" i="11"/>
  <c r="V222" i="11"/>
  <c r="W222" i="11"/>
  <c r="X222" i="11"/>
  <c r="Y222" i="11"/>
  <c r="AA222" i="11"/>
  <c r="AB222" i="11"/>
  <c r="AD222" i="11"/>
  <c r="V223" i="11"/>
  <c r="W223" i="11"/>
  <c r="X223" i="11"/>
  <c r="Y223" i="11"/>
  <c r="AA223" i="11"/>
  <c r="AB223" i="11"/>
  <c r="AD223" i="11"/>
  <c r="V224" i="11"/>
  <c r="W224" i="11"/>
  <c r="X224" i="11"/>
  <c r="Y224" i="11"/>
  <c r="AA224" i="11"/>
  <c r="AB224" i="11"/>
  <c r="AD224" i="11"/>
  <c r="V225" i="11"/>
  <c r="W225" i="11"/>
  <c r="X225" i="11"/>
  <c r="Y225" i="11"/>
  <c r="AA225" i="11"/>
  <c r="AB225" i="11"/>
  <c r="AD225" i="11"/>
  <c r="V226" i="11"/>
  <c r="W226" i="11"/>
  <c r="X226" i="11"/>
  <c r="Y226" i="11"/>
  <c r="AA226" i="11"/>
  <c r="AB226" i="11"/>
  <c r="AD226" i="11"/>
  <c r="V227" i="11"/>
  <c r="W227" i="11"/>
  <c r="X227" i="11"/>
  <c r="Y227" i="11"/>
  <c r="AA227" i="11"/>
  <c r="AB227" i="11"/>
  <c r="AD227" i="11"/>
  <c r="V228" i="11"/>
  <c r="W228" i="11"/>
  <c r="X228" i="11"/>
  <c r="Y228" i="11"/>
  <c r="AA228" i="11"/>
  <c r="AB228" i="11"/>
  <c r="AD228" i="11"/>
  <c r="V229" i="11"/>
  <c r="W229" i="11"/>
  <c r="X229" i="11"/>
  <c r="Y229" i="11"/>
  <c r="AA229" i="11"/>
  <c r="AB229" i="11"/>
  <c r="AD229" i="11"/>
  <c r="V230" i="11"/>
  <c r="W230" i="11"/>
  <c r="X230" i="11"/>
  <c r="Y230" i="11"/>
  <c r="AA230" i="11"/>
  <c r="AB230" i="11"/>
  <c r="AD230" i="11"/>
  <c r="V231" i="11"/>
  <c r="W231" i="11"/>
  <c r="X231" i="11"/>
  <c r="Y231" i="11"/>
  <c r="AA231" i="11"/>
  <c r="AB231" i="11"/>
  <c r="AD231" i="11"/>
  <c r="V232" i="11"/>
  <c r="W232" i="11"/>
  <c r="X232" i="11"/>
  <c r="Y232" i="11"/>
  <c r="AA232" i="11"/>
  <c r="AB232" i="11"/>
  <c r="AD232" i="11"/>
  <c r="V233" i="11"/>
  <c r="W233" i="11"/>
  <c r="X233" i="11"/>
  <c r="Y233" i="11"/>
  <c r="AA233" i="11"/>
  <c r="AB233" i="11"/>
  <c r="AD233" i="11"/>
  <c r="V234" i="11"/>
  <c r="W234" i="11"/>
  <c r="X234" i="11"/>
  <c r="Y234" i="11"/>
  <c r="AA234" i="11"/>
  <c r="AB234" i="11"/>
  <c r="AD234" i="11"/>
  <c r="AD7" i="11"/>
  <c r="Z101" i="11"/>
  <c r="Z198" i="11"/>
  <c r="Z182" i="11"/>
  <c r="Z131" i="11"/>
  <c r="Z223" i="11"/>
  <c r="Z137" i="11"/>
  <c r="Z117" i="11"/>
  <c r="Z197" i="11"/>
  <c r="Z165" i="11"/>
  <c r="Z149" i="11"/>
  <c r="Z135" i="11"/>
  <c r="AI56" i="11"/>
  <c r="Z156" i="11"/>
  <c r="Z209" i="11"/>
  <c r="Z157" i="11"/>
  <c r="Z159" i="11"/>
  <c r="Z160" i="11"/>
  <c r="Z82" i="11"/>
  <c r="Z155" i="11"/>
  <c r="AB7" i="11"/>
  <c r="AA7" i="11"/>
  <c r="Y7" i="11"/>
  <c r="X7" i="11"/>
  <c r="W7" i="11"/>
  <c r="V7" i="11"/>
  <c r="V1287" i="11"/>
  <c r="V2" i="11"/>
  <c r="A5" i="12"/>
  <c r="A4" i="23"/>
  <c r="B4" i="23"/>
  <c r="B51" i="15"/>
  <c r="A68" i="3"/>
  <c r="A24" i="23"/>
  <c r="B24" i="23"/>
  <c r="B52" i="15"/>
  <c r="A69" i="3"/>
  <c r="A44" i="23"/>
  <c r="B44" i="23"/>
  <c r="B53" i="15"/>
  <c r="A70" i="3"/>
  <c r="A64" i="23"/>
  <c r="B64" i="23"/>
  <c r="B54" i="15"/>
  <c r="A71" i="3"/>
  <c r="A83" i="23"/>
  <c r="B83" i="23"/>
  <c r="B55" i="15"/>
  <c r="A72" i="3"/>
  <c r="B24" i="6"/>
  <c r="C25" i="6"/>
  <c r="D8" i="5"/>
  <c r="B9" i="6"/>
  <c r="B20" i="5"/>
  <c r="D9" i="5"/>
  <c r="B10" i="6"/>
  <c r="D10" i="5"/>
  <c r="B11" i="6"/>
  <c r="W1287" i="11"/>
  <c r="W2" i="11"/>
  <c r="A14" i="12"/>
  <c r="B15" i="12"/>
  <c r="B16" i="12"/>
  <c r="V1308" i="11"/>
  <c r="V1291" i="11"/>
  <c r="A5" i="23"/>
  <c r="N9" i="23"/>
  <c r="J9" i="23"/>
  <c r="W1308" i="11"/>
  <c r="W1291" i="11"/>
  <c r="A25" i="23"/>
  <c r="N29" i="23"/>
  <c r="J29" i="23"/>
  <c r="J46" i="23"/>
  <c r="N49" i="23"/>
  <c r="J49" i="23"/>
  <c r="J66" i="23"/>
  <c r="N68" i="23"/>
  <c r="J68" i="23"/>
  <c r="N90" i="23"/>
  <c r="J90" i="23"/>
  <c r="D5" i="8"/>
  <c r="S13" i="23"/>
  <c r="S14" i="23"/>
  <c r="S33" i="23"/>
  <c r="S34" i="23"/>
  <c r="S53" i="23"/>
  <c r="S54" i="23"/>
  <c r="S72" i="23"/>
  <c r="S73" i="23"/>
  <c r="S94" i="23"/>
  <c r="S95" i="23"/>
  <c r="S59" i="23"/>
  <c r="S60" i="23"/>
  <c r="S78" i="23"/>
  <c r="S79" i="23"/>
  <c r="S100" i="23"/>
  <c r="S101" i="23"/>
  <c r="O9" i="23"/>
  <c r="Q9" i="23"/>
  <c r="R9" i="23"/>
  <c r="J10" i="12"/>
  <c r="N10" i="12"/>
  <c r="O10" i="12"/>
  <c r="Q10" i="12"/>
  <c r="R10" i="12"/>
  <c r="J18" i="12"/>
  <c r="N18" i="12"/>
  <c r="O18" i="12"/>
  <c r="Q18" i="12"/>
  <c r="R18" i="12"/>
  <c r="X1287" i="11"/>
  <c r="X2" i="11"/>
  <c r="A22" i="12"/>
  <c r="B23" i="12"/>
  <c r="B24" i="12"/>
  <c r="J26" i="12"/>
  <c r="N26" i="12"/>
  <c r="O26" i="12"/>
  <c r="Q26" i="12"/>
  <c r="R26" i="12"/>
  <c r="Y1287" i="11"/>
  <c r="Y2" i="11"/>
  <c r="A30" i="12"/>
  <c r="J35" i="12"/>
  <c r="N35" i="12"/>
  <c r="O35" i="12"/>
  <c r="Q35" i="12"/>
  <c r="R35" i="12"/>
  <c r="Z1287" i="11"/>
  <c r="Z2" i="11"/>
  <c r="A39" i="12"/>
  <c r="B40" i="12"/>
  <c r="J40" i="12"/>
  <c r="R40" i="12"/>
  <c r="J43" i="12"/>
  <c r="N43" i="12"/>
  <c r="O43" i="12"/>
  <c r="Q43" i="12"/>
  <c r="R43" i="12"/>
  <c r="AA1287" i="11"/>
  <c r="AA2" i="11"/>
  <c r="A47" i="12"/>
  <c r="B48" i="12"/>
  <c r="B49" i="12"/>
  <c r="J51" i="12"/>
  <c r="N51" i="12"/>
  <c r="O51" i="12"/>
  <c r="Q51" i="12"/>
  <c r="R51" i="12"/>
  <c r="J56" i="12"/>
  <c r="N56" i="12"/>
  <c r="J57" i="12"/>
  <c r="N57" i="12"/>
  <c r="O56" i="12"/>
  <c r="Q56" i="12"/>
  <c r="O57" i="12"/>
  <c r="Q57" i="12"/>
  <c r="R56" i="12"/>
  <c r="R57" i="12"/>
  <c r="J65" i="12"/>
  <c r="N65" i="12"/>
  <c r="O65" i="12"/>
  <c r="Q65" i="12"/>
  <c r="R65" i="12"/>
  <c r="J73" i="12"/>
  <c r="N73" i="12"/>
  <c r="O73" i="12"/>
  <c r="Q73" i="12"/>
  <c r="R73" i="12"/>
  <c r="J78" i="12"/>
  <c r="N78" i="12"/>
  <c r="J79" i="12"/>
  <c r="N79" i="12"/>
  <c r="O78" i="12"/>
  <c r="Q78" i="12"/>
  <c r="O79" i="12"/>
  <c r="Q79" i="12"/>
  <c r="R78" i="12"/>
  <c r="R79" i="12"/>
  <c r="J86" i="12"/>
  <c r="N86" i="12"/>
  <c r="O86" i="12"/>
  <c r="Q86" i="12"/>
  <c r="R86" i="12"/>
  <c r="J94" i="12"/>
  <c r="N94" i="12"/>
  <c r="O94" i="12"/>
  <c r="Q94" i="12"/>
  <c r="R94" i="12"/>
  <c r="J102" i="12"/>
  <c r="N102" i="12"/>
  <c r="O102" i="12"/>
  <c r="Q102" i="12"/>
  <c r="R102" i="12"/>
  <c r="J111" i="12"/>
  <c r="N111" i="12"/>
  <c r="O111" i="12"/>
  <c r="Q111" i="12"/>
  <c r="R111" i="12"/>
  <c r="J119" i="12"/>
  <c r="N119" i="12"/>
  <c r="O119" i="12"/>
  <c r="Q119" i="12"/>
  <c r="R119" i="12"/>
  <c r="J127" i="12"/>
  <c r="N127" i="12"/>
  <c r="O127" i="12"/>
  <c r="Q127" i="12"/>
  <c r="R127" i="12"/>
  <c r="J135" i="12"/>
  <c r="N135" i="12"/>
  <c r="O135" i="12"/>
  <c r="Q135" i="12"/>
  <c r="R135" i="12"/>
  <c r="J144" i="12"/>
  <c r="N144" i="12"/>
  <c r="O144" i="12"/>
  <c r="Q144" i="12"/>
  <c r="R144" i="12"/>
  <c r="J154" i="12"/>
  <c r="N154" i="12"/>
  <c r="O154" i="12"/>
  <c r="Q154" i="12"/>
  <c r="R154" i="12"/>
  <c r="J162" i="12"/>
  <c r="N162" i="12"/>
  <c r="O162" i="12"/>
  <c r="Q162" i="12"/>
  <c r="R162" i="12"/>
  <c r="J171" i="12"/>
  <c r="N171" i="12"/>
  <c r="O171" i="12"/>
  <c r="Q171" i="12"/>
  <c r="R171" i="12"/>
  <c r="J179" i="12"/>
  <c r="N179" i="12"/>
  <c r="O179" i="12"/>
  <c r="Q179" i="12"/>
  <c r="R179" i="12"/>
  <c r="J187" i="12"/>
  <c r="N187" i="12"/>
  <c r="O187" i="12"/>
  <c r="Q187" i="12"/>
  <c r="R187" i="12"/>
  <c r="J195" i="12"/>
  <c r="N195" i="12"/>
  <c r="O195" i="12"/>
  <c r="Q195" i="12"/>
  <c r="R195" i="12"/>
  <c r="J204" i="12"/>
  <c r="N204" i="12"/>
  <c r="O204" i="12"/>
  <c r="Q204" i="12"/>
  <c r="R204" i="12"/>
  <c r="J212" i="12"/>
  <c r="N212" i="12"/>
  <c r="O212" i="12"/>
  <c r="Q212" i="12"/>
  <c r="R212" i="12"/>
  <c r="J220" i="12"/>
  <c r="N220" i="12"/>
  <c r="O220" i="12"/>
  <c r="Q220" i="12"/>
  <c r="R220" i="12"/>
  <c r="J228" i="12"/>
  <c r="N228" i="12"/>
  <c r="O228" i="12"/>
  <c r="Q228" i="12"/>
  <c r="R228" i="12"/>
  <c r="J236" i="12"/>
  <c r="N236" i="12"/>
  <c r="O236" i="12"/>
  <c r="Q236" i="12"/>
  <c r="R236" i="12"/>
  <c r="J243" i="12"/>
  <c r="N243" i="12"/>
  <c r="O243" i="12"/>
  <c r="Q243" i="12"/>
  <c r="R243" i="12"/>
  <c r="N253" i="12"/>
  <c r="P253" i="12"/>
  <c r="O253" i="12"/>
  <c r="Q253" i="12"/>
  <c r="R253" i="12"/>
  <c r="N262" i="12"/>
  <c r="P262" i="12"/>
  <c r="O262" i="12"/>
  <c r="Q262" i="12"/>
  <c r="R262" i="12"/>
  <c r="J267" i="12"/>
  <c r="J269" i="12"/>
  <c r="E35" i="15"/>
  <c r="E37" i="17"/>
  <c r="N267" i="12"/>
  <c r="N268" i="12"/>
  <c r="P268" i="12"/>
  <c r="O267" i="12"/>
  <c r="Q267" i="12"/>
  <c r="O268" i="12"/>
  <c r="Q268" i="12"/>
  <c r="R267" i="12"/>
  <c r="R268" i="12"/>
  <c r="J273" i="12"/>
  <c r="J275" i="12"/>
  <c r="E36" i="15"/>
  <c r="E38" i="17"/>
  <c r="N273" i="12"/>
  <c r="N274" i="12"/>
  <c r="P274" i="12"/>
  <c r="O273" i="12"/>
  <c r="Q273" i="12"/>
  <c r="O274" i="12"/>
  <c r="Q274" i="12"/>
  <c r="R273" i="12"/>
  <c r="R274" i="12"/>
  <c r="J279" i="12"/>
  <c r="J281" i="12"/>
  <c r="E37" i="15"/>
  <c r="E39" i="17"/>
  <c r="N279" i="12"/>
  <c r="N280" i="12"/>
  <c r="P280" i="12"/>
  <c r="O279" i="12"/>
  <c r="Q279" i="12"/>
  <c r="O280" i="12"/>
  <c r="Q280" i="12"/>
  <c r="R279" i="12"/>
  <c r="R280" i="12"/>
  <c r="J285" i="12"/>
  <c r="J287" i="12"/>
  <c r="E38" i="15"/>
  <c r="E40" i="17"/>
  <c r="N285" i="12"/>
  <c r="N286" i="12"/>
  <c r="P286" i="12"/>
  <c r="O285" i="12"/>
  <c r="Q285" i="12"/>
  <c r="O286" i="12"/>
  <c r="Q286" i="12"/>
  <c r="R285" i="12"/>
  <c r="R286" i="12"/>
  <c r="J291" i="12"/>
  <c r="J293" i="12"/>
  <c r="E39" i="15"/>
  <c r="E41" i="17"/>
  <c r="N291" i="12"/>
  <c r="N292" i="12"/>
  <c r="P292" i="12"/>
  <c r="O291" i="12"/>
  <c r="Q291" i="12"/>
  <c r="O292" i="12"/>
  <c r="Q292" i="12"/>
  <c r="R291" i="12"/>
  <c r="R292" i="12"/>
  <c r="J297" i="12"/>
  <c r="J299" i="12"/>
  <c r="E40" i="15"/>
  <c r="E42" i="17"/>
  <c r="N297" i="12"/>
  <c r="N298" i="12"/>
  <c r="P298" i="12"/>
  <c r="O297" i="12"/>
  <c r="Q297" i="12"/>
  <c r="O298" i="12"/>
  <c r="Q298" i="12"/>
  <c r="R297" i="12"/>
  <c r="R298" i="12"/>
  <c r="J303" i="12"/>
  <c r="J305" i="12"/>
  <c r="E41" i="15"/>
  <c r="E43" i="17"/>
  <c r="N303" i="12"/>
  <c r="N304" i="12"/>
  <c r="P304" i="12"/>
  <c r="O303" i="12"/>
  <c r="Q303" i="12"/>
  <c r="O304" i="12"/>
  <c r="Q304" i="12"/>
  <c r="R303" i="12"/>
  <c r="R304" i="12"/>
  <c r="J309" i="12"/>
  <c r="J311" i="12"/>
  <c r="E42" i="15"/>
  <c r="E44" i="17"/>
  <c r="N309" i="12"/>
  <c r="N310" i="12"/>
  <c r="P310" i="12"/>
  <c r="O309" i="12"/>
  <c r="Q309" i="12"/>
  <c r="O310" i="12"/>
  <c r="Q310" i="12"/>
  <c r="R309" i="12"/>
  <c r="R310" i="12"/>
  <c r="S19" i="23"/>
  <c r="S20" i="23"/>
  <c r="O29" i="23"/>
  <c r="Q29" i="23"/>
  <c r="R29" i="23"/>
  <c r="S39" i="23"/>
  <c r="S40" i="23"/>
  <c r="O46" i="23"/>
  <c r="Q46" i="23"/>
  <c r="O49" i="23"/>
  <c r="Q49" i="23"/>
  <c r="R46" i="23"/>
  <c r="R49" i="23"/>
  <c r="O66" i="23"/>
  <c r="Q66" i="23"/>
  <c r="O68" i="23"/>
  <c r="R66" i="23"/>
  <c r="R68" i="23"/>
  <c r="O90" i="23"/>
  <c r="R90" i="23"/>
  <c r="C15" i="1"/>
  <c r="C16" i="1"/>
  <c r="B13" i="4"/>
  <c r="C17" i="1"/>
  <c r="C18" i="1"/>
  <c r="C19" i="1"/>
  <c r="C20" i="1"/>
  <c r="C21" i="1"/>
  <c r="C26" i="1"/>
  <c r="C27" i="1"/>
  <c r="B14" i="7"/>
  <c r="C4" i="2"/>
  <c r="D4" i="2"/>
  <c r="C28" i="1"/>
  <c r="C29" i="1"/>
  <c r="C30" i="1"/>
  <c r="C46" i="1"/>
  <c r="C31" i="1"/>
  <c r="C47" i="1"/>
  <c r="C48" i="1"/>
  <c r="K15" i="24"/>
  <c r="C27" i="6"/>
  <c r="N107" i="23"/>
  <c r="J107" i="23"/>
  <c r="N108" i="23"/>
  <c r="J108" i="23"/>
  <c r="N125" i="23"/>
  <c r="J125" i="23"/>
  <c r="N126" i="23"/>
  <c r="J126" i="23"/>
  <c r="N143" i="23"/>
  <c r="J143" i="23"/>
  <c r="N144" i="23"/>
  <c r="J144" i="23"/>
  <c r="N161" i="23"/>
  <c r="J161" i="23"/>
  <c r="N162" i="23"/>
  <c r="J162" i="23"/>
  <c r="N179" i="23"/>
  <c r="J179" i="23"/>
  <c r="N180" i="23"/>
  <c r="J180" i="23"/>
  <c r="J15" i="24"/>
  <c r="L15" i="24"/>
  <c r="K16" i="24"/>
  <c r="J16" i="24"/>
  <c r="L16" i="24"/>
  <c r="K17" i="24"/>
  <c r="J17" i="24"/>
  <c r="L17" i="24"/>
  <c r="K18" i="24"/>
  <c r="J18" i="24"/>
  <c r="L18" i="24"/>
  <c r="K14" i="24"/>
  <c r="J14" i="24"/>
  <c r="D19" i="9"/>
  <c r="F19" i="9"/>
  <c r="D5" i="9"/>
  <c r="E5" i="9"/>
  <c r="F5" i="9"/>
  <c r="D6" i="9"/>
  <c r="E6" i="9"/>
  <c r="F6" i="9"/>
  <c r="D8" i="9"/>
  <c r="E8" i="9"/>
  <c r="F8" i="9"/>
  <c r="D9" i="9"/>
  <c r="E9" i="9"/>
  <c r="F9" i="9"/>
  <c r="D10" i="9"/>
  <c r="F10" i="9"/>
  <c r="L14" i="24"/>
  <c r="E7" i="9"/>
  <c r="A14" i="24"/>
  <c r="A45" i="24"/>
  <c r="A47" i="24"/>
  <c r="A46" i="24"/>
  <c r="A44" i="24"/>
  <c r="A49" i="24"/>
  <c r="F5" i="8"/>
  <c r="H62" i="1"/>
  <c r="H63" i="1"/>
  <c r="H64" i="1"/>
  <c r="H65" i="1"/>
  <c r="N45" i="15"/>
  <c r="I14" i="24"/>
  <c r="O107" i="23"/>
  <c r="Q107" i="23"/>
  <c r="O108" i="23"/>
  <c r="Q108" i="23"/>
  <c r="R107" i="23"/>
  <c r="R108" i="23"/>
  <c r="S112" i="23"/>
  <c r="S113" i="23"/>
  <c r="S116" i="23"/>
  <c r="S118" i="23"/>
  <c r="S119" i="23"/>
  <c r="O125" i="23"/>
  <c r="O126" i="23"/>
  <c r="Q126" i="23"/>
  <c r="R125" i="23"/>
  <c r="R126" i="23"/>
  <c r="S130" i="23"/>
  <c r="S131" i="23"/>
  <c r="S134" i="23"/>
  <c r="S136" i="23"/>
  <c r="S137" i="23"/>
  <c r="O143" i="23"/>
  <c r="Q143" i="23"/>
  <c r="O144" i="23"/>
  <c r="R143" i="23"/>
  <c r="R144" i="23"/>
  <c r="S148" i="23"/>
  <c r="S149" i="23"/>
  <c r="S152" i="23"/>
  <c r="S154" i="23"/>
  <c r="S155" i="23"/>
  <c r="O161" i="23"/>
  <c r="Q161" i="23"/>
  <c r="O162" i="23"/>
  <c r="Q162" i="23"/>
  <c r="R161" i="23"/>
  <c r="R162" i="23"/>
  <c r="S166" i="23"/>
  <c r="S167" i="23"/>
  <c r="S170" i="23"/>
  <c r="S172" i="23"/>
  <c r="S173" i="23"/>
  <c r="O179" i="23"/>
  <c r="Q179" i="23"/>
  <c r="O180" i="23"/>
  <c r="Q180" i="23"/>
  <c r="R179" i="23"/>
  <c r="R180" i="23"/>
  <c r="S184" i="23"/>
  <c r="S185" i="23"/>
  <c r="S188" i="23"/>
  <c r="S190" i="23"/>
  <c r="S191" i="23"/>
  <c r="A177" i="23"/>
  <c r="B177" i="23"/>
  <c r="B60" i="15"/>
  <c r="A77" i="3"/>
  <c r="A141" i="23"/>
  <c r="B141" i="23"/>
  <c r="B58" i="15"/>
  <c r="A75" i="3"/>
  <c r="A159" i="23"/>
  <c r="B159" i="23"/>
  <c r="B59" i="15"/>
  <c r="A76" i="3"/>
  <c r="A105" i="23"/>
  <c r="B105" i="23"/>
  <c r="B56" i="15"/>
  <c r="A73" i="3"/>
  <c r="A123" i="23"/>
  <c r="B123" i="23"/>
  <c r="B57" i="15"/>
  <c r="A74" i="3"/>
  <c r="F5" i="24"/>
  <c r="F4" i="24"/>
  <c r="A7" i="24"/>
  <c r="A6" i="24"/>
  <c r="A5" i="24"/>
  <c r="A4" i="24"/>
  <c r="A1" i="24"/>
  <c r="A33" i="21"/>
  <c r="A48" i="16"/>
  <c r="A32" i="21"/>
  <c r="A179" i="23"/>
  <c r="H177" i="23"/>
  <c r="D60" i="15"/>
  <c r="AE1308" i="11"/>
  <c r="AE1291" i="11"/>
  <c r="A178" i="23"/>
  <c r="A161" i="23"/>
  <c r="H159" i="23"/>
  <c r="D59" i="15"/>
  <c r="AD1308" i="11"/>
  <c r="AD1291" i="11"/>
  <c r="A160" i="23"/>
  <c r="G159" i="23"/>
  <c r="C59" i="15"/>
  <c r="O59" i="15"/>
  <c r="A143" i="23"/>
  <c r="H141" i="23"/>
  <c r="D58" i="15"/>
  <c r="AC1308" i="11"/>
  <c r="AC1291" i="11"/>
  <c r="A142" i="23"/>
  <c r="G141" i="23"/>
  <c r="C58" i="15"/>
  <c r="O58" i="15"/>
  <c r="A125" i="23"/>
  <c r="H123" i="23"/>
  <c r="D57" i="15"/>
  <c r="AB1308" i="11"/>
  <c r="AB1291" i="11"/>
  <c r="A124" i="23"/>
  <c r="B125" i="23"/>
  <c r="A107" i="23"/>
  <c r="H105" i="23"/>
  <c r="D56" i="15"/>
  <c r="AA1308" i="11"/>
  <c r="AA1291" i="11"/>
  <c r="A106" i="23"/>
  <c r="G105" i="23"/>
  <c r="C56" i="15"/>
  <c r="O56" i="15"/>
  <c r="A85" i="23"/>
  <c r="H83" i="23"/>
  <c r="D55" i="15"/>
  <c r="Z1308" i="11"/>
  <c r="Z1291" i="11"/>
  <c r="A84" i="23"/>
  <c r="G83" i="23"/>
  <c r="C55" i="15"/>
  <c r="A66" i="23"/>
  <c r="H64" i="23"/>
  <c r="D54" i="15"/>
  <c r="Y1308" i="11"/>
  <c r="Y1291" i="11"/>
  <c r="A65" i="23"/>
  <c r="G64" i="23"/>
  <c r="C54" i="15"/>
  <c r="O54" i="15"/>
  <c r="A46" i="23"/>
  <c r="H44" i="23"/>
  <c r="D53" i="15"/>
  <c r="A26" i="23"/>
  <c r="H24" i="23"/>
  <c r="D52" i="15"/>
  <c r="A6" i="23"/>
  <c r="H4" i="23"/>
  <c r="D51" i="15"/>
  <c r="A108" i="23"/>
  <c r="A90" i="23"/>
  <c r="A68" i="23"/>
  <c r="S193" i="23"/>
  <c r="S175" i="23"/>
  <c r="S157" i="23"/>
  <c r="S139" i="23"/>
  <c r="S121" i="23"/>
  <c r="S103" i="23"/>
  <c r="S81" i="23"/>
  <c r="S62" i="23"/>
  <c r="S42" i="23"/>
  <c r="S22" i="23"/>
  <c r="C3" i="2"/>
  <c r="D3" i="2"/>
  <c r="C5" i="2"/>
  <c r="D5" i="2"/>
  <c r="C6" i="2"/>
  <c r="D6" i="2"/>
  <c r="BI1287" i="11"/>
  <c r="BI2" i="11"/>
  <c r="A308" i="12"/>
  <c r="B309" i="12"/>
  <c r="K6" i="14"/>
  <c r="C26" i="6"/>
  <c r="B5" i="8"/>
  <c r="BH1287" i="11"/>
  <c r="BH2" i="11"/>
  <c r="A302" i="12"/>
  <c r="G301" i="12"/>
  <c r="C41" i="15"/>
  <c r="BG1287" i="11"/>
  <c r="BG2" i="11"/>
  <c r="A296" i="12"/>
  <c r="G295" i="12"/>
  <c r="C40" i="15"/>
  <c r="D42" i="17"/>
  <c r="BF1287" i="11"/>
  <c r="BF2" i="11"/>
  <c r="A290" i="12"/>
  <c r="G289" i="12"/>
  <c r="C39" i="15"/>
  <c r="BE1287" i="11"/>
  <c r="BE2" i="11"/>
  <c r="A284" i="12"/>
  <c r="G283" i="12"/>
  <c r="C38" i="15"/>
  <c r="D40" i="17"/>
  <c r="BD1287" i="11"/>
  <c r="BD2" i="11"/>
  <c r="A278" i="12"/>
  <c r="G277" i="12"/>
  <c r="C37" i="15"/>
  <c r="BC1287" i="11"/>
  <c r="BC2" i="11"/>
  <c r="A272" i="12"/>
  <c r="G271" i="12"/>
  <c r="C36" i="15"/>
  <c r="D38" i="17"/>
  <c r="BB2" i="11"/>
  <c r="A266" i="12"/>
  <c r="G265" i="12"/>
  <c r="C35" i="15"/>
  <c r="D37" i="17"/>
  <c r="BA1287" i="11"/>
  <c r="BA2" i="11"/>
  <c r="A257" i="12"/>
  <c r="B258" i="12"/>
  <c r="B259" i="12"/>
  <c r="AZ2" i="11"/>
  <c r="A247" i="12"/>
  <c r="G246" i="12"/>
  <c r="C33" i="15"/>
  <c r="AY2" i="11"/>
  <c r="A240" i="12"/>
  <c r="G239" i="12"/>
  <c r="C32" i="15"/>
  <c r="D34" i="17"/>
  <c r="AX2" i="11"/>
  <c r="A232" i="12"/>
  <c r="G231" i="12"/>
  <c r="C31" i="15"/>
  <c r="AW1287" i="11"/>
  <c r="AW2" i="11"/>
  <c r="A224" i="12"/>
  <c r="G223" i="12"/>
  <c r="C30" i="15"/>
  <c r="D32" i="17"/>
  <c r="AV1287" i="11"/>
  <c r="AV2" i="11"/>
  <c r="A216" i="12"/>
  <c r="G215" i="12"/>
  <c r="C29" i="15"/>
  <c r="AU1287" i="11"/>
  <c r="AU2" i="11"/>
  <c r="A208" i="12"/>
  <c r="G207" i="12"/>
  <c r="C28" i="15"/>
  <c r="D30" i="17"/>
  <c r="AT1287" i="11"/>
  <c r="AT2" i="11"/>
  <c r="A199" i="12"/>
  <c r="G198" i="12"/>
  <c r="C27" i="15"/>
  <c r="D29" i="17"/>
  <c r="AS1287" i="11"/>
  <c r="AS2" i="11"/>
  <c r="A191" i="12"/>
  <c r="G190" i="12"/>
  <c r="C26" i="15"/>
  <c r="AR1287" i="11"/>
  <c r="AR2" i="11"/>
  <c r="A183" i="12"/>
  <c r="G182" i="12"/>
  <c r="C25" i="15"/>
  <c r="AQ1287" i="11"/>
  <c r="AQ2" i="11"/>
  <c r="A175" i="12"/>
  <c r="G165" i="12"/>
  <c r="C23" i="15"/>
  <c r="AO2" i="11"/>
  <c r="A158" i="12"/>
  <c r="G157" i="12"/>
  <c r="C22" i="15"/>
  <c r="AN1287" i="11"/>
  <c r="AN2" i="11"/>
  <c r="A148" i="12"/>
  <c r="G147" i="12"/>
  <c r="C21" i="15"/>
  <c r="AM1287" i="11"/>
  <c r="AM2" i="11"/>
  <c r="A139" i="12"/>
  <c r="G138" i="12"/>
  <c r="C20" i="15"/>
  <c r="D22" i="17"/>
  <c r="AL1287" i="11"/>
  <c r="AL2" i="11"/>
  <c r="A131" i="12"/>
  <c r="G130" i="12"/>
  <c r="C19" i="15"/>
  <c r="D21" i="17"/>
  <c r="AK1287" i="11"/>
  <c r="AK2" i="11"/>
  <c r="A123" i="12"/>
  <c r="B124" i="12"/>
  <c r="B125" i="12"/>
  <c r="AJ1287" i="11"/>
  <c r="AJ2" i="11"/>
  <c r="A115" i="12"/>
  <c r="G114" i="12"/>
  <c r="C17" i="15"/>
  <c r="AI1287" i="11"/>
  <c r="AI2" i="11"/>
  <c r="A106" i="12"/>
  <c r="G105" i="12"/>
  <c r="C16" i="15"/>
  <c r="D18" i="17"/>
  <c r="AH1287" i="11"/>
  <c r="AH2" i="11"/>
  <c r="A98" i="12"/>
  <c r="G97" i="12"/>
  <c r="C15" i="15"/>
  <c r="AG1287" i="11"/>
  <c r="AG2" i="11"/>
  <c r="A90" i="12"/>
  <c r="G89" i="12"/>
  <c r="C14" i="15"/>
  <c r="AF1287" i="11"/>
  <c r="AF2" i="11"/>
  <c r="A83" i="12"/>
  <c r="G82" i="12"/>
  <c r="C13" i="15"/>
  <c r="AE1287" i="11"/>
  <c r="AE2" i="11"/>
  <c r="A77" i="12"/>
  <c r="G76" i="12"/>
  <c r="C12" i="15"/>
  <c r="D14" i="17"/>
  <c r="AD1287" i="11"/>
  <c r="AD2" i="11"/>
  <c r="A69" i="12"/>
  <c r="G68" i="12"/>
  <c r="C11" i="15"/>
  <c r="D13" i="17"/>
  <c r="AC1287" i="11"/>
  <c r="AC2" i="11"/>
  <c r="A61" i="12"/>
  <c r="AB1287" i="11"/>
  <c r="AB2" i="11"/>
  <c r="A55" i="12"/>
  <c r="G54" i="12"/>
  <c r="C9" i="15"/>
  <c r="A29" i="23"/>
  <c r="B36" i="6"/>
  <c r="C36" i="6"/>
  <c r="B37" i="6"/>
  <c r="C37" i="6"/>
  <c r="B38" i="6"/>
  <c r="C38" i="6"/>
  <c r="B39" i="6"/>
  <c r="C39" i="6"/>
  <c r="B40" i="6"/>
  <c r="C40" i="6"/>
  <c r="C41" i="6"/>
  <c r="C24" i="6"/>
  <c r="B25" i="6"/>
  <c r="B26" i="6"/>
  <c r="B27" i="6"/>
  <c r="B28" i="6"/>
  <c r="C28" i="6"/>
  <c r="K293" i="19"/>
  <c r="G293" i="19"/>
  <c r="M293" i="19"/>
  <c r="L293" i="19"/>
  <c r="I17" i="20"/>
  <c r="N293" i="19"/>
  <c r="K294" i="19"/>
  <c r="G294" i="19"/>
  <c r="M294" i="19"/>
  <c r="L294" i="19"/>
  <c r="N294" i="19"/>
  <c r="O294" i="19"/>
  <c r="O302" i="19"/>
  <c r="O298" i="19"/>
  <c r="O299" i="19"/>
  <c r="O300" i="19"/>
  <c r="O301" i="19"/>
  <c r="C27" i="22"/>
  <c r="B27" i="22"/>
  <c r="K278" i="19"/>
  <c r="G278" i="19"/>
  <c r="M278" i="19"/>
  <c r="L278" i="19"/>
  <c r="N278" i="19"/>
  <c r="K279" i="19"/>
  <c r="G279" i="19"/>
  <c r="M279" i="19"/>
  <c r="L279" i="19"/>
  <c r="N279" i="19"/>
  <c r="O279" i="19"/>
  <c r="O287" i="19"/>
  <c r="O283" i="19"/>
  <c r="O284" i="19"/>
  <c r="O285" i="19"/>
  <c r="O286" i="19"/>
  <c r="C26" i="22"/>
  <c r="B26" i="22"/>
  <c r="K263" i="19"/>
  <c r="G263" i="19"/>
  <c r="M263" i="19"/>
  <c r="L263" i="19"/>
  <c r="N263" i="19"/>
  <c r="O263" i="19"/>
  <c r="K264" i="19"/>
  <c r="G264" i="19"/>
  <c r="M264" i="19"/>
  <c r="L264" i="19"/>
  <c r="N264" i="19"/>
  <c r="O272" i="19"/>
  <c r="O268" i="19"/>
  <c r="O269" i="19"/>
  <c r="O270" i="19"/>
  <c r="O271" i="19"/>
  <c r="C25" i="22"/>
  <c r="B25" i="22"/>
  <c r="K248" i="19"/>
  <c r="G248" i="19"/>
  <c r="M248" i="19"/>
  <c r="L248" i="19"/>
  <c r="N248" i="19"/>
  <c r="O248" i="19"/>
  <c r="K249" i="19"/>
  <c r="G249" i="19"/>
  <c r="M249" i="19"/>
  <c r="L249" i="19"/>
  <c r="N249" i="19"/>
  <c r="O257" i="19"/>
  <c r="O253" i="19"/>
  <c r="O254" i="19"/>
  <c r="O255" i="19"/>
  <c r="O256" i="19"/>
  <c r="C24" i="22"/>
  <c r="B24" i="22"/>
  <c r="K233" i="19"/>
  <c r="G233" i="19"/>
  <c r="M233" i="19"/>
  <c r="L233" i="19"/>
  <c r="N233" i="19"/>
  <c r="K234" i="19"/>
  <c r="G234" i="19"/>
  <c r="M234" i="19"/>
  <c r="L234" i="19"/>
  <c r="N234" i="19"/>
  <c r="O234" i="19"/>
  <c r="O242" i="19"/>
  <c r="O238" i="19"/>
  <c r="O239" i="19"/>
  <c r="O240" i="19"/>
  <c r="O241" i="19"/>
  <c r="C23" i="22"/>
  <c r="B23" i="22"/>
  <c r="K218" i="19"/>
  <c r="G218" i="19"/>
  <c r="M218" i="19"/>
  <c r="L218" i="19"/>
  <c r="N218" i="19"/>
  <c r="K219" i="19"/>
  <c r="G219" i="19"/>
  <c r="M219" i="19"/>
  <c r="L219" i="19"/>
  <c r="N219" i="19"/>
  <c r="O219" i="19"/>
  <c r="O227" i="19"/>
  <c r="O223" i="19"/>
  <c r="O224" i="19"/>
  <c r="O225" i="19"/>
  <c r="O226" i="19"/>
  <c r="C22" i="22"/>
  <c r="B22" i="22"/>
  <c r="K203" i="19"/>
  <c r="G203" i="19"/>
  <c r="M203" i="19"/>
  <c r="L203" i="19"/>
  <c r="N203" i="19"/>
  <c r="K204" i="19"/>
  <c r="G204" i="19"/>
  <c r="M204" i="19"/>
  <c r="L204" i="19"/>
  <c r="N204" i="19"/>
  <c r="O204" i="19"/>
  <c r="O212" i="19"/>
  <c r="O208" i="19"/>
  <c r="O209" i="19"/>
  <c r="O210" i="19"/>
  <c r="O211" i="19"/>
  <c r="C21" i="22"/>
  <c r="B21" i="22"/>
  <c r="K188" i="19"/>
  <c r="G188" i="19"/>
  <c r="M188" i="19"/>
  <c r="L188" i="19"/>
  <c r="N188" i="19"/>
  <c r="O188" i="19"/>
  <c r="K189" i="19"/>
  <c r="G189" i="19"/>
  <c r="M189" i="19"/>
  <c r="L189" i="19"/>
  <c r="N189" i="19"/>
  <c r="O197" i="19"/>
  <c r="O193" i="19"/>
  <c r="O194" i="19"/>
  <c r="O195" i="19"/>
  <c r="O196" i="19"/>
  <c r="C20" i="22"/>
  <c r="B20" i="22"/>
  <c r="K173" i="19"/>
  <c r="G173" i="19"/>
  <c r="M173" i="19"/>
  <c r="L173" i="19"/>
  <c r="N173" i="19"/>
  <c r="K174" i="19"/>
  <c r="G174" i="19"/>
  <c r="M174" i="19"/>
  <c r="L174" i="19"/>
  <c r="N174" i="19"/>
  <c r="O174" i="19"/>
  <c r="O182" i="19"/>
  <c r="O178" i="19"/>
  <c r="O179" i="19"/>
  <c r="O180" i="19"/>
  <c r="O181" i="19"/>
  <c r="C19" i="22"/>
  <c r="B19" i="22"/>
  <c r="K158" i="19"/>
  <c r="G158" i="19"/>
  <c r="M158" i="19"/>
  <c r="L158" i="19"/>
  <c r="N158" i="19"/>
  <c r="K159" i="19"/>
  <c r="G159" i="19"/>
  <c r="M159" i="19"/>
  <c r="L159" i="19"/>
  <c r="N159" i="19"/>
  <c r="O159" i="19"/>
  <c r="O167" i="19"/>
  <c r="O163" i="19"/>
  <c r="O164" i="19"/>
  <c r="O165" i="19"/>
  <c r="O166" i="19"/>
  <c r="C18" i="22"/>
  <c r="B18" i="22"/>
  <c r="K143" i="19"/>
  <c r="G143" i="19"/>
  <c r="M143" i="19"/>
  <c r="L143" i="19"/>
  <c r="N143" i="19"/>
  <c r="K144" i="19"/>
  <c r="G144" i="19"/>
  <c r="M144" i="19"/>
  <c r="L144" i="19"/>
  <c r="N144" i="19"/>
  <c r="O144" i="19"/>
  <c r="O152" i="19"/>
  <c r="O148" i="19"/>
  <c r="O149" i="19"/>
  <c r="O150" i="19"/>
  <c r="O151" i="19"/>
  <c r="C17" i="22"/>
  <c r="B17" i="22"/>
  <c r="K128" i="19"/>
  <c r="G128" i="19"/>
  <c r="M128" i="19"/>
  <c r="L128" i="19"/>
  <c r="N128" i="19"/>
  <c r="O128" i="19"/>
  <c r="K129" i="19"/>
  <c r="G129" i="19"/>
  <c r="M129" i="19"/>
  <c r="L129" i="19"/>
  <c r="N129" i="19"/>
  <c r="O137" i="19"/>
  <c r="O133" i="19"/>
  <c r="O134" i="19"/>
  <c r="O135" i="19"/>
  <c r="O136" i="19"/>
  <c r="C16" i="22"/>
  <c r="B16" i="22"/>
  <c r="K113" i="19"/>
  <c r="G113" i="19"/>
  <c r="M113" i="19"/>
  <c r="L113" i="19"/>
  <c r="N113" i="19"/>
  <c r="K114" i="19"/>
  <c r="G114" i="19"/>
  <c r="M114" i="19"/>
  <c r="L114" i="19"/>
  <c r="N114" i="19"/>
  <c r="O114" i="19"/>
  <c r="O122" i="19"/>
  <c r="O118" i="19"/>
  <c r="O119" i="19"/>
  <c r="O120" i="19"/>
  <c r="O121" i="19"/>
  <c r="C15" i="22"/>
  <c r="B15" i="22"/>
  <c r="K98" i="19"/>
  <c r="G98" i="19"/>
  <c r="M98" i="19"/>
  <c r="L98" i="19"/>
  <c r="N98" i="19"/>
  <c r="K99" i="19"/>
  <c r="G99" i="19"/>
  <c r="M99" i="19"/>
  <c r="L99" i="19"/>
  <c r="N99" i="19"/>
  <c r="O99" i="19"/>
  <c r="O107" i="19"/>
  <c r="O103" i="19"/>
  <c r="O104" i="19"/>
  <c r="O105" i="19"/>
  <c r="O106" i="19"/>
  <c r="C14" i="22"/>
  <c r="B14" i="22"/>
  <c r="K83" i="19"/>
  <c r="G83" i="19"/>
  <c r="M83" i="19"/>
  <c r="L83" i="19"/>
  <c r="N83" i="19"/>
  <c r="K84" i="19"/>
  <c r="G84" i="19"/>
  <c r="M84" i="19"/>
  <c r="L84" i="19"/>
  <c r="N84" i="19"/>
  <c r="O84" i="19"/>
  <c r="O92" i="19"/>
  <c r="O88" i="19"/>
  <c r="O89" i="19"/>
  <c r="O90" i="19"/>
  <c r="O91" i="19"/>
  <c r="C13" i="22"/>
  <c r="B13" i="22"/>
  <c r="K68" i="19"/>
  <c r="G68" i="19"/>
  <c r="M68" i="19"/>
  <c r="L68" i="19"/>
  <c r="N68" i="19"/>
  <c r="O68" i="19"/>
  <c r="K69" i="19"/>
  <c r="G69" i="19"/>
  <c r="M69" i="19"/>
  <c r="L69" i="19"/>
  <c r="N69" i="19"/>
  <c r="O77" i="19"/>
  <c r="O73" i="19"/>
  <c r="O74" i="19"/>
  <c r="O75" i="19"/>
  <c r="O76" i="19"/>
  <c r="C12" i="22"/>
  <c r="B12" i="22"/>
  <c r="K53" i="19"/>
  <c r="G53" i="19"/>
  <c r="M53" i="19"/>
  <c r="L53" i="19"/>
  <c r="N53" i="19"/>
  <c r="K54" i="19"/>
  <c r="G54" i="19"/>
  <c r="M54" i="19"/>
  <c r="L54" i="19"/>
  <c r="N54" i="19"/>
  <c r="O54" i="19"/>
  <c r="O62" i="19"/>
  <c r="O58" i="19"/>
  <c r="O59" i="19"/>
  <c r="O60" i="19"/>
  <c r="O61" i="19"/>
  <c r="C11" i="22"/>
  <c r="B11" i="22"/>
  <c r="K38" i="19"/>
  <c r="G38" i="19"/>
  <c r="M38" i="19"/>
  <c r="L38" i="19"/>
  <c r="N38" i="19"/>
  <c r="K39" i="19"/>
  <c r="G39" i="19"/>
  <c r="M39" i="19"/>
  <c r="L39" i="19"/>
  <c r="N39" i="19"/>
  <c r="O39" i="19"/>
  <c r="O47" i="19"/>
  <c r="O43" i="19"/>
  <c r="O44" i="19"/>
  <c r="O45" i="19"/>
  <c r="O46" i="19"/>
  <c r="C10" i="22"/>
  <c r="B10" i="22"/>
  <c r="K23" i="19"/>
  <c r="G23" i="19"/>
  <c r="M23" i="19"/>
  <c r="L23" i="19"/>
  <c r="N23" i="19"/>
  <c r="K24" i="19"/>
  <c r="G24" i="19"/>
  <c r="M24" i="19"/>
  <c r="L24" i="19"/>
  <c r="N24" i="19"/>
  <c r="O24" i="19"/>
  <c r="O32" i="19"/>
  <c r="O28" i="19"/>
  <c r="O29" i="19"/>
  <c r="O30" i="19"/>
  <c r="O31" i="19"/>
  <c r="C9" i="22"/>
  <c r="B9" i="22"/>
  <c r="G8" i="19"/>
  <c r="K8" i="19"/>
  <c r="M8" i="19"/>
  <c r="L8" i="19"/>
  <c r="N8" i="19"/>
  <c r="O8" i="19"/>
  <c r="K9" i="19"/>
  <c r="G9" i="19"/>
  <c r="M9" i="19"/>
  <c r="L9" i="19"/>
  <c r="N9" i="19"/>
  <c r="O16" i="19"/>
  <c r="O17" i="19"/>
  <c r="O13" i="19"/>
  <c r="O14" i="19"/>
  <c r="O15" i="19"/>
  <c r="C8" i="22"/>
  <c r="B8" i="22"/>
  <c r="G16" i="22"/>
  <c r="G17" i="22"/>
  <c r="G18" i="22"/>
  <c r="G19" i="22"/>
  <c r="G20" i="22"/>
  <c r="G21" i="22"/>
  <c r="G22" i="22"/>
  <c r="G12" i="22"/>
  <c r="G13" i="22"/>
  <c r="G14" i="22"/>
  <c r="G15" i="22"/>
  <c r="G23" i="22"/>
  <c r="G24" i="22"/>
  <c r="G25" i="22"/>
  <c r="G26" i="22"/>
  <c r="G27" i="22"/>
  <c r="C5" i="22"/>
  <c r="G8" i="22"/>
  <c r="G9" i="22"/>
  <c r="G10" i="22"/>
  <c r="G11" i="22"/>
  <c r="G28" i="22"/>
  <c r="E5" i="8"/>
  <c r="E53" i="1"/>
  <c r="A7" i="16"/>
  <c r="A9" i="16"/>
  <c r="A8" i="16"/>
  <c r="A6" i="16"/>
  <c r="G10" i="19"/>
  <c r="T8" i="19"/>
  <c r="T23" i="19"/>
  <c r="T38" i="19"/>
  <c r="T53" i="19"/>
  <c r="T68" i="19"/>
  <c r="T83" i="19"/>
  <c r="T98" i="19"/>
  <c r="T113" i="19"/>
  <c r="T128" i="19"/>
  <c r="T143" i="19"/>
  <c r="T158" i="19"/>
  <c r="T173" i="19"/>
  <c r="T188" i="19"/>
  <c r="T203" i="19"/>
  <c r="T218" i="19"/>
  <c r="T233" i="19"/>
  <c r="T248" i="19"/>
  <c r="T263" i="19"/>
  <c r="T278" i="19"/>
  <c r="T293" i="19"/>
  <c r="T309" i="19"/>
  <c r="T4" i="19"/>
  <c r="E45" i="17"/>
  <c r="M45" i="17"/>
  <c r="I7" i="8"/>
  <c r="J7" i="8"/>
  <c r="K7" i="8"/>
  <c r="C37" i="1"/>
  <c r="C7" i="2"/>
  <c r="D7" i="2"/>
  <c r="B41" i="1"/>
  <c r="L7" i="8"/>
  <c r="S23" i="19"/>
  <c r="S38" i="19"/>
  <c r="S53" i="19"/>
  <c r="S68" i="19"/>
  <c r="S83" i="19"/>
  <c r="S98" i="19"/>
  <c r="S113" i="19"/>
  <c r="S128" i="19"/>
  <c r="S143" i="19"/>
  <c r="S158" i="19"/>
  <c r="S173" i="19"/>
  <c r="S188" i="19"/>
  <c r="S203" i="19"/>
  <c r="S218" i="19"/>
  <c r="S233" i="19"/>
  <c r="S248" i="19"/>
  <c r="S263" i="19"/>
  <c r="S278" i="19"/>
  <c r="S293" i="19"/>
  <c r="N295" i="19"/>
  <c r="L295" i="19"/>
  <c r="G295" i="19"/>
  <c r="H17" i="20"/>
  <c r="N280" i="19"/>
  <c r="L280" i="19"/>
  <c r="G280" i="19"/>
  <c r="N265" i="19"/>
  <c r="L265" i="19"/>
  <c r="G265" i="19"/>
  <c r="N250" i="19"/>
  <c r="L250" i="19"/>
  <c r="G250" i="19"/>
  <c r="N235" i="19"/>
  <c r="L235" i="19"/>
  <c r="G235" i="19"/>
  <c r="N220" i="19"/>
  <c r="L220" i="19"/>
  <c r="G220" i="19"/>
  <c r="N205" i="19"/>
  <c r="L205" i="19"/>
  <c r="G205" i="19"/>
  <c r="N190" i="19"/>
  <c r="L190" i="19"/>
  <c r="G190" i="19"/>
  <c r="N175" i="19"/>
  <c r="L175" i="19"/>
  <c r="G175" i="19"/>
  <c r="N160" i="19"/>
  <c r="L160" i="19"/>
  <c r="G160" i="19"/>
  <c r="N145" i="19"/>
  <c r="L145" i="19"/>
  <c r="G145" i="19"/>
  <c r="N130" i="19"/>
  <c r="L130" i="19"/>
  <c r="G130" i="19"/>
  <c r="N115" i="19"/>
  <c r="L115" i="19"/>
  <c r="G115" i="19"/>
  <c r="N100" i="19"/>
  <c r="L100" i="19"/>
  <c r="G100" i="19"/>
  <c r="N85" i="19"/>
  <c r="L85" i="19"/>
  <c r="G85" i="19"/>
  <c r="N70" i="19"/>
  <c r="L70" i="19"/>
  <c r="G70" i="19"/>
  <c r="N55" i="19"/>
  <c r="L55" i="19"/>
  <c r="G55" i="19"/>
  <c r="N40" i="19"/>
  <c r="L40" i="19"/>
  <c r="G40" i="19"/>
  <c r="N25" i="19"/>
  <c r="L25" i="19"/>
  <c r="G25" i="19"/>
  <c r="G46" i="17"/>
  <c r="F4" i="21"/>
  <c r="F3" i="21"/>
  <c r="B5" i="21"/>
  <c r="A3" i="21"/>
  <c r="A4" i="21"/>
  <c r="A30" i="21"/>
  <c r="A29" i="21"/>
  <c r="A28" i="21"/>
  <c r="J17" i="20"/>
  <c r="K17" i="20"/>
  <c r="L17" i="20"/>
  <c r="N10" i="19"/>
  <c r="L10" i="19"/>
  <c r="K18" i="16"/>
  <c r="E28" i="9"/>
  <c r="E29" i="9"/>
  <c r="E30" i="9"/>
  <c r="E31" i="9"/>
  <c r="E32" i="9"/>
  <c r="J17" i="16"/>
  <c r="H23" i="16"/>
  <c r="M5" i="17"/>
  <c r="M6" i="17"/>
  <c r="M7" i="17"/>
  <c r="M8" i="17"/>
  <c r="M9" i="17"/>
  <c r="M10" i="17"/>
  <c r="M11" i="17"/>
  <c r="M12" i="17"/>
  <c r="M13" i="17"/>
  <c r="M14" i="17"/>
  <c r="M15" i="17"/>
  <c r="M16" i="17"/>
  <c r="M17" i="17"/>
  <c r="M18" i="17"/>
  <c r="M19" i="17"/>
  <c r="M20" i="17"/>
  <c r="M21" i="17"/>
  <c r="M22" i="17"/>
  <c r="M23" i="17"/>
  <c r="M24" i="17"/>
  <c r="M25" i="17"/>
  <c r="M26" i="17"/>
  <c r="M27" i="17"/>
  <c r="M28" i="17"/>
  <c r="M29" i="17"/>
  <c r="M30" i="17"/>
  <c r="M31" i="17"/>
  <c r="M32" i="17"/>
  <c r="M33" i="17"/>
  <c r="M34" i="17"/>
  <c r="M35" i="17"/>
  <c r="M36" i="17"/>
  <c r="M37" i="17"/>
  <c r="M38" i="17"/>
  <c r="M39" i="17"/>
  <c r="M40" i="17"/>
  <c r="M41" i="17"/>
  <c r="M42" i="17"/>
  <c r="M43" i="17"/>
  <c r="M44" i="17"/>
  <c r="A307" i="12"/>
  <c r="B307" i="12"/>
  <c r="B42" i="15"/>
  <c r="B44" i="17"/>
  <c r="A190" i="12"/>
  <c r="B190" i="12"/>
  <c r="B26" i="15"/>
  <c r="B28" i="17"/>
  <c r="A198" i="12"/>
  <c r="B198" i="12"/>
  <c r="B27" i="15"/>
  <c r="B29" i="17"/>
  <c r="A207" i="12"/>
  <c r="B207" i="12"/>
  <c r="B28" i="15"/>
  <c r="B30" i="17"/>
  <c r="A215" i="12"/>
  <c r="B215" i="12"/>
  <c r="B29" i="15"/>
  <c r="B31" i="17"/>
  <c r="A223" i="12"/>
  <c r="B223" i="12"/>
  <c r="B30" i="15"/>
  <c r="B32" i="17"/>
  <c r="A231" i="12"/>
  <c r="B231" i="12"/>
  <c r="B31" i="15"/>
  <c r="B33" i="17"/>
  <c r="A239" i="12"/>
  <c r="B239" i="12"/>
  <c r="B32" i="15"/>
  <c r="B34" i="17"/>
  <c r="A246" i="12"/>
  <c r="B246" i="12"/>
  <c r="B33" i="15"/>
  <c r="B35" i="17"/>
  <c r="A256" i="12"/>
  <c r="B256" i="12"/>
  <c r="B34" i="15"/>
  <c r="B36" i="17"/>
  <c r="A265" i="12"/>
  <c r="B265" i="12"/>
  <c r="B35" i="15"/>
  <c r="B37" i="17"/>
  <c r="A271" i="12"/>
  <c r="B271" i="12"/>
  <c r="B36" i="15"/>
  <c r="B38" i="17"/>
  <c r="A277" i="12"/>
  <c r="B277" i="12"/>
  <c r="B37" i="15"/>
  <c r="B39" i="17"/>
  <c r="A283" i="12"/>
  <c r="B283" i="12"/>
  <c r="B38" i="15"/>
  <c r="B40" i="17"/>
  <c r="A289" i="12"/>
  <c r="B289" i="12"/>
  <c r="B39" i="15"/>
  <c r="B41" i="17"/>
  <c r="A295" i="12"/>
  <c r="B295" i="12"/>
  <c r="B40" i="15"/>
  <c r="B42" i="17"/>
  <c r="A301" i="12"/>
  <c r="B301" i="12"/>
  <c r="B41" i="15"/>
  <c r="B43" i="17"/>
  <c r="A13" i="12"/>
  <c r="B13" i="12"/>
  <c r="B4" i="15"/>
  <c r="B6" i="17"/>
  <c r="A21" i="12"/>
  <c r="B21" i="12"/>
  <c r="B5" i="15"/>
  <c r="B7" i="17"/>
  <c r="A29" i="12"/>
  <c r="B29" i="12"/>
  <c r="B6" i="15"/>
  <c r="B8" i="17"/>
  <c r="A38" i="12"/>
  <c r="B38" i="12"/>
  <c r="B7" i="15"/>
  <c r="B9" i="17"/>
  <c r="A46" i="12"/>
  <c r="B46" i="12"/>
  <c r="B8" i="15"/>
  <c r="B10" i="17"/>
  <c r="A54" i="12"/>
  <c r="B54" i="12"/>
  <c r="B9" i="15"/>
  <c r="B11" i="17"/>
  <c r="A60" i="12"/>
  <c r="B60" i="12"/>
  <c r="B10" i="15"/>
  <c r="B12" i="17"/>
  <c r="A68" i="12"/>
  <c r="B68" i="12"/>
  <c r="B11" i="15"/>
  <c r="B13" i="17"/>
  <c r="A76" i="12"/>
  <c r="B76" i="12"/>
  <c r="B12" i="15"/>
  <c r="B14" i="17"/>
  <c r="A82" i="12"/>
  <c r="B82" i="12"/>
  <c r="B13" i="15"/>
  <c r="B15" i="17"/>
  <c r="A89" i="12"/>
  <c r="B89" i="12"/>
  <c r="B14" i="15"/>
  <c r="B16" i="17"/>
  <c r="A97" i="12"/>
  <c r="B97" i="12"/>
  <c r="B15" i="15"/>
  <c r="B17" i="17"/>
  <c r="A105" i="12"/>
  <c r="B105" i="12"/>
  <c r="B16" i="15"/>
  <c r="B18" i="17"/>
  <c r="A114" i="12"/>
  <c r="B114" i="12"/>
  <c r="B17" i="15"/>
  <c r="B19" i="17"/>
  <c r="A122" i="12"/>
  <c r="B122" i="12"/>
  <c r="B18" i="15"/>
  <c r="B20" i="17"/>
  <c r="A130" i="12"/>
  <c r="B130" i="12"/>
  <c r="B19" i="15"/>
  <c r="B21" i="17"/>
  <c r="A138" i="12"/>
  <c r="B138" i="12"/>
  <c r="B20" i="15"/>
  <c r="B22" i="17"/>
  <c r="A147" i="12"/>
  <c r="B147" i="12"/>
  <c r="B21" i="15"/>
  <c r="B23" i="17"/>
  <c r="A157" i="12"/>
  <c r="B157" i="12"/>
  <c r="B22" i="15"/>
  <c r="B24" i="17"/>
  <c r="A165" i="12"/>
  <c r="B165" i="12"/>
  <c r="B23" i="15"/>
  <c r="B25" i="17"/>
  <c r="A174" i="12"/>
  <c r="B174" i="12"/>
  <c r="B24" i="15"/>
  <c r="B26" i="17"/>
  <c r="A182" i="12"/>
  <c r="B182" i="12"/>
  <c r="B25" i="15"/>
  <c r="B27" i="17"/>
  <c r="A4" i="12"/>
  <c r="B4" i="12"/>
  <c r="B3" i="15"/>
  <c r="B5" i="17"/>
  <c r="L47" i="17"/>
  <c r="M46" i="17"/>
  <c r="C3" i="17"/>
  <c r="M47" i="17"/>
  <c r="K47" i="17"/>
  <c r="G47" i="17"/>
  <c r="A17" i="16"/>
  <c r="I7" i="16"/>
  <c r="I6" i="16"/>
  <c r="A44" i="16"/>
  <c r="A43" i="16"/>
  <c r="A42" i="16"/>
  <c r="A41" i="16"/>
  <c r="A5" i="16"/>
  <c r="A309" i="12"/>
  <c r="H307" i="12"/>
  <c r="D42" i="15"/>
  <c r="A303" i="12"/>
  <c r="H301" i="12"/>
  <c r="D41" i="15"/>
  <c r="A297" i="12"/>
  <c r="H295" i="12"/>
  <c r="D40" i="15"/>
  <c r="A291" i="12"/>
  <c r="H289" i="12"/>
  <c r="D39" i="15"/>
  <c r="A285" i="12"/>
  <c r="H283" i="12"/>
  <c r="D38" i="15"/>
  <c r="A279" i="12"/>
  <c r="H277" i="12"/>
  <c r="D37" i="15"/>
  <c r="A273" i="12"/>
  <c r="H271" i="12"/>
  <c r="D36" i="15"/>
  <c r="A267" i="12"/>
  <c r="H265" i="12"/>
  <c r="D35" i="15"/>
  <c r="A258" i="12"/>
  <c r="H256" i="12"/>
  <c r="D34" i="15"/>
  <c r="A248" i="12"/>
  <c r="H246" i="12"/>
  <c r="D33" i="15"/>
  <c r="A241" i="12"/>
  <c r="H239" i="12"/>
  <c r="D32" i="15"/>
  <c r="A233" i="12"/>
  <c r="H231" i="12"/>
  <c r="D31" i="15"/>
  <c r="A225" i="12"/>
  <c r="H223" i="12"/>
  <c r="D30" i="15"/>
  <c r="A217" i="12"/>
  <c r="H215" i="12"/>
  <c r="D29" i="15"/>
  <c r="A209" i="12"/>
  <c r="H207" i="12"/>
  <c r="D28" i="15"/>
  <c r="A200" i="12"/>
  <c r="H198" i="12"/>
  <c r="D27" i="15"/>
  <c r="A192" i="12"/>
  <c r="H190" i="12"/>
  <c r="D26" i="15"/>
  <c r="A184" i="12"/>
  <c r="H182" i="12"/>
  <c r="D25" i="15"/>
  <c r="A176" i="12"/>
  <c r="H174" i="12"/>
  <c r="D24" i="15"/>
  <c r="A167" i="12"/>
  <c r="H165" i="12"/>
  <c r="D23" i="15"/>
  <c r="A159" i="12"/>
  <c r="H157" i="12"/>
  <c r="D22" i="15"/>
  <c r="A149" i="12"/>
  <c r="H147" i="12"/>
  <c r="D21" i="15"/>
  <c r="A140" i="12"/>
  <c r="H138" i="12"/>
  <c r="D20" i="15"/>
  <c r="A132" i="12"/>
  <c r="H130" i="12"/>
  <c r="D19" i="15"/>
  <c r="A124" i="12"/>
  <c r="H122" i="12"/>
  <c r="D18" i="15"/>
  <c r="A116" i="12"/>
  <c r="H114" i="12"/>
  <c r="D17" i="15"/>
  <c r="A107" i="12"/>
  <c r="H105" i="12"/>
  <c r="D16" i="15"/>
  <c r="A99" i="12"/>
  <c r="H97" i="12"/>
  <c r="D15" i="15"/>
  <c r="A91" i="12"/>
  <c r="H89" i="12"/>
  <c r="D14" i="15"/>
  <c r="A84" i="12"/>
  <c r="H82" i="12"/>
  <c r="D13" i="15"/>
  <c r="A78" i="12"/>
  <c r="H76" i="12"/>
  <c r="D12" i="15"/>
  <c r="A70" i="12"/>
  <c r="H68" i="12"/>
  <c r="D11" i="15"/>
  <c r="A62" i="12"/>
  <c r="H60" i="12"/>
  <c r="D10" i="15"/>
  <c r="A56" i="12"/>
  <c r="H54" i="12"/>
  <c r="D9" i="15"/>
  <c r="A48" i="12"/>
  <c r="H46" i="12"/>
  <c r="D8" i="15"/>
  <c r="A40" i="12"/>
  <c r="H38" i="12"/>
  <c r="D7" i="15"/>
  <c r="A31" i="12"/>
  <c r="H29" i="12"/>
  <c r="D6" i="15"/>
  <c r="A23" i="12"/>
  <c r="H21" i="12"/>
  <c r="D5" i="15"/>
  <c r="A15" i="12"/>
  <c r="H13" i="12"/>
  <c r="D4" i="15"/>
  <c r="A6" i="12"/>
  <c r="H4" i="12"/>
  <c r="D3" i="15"/>
  <c r="K5" i="14"/>
  <c r="K4" i="14"/>
  <c r="K3" i="14"/>
  <c r="A18" i="12"/>
  <c r="B25" i="7"/>
  <c r="G24" i="7"/>
  <c r="F24" i="7"/>
  <c r="E24" i="7"/>
  <c r="D24" i="7"/>
  <c r="C24" i="7"/>
  <c r="G23" i="7"/>
  <c r="F23" i="7"/>
  <c r="E23" i="7"/>
  <c r="D23" i="7"/>
  <c r="C23" i="7"/>
  <c r="G22" i="7"/>
  <c r="F22" i="7"/>
  <c r="E22" i="7"/>
  <c r="D22" i="7"/>
  <c r="C22" i="7"/>
  <c r="G21" i="7"/>
  <c r="F21" i="7"/>
  <c r="E21" i="7"/>
  <c r="D21" i="7"/>
  <c r="C21" i="7"/>
  <c r="G20" i="7"/>
  <c r="F20" i="7"/>
  <c r="E20" i="7"/>
  <c r="D20" i="7"/>
  <c r="C20" i="7"/>
  <c r="G19" i="7"/>
  <c r="F19" i="7"/>
  <c r="E19" i="7"/>
  <c r="D19" i="7"/>
  <c r="C19" i="7"/>
  <c r="G18" i="7"/>
  <c r="G17" i="7"/>
  <c r="G25" i="7"/>
  <c r="F18" i="7"/>
  <c r="E18" i="7"/>
  <c r="D18" i="7"/>
  <c r="C18" i="7"/>
  <c r="C17" i="7"/>
  <c r="F17" i="7"/>
  <c r="E17" i="7"/>
  <c r="D17" i="7"/>
  <c r="D25" i="7"/>
  <c r="G13" i="7"/>
  <c r="D13" i="7"/>
  <c r="C13" i="7"/>
  <c r="D12" i="7"/>
  <c r="G10" i="7"/>
  <c r="F10" i="7"/>
  <c r="D10" i="7"/>
  <c r="C10" i="7"/>
  <c r="G9" i="7"/>
  <c r="D9" i="7"/>
  <c r="C9" i="7"/>
  <c r="D8" i="7"/>
  <c r="G12" i="7"/>
  <c r="F13" i="7"/>
  <c r="E10" i="7"/>
  <c r="D11" i="7"/>
  <c r="C12" i="7"/>
  <c r="B19" i="5"/>
  <c r="D14" i="7"/>
  <c r="E11" i="7"/>
  <c r="E8" i="7"/>
  <c r="F11" i="7"/>
  <c r="E12" i="7"/>
  <c r="F8" i="7"/>
  <c r="E9" i="7"/>
  <c r="C11" i="7"/>
  <c r="G11" i="7"/>
  <c r="F12" i="7"/>
  <c r="E13" i="7"/>
  <c r="C8" i="7"/>
  <c r="C14" i="7"/>
  <c r="G8" i="7"/>
  <c r="G14" i="7"/>
  <c r="F9" i="7"/>
  <c r="E14" i="7"/>
  <c r="F14" i="7"/>
  <c r="C29" i="6"/>
  <c r="B21" i="5"/>
  <c r="E25" i="7"/>
  <c r="F25" i="7"/>
  <c r="C25" i="7"/>
  <c r="C43" i="1"/>
  <c r="E43" i="1"/>
  <c r="G45" i="17"/>
  <c r="F45" i="17"/>
  <c r="O258" i="12"/>
  <c r="Q258" i="12"/>
  <c r="J258" i="12"/>
  <c r="R258" i="12"/>
  <c r="J259" i="12"/>
  <c r="O259" i="12"/>
  <c r="Q259" i="12"/>
  <c r="B260" i="12"/>
  <c r="S132" i="23"/>
  <c r="L57" i="15"/>
  <c r="D74" i="3"/>
  <c r="S35" i="23"/>
  <c r="L52" i="15"/>
  <c r="D69" i="3"/>
  <c r="S74" i="23"/>
  <c r="L54" i="15"/>
  <c r="D71" i="3"/>
  <c r="S150" i="23"/>
  <c r="L58" i="15"/>
  <c r="D75" i="3"/>
  <c r="S96" i="23"/>
  <c r="L55" i="15"/>
  <c r="D72" i="3"/>
  <c r="S192" i="23"/>
  <c r="M60" i="15"/>
  <c r="E77" i="3"/>
  <c r="S168" i="23"/>
  <c r="L59" i="15"/>
  <c r="D76" i="3"/>
  <c r="S114" i="23"/>
  <c r="L56" i="15"/>
  <c r="D73" i="3"/>
  <c r="S15" i="23"/>
  <c r="L51" i="15"/>
  <c r="D68" i="3"/>
  <c r="S174" i="23"/>
  <c r="M59" i="15"/>
  <c r="E76" i="3"/>
  <c r="S186" i="23"/>
  <c r="L60" i="15"/>
  <c r="D77" i="3"/>
  <c r="S156" i="23"/>
  <c r="M58" i="15"/>
  <c r="E75" i="3"/>
  <c r="S55" i="23"/>
  <c r="L53" i="15"/>
  <c r="D70" i="3"/>
  <c r="C35" i="1"/>
  <c r="E35" i="1"/>
  <c r="C36" i="1"/>
  <c r="C42" i="1"/>
  <c r="E42" i="1"/>
  <c r="C44" i="1"/>
  <c r="E44" i="1"/>
  <c r="E46" i="1"/>
  <c r="E18" i="1"/>
  <c r="E27" i="1"/>
  <c r="E17" i="1"/>
  <c r="E26" i="1"/>
  <c r="E16" i="1"/>
  <c r="S120" i="23"/>
  <c r="M56" i="15"/>
  <c r="E73" i="3"/>
  <c r="E37" i="1"/>
  <c r="E15" i="1"/>
  <c r="E55" i="1"/>
  <c r="E30" i="1"/>
  <c r="E21" i="1"/>
  <c r="E54" i="1"/>
  <c r="E56" i="1"/>
  <c r="E29" i="1"/>
  <c r="E20" i="1"/>
  <c r="E48" i="1"/>
  <c r="E28" i="1"/>
  <c r="S138" i="23"/>
  <c r="M57" i="15"/>
  <c r="E74" i="3"/>
  <c r="E47" i="1"/>
  <c r="E19" i="1"/>
  <c r="O124" i="12"/>
  <c r="Q124" i="12"/>
  <c r="J124" i="12"/>
  <c r="R124" i="12"/>
  <c r="O125" i="12"/>
  <c r="Q125" i="12"/>
  <c r="B126" i="12"/>
  <c r="J125" i="12"/>
  <c r="R305" i="12"/>
  <c r="I41" i="15"/>
  <c r="O48" i="12"/>
  <c r="Q48" i="12"/>
  <c r="J48" i="12"/>
  <c r="R48" i="12"/>
  <c r="O49" i="12"/>
  <c r="J49" i="12"/>
  <c r="B50" i="12"/>
  <c r="O305" i="12"/>
  <c r="F41" i="15"/>
  <c r="C43" i="17"/>
  <c r="B43" i="12"/>
  <c r="B41" i="12"/>
  <c r="B42" i="12"/>
  <c r="O40" i="12"/>
  <c r="Q40" i="12"/>
  <c r="J15" i="12"/>
  <c r="R15" i="12"/>
  <c r="J23" i="12"/>
  <c r="R23" i="12"/>
  <c r="O24" i="12"/>
  <c r="Q24" i="12"/>
  <c r="B25" i="12"/>
  <c r="J24" i="12"/>
  <c r="O23" i="12"/>
  <c r="Q23" i="12"/>
  <c r="S253" i="12"/>
  <c r="O15" i="12"/>
  <c r="Q15" i="12"/>
  <c r="B17" i="12"/>
  <c r="J16" i="12"/>
  <c r="O16" i="12"/>
  <c r="Q16" i="12"/>
  <c r="R281" i="12"/>
  <c r="I37" i="15"/>
  <c r="S274" i="12"/>
  <c r="S292" i="12"/>
  <c r="R269" i="12"/>
  <c r="I35" i="15"/>
  <c r="R287" i="12"/>
  <c r="I38" i="15"/>
  <c r="S304" i="12"/>
  <c r="R275" i="12"/>
  <c r="I36" i="15"/>
  <c r="O80" i="12"/>
  <c r="F12" i="15"/>
  <c r="C14" i="17"/>
  <c r="O58" i="12"/>
  <c r="F9" i="15"/>
  <c r="C11" i="17"/>
  <c r="O311" i="12"/>
  <c r="F42" i="15"/>
  <c r="C44" i="17"/>
  <c r="B6" i="23"/>
  <c r="G4" i="23"/>
  <c r="C51" i="15"/>
  <c r="G174" i="12"/>
  <c r="C24" i="15"/>
  <c r="D26" i="17"/>
  <c r="B176" i="12"/>
  <c r="B31" i="12"/>
  <c r="G29" i="12"/>
  <c r="C6" i="15"/>
  <c r="D8" i="17"/>
  <c r="B26" i="23"/>
  <c r="G24" i="23"/>
  <c r="C52" i="15"/>
  <c r="G60" i="12"/>
  <c r="C10" i="15"/>
  <c r="D12" i="17"/>
  <c r="B62" i="12"/>
  <c r="B6" i="12"/>
  <c r="G4" i="12"/>
  <c r="C3" i="15"/>
  <c r="D5" i="17"/>
  <c r="B225" i="12"/>
  <c r="B26" i="12"/>
  <c r="B159" i="12"/>
  <c r="O36" i="15"/>
  <c r="B56" i="12"/>
  <c r="G21" i="12"/>
  <c r="C5" i="15"/>
  <c r="D7" i="17"/>
  <c r="B70" i="12"/>
  <c r="B91" i="12"/>
  <c r="B241" i="12"/>
  <c r="B273" i="12"/>
  <c r="T273" i="12"/>
  <c r="B297" i="12"/>
  <c r="B298" i="12"/>
  <c r="T298" i="12"/>
  <c r="B184" i="12"/>
  <c r="J50" i="23"/>
  <c r="E53" i="15"/>
  <c r="B84" i="12"/>
  <c r="B116" i="12"/>
  <c r="B209" i="12"/>
  <c r="B149" i="12"/>
  <c r="B150" i="12"/>
  <c r="B161" i="23"/>
  <c r="T161" i="23"/>
  <c r="Q163" i="23"/>
  <c r="H59" i="15"/>
  <c r="B233" i="12"/>
  <c r="B248" i="12"/>
  <c r="B253" i="12"/>
  <c r="T253" i="12"/>
  <c r="B192" i="12"/>
  <c r="B279" i="12"/>
  <c r="B280" i="12"/>
  <c r="T280" i="12"/>
  <c r="B217" i="12"/>
  <c r="B291" i="12"/>
  <c r="B292" i="12"/>
  <c r="T292" i="12"/>
  <c r="O287" i="12"/>
  <c r="F38" i="15"/>
  <c r="C40" i="17"/>
  <c r="J69" i="23"/>
  <c r="E54" i="15"/>
  <c r="B107" i="12"/>
  <c r="B267" i="12"/>
  <c r="B268" i="12"/>
  <c r="P243" i="12"/>
  <c r="B200" i="12"/>
  <c r="R181" i="23"/>
  <c r="I60" i="15"/>
  <c r="O145" i="23"/>
  <c r="F58" i="15"/>
  <c r="B285" i="12"/>
  <c r="T285" i="12"/>
  <c r="B99" i="12"/>
  <c r="O299" i="12"/>
  <c r="F40" i="15"/>
  <c r="C42" i="17"/>
  <c r="B107" i="23"/>
  <c r="T107" i="23"/>
  <c r="O293" i="12"/>
  <c r="F39" i="15"/>
  <c r="C41" i="17"/>
  <c r="R109" i="23"/>
  <c r="I56" i="15"/>
  <c r="R293" i="12"/>
  <c r="I39" i="15"/>
  <c r="B132" i="12"/>
  <c r="J163" i="23"/>
  <c r="E59" i="15"/>
  <c r="J127" i="23"/>
  <c r="E57" i="15"/>
  <c r="J58" i="12"/>
  <c r="E9" i="15"/>
  <c r="E11" i="17"/>
  <c r="G11" i="17"/>
  <c r="D16" i="17"/>
  <c r="B68" i="23"/>
  <c r="O127" i="23"/>
  <c r="F57" i="15"/>
  <c r="R69" i="23"/>
  <c r="I54" i="15"/>
  <c r="B85" i="23"/>
  <c r="O69" i="23"/>
  <c r="F54" i="15"/>
  <c r="P144" i="12"/>
  <c r="S144" i="12"/>
  <c r="P127" i="12"/>
  <c r="S127" i="12"/>
  <c r="P111" i="12"/>
  <c r="S111" i="12"/>
  <c r="B51" i="12"/>
  <c r="G256" i="12"/>
  <c r="C34" i="15"/>
  <c r="O38" i="15"/>
  <c r="O281" i="12"/>
  <c r="F37" i="15"/>
  <c r="C39" i="17"/>
  <c r="B143" i="23"/>
  <c r="T143" i="23"/>
  <c r="P204" i="12"/>
  <c r="S204" i="12"/>
  <c r="G46" i="12"/>
  <c r="C8" i="15"/>
  <c r="J80" i="12"/>
  <c r="E12" i="15"/>
  <c r="E14" i="17"/>
  <c r="G14" i="17"/>
  <c r="T309" i="12"/>
  <c r="B310" i="12"/>
  <c r="T310" i="12"/>
  <c r="D25" i="17"/>
  <c r="D41" i="17"/>
  <c r="O39" i="15"/>
  <c r="B262" i="12"/>
  <c r="G40" i="17"/>
  <c r="F40" i="17"/>
  <c r="D17" i="17"/>
  <c r="G42" i="17"/>
  <c r="F42" i="17"/>
  <c r="B18" i="12"/>
  <c r="B140" i="12"/>
  <c r="O269" i="12"/>
  <c r="F35" i="15"/>
  <c r="C37" i="17"/>
  <c r="G38" i="12"/>
  <c r="C7" i="15"/>
  <c r="P285" i="12"/>
  <c r="S285" i="12"/>
  <c r="P162" i="12"/>
  <c r="S162" i="12"/>
  <c r="G307" i="12"/>
  <c r="C42" i="15"/>
  <c r="G122" i="12"/>
  <c r="C18" i="15"/>
  <c r="Q144" i="23"/>
  <c r="Q145" i="23"/>
  <c r="H58" i="15"/>
  <c r="Q125" i="23"/>
  <c r="Q127" i="23"/>
  <c r="H57" i="15"/>
  <c r="P297" i="12"/>
  <c r="P299" i="12"/>
  <c r="G40" i="15"/>
  <c r="P291" i="12"/>
  <c r="P293" i="12"/>
  <c r="G39" i="15"/>
  <c r="B78" i="12"/>
  <c r="G13" i="12"/>
  <c r="C4" i="15"/>
  <c r="R163" i="23"/>
  <c r="I59" i="15"/>
  <c r="J181" i="23"/>
  <c r="E60" i="15"/>
  <c r="J145" i="23"/>
  <c r="E58" i="15"/>
  <c r="J109" i="23"/>
  <c r="E56" i="15"/>
  <c r="Q275" i="12"/>
  <c r="H36" i="15"/>
  <c r="O40" i="15"/>
  <c r="O275" i="12"/>
  <c r="F36" i="15"/>
  <c r="C38" i="17"/>
  <c r="R50" i="23"/>
  <c r="I53" i="15"/>
  <c r="P171" i="12"/>
  <c r="S171" i="12"/>
  <c r="P94" i="12"/>
  <c r="S94" i="12"/>
  <c r="Q269" i="12"/>
  <c r="H35" i="15"/>
  <c r="R145" i="23"/>
  <c r="I58" i="15"/>
  <c r="P279" i="12"/>
  <c r="S279" i="12"/>
  <c r="D33" i="17"/>
  <c r="D24" i="17"/>
  <c r="D28" i="17"/>
  <c r="B127" i="12"/>
  <c r="B49" i="23"/>
  <c r="G177" i="23"/>
  <c r="C60" i="15"/>
  <c r="O60" i="15"/>
  <c r="B179" i="23"/>
  <c r="Q181" i="23"/>
  <c r="H60" i="15"/>
  <c r="Q281" i="12"/>
  <c r="H37" i="15"/>
  <c r="T125" i="23"/>
  <c r="B126" i="23"/>
  <c r="T126" i="23"/>
  <c r="Q109" i="23"/>
  <c r="H56" i="15"/>
  <c r="Q50" i="23"/>
  <c r="H53" i="15"/>
  <c r="O109" i="23"/>
  <c r="F56" i="15"/>
  <c r="O181" i="23"/>
  <c r="F60" i="15"/>
  <c r="P180" i="23"/>
  <c r="S180" i="23"/>
  <c r="P144" i="23"/>
  <c r="P108" i="23"/>
  <c r="S108" i="23"/>
  <c r="P135" i="12"/>
  <c r="P79" i="12"/>
  <c r="S79" i="12"/>
  <c r="R58" i="12"/>
  <c r="I9" i="15"/>
  <c r="P68" i="23"/>
  <c r="P29" i="23"/>
  <c r="S29" i="23"/>
  <c r="P9" i="23"/>
  <c r="S9" i="23"/>
  <c r="G44" i="23"/>
  <c r="C53" i="15"/>
  <c r="O50" i="23"/>
  <c r="F53" i="15"/>
  <c r="G123" i="23"/>
  <c r="C57" i="15"/>
  <c r="O57" i="15"/>
  <c r="R127" i="23"/>
  <c r="I57" i="15"/>
  <c r="P179" i="23"/>
  <c r="P143" i="23"/>
  <c r="S143" i="23"/>
  <c r="P107" i="23"/>
  <c r="Q90" i="23"/>
  <c r="Q68" i="23"/>
  <c r="Q69" i="23"/>
  <c r="H54" i="15"/>
  <c r="Q311" i="12"/>
  <c r="H42" i="15"/>
  <c r="P119" i="12"/>
  <c r="S119" i="12"/>
  <c r="P78" i="12"/>
  <c r="S78" i="12"/>
  <c r="P73" i="12"/>
  <c r="S73" i="12"/>
  <c r="Q305" i="12"/>
  <c r="H41" i="15"/>
  <c r="J41" i="15"/>
  <c r="Q299" i="12"/>
  <c r="H40" i="15"/>
  <c r="Q293" i="12"/>
  <c r="H39" i="15"/>
  <c r="P162" i="23"/>
  <c r="S162" i="23"/>
  <c r="P126" i="23"/>
  <c r="S126" i="23"/>
  <c r="P154" i="12"/>
  <c r="S154" i="12"/>
  <c r="P90" i="23"/>
  <c r="P49" i="23"/>
  <c r="S49" i="23"/>
  <c r="O163" i="23"/>
  <c r="F59" i="15"/>
  <c r="P161" i="23"/>
  <c r="S161" i="23"/>
  <c r="P125" i="23"/>
  <c r="P56" i="12"/>
  <c r="S56" i="12"/>
  <c r="P10" i="12"/>
  <c r="S10" i="12"/>
  <c r="D11" i="9"/>
  <c r="F11" i="9"/>
  <c r="D7" i="9"/>
  <c r="F7" i="9"/>
  <c r="D21" i="9"/>
  <c r="F21" i="9"/>
  <c r="D17" i="9"/>
  <c r="F17" i="9"/>
  <c r="D20" i="9"/>
  <c r="F20" i="9"/>
  <c r="D22" i="9"/>
  <c r="F22" i="9"/>
  <c r="D18" i="9"/>
  <c r="F18" i="9"/>
  <c r="D11" i="6"/>
  <c r="D16" i="6"/>
  <c r="D17" i="6"/>
  <c r="D18" i="6"/>
  <c r="D19" i="6"/>
  <c r="D15" i="6"/>
  <c r="S280" i="12"/>
  <c r="D15" i="17"/>
  <c r="F39" i="17"/>
  <c r="G39" i="17"/>
  <c r="D19" i="17"/>
  <c r="F37" i="17"/>
  <c r="G37" i="17"/>
  <c r="D39" i="17"/>
  <c r="O37" i="15"/>
  <c r="G43" i="17"/>
  <c r="F43" i="17"/>
  <c r="Q287" i="12"/>
  <c r="H38" i="15"/>
  <c r="Q58" i="12"/>
  <c r="H9" i="15"/>
  <c r="D23" i="17"/>
  <c r="D43" i="17"/>
  <c r="O41" i="15"/>
  <c r="B303" i="12"/>
  <c r="D27" i="17"/>
  <c r="F41" i="17"/>
  <c r="G41" i="17"/>
  <c r="F44" i="17"/>
  <c r="G44" i="17"/>
  <c r="D31" i="17"/>
  <c r="D11" i="17"/>
  <c r="F38" i="17"/>
  <c r="G38" i="17"/>
  <c r="Q80" i="12"/>
  <c r="H12" i="15"/>
  <c r="D35" i="17"/>
  <c r="P303" i="12"/>
  <c r="S303" i="12"/>
  <c r="P187" i="12"/>
  <c r="S187" i="12"/>
  <c r="P102" i="12"/>
  <c r="S102" i="12"/>
  <c r="P65" i="12"/>
  <c r="S65" i="12"/>
  <c r="P51" i="12"/>
  <c r="S51" i="12"/>
  <c r="P43" i="12"/>
  <c r="S43" i="12"/>
  <c r="T43" i="12"/>
  <c r="P273" i="12"/>
  <c r="S273" i="12"/>
  <c r="P228" i="12"/>
  <c r="S228" i="12"/>
  <c r="P212" i="12"/>
  <c r="S212" i="12"/>
  <c r="P86" i="12"/>
  <c r="S86" i="12"/>
  <c r="P35" i="12"/>
  <c r="S35" i="12"/>
  <c r="P26" i="12"/>
  <c r="S26" i="12"/>
  <c r="P18" i="12"/>
  <c r="S18" i="12"/>
  <c r="R299" i="12"/>
  <c r="I40" i="15"/>
  <c r="R311" i="12"/>
  <c r="I42" i="15"/>
  <c r="P309" i="12"/>
  <c r="S309" i="12"/>
  <c r="P236" i="12"/>
  <c r="S236" i="12"/>
  <c r="P195" i="12"/>
  <c r="S195" i="12"/>
  <c r="P179" i="12"/>
  <c r="S179" i="12"/>
  <c r="P57" i="12"/>
  <c r="S57" i="12"/>
  <c r="P267" i="12"/>
  <c r="S267" i="12"/>
  <c r="P220" i="12"/>
  <c r="S220" i="12"/>
  <c r="R80" i="12"/>
  <c r="I12" i="15"/>
  <c r="S298" i="12"/>
  <c r="S310" i="12"/>
  <c r="S286" i="12"/>
  <c r="S262" i="12"/>
  <c r="S268" i="12"/>
  <c r="D7" i="5"/>
  <c r="D6" i="5"/>
  <c r="B7" i="6"/>
  <c r="C7" i="6"/>
  <c r="O278" i="19"/>
  <c r="O280" i="19"/>
  <c r="O288" i="19"/>
  <c r="M280" i="19"/>
  <c r="O264" i="19"/>
  <c r="O265" i="19"/>
  <c r="O273" i="19"/>
  <c r="M265" i="19"/>
  <c r="D8" i="6"/>
  <c r="D9" i="6"/>
  <c r="O98" i="19"/>
  <c r="O100" i="19"/>
  <c r="O108" i="19"/>
  <c r="M100" i="19"/>
  <c r="O218" i="19"/>
  <c r="O220" i="19"/>
  <c r="O228" i="19"/>
  <c r="M220" i="19"/>
  <c r="O293" i="19"/>
  <c r="O295" i="19"/>
  <c r="O303" i="19"/>
  <c r="M295" i="19"/>
  <c r="G29" i="22"/>
  <c r="M70" i="19"/>
  <c r="O69" i="19"/>
  <c r="O70" i="19"/>
  <c r="O78" i="19"/>
  <c r="O83" i="19"/>
  <c r="O85" i="19"/>
  <c r="O93" i="19"/>
  <c r="M85" i="19"/>
  <c r="M190" i="19"/>
  <c r="O189" i="19"/>
  <c r="O190" i="19"/>
  <c r="O198" i="19"/>
  <c r="O203" i="19"/>
  <c r="O205" i="19"/>
  <c r="O213" i="19"/>
  <c r="M205" i="19"/>
  <c r="O113" i="19"/>
  <c r="O115" i="19"/>
  <c r="O123" i="19"/>
  <c r="M115" i="19"/>
  <c r="O233" i="19"/>
  <c r="O235" i="19"/>
  <c r="O243" i="19"/>
  <c r="M235" i="19"/>
  <c r="O38" i="19"/>
  <c r="O40" i="19"/>
  <c r="O48" i="19"/>
  <c r="M40" i="19"/>
  <c r="O158" i="19"/>
  <c r="O160" i="19"/>
  <c r="O168" i="19"/>
  <c r="M160" i="19"/>
  <c r="O9" i="19"/>
  <c r="O10" i="19"/>
  <c r="O18" i="19"/>
  <c r="S8" i="19"/>
  <c r="S309" i="19"/>
  <c r="S4" i="19"/>
  <c r="M10" i="19"/>
  <c r="O23" i="19"/>
  <c r="O25" i="19"/>
  <c r="O33" i="19"/>
  <c r="M25" i="19"/>
  <c r="M130" i="19"/>
  <c r="O129" i="19"/>
  <c r="O130" i="19"/>
  <c r="O138" i="19"/>
  <c r="O143" i="19"/>
  <c r="O145" i="19"/>
  <c r="O153" i="19"/>
  <c r="M145" i="19"/>
  <c r="M250" i="19"/>
  <c r="O249" i="19"/>
  <c r="O250" i="19"/>
  <c r="O258" i="19"/>
  <c r="O53" i="19"/>
  <c r="O55" i="19"/>
  <c r="O63" i="19"/>
  <c r="M55" i="19"/>
  <c r="O173" i="19"/>
  <c r="O175" i="19"/>
  <c r="O183" i="19"/>
  <c r="M175" i="19"/>
  <c r="C9" i="6"/>
  <c r="B17" i="6"/>
  <c r="C11" i="6"/>
  <c r="E11" i="6"/>
  <c r="B19" i="6"/>
  <c r="B18" i="6"/>
  <c r="C10" i="6"/>
  <c r="D10" i="6"/>
  <c r="D7" i="6"/>
  <c r="B8" i="6"/>
  <c r="B15" i="6"/>
  <c r="T49" i="23"/>
  <c r="T268" i="12"/>
  <c r="B86" i="23"/>
  <c r="B87" i="23"/>
  <c r="J85" i="23"/>
  <c r="O85" i="23"/>
  <c r="B27" i="23"/>
  <c r="J26" i="23"/>
  <c r="O26" i="23"/>
  <c r="O260" i="12"/>
  <c r="B261" i="12"/>
  <c r="J260" i="12"/>
  <c r="S305" i="12"/>
  <c r="R259" i="12"/>
  <c r="J38" i="15"/>
  <c r="T262" i="12"/>
  <c r="B249" i="12"/>
  <c r="J248" i="12"/>
  <c r="O248" i="12"/>
  <c r="B242" i="12"/>
  <c r="J242" i="12"/>
  <c r="O241" i="12"/>
  <c r="J241" i="12"/>
  <c r="B234" i="12"/>
  <c r="J233" i="12"/>
  <c r="O233" i="12"/>
  <c r="L61" i="15"/>
  <c r="J159" i="12"/>
  <c r="O159" i="12"/>
  <c r="O6" i="23"/>
  <c r="J6" i="23"/>
  <c r="B9" i="23"/>
  <c r="T9" i="23"/>
  <c r="B7" i="23"/>
  <c r="B162" i="12"/>
  <c r="T162" i="12"/>
  <c r="B160" i="12"/>
  <c r="B226" i="12"/>
  <c r="O225" i="12"/>
  <c r="J225" i="12"/>
  <c r="J217" i="12"/>
  <c r="O217" i="12"/>
  <c r="B220" i="12"/>
  <c r="T220" i="12"/>
  <c r="B218" i="12"/>
  <c r="O209" i="12"/>
  <c r="J209" i="12"/>
  <c r="B201" i="12"/>
  <c r="J200" i="12"/>
  <c r="O200" i="12"/>
  <c r="B212" i="12"/>
  <c r="T212" i="12"/>
  <c r="B210" i="12"/>
  <c r="O192" i="12"/>
  <c r="J192" i="12"/>
  <c r="E31" i="1"/>
  <c r="E22" i="1"/>
  <c r="B195" i="12"/>
  <c r="T195" i="12"/>
  <c r="B193" i="12"/>
  <c r="J184" i="12"/>
  <c r="O184" i="12"/>
  <c r="B187" i="12"/>
  <c r="T187" i="12"/>
  <c r="B185" i="12"/>
  <c r="B177" i="12"/>
  <c r="O176" i="12"/>
  <c r="J176" i="12"/>
  <c r="J167" i="12"/>
  <c r="O167" i="12"/>
  <c r="J37" i="15"/>
  <c r="O149" i="12"/>
  <c r="J149" i="12"/>
  <c r="B141" i="12"/>
  <c r="B142" i="12"/>
  <c r="J140" i="12"/>
  <c r="O140" i="12"/>
  <c r="O132" i="12"/>
  <c r="J132" i="12"/>
  <c r="B135" i="12"/>
  <c r="B133" i="12"/>
  <c r="J35" i="15"/>
  <c r="R125" i="12"/>
  <c r="J126" i="12"/>
  <c r="O126" i="12"/>
  <c r="S275" i="12"/>
  <c r="J107" i="12"/>
  <c r="R107" i="12"/>
  <c r="O107" i="12"/>
  <c r="Q107" i="12"/>
  <c r="J116" i="12"/>
  <c r="O116" i="12"/>
  <c r="B119" i="12"/>
  <c r="T119" i="12"/>
  <c r="B117" i="12"/>
  <c r="B111" i="12"/>
  <c r="T111" i="12"/>
  <c r="B108" i="12"/>
  <c r="B100" i="12"/>
  <c r="J99" i="12"/>
  <c r="O99" i="12"/>
  <c r="B92" i="12"/>
  <c r="B93" i="12"/>
  <c r="J91" i="12"/>
  <c r="O91" i="12"/>
  <c r="B86" i="12"/>
  <c r="T86" i="12"/>
  <c r="B85" i="12"/>
  <c r="O84" i="12"/>
  <c r="J84" i="12"/>
  <c r="J70" i="12"/>
  <c r="O70" i="12"/>
  <c r="B73" i="12"/>
  <c r="T73" i="12"/>
  <c r="B71" i="12"/>
  <c r="O62" i="12"/>
  <c r="J62" i="12"/>
  <c r="B65" i="12"/>
  <c r="T65" i="12"/>
  <c r="B63" i="12"/>
  <c r="J36" i="15"/>
  <c r="J42" i="12"/>
  <c r="O42" i="12"/>
  <c r="Q42" i="12"/>
  <c r="O50" i="12"/>
  <c r="Q50" i="12"/>
  <c r="J50" i="12"/>
  <c r="R49" i="12"/>
  <c r="Q49" i="12"/>
  <c r="J41" i="12"/>
  <c r="O41" i="12"/>
  <c r="Q41" i="12"/>
  <c r="B32" i="12"/>
  <c r="J31" i="12"/>
  <c r="O31" i="12"/>
  <c r="R24" i="12"/>
  <c r="J25" i="12"/>
  <c r="O25" i="12"/>
  <c r="Q25" i="12"/>
  <c r="Q27" i="12"/>
  <c r="H5" i="15"/>
  <c r="R16" i="12"/>
  <c r="J17" i="12"/>
  <c r="O17" i="12"/>
  <c r="B7" i="12"/>
  <c r="J6" i="12"/>
  <c r="O6" i="12"/>
  <c r="E7" i="6"/>
  <c r="B171" i="12"/>
  <c r="T171" i="12"/>
  <c r="T127" i="12"/>
  <c r="T56" i="12"/>
  <c r="T78" i="12"/>
  <c r="T51" i="12"/>
  <c r="T18" i="12"/>
  <c r="T26" i="12"/>
  <c r="B179" i="12"/>
  <c r="T179" i="12"/>
  <c r="B94" i="12"/>
  <c r="T94" i="12"/>
  <c r="B243" i="12"/>
  <c r="S287" i="12"/>
  <c r="B57" i="12"/>
  <c r="T57" i="12"/>
  <c r="J39" i="15"/>
  <c r="K39" i="15"/>
  <c r="P287" i="12"/>
  <c r="G38" i="15"/>
  <c r="B228" i="12"/>
  <c r="T228" i="12"/>
  <c r="B35" i="12"/>
  <c r="T35" i="12"/>
  <c r="B29" i="23"/>
  <c r="T29" i="23"/>
  <c r="B10" i="12"/>
  <c r="T10" i="12"/>
  <c r="P281" i="12"/>
  <c r="G37" i="15"/>
  <c r="B274" i="12"/>
  <c r="T274" i="12"/>
  <c r="T275" i="12"/>
  <c r="J56" i="15"/>
  <c r="C73" i="3"/>
  <c r="T279" i="12"/>
  <c r="T281" i="12"/>
  <c r="T267" i="12"/>
  <c r="T311" i="12"/>
  <c r="T127" i="23"/>
  <c r="J60" i="15"/>
  <c r="C77" i="3"/>
  <c r="B236" i="12"/>
  <c r="T236" i="12"/>
  <c r="P181" i="23"/>
  <c r="G60" i="15"/>
  <c r="B77" i="3"/>
  <c r="S179" i="23"/>
  <c r="S181" i="23"/>
  <c r="T193" i="23"/>
  <c r="B108" i="23"/>
  <c r="T108" i="23"/>
  <c r="T109" i="23"/>
  <c r="S68" i="23"/>
  <c r="T68" i="23"/>
  <c r="T297" i="12"/>
  <c r="T299" i="12"/>
  <c r="B162" i="23"/>
  <c r="T162" i="23"/>
  <c r="T163" i="23"/>
  <c r="J58" i="15"/>
  <c r="C75" i="3"/>
  <c r="J53" i="15"/>
  <c r="C70" i="3"/>
  <c r="J57" i="15"/>
  <c r="C74" i="3"/>
  <c r="J59" i="15"/>
  <c r="C76" i="3"/>
  <c r="S125" i="23"/>
  <c r="S127" i="23"/>
  <c r="T139" i="23"/>
  <c r="F14" i="17"/>
  <c r="B154" i="12"/>
  <c r="T154" i="12"/>
  <c r="S144" i="23"/>
  <c r="S145" i="23"/>
  <c r="T157" i="23"/>
  <c r="J9" i="15"/>
  <c r="S90" i="23"/>
  <c r="J40" i="15"/>
  <c r="K40" i="15"/>
  <c r="J54" i="15"/>
  <c r="C71" i="3"/>
  <c r="B286" i="12"/>
  <c r="T286" i="12"/>
  <c r="T287" i="12"/>
  <c r="P109" i="23"/>
  <c r="G56" i="15"/>
  <c r="B73" i="3"/>
  <c r="T291" i="12"/>
  <c r="T293" i="12"/>
  <c r="P163" i="23"/>
  <c r="G59" i="15"/>
  <c r="B76" i="3"/>
  <c r="S107" i="23"/>
  <c r="S109" i="23"/>
  <c r="T121" i="23"/>
  <c r="S243" i="12"/>
  <c r="B204" i="12"/>
  <c r="T204" i="12"/>
  <c r="S297" i="12"/>
  <c r="S299" i="12"/>
  <c r="S58" i="12"/>
  <c r="P58" i="12"/>
  <c r="G9" i="15"/>
  <c r="S135" i="12"/>
  <c r="P145" i="23"/>
  <c r="G58" i="15"/>
  <c r="B75" i="3"/>
  <c r="P305" i="12"/>
  <c r="G41" i="15"/>
  <c r="K41" i="15"/>
  <c r="B144" i="23"/>
  <c r="T144" i="23"/>
  <c r="T145" i="23"/>
  <c r="S163" i="23"/>
  <c r="T175" i="23"/>
  <c r="F11" i="17"/>
  <c r="B102" i="12"/>
  <c r="T102" i="12"/>
  <c r="B90" i="23"/>
  <c r="P80" i="12"/>
  <c r="G12" i="15"/>
  <c r="P127" i="23"/>
  <c r="G57" i="15"/>
  <c r="B74" i="3"/>
  <c r="D10" i="17"/>
  <c r="D36" i="17"/>
  <c r="S80" i="12"/>
  <c r="B79" i="12"/>
  <c r="T79" i="12"/>
  <c r="S291" i="12"/>
  <c r="S293" i="12"/>
  <c r="S269" i="12"/>
  <c r="S281" i="12"/>
  <c r="D9" i="17"/>
  <c r="J12" i="15"/>
  <c r="J42" i="15"/>
  <c r="B144" i="12"/>
  <c r="T144" i="12"/>
  <c r="D20" i="17"/>
  <c r="D6" i="17"/>
  <c r="D44" i="17"/>
  <c r="O42" i="15"/>
  <c r="T179" i="23"/>
  <c r="B180" i="23"/>
  <c r="T180" i="23"/>
  <c r="P269" i="12"/>
  <c r="G35" i="15"/>
  <c r="F12" i="9"/>
  <c r="E49" i="1"/>
  <c r="F23" i="9"/>
  <c r="G34" i="9"/>
  <c r="R263" i="19"/>
  <c r="D25" i="22"/>
  <c r="D26" i="22"/>
  <c r="R278" i="19"/>
  <c r="S311" i="12"/>
  <c r="P275" i="12"/>
  <c r="G36" i="15"/>
  <c r="P311" i="12"/>
  <c r="G42" i="15"/>
  <c r="T303" i="12"/>
  <c r="B304" i="12"/>
  <c r="T304" i="12"/>
  <c r="E10" i="6"/>
  <c r="E39" i="6"/>
  <c r="E9" i="6"/>
  <c r="E26" i="6"/>
  <c r="R8" i="19"/>
  <c r="D8" i="22"/>
  <c r="D12" i="22"/>
  <c r="R68" i="19"/>
  <c r="E28" i="6"/>
  <c r="E40" i="6"/>
  <c r="E24" i="6"/>
  <c r="E36" i="6"/>
  <c r="D10" i="22"/>
  <c r="R38" i="19"/>
  <c r="C19" i="6"/>
  <c r="E19" i="6"/>
  <c r="G40" i="6"/>
  <c r="C15" i="6"/>
  <c r="E15" i="6"/>
  <c r="D22" i="22"/>
  <c r="R218" i="19"/>
  <c r="R248" i="19"/>
  <c r="D24" i="22"/>
  <c r="R23" i="19"/>
  <c r="D9" i="22"/>
  <c r="R203" i="19"/>
  <c r="D21" i="22"/>
  <c r="C8" i="6"/>
  <c r="E8" i="6"/>
  <c r="B16" i="6"/>
  <c r="C18" i="6"/>
  <c r="E18" i="6"/>
  <c r="D14" i="22"/>
  <c r="R98" i="19"/>
  <c r="D19" i="22"/>
  <c r="R173" i="19"/>
  <c r="D23" i="22"/>
  <c r="R233" i="19"/>
  <c r="R128" i="19"/>
  <c r="D16" i="22"/>
  <c r="D20" i="22"/>
  <c r="R188" i="19"/>
  <c r="C17" i="6"/>
  <c r="E17" i="6"/>
  <c r="R143" i="19"/>
  <c r="D17" i="22"/>
  <c r="D18" i="22"/>
  <c r="R158" i="19"/>
  <c r="R83" i="19"/>
  <c r="D13" i="22"/>
  <c r="D11" i="22"/>
  <c r="R53" i="19"/>
  <c r="D15" i="22"/>
  <c r="R113" i="19"/>
  <c r="D27" i="22"/>
  <c r="R293" i="19"/>
  <c r="E27" i="6"/>
  <c r="K38" i="15"/>
  <c r="T269" i="12"/>
  <c r="J87" i="23"/>
  <c r="O87" i="23"/>
  <c r="Q87" i="23"/>
  <c r="R85" i="23"/>
  <c r="Q85" i="23"/>
  <c r="J86" i="23"/>
  <c r="O86" i="23"/>
  <c r="Q86" i="23"/>
  <c r="B88" i="23"/>
  <c r="Q26" i="23"/>
  <c r="R26" i="23"/>
  <c r="B28" i="23"/>
  <c r="J27" i="23"/>
  <c r="O27" i="23"/>
  <c r="Q27" i="23"/>
  <c r="T90" i="23"/>
  <c r="R260" i="12"/>
  <c r="J261" i="12"/>
  <c r="O261" i="12"/>
  <c r="Q261" i="12"/>
  <c r="Q260" i="12"/>
  <c r="B250" i="12"/>
  <c r="Q248" i="12"/>
  <c r="R248" i="12"/>
  <c r="J249" i="12"/>
  <c r="O249" i="12"/>
  <c r="Q249" i="12"/>
  <c r="R241" i="12"/>
  <c r="J244" i="12"/>
  <c r="E32" i="15"/>
  <c r="E34" i="17"/>
  <c r="Q241" i="12"/>
  <c r="Q244" i="12"/>
  <c r="H32" i="15"/>
  <c r="O244" i="12"/>
  <c r="F32" i="15"/>
  <c r="C34" i="17"/>
  <c r="R242" i="12"/>
  <c r="Q233" i="12"/>
  <c r="R233" i="12"/>
  <c r="O234" i="12"/>
  <c r="Q234" i="12"/>
  <c r="B235" i="12"/>
  <c r="J234" i="12"/>
  <c r="T243" i="12"/>
  <c r="Q159" i="12"/>
  <c r="B161" i="12"/>
  <c r="J160" i="12"/>
  <c r="R160" i="12"/>
  <c r="O160" i="12"/>
  <c r="Q160" i="12"/>
  <c r="R159" i="12"/>
  <c r="O7" i="23"/>
  <c r="Q7" i="23"/>
  <c r="B8" i="23"/>
  <c r="J7" i="23"/>
  <c r="R6" i="23"/>
  <c r="Q6" i="23"/>
  <c r="R225" i="12"/>
  <c r="Q225" i="12"/>
  <c r="O226" i="12"/>
  <c r="Q226" i="12"/>
  <c r="B227" i="12"/>
  <c r="J226" i="12"/>
  <c r="K35" i="15"/>
  <c r="O218" i="12"/>
  <c r="Q218" i="12"/>
  <c r="B219" i="12"/>
  <c r="J218" i="12"/>
  <c r="Q217" i="12"/>
  <c r="R217" i="12"/>
  <c r="R209" i="12"/>
  <c r="J210" i="12"/>
  <c r="O210" i="12"/>
  <c r="Q210" i="12"/>
  <c r="Q209" i="12"/>
  <c r="B202" i="12"/>
  <c r="B203" i="12"/>
  <c r="B211" i="12"/>
  <c r="Q200" i="12"/>
  <c r="R200" i="12"/>
  <c r="O201" i="12"/>
  <c r="Q201" i="12"/>
  <c r="J201" i="12"/>
  <c r="K36" i="15"/>
  <c r="Q192" i="12"/>
  <c r="O193" i="12"/>
  <c r="Q193" i="12"/>
  <c r="B194" i="12"/>
  <c r="J193" i="12"/>
  <c r="R192" i="12"/>
  <c r="O185" i="12"/>
  <c r="Q185" i="12"/>
  <c r="B186" i="12"/>
  <c r="J185" i="12"/>
  <c r="Q184" i="12"/>
  <c r="R184" i="12"/>
  <c r="K37" i="15"/>
  <c r="R176" i="12"/>
  <c r="Q176" i="12"/>
  <c r="B178" i="12"/>
  <c r="J177" i="12"/>
  <c r="O177" i="12"/>
  <c r="Q177" i="12"/>
  <c r="Q167" i="12"/>
  <c r="R167" i="12"/>
  <c r="O168" i="12"/>
  <c r="Q168" i="12"/>
  <c r="J168" i="12"/>
  <c r="R149" i="12"/>
  <c r="Q149" i="12"/>
  <c r="O150" i="12"/>
  <c r="Q150" i="12"/>
  <c r="B151" i="12"/>
  <c r="B152" i="12"/>
  <c r="B153" i="12"/>
  <c r="J150" i="12"/>
  <c r="B143" i="12"/>
  <c r="J142" i="12"/>
  <c r="R142" i="12"/>
  <c r="O142" i="12"/>
  <c r="Q142" i="12"/>
  <c r="Q140" i="12"/>
  <c r="R140" i="12"/>
  <c r="J141" i="12"/>
  <c r="R141" i="12"/>
  <c r="O141" i="12"/>
  <c r="Q141" i="12"/>
  <c r="O133" i="12"/>
  <c r="Q133" i="12"/>
  <c r="B134" i="12"/>
  <c r="J133" i="12"/>
  <c r="R132" i="12"/>
  <c r="Q132" i="12"/>
  <c r="Q126" i="12"/>
  <c r="Q128" i="12"/>
  <c r="H18" i="15"/>
  <c r="O128" i="12"/>
  <c r="F18" i="15"/>
  <c r="C20" i="17"/>
  <c r="R126" i="12"/>
  <c r="R128" i="12"/>
  <c r="I18" i="15"/>
  <c r="J128" i="12"/>
  <c r="E18" i="15"/>
  <c r="E20" i="17"/>
  <c r="J108" i="12"/>
  <c r="R108" i="12"/>
  <c r="O108" i="12"/>
  <c r="Q108" i="12"/>
  <c r="O117" i="12"/>
  <c r="Q117" i="12"/>
  <c r="B118" i="12"/>
  <c r="J117" i="12"/>
  <c r="Q116" i="12"/>
  <c r="R116" i="12"/>
  <c r="B109" i="12"/>
  <c r="O109" i="12"/>
  <c r="Q109" i="12"/>
  <c r="J93" i="12"/>
  <c r="O93" i="12"/>
  <c r="Q93" i="12"/>
  <c r="Q91" i="12"/>
  <c r="R91" i="12"/>
  <c r="J92" i="12"/>
  <c r="O92" i="12"/>
  <c r="Q92" i="12"/>
  <c r="Q99" i="12"/>
  <c r="R99" i="12"/>
  <c r="O100" i="12"/>
  <c r="Q100" i="12"/>
  <c r="B101" i="12"/>
  <c r="J100" i="12"/>
  <c r="Q44" i="12"/>
  <c r="H7" i="15"/>
  <c r="R84" i="12"/>
  <c r="Q84" i="12"/>
  <c r="J85" i="12"/>
  <c r="O85" i="12"/>
  <c r="Q85" i="12"/>
  <c r="O71" i="12"/>
  <c r="Q71" i="12"/>
  <c r="B72" i="12"/>
  <c r="J71" i="12"/>
  <c r="Q70" i="12"/>
  <c r="R70" i="12"/>
  <c r="O52" i="12"/>
  <c r="F8" i="15"/>
  <c r="C10" i="17"/>
  <c r="Q52" i="12"/>
  <c r="H8" i="15"/>
  <c r="J63" i="12"/>
  <c r="O63" i="12"/>
  <c r="Q63" i="12"/>
  <c r="B64" i="12"/>
  <c r="R62" i="12"/>
  <c r="Q62" i="12"/>
  <c r="R50" i="12"/>
  <c r="R52" i="12"/>
  <c r="I8" i="15"/>
  <c r="J52" i="12"/>
  <c r="E8" i="15"/>
  <c r="E10" i="17"/>
  <c r="R42" i="12"/>
  <c r="R41" i="12"/>
  <c r="J44" i="12"/>
  <c r="E7" i="15"/>
  <c r="E9" i="17"/>
  <c r="O27" i="12"/>
  <c r="F5" i="15"/>
  <c r="C7" i="17"/>
  <c r="O44" i="12"/>
  <c r="F7" i="15"/>
  <c r="C9" i="17"/>
  <c r="Q31" i="12"/>
  <c r="R31" i="12"/>
  <c r="O32" i="12"/>
  <c r="Q32" i="12"/>
  <c r="B33" i="12"/>
  <c r="B34" i="12"/>
  <c r="J32" i="12"/>
  <c r="R25" i="12"/>
  <c r="R27" i="12"/>
  <c r="I5" i="15"/>
  <c r="J5" i="15"/>
  <c r="J27" i="12"/>
  <c r="E5" i="15"/>
  <c r="E7" i="17"/>
  <c r="Q17" i="12"/>
  <c r="Q19" i="12"/>
  <c r="H4" i="15"/>
  <c r="O19" i="12"/>
  <c r="F4" i="15"/>
  <c r="C6" i="17"/>
  <c r="R17" i="12"/>
  <c r="R19" i="12"/>
  <c r="I4" i="15"/>
  <c r="J19" i="12"/>
  <c r="E4" i="15"/>
  <c r="E6" i="17"/>
  <c r="Q6" i="12"/>
  <c r="R6" i="12"/>
  <c r="J7" i="12"/>
  <c r="R7" i="12"/>
  <c r="O7" i="12"/>
  <c r="Q7" i="12"/>
  <c r="B8" i="12"/>
  <c r="B9" i="12"/>
  <c r="T135" i="12"/>
  <c r="T58" i="12"/>
  <c r="T80" i="12"/>
  <c r="K56" i="15"/>
  <c r="N56" i="15"/>
  <c r="K60" i="15"/>
  <c r="N60" i="15"/>
  <c r="K9" i="15"/>
  <c r="K57" i="15"/>
  <c r="N57" i="15"/>
  <c r="K58" i="15"/>
  <c r="N58" i="15"/>
  <c r="K12" i="15"/>
  <c r="K59" i="15"/>
  <c r="N59" i="15"/>
  <c r="K42" i="15"/>
  <c r="T305" i="12"/>
  <c r="T181" i="23"/>
  <c r="E38" i="6"/>
  <c r="F27" i="6"/>
  <c r="G39" i="6"/>
  <c r="F39" i="6"/>
  <c r="G27" i="6"/>
  <c r="F26" i="6"/>
  <c r="G26" i="6"/>
  <c r="G38" i="6"/>
  <c r="F38" i="6"/>
  <c r="F24" i="6"/>
  <c r="G24" i="6"/>
  <c r="G36" i="6"/>
  <c r="F36" i="6"/>
  <c r="C16" i="6"/>
  <c r="E16" i="6"/>
  <c r="G28" i="6"/>
  <c r="E25" i="6"/>
  <c r="E29" i="6"/>
  <c r="E30" i="6"/>
  <c r="E37" i="6"/>
  <c r="E41" i="6"/>
  <c r="E42" i="6"/>
  <c r="E43" i="6"/>
  <c r="F28" i="6"/>
  <c r="F40" i="6"/>
  <c r="D29" i="22"/>
  <c r="R309" i="19"/>
  <c r="R4" i="19"/>
  <c r="O263" i="12"/>
  <c r="F34" i="15"/>
  <c r="C36" i="17"/>
  <c r="Q263" i="12"/>
  <c r="H34" i="15"/>
  <c r="O153" i="12"/>
  <c r="Q153" i="12"/>
  <c r="J153" i="12"/>
  <c r="R153" i="12"/>
  <c r="R86" i="23"/>
  <c r="O88" i="23"/>
  <c r="Q88" i="23"/>
  <c r="J88" i="23"/>
  <c r="R87" i="23"/>
  <c r="B89" i="23"/>
  <c r="R27" i="23"/>
  <c r="J28" i="23"/>
  <c r="J30" i="23"/>
  <c r="E52" i="15"/>
  <c r="O28" i="23"/>
  <c r="O34" i="12"/>
  <c r="Q34" i="12"/>
  <c r="J34" i="12"/>
  <c r="O9" i="12"/>
  <c r="Q9" i="12"/>
  <c r="J9" i="12"/>
  <c r="J152" i="12"/>
  <c r="O152" i="12"/>
  <c r="Q152" i="12"/>
  <c r="R261" i="12"/>
  <c r="R263" i="12"/>
  <c r="I34" i="15"/>
  <c r="J34" i="15"/>
  <c r="J263" i="12"/>
  <c r="E34" i="15"/>
  <c r="E36" i="17"/>
  <c r="R249" i="12"/>
  <c r="O250" i="12"/>
  <c r="Q250" i="12"/>
  <c r="J250" i="12"/>
  <c r="B251" i="12"/>
  <c r="B252" i="12"/>
  <c r="G34" i="17"/>
  <c r="F34" i="17"/>
  <c r="R244" i="12"/>
  <c r="I32" i="15"/>
  <c r="J32" i="15"/>
  <c r="R234" i="12"/>
  <c r="J235" i="12"/>
  <c r="J237" i="12"/>
  <c r="E31" i="15"/>
  <c r="E33" i="17"/>
  <c r="O235" i="12"/>
  <c r="Q235" i="12"/>
  <c r="Q237" i="12"/>
  <c r="H31" i="15"/>
  <c r="J161" i="12"/>
  <c r="O161" i="12"/>
  <c r="R7" i="23"/>
  <c r="O8" i="23"/>
  <c r="Q8" i="23"/>
  <c r="Q10" i="23"/>
  <c r="H51" i="15"/>
  <c r="J8" i="23"/>
  <c r="R226" i="12"/>
  <c r="J227" i="12"/>
  <c r="O227" i="12"/>
  <c r="R218" i="12"/>
  <c r="O219" i="12"/>
  <c r="Q219" i="12"/>
  <c r="Q221" i="12"/>
  <c r="H29" i="15"/>
  <c r="J219" i="12"/>
  <c r="O211" i="12"/>
  <c r="Q211" i="12"/>
  <c r="Q213" i="12"/>
  <c r="H28" i="15"/>
  <c r="J211" i="12"/>
  <c r="J213" i="12"/>
  <c r="E28" i="15"/>
  <c r="E30" i="17"/>
  <c r="R210" i="12"/>
  <c r="J203" i="12"/>
  <c r="O203" i="12"/>
  <c r="Q203" i="12"/>
  <c r="R201" i="12"/>
  <c r="O202" i="12"/>
  <c r="Q202" i="12"/>
  <c r="J202" i="12"/>
  <c r="R193" i="12"/>
  <c r="O194" i="12"/>
  <c r="J194" i="12"/>
  <c r="J196" i="12"/>
  <c r="E26" i="15"/>
  <c r="E28" i="17"/>
  <c r="R185" i="12"/>
  <c r="J186" i="12"/>
  <c r="O186" i="12"/>
  <c r="Q186" i="12"/>
  <c r="Q188" i="12"/>
  <c r="H25" i="15"/>
  <c r="R177" i="12"/>
  <c r="J178" i="12"/>
  <c r="J180" i="12"/>
  <c r="E24" i="15"/>
  <c r="E26" i="17"/>
  <c r="O178" i="12"/>
  <c r="Q178" i="12"/>
  <c r="Q180" i="12"/>
  <c r="H24" i="15"/>
  <c r="O169" i="12"/>
  <c r="J169" i="12"/>
  <c r="R168" i="12"/>
  <c r="O151" i="12"/>
  <c r="Q151" i="12"/>
  <c r="J151" i="12"/>
  <c r="R150" i="12"/>
  <c r="J143" i="12"/>
  <c r="O143" i="12"/>
  <c r="Q143" i="12"/>
  <c r="Q145" i="12"/>
  <c r="H20" i="15"/>
  <c r="R133" i="12"/>
  <c r="J134" i="12"/>
  <c r="J136" i="12"/>
  <c r="E19" i="15"/>
  <c r="E21" i="17"/>
  <c r="O134" i="12"/>
  <c r="Q134" i="12"/>
  <c r="Q136" i="12"/>
  <c r="H19" i="15"/>
  <c r="G20" i="17"/>
  <c r="F20" i="17"/>
  <c r="J18" i="15"/>
  <c r="R117" i="12"/>
  <c r="J118" i="12"/>
  <c r="O118" i="12"/>
  <c r="J95" i="12"/>
  <c r="E14" i="15"/>
  <c r="E16" i="17"/>
  <c r="G16" i="17"/>
  <c r="B110" i="12"/>
  <c r="J109" i="12"/>
  <c r="O95" i="12"/>
  <c r="F14" i="15"/>
  <c r="C16" i="17"/>
  <c r="Q87" i="12"/>
  <c r="H13" i="15"/>
  <c r="Q95" i="12"/>
  <c r="H14" i="15"/>
  <c r="R100" i="12"/>
  <c r="R93" i="12"/>
  <c r="J101" i="12"/>
  <c r="O101" i="12"/>
  <c r="Q101" i="12"/>
  <c r="Q103" i="12"/>
  <c r="H15" i="15"/>
  <c r="R92" i="12"/>
  <c r="O87" i="12"/>
  <c r="F13" i="15"/>
  <c r="C15" i="17"/>
  <c r="R85" i="12"/>
  <c r="R87" i="12"/>
  <c r="I13" i="15"/>
  <c r="J87" i="12"/>
  <c r="E13" i="15"/>
  <c r="E15" i="17"/>
  <c r="R71" i="12"/>
  <c r="J72" i="12"/>
  <c r="O72" i="12"/>
  <c r="Q72" i="12"/>
  <c r="Q74" i="12"/>
  <c r="H11" i="15"/>
  <c r="J8" i="15"/>
  <c r="R44" i="12"/>
  <c r="I7" i="15"/>
  <c r="J7" i="15"/>
  <c r="J64" i="12"/>
  <c r="O64" i="12"/>
  <c r="Q64" i="12"/>
  <c r="Q66" i="12"/>
  <c r="H10" i="15"/>
  <c r="R63" i="12"/>
  <c r="G10" i="17"/>
  <c r="F10" i="17"/>
  <c r="G9" i="17"/>
  <c r="F9" i="17"/>
  <c r="R32" i="12"/>
  <c r="O33" i="12"/>
  <c r="Q33" i="12"/>
  <c r="J33" i="12"/>
  <c r="G7" i="17"/>
  <c r="F7" i="17"/>
  <c r="G6" i="17"/>
  <c r="F6" i="17"/>
  <c r="J4" i="15"/>
  <c r="J8" i="12"/>
  <c r="R8" i="12"/>
  <c r="O8" i="12"/>
  <c r="Q8" i="12"/>
  <c r="Q11" i="12"/>
  <c r="H3" i="15"/>
  <c r="G37" i="6"/>
  <c r="G41" i="6"/>
  <c r="G42" i="6"/>
  <c r="G43" i="6"/>
  <c r="F25" i="6"/>
  <c r="F29" i="6"/>
  <c r="F30" i="6"/>
  <c r="G25" i="6"/>
  <c r="G29" i="6"/>
  <c r="G30" i="6"/>
  <c r="F37" i="6"/>
  <c r="F41" i="6"/>
  <c r="F42" i="6"/>
  <c r="F43" i="6"/>
  <c r="E31" i="6"/>
  <c r="K170" i="12"/>
  <c r="N170" i="12"/>
  <c r="P170" i="12"/>
  <c r="S170" i="12"/>
  <c r="T170" i="12"/>
  <c r="C5" i="1"/>
  <c r="E36" i="1"/>
  <c r="E38" i="1"/>
  <c r="C6" i="1"/>
  <c r="C7" i="1"/>
  <c r="C8" i="1"/>
  <c r="C9" i="1"/>
  <c r="C10" i="1"/>
  <c r="B17" i="20"/>
  <c r="B23" i="20"/>
  <c r="B24" i="20"/>
  <c r="J36" i="12"/>
  <c r="E6" i="15"/>
  <c r="E8" i="17"/>
  <c r="K48" i="23"/>
  <c r="N48" i="23"/>
  <c r="P48" i="23"/>
  <c r="S48" i="23"/>
  <c r="T48" i="23"/>
  <c r="K47" i="23"/>
  <c r="N47" i="23"/>
  <c r="P47" i="23"/>
  <c r="S47" i="23"/>
  <c r="T47" i="23"/>
  <c r="K87" i="23"/>
  <c r="N87" i="23"/>
  <c r="P87" i="23"/>
  <c r="S87" i="23"/>
  <c r="T87" i="23"/>
  <c r="K67" i="23"/>
  <c r="N67" i="23"/>
  <c r="P67" i="23"/>
  <c r="S67" i="23"/>
  <c r="T67" i="23"/>
  <c r="K88" i="23"/>
  <c r="N88" i="23"/>
  <c r="P88" i="23"/>
  <c r="K86" i="23"/>
  <c r="N86" i="23"/>
  <c r="P86" i="23"/>
  <c r="S86" i="23"/>
  <c r="T86" i="23"/>
  <c r="K89" i="23"/>
  <c r="N89" i="23"/>
  <c r="K34" i="12"/>
  <c r="N34" i="12"/>
  <c r="P34" i="12"/>
  <c r="K153" i="12"/>
  <c r="N153" i="12"/>
  <c r="P153" i="12"/>
  <c r="S153" i="12"/>
  <c r="T153" i="12"/>
  <c r="K9" i="12"/>
  <c r="N9" i="12"/>
  <c r="P9" i="12"/>
  <c r="K152" i="12"/>
  <c r="N152" i="12"/>
  <c r="P152" i="12"/>
  <c r="K260" i="12"/>
  <c r="N260" i="12"/>
  <c r="P260" i="12"/>
  <c r="S260" i="12"/>
  <c r="T260" i="12"/>
  <c r="K252" i="12"/>
  <c r="N252" i="12"/>
  <c r="K249" i="12"/>
  <c r="N249" i="12"/>
  <c r="P249" i="12"/>
  <c r="S249" i="12"/>
  <c r="T249" i="12"/>
  <c r="K259" i="12"/>
  <c r="N259" i="12"/>
  <c r="P259" i="12"/>
  <c r="S259" i="12"/>
  <c r="T259" i="12"/>
  <c r="K251" i="12"/>
  <c r="N251" i="12"/>
  <c r="K261" i="12"/>
  <c r="N261" i="12"/>
  <c r="P261" i="12"/>
  <c r="S261" i="12"/>
  <c r="T261" i="12"/>
  <c r="K250" i="12"/>
  <c r="N250" i="12"/>
  <c r="P250" i="12"/>
  <c r="K235" i="12"/>
  <c r="N235" i="12"/>
  <c r="P235" i="12"/>
  <c r="K28" i="23"/>
  <c r="N28" i="23"/>
  <c r="P28" i="23"/>
  <c r="K234" i="12"/>
  <c r="N234" i="12"/>
  <c r="P234" i="12"/>
  <c r="S234" i="12"/>
  <c r="T234" i="12"/>
  <c r="K242" i="12"/>
  <c r="N242" i="12"/>
  <c r="P242" i="12"/>
  <c r="S242" i="12"/>
  <c r="T242" i="12"/>
  <c r="K27" i="23"/>
  <c r="N27" i="23"/>
  <c r="P27" i="23"/>
  <c r="S27" i="23"/>
  <c r="T27" i="23"/>
  <c r="R88" i="23"/>
  <c r="O89" i="23"/>
  <c r="Q89" i="23"/>
  <c r="Q91" i="23"/>
  <c r="H55" i="15"/>
  <c r="J89" i="23"/>
  <c r="Q28" i="23"/>
  <c r="O30" i="23"/>
  <c r="F52" i="15"/>
  <c r="R28" i="23"/>
  <c r="R30" i="23"/>
  <c r="I52" i="15"/>
  <c r="Q36" i="12"/>
  <c r="H6" i="15"/>
  <c r="R34" i="12"/>
  <c r="R9" i="12"/>
  <c r="R11" i="12"/>
  <c r="I3" i="15"/>
  <c r="J3" i="15"/>
  <c r="J155" i="12"/>
  <c r="E21" i="15"/>
  <c r="E23" i="17"/>
  <c r="G23" i="17"/>
  <c r="Q155" i="12"/>
  <c r="H21" i="15"/>
  <c r="R152" i="12"/>
  <c r="F36" i="17"/>
  <c r="G36" i="17"/>
  <c r="O252" i="12"/>
  <c r="Q252" i="12"/>
  <c r="J252" i="12"/>
  <c r="R250" i="12"/>
  <c r="O251" i="12"/>
  <c r="Q251" i="12"/>
  <c r="J251" i="12"/>
  <c r="O237" i="12"/>
  <c r="F31" i="15"/>
  <c r="C33" i="17"/>
  <c r="G33" i="17"/>
  <c r="F33" i="17"/>
  <c r="R235" i="12"/>
  <c r="R237" i="12"/>
  <c r="I31" i="15"/>
  <c r="J31" i="15"/>
  <c r="K8" i="23"/>
  <c r="N8" i="23"/>
  <c r="P8" i="23"/>
  <c r="K7" i="23"/>
  <c r="N7" i="23"/>
  <c r="P7" i="23"/>
  <c r="S7" i="23"/>
  <c r="T7" i="23"/>
  <c r="Q161" i="12"/>
  <c r="Q163" i="12"/>
  <c r="H22" i="15"/>
  <c r="O163" i="12"/>
  <c r="F22" i="15"/>
  <c r="C24" i="17"/>
  <c r="R161" i="12"/>
  <c r="R163" i="12"/>
  <c r="I22" i="15"/>
  <c r="J163" i="12"/>
  <c r="E22" i="15"/>
  <c r="E24" i="17"/>
  <c r="R8" i="23"/>
  <c r="R10" i="23"/>
  <c r="I51" i="15"/>
  <c r="J10" i="23"/>
  <c r="E51" i="15"/>
  <c r="O10" i="23"/>
  <c r="F51" i="15"/>
  <c r="K227" i="12"/>
  <c r="N227" i="12"/>
  <c r="K218" i="12"/>
  <c r="N218" i="12"/>
  <c r="P218" i="12"/>
  <c r="S218" i="12"/>
  <c r="T218" i="12"/>
  <c r="K226" i="12"/>
  <c r="N226" i="12"/>
  <c r="P226" i="12"/>
  <c r="S226" i="12"/>
  <c r="T226" i="12"/>
  <c r="K219" i="12"/>
  <c r="N219" i="12"/>
  <c r="P219" i="12"/>
  <c r="K160" i="12"/>
  <c r="N160" i="12"/>
  <c r="P160" i="12"/>
  <c r="S160" i="12"/>
  <c r="T160" i="12"/>
  <c r="K161" i="12"/>
  <c r="N161" i="12"/>
  <c r="P161" i="12"/>
  <c r="K201" i="12"/>
  <c r="N201" i="12"/>
  <c r="P201" i="12"/>
  <c r="S201" i="12"/>
  <c r="T201" i="12"/>
  <c r="K168" i="12"/>
  <c r="N168" i="12"/>
  <c r="P168" i="12"/>
  <c r="S168" i="12"/>
  <c r="T168" i="12"/>
  <c r="K177" i="12"/>
  <c r="N177" i="12"/>
  <c r="P177" i="12"/>
  <c r="S177" i="12"/>
  <c r="T177" i="12"/>
  <c r="K186" i="12"/>
  <c r="N186" i="12"/>
  <c r="P186" i="12"/>
  <c r="K210" i="12"/>
  <c r="N210" i="12"/>
  <c r="P210" i="12"/>
  <c r="S210" i="12"/>
  <c r="T210" i="12"/>
  <c r="K194" i="12"/>
  <c r="N194" i="12"/>
  <c r="P194" i="12"/>
  <c r="K151" i="12"/>
  <c r="N151" i="12"/>
  <c r="P151" i="12"/>
  <c r="K203" i="12"/>
  <c r="N203" i="12"/>
  <c r="P203" i="12"/>
  <c r="K185" i="12"/>
  <c r="N185" i="12"/>
  <c r="P185" i="12"/>
  <c r="S185" i="12"/>
  <c r="T185" i="12"/>
  <c r="K202" i="12"/>
  <c r="N202" i="12"/>
  <c r="P202" i="12"/>
  <c r="K169" i="12"/>
  <c r="N169" i="12"/>
  <c r="P169" i="12"/>
  <c r="K193" i="12"/>
  <c r="N193" i="12"/>
  <c r="P193" i="12"/>
  <c r="S193" i="12"/>
  <c r="T193" i="12"/>
  <c r="K150" i="12"/>
  <c r="N150" i="12"/>
  <c r="P150" i="12"/>
  <c r="S150" i="12"/>
  <c r="T150" i="12"/>
  <c r="K211" i="12"/>
  <c r="N211" i="12"/>
  <c r="P211" i="12"/>
  <c r="K178" i="12"/>
  <c r="N178" i="12"/>
  <c r="P178" i="12"/>
  <c r="Q227" i="12"/>
  <c r="Q229" i="12"/>
  <c r="H30" i="15"/>
  <c r="O229" i="12"/>
  <c r="F30" i="15"/>
  <c r="C32" i="17"/>
  <c r="R227" i="12"/>
  <c r="R229" i="12"/>
  <c r="I30" i="15"/>
  <c r="P227" i="12"/>
  <c r="J229" i="12"/>
  <c r="E30" i="15"/>
  <c r="E32" i="17"/>
  <c r="R219" i="12"/>
  <c r="R221" i="12"/>
  <c r="I29" i="15"/>
  <c r="J29" i="15"/>
  <c r="J221" i="12"/>
  <c r="E29" i="15"/>
  <c r="E31" i="17"/>
  <c r="O221" i="12"/>
  <c r="F29" i="15"/>
  <c r="C31" i="17"/>
  <c r="Q205" i="12"/>
  <c r="H27" i="15"/>
  <c r="O213" i="12"/>
  <c r="F28" i="15"/>
  <c r="C30" i="17"/>
  <c r="G30" i="17"/>
  <c r="F30" i="17"/>
  <c r="R211" i="12"/>
  <c r="R213" i="12"/>
  <c r="I28" i="15"/>
  <c r="J28" i="15"/>
  <c r="O205" i="12"/>
  <c r="F27" i="15"/>
  <c r="C29" i="17"/>
  <c r="R203" i="12"/>
  <c r="R202" i="12"/>
  <c r="J205" i="12"/>
  <c r="E27" i="15"/>
  <c r="E29" i="17"/>
  <c r="R194" i="12"/>
  <c r="Q194" i="12"/>
  <c r="Q196" i="12"/>
  <c r="H26" i="15"/>
  <c r="O196" i="12"/>
  <c r="F26" i="15"/>
  <c r="C28" i="17"/>
  <c r="G28" i="17"/>
  <c r="F28" i="17"/>
  <c r="R186" i="12"/>
  <c r="R188" i="12"/>
  <c r="I25" i="15"/>
  <c r="J25" i="15"/>
  <c r="J188" i="12"/>
  <c r="E25" i="15"/>
  <c r="E27" i="17"/>
  <c r="O180" i="12"/>
  <c r="F24" i="15"/>
  <c r="C26" i="17"/>
  <c r="O188" i="12"/>
  <c r="F25" i="15"/>
  <c r="C27" i="17"/>
  <c r="G26" i="17"/>
  <c r="F26" i="17"/>
  <c r="R178" i="12"/>
  <c r="R169" i="12"/>
  <c r="R172" i="12"/>
  <c r="I23" i="15"/>
  <c r="J172" i="12"/>
  <c r="E23" i="15"/>
  <c r="E25" i="17"/>
  <c r="O155" i="12"/>
  <c r="F21" i="15"/>
  <c r="C23" i="17"/>
  <c r="Q169" i="12"/>
  <c r="O172" i="12"/>
  <c r="F23" i="15"/>
  <c r="C25" i="17"/>
  <c r="R151" i="12"/>
  <c r="O145" i="12"/>
  <c r="F20" i="15"/>
  <c r="C22" i="17"/>
  <c r="R143" i="12"/>
  <c r="R145" i="12"/>
  <c r="I20" i="15"/>
  <c r="J20" i="15"/>
  <c r="J145" i="12"/>
  <c r="E20" i="15"/>
  <c r="E22" i="17"/>
  <c r="K141" i="12"/>
  <c r="N141" i="12"/>
  <c r="P141" i="12"/>
  <c r="S141" i="12"/>
  <c r="T141" i="12"/>
  <c r="K93" i="12"/>
  <c r="N93" i="12"/>
  <c r="P93" i="12"/>
  <c r="S93" i="12"/>
  <c r="T93" i="12"/>
  <c r="K50" i="12"/>
  <c r="N50" i="12"/>
  <c r="P50" i="12"/>
  <c r="S50" i="12"/>
  <c r="T50" i="12"/>
  <c r="K16" i="12"/>
  <c r="N16" i="12"/>
  <c r="P16" i="12"/>
  <c r="S16" i="12"/>
  <c r="T16" i="12"/>
  <c r="K24" i="12"/>
  <c r="N24" i="12"/>
  <c r="P24" i="12"/>
  <c r="S24" i="12"/>
  <c r="T24" i="12"/>
  <c r="K143" i="12"/>
  <c r="N143" i="12"/>
  <c r="P143" i="12"/>
  <c r="K142" i="12"/>
  <c r="N142" i="12"/>
  <c r="P142" i="12"/>
  <c r="S142" i="12"/>
  <c r="T142" i="12"/>
  <c r="K133" i="12"/>
  <c r="N133" i="12"/>
  <c r="P133" i="12"/>
  <c r="S133" i="12"/>
  <c r="T133" i="12"/>
  <c r="K110" i="12"/>
  <c r="N110" i="12"/>
  <c r="K72" i="12"/>
  <c r="N72" i="12"/>
  <c r="P72" i="12"/>
  <c r="K33" i="12"/>
  <c r="N33" i="12"/>
  <c r="P33" i="12"/>
  <c r="K101" i="12"/>
  <c r="N101" i="12"/>
  <c r="P101" i="12"/>
  <c r="K63" i="12"/>
  <c r="N63" i="12"/>
  <c r="P63" i="12"/>
  <c r="S63" i="12"/>
  <c r="T63" i="12"/>
  <c r="K92" i="12"/>
  <c r="N92" i="12"/>
  <c r="P92" i="12"/>
  <c r="S92" i="12"/>
  <c r="T92" i="12"/>
  <c r="K49" i="12"/>
  <c r="N49" i="12"/>
  <c r="P49" i="12"/>
  <c r="S49" i="12"/>
  <c r="T49" i="12"/>
  <c r="K85" i="12"/>
  <c r="N85" i="12"/>
  <c r="P85" i="12"/>
  <c r="S85" i="12"/>
  <c r="T85" i="12"/>
  <c r="K41" i="12"/>
  <c r="N41" i="12"/>
  <c r="P41" i="12"/>
  <c r="S41" i="12"/>
  <c r="T41" i="12"/>
  <c r="K126" i="12"/>
  <c r="N126" i="12"/>
  <c r="P126" i="12"/>
  <c r="S126" i="12"/>
  <c r="T126" i="12"/>
  <c r="K109" i="12"/>
  <c r="N109" i="12"/>
  <c r="P109" i="12"/>
  <c r="K71" i="12"/>
  <c r="N71" i="12"/>
  <c r="P71" i="12"/>
  <c r="S71" i="12"/>
  <c r="T71" i="12"/>
  <c r="K32" i="12"/>
  <c r="N32" i="12"/>
  <c r="P32" i="12"/>
  <c r="S32" i="12"/>
  <c r="T32" i="12"/>
  <c r="K117" i="12"/>
  <c r="N117" i="12"/>
  <c r="P117" i="12"/>
  <c r="S117" i="12"/>
  <c r="T117" i="12"/>
  <c r="K100" i="12"/>
  <c r="N100" i="12"/>
  <c r="P100" i="12"/>
  <c r="S100" i="12"/>
  <c r="T100" i="12"/>
  <c r="K42" i="12"/>
  <c r="N42" i="12"/>
  <c r="P42" i="12"/>
  <c r="S42" i="12"/>
  <c r="T42" i="12"/>
  <c r="K17" i="12"/>
  <c r="N17" i="12"/>
  <c r="P17" i="12"/>
  <c r="S17" i="12"/>
  <c r="T17" i="12"/>
  <c r="K134" i="12"/>
  <c r="N134" i="12"/>
  <c r="P134" i="12"/>
  <c r="K125" i="12"/>
  <c r="N125" i="12"/>
  <c r="P125" i="12"/>
  <c r="S125" i="12"/>
  <c r="T125" i="12"/>
  <c r="K108" i="12"/>
  <c r="N108" i="12"/>
  <c r="P108" i="12"/>
  <c r="S108" i="12"/>
  <c r="T108" i="12"/>
  <c r="K64" i="12"/>
  <c r="N64" i="12"/>
  <c r="P64" i="12"/>
  <c r="K25" i="12"/>
  <c r="N25" i="12"/>
  <c r="P25" i="12"/>
  <c r="S25" i="12"/>
  <c r="T25" i="12"/>
  <c r="K118" i="12"/>
  <c r="N118" i="12"/>
  <c r="P118" i="12"/>
  <c r="O136" i="12"/>
  <c r="F19" i="15"/>
  <c r="C21" i="17"/>
  <c r="F21" i="17"/>
  <c r="G21" i="17"/>
  <c r="R134" i="12"/>
  <c r="R136" i="12"/>
  <c r="I19" i="15"/>
  <c r="J19" i="15"/>
  <c r="R95" i="12"/>
  <c r="I14" i="15"/>
  <c r="J14" i="15"/>
  <c r="Q118" i="12"/>
  <c r="Q120" i="12"/>
  <c r="H17" i="15"/>
  <c r="O120" i="12"/>
  <c r="F17" i="15"/>
  <c r="C19" i="17"/>
  <c r="R118" i="12"/>
  <c r="R120" i="12"/>
  <c r="I17" i="15"/>
  <c r="J120" i="12"/>
  <c r="E17" i="15"/>
  <c r="E19" i="17"/>
  <c r="F16" i="17"/>
  <c r="R109" i="12"/>
  <c r="J110" i="12"/>
  <c r="O110" i="12"/>
  <c r="J13" i="15"/>
  <c r="O103" i="12"/>
  <c r="F15" i="15"/>
  <c r="C17" i="17"/>
  <c r="R101" i="12"/>
  <c r="R103" i="12"/>
  <c r="I15" i="15"/>
  <c r="J15" i="15"/>
  <c r="J103" i="12"/>
  <c r="E15" i="15"/>
  <c r="E17" i="17"/>
  <c r="O74" i="12"/>
  <c r="F11" i="15"/>
  <c r="C13" i="17"/>
  <c r="G15" i="17"/>
  <c r="F15" i="17"/>
  <c r="R72" i="12"/>
  <c r="R74" i="12"/>
  <c r="I11" i="15"/>
  <c r="J11" i="15"/>
  <c r="J74" i="12"/>
  <c r="E11" i="15"/>
  <c r="E13" i="17"/>
  <c r="O66" i="12"/>
  <c r="F10" i="15"/>
  <c r="C12" i="17"/>
  <c r="R64" i="12"/>
  <c r="R66" i="12"/>
  <c r="I10" i="15"/>
  <c r="J10" i="15"/>
  <c r="J66" i="12"/>
  <c r="E10" i="15"/>
  <c r="E12" i="17"/>
  <c r="O36" i="12"/>
  <c r="F6" i="15"/>
  <c r="C8" i="17"/>
  <c r="G8" i="17"/>
  <c r="F8" i="17"/>
  <c r="R33" i="12"/>
  <c r="R36" i="12"/>
  <c r="I6" i="15"/>
  <c r="J11" i="12"/>
  <c r="E3" i="15"/>
  <c r="E5" i="17"/>
  <c r="O11" i="12"/>
  <c r="F3" i="15"/>
  <c r="K7" i="12"/>
  <c r="N7" i="12"/>
  <c r="P7" i="12"/>
  <c r="S7" i="12"/>
  <c r="T7" i="12"/>
  <c r="K8" i="12"/>
  <c r="N8" i="12"/>
  <c r="P8" i="12"/>
  <c r="S8" i="12"/>
  <c r="T8" i="12"/>
  <c r="G31" i="6"/>
  <c r="M170" i="12"/>
  <c r="D17" i="20"/>
  <c r="D23" i="20"/>
  <c r="D24" i="20"/>
  <c r="C11" i="1"/>
  <c r="E58" i="1"/>
  <c r="H248" i="19"/>
  <c r="H249" i="19"/>
  <c r="H188" i="19"/>
  <c r="H189" i="19"/>
  <c r="H128" i="19"/>
  <c r="H129" i="19"/>
  <c r="H68" i="19"/>
  <c r="H69" i="19"/>
  <c r="H293" i="19"/>
  <c r="H294" i="19"/>
  <c r="H233" i="19"/>
  <c r="H234" i="19"/>
  <c r="H173" i="19"/>
  <c r="H174" i="19"/>
  <c r="H113" i="19"/>
  <c r="H114" i="19"/>
  <c r="H53" i="19"/>
  <c r="H54" i="19"/>
  <c r="H8" i="19"/>
  <c r="H9" i="19"/>
  <c r="H278" i="19"/>
  <c r="H279" i="19"/>
  <c r="H218" i="19"/>
  <c r="H219" i="19"/>
  <c r="H158" i="19"/>
  <c r="H159" i="19"/>
  <c r="H98" i="19"/>
  <c r="H99" i="19"/>
  <c r="H38" i="19"/>
  <c r="H39" i="19"/>
  <c r="H263" i="19"/>
  <c r="H264" i="19"/>
  <c r="H23" i="19"/>
  <c r="H24" i="19"/>
  <c r="H83" i="19"/>
  <c r="H84" i="19"/>
  <c r="H203" i="19"/>
  <c r="H204" i="19"/>
  <c r="H143" i="19"/>
  <c r="H144" i="19"/>
  <c r="K66" i="23"/>
  <c r="N66" i="23"/>
  <c r="P66" i="23"/>
  <c r="K15" i="12"/>
  <c r="N15" i="12"/>
  <c r="P15" i="12"/>
  <c r="K26" i="23"/>
  <c r="N26" i="23"/>
  <c r="P26" i="23"/>
  <c r="K23" i="12"/>
  <c r="N23" i="12"/>
  <c r="P23" i="12"/>
  <c r="K46" i="23"/>
  <c r="N46" i="23"/>
  <c r="P46" i="23"/>
  <c r="K6" i="23"/>
  <c r="N6" i="23"/>
  <c r="P6" i="23"/>
  <c r="S6" i="23"/>
  <c r="T6" i="23"/>
  <c r="K31" i="12"/>
  <c r="N31" i="12"/>
  <c r="P31" i="12"/>
  <c r="K179" i="23"/>
  <c r="K29" i="23"/>
  <c r="K40" i="12"/>
  <c r="N40" i="12"/>
  <c r="P40" i="12"/>
  <c r="K48" i="12"/>
  <c r="N48" i="12"/>
  <c r="P48" i="12"/>
  <c r="K6" i="12"/>
  <c r="N6" i="12"/>
  <c r="P6" i="12"/>
  <c r="K126" i="23"/>
  <c r="K304" i="12"/>
  <c r="K291" i="12"/>
  <c r="K179" i="12"/>
  <c r="K159" i="12"/>
  <c r="N159" i="12"/>
  <c r="P159" i="12"/>
  <c r="K180" i="23"/>
  <c r="K143" i="23"/>
  <c r="K280" i="12"/>
  <c r="K248" i="12"/>
  <c r="N248" i="12"/>
  <c r="P248" i="12"/>
  <c r="K233" i="12"/>
  <c r="N233" i="12"/>
  <c r="P233" i="12"/>
  <c r="K228" i="12"/>
  <c r="K209" i="12"/>
  <c r="N209" i="12"/>
  <c r="P209" i="12"/>
  <c r="K204" i="12"/>
  <c r="K184" i="12"/>
  <c r="N184" i="12"/>
  <c r="P184" i="12"/>
  <c r="K132" i="12"/>
  <c r="N132" i="12"/>
  <c r="P132" i="12"/>
  <c r="K91" i="12"/>
  <c r="N91" i="12"/>
  <c r="P91" i="12"/>
  <c r="K298" i="12"/>
  <c r="K285" i="12"/>
  <c r="K267" i="12"/>
  <c r="K149" i="12"/>
  <c r="N149" i="12"/>
  <c r="P149" i="12"/>
  <c r="K309" i="12"/>
  <c r="K303" i="12"/>
  <c r="K262" i="12"/>
  <c r="K243" i="12"/>
  <c r="K162" i="23"/>
  <c r="K108" i="23"/>
  <c r="K279" i="12"/>
  <c r="K274" i="12"/>
  <c r="K125" i="23"/>
  <c r="K90" i="23"/>
  <c r="K297" i="12"/>
  <c r="K292" i="12"/>
  <c r="K162" i="12"/>
  <c r="K124" i="12"/>
  <c r="N124" i="12"/>
  <c r="P124" i="12"/>
  <c r="K119" i="12"/>
  <c r="K107" i="12"/>
  <c r="N107" i="12"/>
  <c r="P107" i="12"/>
  <c r="K79" i="12"/>
  <c r="K65" i="12"/>
  <c r="K161" i="23"/>
  <c r="K107" i="23"/>
  <c r="K68" i="23"/>
  <c r="K144" i="23"/>
  <c r="K85" i="23"/>
  <c r="N85" i="23"/>
  <c r="P85" i="23"/>
  <c r="K310" i="12"/>
  <c r="K286" i="12"/>
  <c r="K144" i="12"/>
  <c r="K135" i="12"/>
  <c r="K102" i="12"/>
  <c r="K94" i="12"/>
  <c r="K258" i="12"/>
  <c r="N258" i="12"/>
  <c r="P258" i="12"/>
  <c r="K171" i="12"/>
  <c r="K154" i="12"/>
  <c r="K86" i="12"/>
  <c r="K18" i="12"/>
  <c r="K253" i="12"/>
  <c r="K140" i="12"/>
  <c r="N140" i="12"/>
  <c r="P140" i="12"/>
  <c r="K127" i="12"/>
  <c r="K99" i="12"/>
  <c r="N99" i="12"/>
  <c r="P99" i="12"/>
  <c r="K62" i="12"/>
  <c r="N62" i="12"/>
  <c r="P62" i="12"/>
  <c r="K57" i="12"/>
  <c r="K26" i="12"/>
  <c r="K49" i="23"/>
  <c r="K268" i="12"/>
  <c r="K195" i="12"/>
  <c r="K167" i="12"/>
  <c r="N167" i="12"/>
  <c r="P167" i="12"/>
  <c r="K84" i="12"/>
  <c r="N84" i="12"/>
  <c r="P84" i="12"/>
  <c r="K9" i="23"/>
  <c r="K273" i="12"/>
  <c r="K220" i="12"/>
  <c r="K187" i="12"/>
  <c r="K176" i="12"/>
  <c r="N176" i="12"/>
  <c r="P176" i="12"/>
  <c r="K56" i="12"/>
  <c r="K10" i="12"/>
  <c r="K35" i="12"/>
  <c r="K212" i="12"/>
  <c r="K192" i="12"/>
  <c r="N192" i="12"/>
  <c r="P192" i="12"/>
  <c r="K73" i="12"/>
  <c r="K241" i="12"/>
  <c r="N241" i="12"/>
  <c r="P241" i="12"/>
  <c r="K225" i="12"/>
  <c r="N225" i="12"/>
  <c r="P225" i="12"/>
  <c r="K70" i="12"/>
  <c r="N70" i="12"/>
  <c r="P70" i="12"/>
  <c r="K236" i="12"/>
  <c r="K217" i="12"/>
  <c r="N217" i="12"/>
  <c r="P217" i="12"/>
  <c r="K200" i="12"/>
  <c r="N200" i="12"/>
  <c r="P200" i="12"/>
  <c r="K116" i="12"/>
  <c r="N116" i="12"/>
  <c r="P116" i="12"/>
  <c r="K78" i="12"/>
  <c r="K51" i="12"/>
  <c r="K43" i="12"/>
  <c r="K111" i="12"/>
  <c r="F31" i="6"/>
  <c r="L170" i="12"/>
  <c r="C17" i="20"/>
  <c r="C23" i="20"/>
  <c r="C24" i="20"/>
  <c r="R155" i="12"/>
  <c r="I21" i="15"/>
  <c r="L67" i="23"/>
  <c r="L48" i="23"/>
  <c r="L47" i="23"/>
  <c r="L87" i="23"/>
  <c r="L86" i="23"/>
  <c r="L34" i="12"/>
  <c r="L152" i="12"/>
  <c r="L153" i="12"/>
  <c r="L9" i="12"/>
  <c r="L89" i="23"/>
  <c r="L88" i="23"/>
  <c r="L261" i="12"/>
  <c r="L250" i="12"/>
  <c r="L260" i="12"/>
  <c r="L252" i="12"/>
  <c r="L249" i="12"/>
  <c r="L259" i="12"/>
  <c r="L251" i="12"/>
  <c r="L27" i="23"/>
  <c r="L235" i="12"/>
  <c r="L242" i="12"/>
  <c r="L28" i="23"/>
  <c r="L234" i="12"/>
  <c r="S46" i="23"/>
  <c r="P50" i="23"/>
  <c r="G53" i="15"/>
  <c r="M67" i="23"/>
  <c r="M89" i="23"/>
  <c r="M48" i="23"/>
  <c r="M47" i="23"/>
  <c r="M9" i="12"/>
  <c r="M86" i="23"/>
  <c r="M152" i="12"/>
  <c r="M88" i="23"/>
  <c r="M34" i="12"/>
  <c r="M87" i="23"/>
  <c r="M153" i="12"/>
  <c r="M261" i="12"/>
  <c r="M250" i="12"/>
  <c r="M252" i="12"/>
  <c r="M260" i="12"/>
  <c r="M249" i="12"/>
  <c r="M259" i="12"/>
  <c r="M251" i="12"/>
  <c r="M242" i="12"/>
  <c r="M27" i="23"/>
  <c r="M235" i="12"/>
  <c r="M28" i="23"/>
  <c r="M234" i="12"/>
  <c r="S66" i="23"/>
  <c r="P69" i="23"/>
  <c r="G54" i="15"/>
  <c r="O91" i="23"/>
  <c r="F55" i="15"/>
  <c r="F61" i="15"/>
  <c r="P89" i="23"/>
  <c r="R89" i="23"/>
  <c r="R91" i="23"/>
  <c r="I55" i="15"/>
  <c r="J55" i="15"/>
  <c r="C72" i="3"/>
  <c r="J91" i="23"/>
  <c r="E55" i="15"/>
  <c r="E61" i="15"/>
  <c r="S88" i="23"/>
  <c r="T88" i="23"/>
  <c r="S85" i="23"/>
  <c r="S26" i="23"/>
  <c r="P30" i="23"/>
  <c r="G52" i="15"/>
  <c r="S28" i="23"/>
  <c r="T28" i="23"/>
  <c r="Q30" i="23"/>
  <c r="H52" i="15"/>
  <c r="S34" i="12"/>
  <c r="T34" i="12"/>
  <c r="J21" i="15"/>
  <c r="F23" i="17"/>
  <c r="S9" i="12"/>
  <c r="T9" i="12"/>
  <c r="Q254" i="12"/>
  <c r="H33" i="15"/>
  <c r="S152" i="12"/>
  <c r="T152" i="12"/>
  <c r="S258" i="12"/>
  <c r="P263" i="12"/>
  <c r="G34" i="15"/>
  <c r="K34" i="15"/>
  <c r="S250" i="12"/>
  <c r="T250" i="12"/>
  <c r="R252" i="12"/>
  <c r="P252" i="12"/>
  <c r="R251" i="12"/>
  <c r="P251" i="12"/>
  <c r="S248" i="12"/>
  <c r="O254" i="12"/>
  <c r="F33" i="15"/>
  <c r="C35" i="17"/>
  <c r="J254" i="12"/>
  <c r="E33" i="15"/>
  <c r="E35" i="17"/>
  <c r="S241" i="12"/>
  <c r="P244" i="12"/>
  <c r="G32" i="15"/>
  <c r="K32" i="15"/>
  <c r="S235" i="12"/>
  <c r="T235" i="12"/>
  <c r="S233" i="12"/>
  <c r="P237" i="12"/>
  <c r="G31" i="15"/>
  <c r="K31" i="15"/>
  <c r="M7" i="23"/>
  <c r="M8" i="23"/>
  <c r="L7" i="23"/>
  <c r="L8" i="23"/>
  <c r="G24" i="17"/>
  <c r="F24" i="17"/>
  <c r="S161" i="12"/>
  <c r="T161" i="12"/>
  <c r="J22" i="15"/>
  <c r="S8" i="23"/>
  <c r="P10" i="23"/>
  <c r="G51" i="15"/>
  <c r="J51" i="15"/>
  <c r="L160" i="12"/>
  <c r="L161" i="12"/>
  <c r="L219" i="12"/>
  <c r="L227" i="12"/>
  <c r="L218" i="12"/>
  <c r="L226" i="12"/>
  <c r="L211" i="12"/>
  <c r="L178" i="12"/>
  <c r="L201" i="12"/>
  <c r="L168" i="12"/>
  <c r="L186" i="12"/>
  <c r="L210" i="12"/>
  <c r="L177" i="12"/>
  <c r="L169" i="12"/>
  <c r="L194" i="12"/>
  <c r="L151" i="12"/>
  <c r="L202" i="12"/>
  <c r="L203" i="12"/>
  <c r="L185" i="12"/>
  <c r="L193" i="12"/>
  <c r="L150" i="12"/>
  <c r="M226" i="12"/>
  <c r="M160" i="12"/>
  <c r="M161" i="12"/>
  <c r="M219" i="12"/>
  <c r="M227" i="12"/>
  <c r="M218" i="12"/>
  <c r="M193" i="12"/>
  <c r="M150" i="12"/>
  <c r="M201" i="12"/>
  <c r="M211" i="12"/>
  <c r="M178" i="12"/>
  <c r="M168" i="12"/>
  <c r="M186" i="12"/>
  <c r="M210" i="12"/>
  <c r="M177" i="12"/>
  <c r="M151" i="12"/>
  <c r="M185" i="12"/>
  <c r="M194" i="12"/>
  <c r="M203" i="12"/>
  <c r="M202" i="12"/>
  <c r="M169" i="12"/>
  <c r="S159" i="12"/>
  <c r="P163" i="12"/>
  <c r="G22" i="15"/>
  <c r="F32" i="17"/>
  <c r="G32" i="17"/>
  <c r="S227" i="12"/>
  <c r="T227" i="12"/>
  <c r="J30" i="15"/>
  <c r="S225" i="12"/>
  <c r="P229" i="12"/>
  <c r="G30" i="15"/>
  <c r="G31" i="17"/>
  <c r="F31" i="17"/>
  <c r="S219" i="12"/>
  <c r="T219" i="12"/>
  <c r="S217" i="12"/>
  <c r="P221" i="12"/>
  <c r="G29" i="15"/>
  <c r="K29" i="15"/>
  <c r="R205" i="12"/>
  <c r="I27" i="15"/>
  <c r="J27" i="15"/>
  <c r="S203" i="12"/>
  <c r="T203" i="12"/>
  <c r="S211" i="12"/>
  <c r="T211" i="12"/>
  <c r="S202" i="12"/>
  <c r="T202" i="12"/>
  <c r="S209" i="12"/>
  <c r="P213" i="12"/>
  <c r="G28" i="15"/>
  <c r="K28" i="15"/>
  <c r="F29" i="17"/>
  <c r="G29" i="17"/>
  <c r="S200" i="12"/>
  <c r="P205" i="12"/>
  <c r="G27" i="15"/>
  <c r="S194" i="12"/>
  <c r="T194" i="12"/>
  <c r="R196" i="12"/>
  <c r="I26" i="15"/>
  <c r="J26" i="15"/>
  <c r="S192" i="12"/>
  <c r="P196" i="12"/>
  <c r="G26" i="15"/>
  <c r="G27" i="17"/>
  <c r="F27" i="17"/>
  <c r="S186" i="12"/>
  <c r="T186" i="12"/>
  <c r="S184" i="12"/>
  <c r="P188" i="12"/>
  <c r="G25" i="15"/>
  <c r="K25" i="15"/>
  <c r="S178" i="12"/>
  <c r="T178" i="12"/>
  <c r="R180" i="12"/>
  <c r="I24" i="15"/>
  <c r="J24" i="15"/>
  <c r="S176" i="12"/>
  <c r="P180" i="12"/>
  <c r="G24" i="15"/>
  <c r="S169" i="12"/>
  <c r="T169" i="12"/>
  <c r="Q172" i="12"/>
  <c r="H23" i="15"/>
  <c r="J23" i="15"/>
  <c r="F25" i="17"/>
  <c r="G25" i="17"/>
  <c r="S167" i="12"/>
  <c r="P172" i="12"/>
  <c r="G23" i="15"/>
  <c r="S151" i="12"/>
  <c r="T151" i="12"/>
  <c r="S149" i="12"/>
  <c r="P155" i="12"/>
  <c r="G21" i="15"/>
  <c r="S143" i="12"/>
  <c r="T143" i="12"/>
  <c r="S134" i="12"/>
  <c r="T134" i="12"/>
  <c r="G22" i="17"/>
  <c r="F22" i="17"/>
  <c r="L125" i="12"/>
  <c r="L108" i="12"/>
  <c r="L64" i="12"/>
  <c r="L25" i="12"/>
  <c r="L110" i="12"/>
  <c r="L72" i="12"/>
  <c r="L141" i="12"/>
  <c r="L93" i="12"/>
  <c r="L50" i="12"/>
  <c r="L16" i="12"/>
  <c r="L133" i="12"/>
  <c r="L33" i="12"/>
  <c r="L143" i="12"/>
  <c r="L118" i="12"/>
  <c r="L101" i="12"/>
  <c r="L63" i="12"/>
  <c r="L24" i="12"/>
  <c r="L117" i="12"/>
  <c r="L92" i="12"/>
  <c r="L49" i="12"/>
  <c r="L100" i="12"/>
  <c r="L42" i="12"/>
  <c r="L126" i="12"/>
  <c r="L109" i="12"/>
  <c r="L71" i="12"/>
  <c r="L32" i="12"/>
  <c r="L17" i="12"/>
  <c r="L134" i="12"/>
  <c r="L85" i="12"/>
  <c r="L41" i="12"/>
  <c r="L142" i="12"/>
  <c r="S140" i="12"/>
  <c r="P145" i="12"/>
  <c r="G20" i="15"/>
  <c r="K20" i="15"/>
  <c r="M134" i="12"/>
  <c r="M85" i="12"/>
  <c r="M41" i="12"/>
  <c r="M141" i="12"/>
  <c r="M125" i="12"/>
  <c r="M108" i="12"/>
  <c r="M64" i="12"/>
  <c r="M25" i="12"/>
  <c r="M143" i="12"/>
  <c r="M142" i="12"/>
  <c r="M133" i="12"/>
  <c r="M110" i="12"/>
  <c r="M72" i="12"/>
  <c r="M33" i="12"/>
  <c r="M118" i="12"/>
  <c r="M101" i="12"/>
  <c r="M63" i="12"/>
  <c r="M24" i="12"/>
  <c r="M16" i="12"/>
  <c r="M92" i="12"/>
  <c r="M49" i="12"/>
  <c r="M126" i="12"/>
  <c r="M109" i="12"/>
  <c r="M71" i="12"/>
  <c r="M32" i="12"/>
  <c r="M117" i="12"/>
  <c r="M100" i="12"/>
  <c r="M42" i="12"/>
  <c r="M17" i="12"/>
  <c r="M93" i="12"/>
  <c r="M50" i="12"/>
  <c r="S132" i="12"/>
  <c r="P136" i="12"/>
  <c r="G19" i="15"/>
  <c r="K19" i="15"/>
  <c r="S124" i="12"/>
  <c r="P128" i="12"/>
  <c r="G18" i="15"/>
  <c r="K18" i="15"/>
  <c r="G19" i="17"/>
  <c r="F19" i="17"/>
  <c r="S118" i="12"/>
  <c r="T118" i="12"/>
  <c r="J17" i="15"/>
  <c r="S116" i="12"/>
  <c r="P120" i="12"/>
  <c r="G17" i="15"/>
  <c r="Q110" i="12"/>
  <c r="Q112" i="12"/>
  <c r="H16" i="15"/>
  <c r="O112" i="12"/>
  <c r="F16" i="15"/>
  <c r="C18" i="17"/>
  <c r="S107" i="12"/>
  <c r="R110" i="12"/>
  <c r="R112" i="12"/>
  <c r="I16" i="15"/>
  <c r="P110" i="12"/>
  <c r="J112" i="12"/>
  <c r="E16" i="15"/>
  <c r="E18" i="17"/>
  <c r="S109" i="12"/>
  <c r="T109" i="12"/>
  <c r="S101" i="12"/>
  <c r="T101" i="12"/>
  <c r="F17" i="17"/>
  <c r="G17" i="17"/>
  <c r="S91" i="12"/>
  <c r="P95" i="12"/>
  <c r="G14" i="15"/>
  <c r="K14" i="15"/>
  <c r="S99" i="12"/>
  <c r="P103" i="12"/>
  <c r="G15" i="15"/>
  <c r="K15" i="15"/>
  <c r="S84" i="12"/>
  <c r="P87" i="12"/>
  <c r="G13" i="15"/>
  <c r="K13" i="15"/>
  <c r="S64" i="12"/>
  <c r="T64" i="12"/>
  <c r="F13" i="17"/>
  <c r="G13" i="17"/>
  <c r="S72" i="12"/>
  <c r="T72" i="12"/>
  <c r="S70" i="12"/>
  <c r="P74" i="12"/>
  <c r="G11" i="15"/>
  <c r="K11" i="15"/>
  <c r="S62" i="12"/>
  <c r="P66" i="12"/>
  <c r="G10" i="15"/>
  <c r="K10" i="15"/>
  <c r="F12" i="17"/>
  <c r="G12" i="17"/>
  <c r="S48" i="12"/>
  <c r="P52" i="12"/>
  <c r="G8" i="15"/>
  <c r="K8" i="15"/>
  <c r="S40" i="12"/>
  <c r="P44" i="12"/>
  <c r="G7" i="15"/>
  <c r="K7" i="15"/>
  <c r="J6" i="15"/>
  <c r="S33" i="12"/>
  <c r="T33" i="12"/>
  <c r="S31" i="12"/>
  <c r="P36" i="12"/>
  <c r="G6" i="15"/>
  <c r="S23" i="12"/>
  <c r="P27" i="12"/>
  <c r="G5" i="15"/>
  <c r="K5" i="15"/>
  <c r="S15" i="12"/>
  <c r="P19" i="12"/>
  <c r="G4" i="15"/>
  <c r="K4" i="15"/>
  <c r="C5" i="17"/>
  <c r="F5" i="17"/>
  <c r="G5" i="17"/>
  <c r="L8" i="12"/>
  <c r="L7" i="12"/>
  <c r="S6" i="12"/>
  <c r="P11" i="12"/>
  <c r="G3" i="15"/>
  <c r="M8" i="12"/>
  <c r="M7" i="12"/>
  <c r="M162" i="23"/>
  <c r="M143" i="23"/>
  <c r="M107" i="23"/>
  <c r="M90" i="23"/>
  <c r="M46" i="23"/>
  <c r="M9" i="23"/>
  <c r="M180" i="23"/>
  <c r="M26" i="23"/>
  <c r="M6" i="23"/>
  <c r="M298" i="12"/>
  <c r="M285" i="12"/>
  <c r="M267" i="12"/>
  <c r="M149" i="12"/>
  <c r="M126" i="23"/>
  <c r="M6" i="12"/>
  <c r="M303" i="12"/>
  <c r="M262" i="12"/>
  <c r="M253" i="12"/>
  <c r="M243" i="12"/>
  <c r="M220" i="12"/>
  <c r="M195" i="12"/>
  <c r="M176" i="12"/>
  <c r="M171" i="12"/>
  <c r="M84" i="12"/>
  <c r="M70" i="12"/>
  <c r="M56" i="12"/>
  <c r="M179" i="23"/>
  <c r="M108" i="23"/>
  <c r="M279" i="12"/>
  <c r="M274" i="12"/>
  <c r="M225" i="12"/>
  <c r="M200" i="12"/>
  <c r="M144" i="12"/>
  <c r="M125" i="23"/>
  <c r="M297" i="12"/>
  <c r="M292" i="12"/>
  <c r="M310" i="12"/>
  <c r="M258" i="12"/>
  <c r="M241" i="12"/>
  <c r="M161" i="23"/>
  <c r="M144" i="23"/>
  <c r="M68" i="23"/>
  <c r="M49" i="23"/>
  <c r="M29" i="23"/>
  <c r="M286" i="12"/>
  <c r="M273" i="12"/>
  <c r="M268" i="12"/>
  <c r="M154" i="12"/>
  <c r="M140" i="12"/>
  <c r="M99" i="12"/>
  <c r="M85" i="23"/>
  <c r="M15" i="12"/>
  <c r="M248" i="12"/>
  <c r="M162" i="12"/>
  <c r="M107" i="12"/>
  <c r="M62" i="12"/>
  <c r="M57" i="12"/>
  <c r="M31" i="12"/>
  <c r="M23" i="12"/>
  <c r="M94" i="12"/>
  <c r="M18" i="12"/>
  <c r="M309" i="12"/>
  <c r="M291" i="12"/>
  <c r="M132" i="12"/>
  <c r="M127" i="12"/>
  <c r="M91" i="12"/>
  <c r="M179" i="12"/>
  <c r="M167" i="12"/>
  <c r="M159" i="12"/>
  <c r="M119" i="12"/>
  <c r="M79" i="12"/>
  <c r="M86" i="12"/>
  <c r="M187" i="12"/>
  <c r="M124" i="12"/>
  <c r="M73" i="12"/>
  <c r="M10" i="12"/>
  <c r="M212" i="12"/>
  <c r="M204" i="12"/>
  <c r="M192" i="12"/>
  <c r="M116" i="12"/>
  <c r="M78" i="12"/>
  <c r="M51" i="12"/>
  <c r="M43" i="12"/>
  <c r="M280" i="12"/>
  <c r="M236" i="12"/>
  <c r="M228" i="12"/>
  <c r="M217" i="12"/>
  <c r="M184" i="12"/>
  <c r="M35" i="12"/>
  <c r="M26" i="12"/>
  <c r="M135" i="12"/>
  <c r="M40" i="12"/>
  <c r="M66" i="23"/>
  <c r="M209" i="12"/>
  <c r="M111" i="12"/>
  <c r="M102" i="12"/>
  <c r="M65" i="12"/>
  <c r="M304" i="12"/>
  <c r="M233" i="12"/>
  <c r="M48" i="12"/>
  <c r="I233" i="19"/>
  <c r="I234" i="19"/>
  <c r="I173" i="19"/>
  <c r="I174" i="19"/>
  <c r="I113" i="19"/>
  <c r="I114" i="19"/>
  <c r="I53" i="19"/>
  <c r="I54" i="19"/>
  <c r="I278" i="19"/>
  <c r="I279" i="19"/>
  <c r="I218" i="19"/>
  <c r="I219" i="19"/>
  <c r="I158" i="19"/>
  <c r="I159" i="19"/>
  <c r="I98" i="19"/>
  <c r="I99" i="19"/>
  <c r="I38" i="19"/>
  <c r="I39" i="19"/>
  <c r="I8" i="19"/>
  <c r="I9" i="19"/>
  <c r="I263" i="19"/>
  <c r="I264" i="19"/>
  <c r="I203" i="19"/>
  <c r="I204" i="19"/>
  <c r="I143" i="19"/>
  <c r="I144" i="19"/>
  <c r="I83" i="19"/>
  <c r="I84" i="19"/>
  <c r="I23" i="19"/>
  <c r="I24" i="19"/>
  <c r="I293" i="19"/>
  <c r="I294" i="19"/>
  <c r="I68" i="19"/>
  <c r="I69" i="19"/>
  <c r="I128" i="19"/>
  <c r="I129" i="19"/>
  <c r="I188" i="19"/>
  <c r="I189" i="19"/>
  <c r="I248" i="19"/>
  <c r="I249" i="19"/>
  <c r="L6" i="23"/>
  <c r="L6" i="12"/>
  <c r="L180" i="23"/>
  <c r="L161" i="23"/>
  <c r="L85" i="23"/>
  <c r="L68" i="23"/>
  <c r="L143" i="23"/>
  <c r="L66" i="23"/>
  <c r="L46" i="23"/>
  <c r="L309" i="12"/>
  <c r="L280" i="12"/>
  <c r="L253" i="12"/>
  <c r="L248" i="12"/>
  <c r="L233" i="12"/>
  <c r="L228" i="12"/>
  <c r="L209" i="12"/>
  <c r="L204" i="12"/>
  <c r="L184" i="12"/>
  <c r="L26" i="23"/>
  <c r="L298" i="12"/>
  <c r="L285" i="12"/>
  <c r="L267" i="12"/>
  <c r="L149" i="12"/>
  <c r="L127" i="12"/>
  <c r="L111" i="12"/>
  <c r="L126" i="23"/>
  <c r="L303" i="12"/>
  <c r="L262" i="12"/>
  <c r="L243" i="12"/>
  <c r="L220" i="12"/>
  <c r="L195" i="12"/>
  <c r="L176" i="12"/>
  <c r="L171" i="12"/>
  <c r="L179" i="23"/>
  <c r="L162" i="23"/>
  <c r="L108" i="23"/>
  <c r="L279" i="12"/>
  <c r="L274" i="12"/>
  <c r="L125" i="23"/>
  <c r="L90" i="23"/>
  <c r="L297" i="12"/>
  <c r="L292" i="12"/>
  <c r="L107" i="23"/>
  <c r="L15" i="12"/>
  <c r="L310" i="12"/>
  <c r="L258" i="12"/>
  <c r="L241" i="12"/>
  <c r="L236" i="12"/>
  <c r="L217" i="12"/>
  <c r="L212" i="12"/>
  <c r="L192" i="12"/>
  <c r="L187" i="12"/>
  <c r="L167" i="12"/>
  <c r="L135" i="12"/>
  <c r="L94" i="12"/>
  <c r="L144" i="23"/>
  <c r="L49" i="23"/>
  <c r="L29" i="23"/>
  <c r="L9" i="23"/>
  <c r="L304" i="12"/>
  <c r="L154" i="12"/>
  <c r="L86" i="12"/>
  <c r="L48" i="12"/>
  <c r="L40" i="12"/>
  <c r="L18" i="12"/>
  <c r="L162" i="12"/>
  <c r="L140" i="12"/>
  <c r="L107" i="12"/>
  <c r="L99" i="12"/>
  <c r="L62" i="12"/>
  <c r="L57" i="12"/>
  <c r="L31" i="12"/>
  <c r="L23" i="12"/>
  <c r="L291" i="12"/>
  <c r="L268" i="12"/>
  <c r="L132" i="12"/>
  <c r="L91" i="12"/>
  <c r="L84" i="12"/>
  <c r="L10" i="12"/>
  <c r="L273" i="12"/>
  <c r="L179" i="12"/>
  <c r="L159" i="12"/>
  <c r="L119" i="12"/>
  <c r="L79" i="12"/>
  <c r="L56" i="12"/>
  <c r="L124" i="12"/>
  <c r="L73" i="12"/>
  <c r="L200" i="12"/>
  <c r="L116" i="12"/>
  <c r="L78" i="12"/>
  <c r="L51" i="12"/>
  <c r="L43" i="12"/>
  <c r="L286" i="12"/>
  <c r="L102" i="12"/>
  <c r="L225" i="12"/>
  <c r="L70" i="12"/>
  <c r="L35" i="12"/>
  <c r="L26" i="12"/>
  <c r="L144" i="12"/>
  <c r="L65" i="12"/>
  <c r="J293" i="19"/>
  <c r="J294" i="19"/>
  <c r="J278" i="19"/>
  <c r="J279" i="19"/>
  <c r="J218" i="19"/>
  <c r="J219" i="19"/>
  <c r="J158" i="19"/>
  <c r="J159" i="19"/>
  <c r="J98" i="19"/>
  <c r="J99" i="19"/>
  <c r="J38" i="19"/>
  <c r="J39" i="19"/>
  <c r="J263" i="19"/>
  <c r="J264" i="19"/>
  <c r="J203" i="19"/>
  <c r="J204" i="19"/>
  <c r="J143" i="19"/>
  <c r="J144" i="19"/>
  <c r="J83" i="19"/>
  <c r="J84" i="19"/>
  <c r="J23" i="19"/>
  <c r="J24" i="19"/>
  <c r="J248" i="19"/>
  <c r="J249" i="19"/>
  <c r="J188" i="19"/>
  <c r="J189" i="19"/>
  <c r="J128" i="19"/>
  <c r="J129" i="19"/>
  <c r="J68" i="19"/>
  <c r="J69" i="19"/>
  <c r="J8" i="19"/>
  <c r="J9" i="19"/>
  <c r="J233" i="19"/>
  <c r="J234" i="19"/>
  <c r="J53" i="19"/>
  <c r="J54" i="19"/>
  <c r="J113" i="19"/>
  <c r="J114" i="19"/>
  <c r="J173" i="19"/>
  <c r="J174" i="19"/>
  <c r="K21" i="15"/>
  <c r="T46" i="23"/>
  <c r="T50" i="23"/>
  <c r="S50" i="23"/>
  <c r="B70" i="3"/>
  <c r="D16" i="24"/>
  <c r="K53" i="15"/>
  <c r="B71" i="3"/>
  <c r="D17" i="24"/>
  <c r="K54" i="15"/>
  <c r="T66" i="23"/>
  <c r="T69" i="23"/>
  <c r="S69" i="23"/>
  <c r="S89" i="23"/>
  <c r="T89" i="23"/>
  <c r="I61" i="15"/>
  <c r="P91" i="23"/>
  <c r="G55" i="15"/>
  <c r="B72" i="3"/>
  <c r="D18" i="24"/>
  <c r="T85" i="23"/>
  <c r="J52" i="15"/>
  <c r="C69" i="3"/>
  <c r="H61" i="15"/>
  <c r="B69" i="3"/>
  <c r="S30" i="23"/>
  <c r="T26" i="23"/>
  <c r="T30" i="23"/>
  <c r="T258" i="12"/>
  <c r="T263" i="12"/>
  <c r="S263" i="12"/>
  <c r="P254" i="12"/>
  <c r="G33" i="15"/>
  <c r="R254" i="12"/>
  <c r="I33" i="15"/>
  <c r="J33" i="15"/>
  <c r="S252" i="12"/>
  <c r="T252" i="12"/>
  <c r="E47" i="17"/>
  <c r="H40" i="17"/>
  <c r="I40" i="17"/>
  <c r="G35" i="17"/>
  <c r="F35" i="17"/>
  <c r="T248" i="12"/>
  <c r="S251" i="12"/>
  <c r="T251" i="12"/>
  <c r="T241" i="12"/>
  <c r="T244" i="12"/>
  <c r="S244" i="12"/>
  <c r="K22" i="15"/>
  <c r="S237" i="12"/>
  <c r="T233" i="12"/>
  <c r="T237" i="12"/>
  <c r="C68" i="3"/>
  <c r="B68" i="3"/>
  <c r="K51" i="15"/>
  <c r="T8" i="23"/>
  <c r="T10" i="23"/>
  <c r="S10" i="23"/>
  <c r="K30" i="15"/>
  <c r="T159" i="12"/>
  <c r="T163" i="12"/>
  <c r="S163" i="12"/>
  <c r="K27" i="15"/>
  <c r="S229" i="12"/>
  <c r="T225" i="12"/>
  <c r="T229" i="12"/>
  <c r="T217" i="12"/>
  <c r="T221" i="12"/>
  <c r="S221" i="12"/>
  <c r="T209" i="12"/>
  <c r="T213" i="12"/>
  <c r="S213" i="12"/>
  <c r="S205" i="12"/>
  <c r="T200" i="12"/>
  <c r="T205" i="12"/>
  <c r="K26" i="15"/>
  <c r="T192" i="12"/>
  <c r="T196" i="12"/>
  <c r="S196" i="12"/>
  <c r="S188" i="12"/>
  <c r="T184" i="12"/>
  <c r="T188" i="12"/>
  <c r="K24" i="15"/>
  <c r="T176" i="12"/>
  <c r="T180" i="12"/>
  <c r="S180" i="12"/>
  <c r="K23" i="15"/>
  <c r="S172" i="12"/>
  <c r="T167" i="12"/>
  <c r="T172" i="12"/>
  <c r="S155" i="12"/>
  <c r="T149" i="12"/>
  <c r="T155" i="12"/>
  <c r="S145" i="12"/>
  <c r="T140" i="12"/>
  <c r="T145" i="12"/>
  <c r="T132" i="12"/>
  <c r="T136" i="12"/>
  <c r="S136" i="12"/>
  <c r="K17" i="15"/>
  <c r="T124" i="12"/>
  <c r="T128" i="12"/>
  <c r="S128" i="12"/>
  <c r="F43" i="15"/>
  <c r="F46" i="15"/>
  <c r="T116" i="12"/>
  <c r="T120" i="12"/>
  <c r="S120" i="12"/>
  <c r="E43" i="15"/>
  <c r="E46" i="15"/>
  <c r="C24" i="5"/>
  <c r="S110" i="12"/>
  <c r="T110" i="12"/>
  <c r="G18" i="17"/>
  <c r="F18" i="17"/>
  <c r="P112" i="12"/>
  <c r="G16" i="15"/>
  <c r="T107" i="12"/>
  <c r="J16" i="15"/>
  <c r="H43" i="15"/>
  <c r="H46" i="15"/>
  <c r="S95" i="12"/>
  <c r="T91" i="12"/>
  <c r="T95" i="12"/>
  <c r="S103" i="12"/>
  <c r="T99" i="12"/>
  <c r="T103" i="12"/>
  <c r="S87" i="12"/>
  <c r="T84" i="12"/>
  <c r="T87" i="12"/>
  <c r="T70" i="12"/>
  <c r="T74" i="12"/>
  <c r="S74" i="12"/>
  <c r="S66" i="12"/>
  <c r="T62" i="12"/>
  <c r="T66" i="12"/>
  <c r="T48" i="12"/>
  <c r="T52" i="12"/>
  <c r="S52" i="12"/>
  <c r="K6" i="15"/>
  <c r="T40" i="12"/>
  <c r="T44" i="12"/>
  <c r="S44" i="12"/>
  <c r="T31" i="12"/>
  <c r="T36" i="12"/>
  <c r="S36" i="12"/>
  <c r="T23" i="12"/>
  <c r="T27" i="12"/>
  <c r="S27" i="12"/>
  <c r="T15" i="12"/>
  <c r="T19" i="12"/>
  <c r="S19" i="12"/>
  <c r="K3" i="15"/>
  <c r="S11" i="12"/>
  <c r="T6" i="12"/>
  <c r="T11" i="12"/>
  <c r="S91" i="23"/>
  <c r="T91" i="23"/>
  <c r="G61" i="15"/>
  <c r="K55" i="15"/>
  <c r="J61" i="15"/>
  <c r="K52" i="15"/>
  <c r="H35" i="17"/>
  <c r="I35" i="17"/>
  <c r="H11" i="17"/>
  <c r="I11" i="17"/>
  <c r="H5" i="17"/>
  <c r="I5" i="17"/>
  <c r="H18" i="17"/>
  <c r="I18" i="17"/>
  <c r="H20" i="17"/>
  <c r="I20" i="17"/>
  <c r="H12" i="17"/>
  <c r="I12" i="17"/>
  <c r="H19" i="17"/>
  <c r="I19" i="17"/>
  <c r="H30" i="17"/>
  <c r="I30" i="17"/>
  <c r="H33" i="17"/>
  <c r="I33" i="17"/>
  <c r="H29" i="17"/>
  <c r="I29" i="17"/>
  <c r="H17" i="17"/>
  <c r="I17" i="17"/>
  <c r="H10" i="17"/>
  <c r="I10" i="17"/>
  <c r="K33" i="15"/>
  <c r="J43" i="15"/>
  <c r="J46" i="15"/>
  <c r="I4" i="8"/>
  <c r="J4" i="8"/>
  <c r="K4" i="8"/>
  <c r="L4" i="8"/>
  <c r="T254" i="12"/>
  <c r="I43" i="15"/>
  <c r="I46" i="15"/>
  <c r="H44" i="17"/>
  <c r="I44" i="17"/>
  <c r="H7" i="17"/>
  <c r="I7" i="17"/>
  <c r="H24" i="17"/>
  <c r="I24" i="17"/>
  <c r="H39" i="17"/>
  <c r="I39" i="17"/>
  <c r="H25" i="17"/>
  <c r="I25" i="17"/>
  <c r="H14" i="17"/>
  <c r="I14" i="17"/>
  <c r="H27" i="17"/>
  <c r="I27" i="17"/>
  <c r="H16" i="17"/>
  <c r="I16" i="17"/>
  <c r="H13" i="17"/>
  <c r="I13" i="17"/>
  <c r="H26" i="17"/>
  <c r="I26" i="17"/>
  <c r="H28" i="17"/>
  <c r="I28" i="17"/>
  <c r="H21" i="17"/>
  <c r="I21" i="17"/>
  <c r="H46" i="17"/>
  <c r="I46" i="17"/>
  <c r="H37" i="17"/>
  <c r="I37" i="17"/>
  <c r="H36" i="17"/>
  <c r="I36" i="17"/>
  <c r="H34" i="17"/>
  <c r="I34" i="17"/>
  <c r="H23" i="17"/>
  <c r="I23" i="17"/>
  <c r="H43" i="17"/>
  <c r="I43" i="17"/>
  <c r="H41" i="17"/>
  <c r="I41" i="17"/>
  <c r="H6" i="17"/>
  <c r="I6" i="17"/>
  <c r="H32" i="17"/>
  <c r="I32" i="17"/>
  <c r="H8" i="17"/>
  <c r="I8" i="17"/>
  <c r="H31" i="17"/>
  <c r="I31" i="17"/>
  <c r="H38" i="17"/>
  <c r="I38" i="17"/>
  <c r="H15" i="17"/>
  <c r="I15" i="17"/>
  <c r="H22" i="17"/>
  <c r="I22" i="17"/>
  <c r="H9" i="17"/>
  <c r="I9" i="17"/>
  <c r="H42" i="17"/>
  <c r="I42" i="17"/>
  <c r="H45" i="17"/>
  <c r="I45" i="17"/>
  <c r="F47" i="17"/>
  <c r="S254" i="12"/>
  <c r="D15" i="24"/>
  <c r="F18" i="24"/>
  <c r="F17" i="24"/>
  <c r="G17" i="24"/>
  <c r="G16" i="24"/>
  <c r="G18" i="24"/>
  <c r="F16" i="24"/>
  <c r="T112" i="12"/>
  <c r="K16" i="15"/>
  <c r="D24" i="5"/>
  <c r="B24" i="5"/>
  <c r="E40" i="18"/>
  <c r="S112" i="12"/>
  <c r="G43" i="15"/>
  <c r="G46" i="15"/>
  <c r="K43" i="15"/>
  <c r="L15" i="15"/>
  <c r="K61" i="15"/>
  <c r="F14" i="24"/>
  <c r="I47" i="17"/>
  <c r="J47" i="17"/>
  <c r="G15" i="24"/>
  <c r="F15" i="24"/>
  <c r="D17" i="16"/>
  <c r="E41" i="18"/>
  <c r="E42" i="18"/>
  <c r="D14" i="24"/>
  <c r="I3" i="8"/>
  <c r="L11" i="15"/>
  <c r="L20" i="15"/>
  <c r="M11" i="15"/>
  <c r="N11" i="15"/>
  <c r="O11" i="15"/>
  <c r="L16" i="15"/>
  <c r="M42" i="15"/>
  <c r="L38" i="15"/>
  <c r="L28" i="15"/>
  <c r="M12" i="15"/>
  <c r="L37" i="15"/>
  <c r="L40" i="15"/>
  <c r="L39" i="15"/>
  <c r="L29" i="15"/>
  <c r="L32" i="15"/>
  <c r="L31" i="15"/>
  <c r="M3" i="15"/>
  <c r="L3" i="15"/>
  <c r="N3" i="15"/>
  <c r="M19" i="15"/>
  <c r="L19" i="15"/>
  <c r="N19" i="15"/>
  <c r="O19" i="15"/>
  <c r="M8" i="15"/>
  <c r="M14" i="15"/>
  <c r="M7" i="15"/>
  <c r="M29" i="15"/>
  <c r="M17" i="15"/>
  <c r="M16" i="15"/>
  <c r="L21" i="15"/>
  <c r="L30" i="15"/>
  <c r="M38" i="15"/>
  <c r="L9" i="15"/>
  <c r="M9" i="15"/>
  <c r="M21" i="15"/>
  <c r="N21" i="15"/>
  <c r="O21" i="15"/>
  <c r="M32" i="15"/>
  <c r="L18" i="15"/>
  <c r="M20" i="15"/>
  <c r="N20" i="15"/>
  <c r="O20" i="15"/>
  <c r="L10" i="15"/>
  <c r="L41" i="15"/>
  <c r="M36" i="15"/>
  <c r="L27" i="15"/>
  <c r="M39" i="15"/>
  <c r="N39" i="15"/>
  <c r="L17" i="15"/>
  <c r="M37" i="15"/>
  <c r="N37" i="15"/>
  <c r="L36" i="15"/>
  <c r="N36" i="15"/>
  <c r="M13" i="15"/>
  <c r="L25" i="15"/>
  <c r="M18" i="15"/>
  <c r="M4" i="15"/>
  <c r="L13" i="15"/>
  <c r="M25" i="15"/>
  <c r="L14" i="15"/>
  <c r="L35" i="15"/>
  <c r="M22" i="15"/>
  <c r="M33" i="15"/>
  <c r="L12" i="15"/>
  <c r="M27" i="15"/>
  <c r="N27" i="15"/>
  <c r="O27" i="15"/>
  <c r="M41" i="15"/>
  <c r="N41" i="15"/>
  <c r="L23" i="15"/>
  <c r="M23" i="15"/>
  <c r="M30" i="15"/>
  <c r="N30" i="15"/>
  <c r="O30" i="15"/>
  <c r="M10" i="15"/>
  <c r="L6" i="15"/>
  <c r="M35" i="15"/>
  <c r="L34" i="15"/>
  <c r="M15" i="15"/>
  <c r="N15" i="15"/>
  <c r="O15" i="15"/>
  <c r="L26" i="15"/>
  <c r="M6" i="15"/>
  <c r="M5" i="15"/>
  <c r="L22" i="15"/>
  <c r="L7" i="15"/>
  <c r="M40" i="15"/>
  <c r="N40" i="15"/>
  <c r="M31" i="15"/>
  <c r="N31" i="15"/>
  <c r="O31" i="15"/>
  <c r="L24" i="15"/>
  <c r="M34" i="15"/>
  <c r="K46" i="15"/>
  <c r="M26" i="15"/>
  <c r="L5" i="15"/>
  <c r="L42" i="15"/>
  <c r="L4" i="15"/>
  <c r="L8" i="15"/>
  <c r="N8" i="15"/>
  <c r="O8" i="15"/>
  <c r="L33" i="15"/>
  <c r="M28" i="15"/>
  <c r="N28" i="15"/>
  <c r="O28" i="15"/>
  <c r="M24" i="15"/>
  <c r="N16" i="15"/>
  <c r="O16" i="15"/>
  <c r="N29" i="15"/>
  <c r="O29" i="15"/>
  <c r="N13" i="15"/>
  <c r="O13" i="15"/>
  <c r="N38" i="15"/>
  <c r="N14" i="15"/>
  <c r="O14" i="15"/>
  <c r="N32" i="15"/>
  <c r="O32" i="15"/>
  <c r="N17" i="15"/>
  <c r="O17" i="15"/>
  <c r="N18" i="15"/>
  <c r="O18" i="15"/>
  <c r="N9" i="15"/>
  <c r="O9" i="15"/>
  <c r="N42" i="15"/>
  <c r="J3" i="8"/>
  <c r="N7" i="15"/>
  <c r="O7" i="15"/>
  <c r="N6" i="15"/>
  <c r="O6" i="15"/>
  <c r="N25" i="15"/>
  <c r="O25" i="15"/>
  <c r="N33" i="15"/>
  <c r="O33" i="15"/>
  <c r="N12" i="15"/>
  <c r="O12" i="15"/>
  <c r="N24" i="15"/>
  <c r="O24" i="15"/>
  <c r="N4" i="15"/>
  <c r="O4" i="15"/>
  <c r="N10" i="15"/>
  <c r="O10" i="15"/>
  <c r="N23" i="15"/>
  <c r="O23" i="15"/>
  <c r="N5" i="15"/>
  <c r="O5" i="15"/>
  <c r="N22" i="15"/>
  <c r="O22" i="15"/>
  <c r="N34" i="15"/>
  <c r="O34" i="15"/>
  <c r="N26" i="15"/>
  <c r="O26" i="15"/>
  <c r="N35" i="15"/>
  <c r="O35" i="15"/>
  <c r="L43" i="15"/>
  <c r="L46" i="15"/>
  <c r="M43" i="15"/>
  <c r="M46" i="15"/>
  <c r="O3" i="15"/>
  <c r="K3" i="8"/>
  <c r="F17" i="16"/>
  <c r="N43" i="15"/>
  <c r="N46" i="15"/>
  <c r="H17" i="16"/>
  <c r="M47" i="15"/>
  <c r="I6" i="8"/>
  <c r="H14" i="24"/>
  <c r="G14" i="24"/>
  <c r="I5" i="8"/>
  <c r="L3" i="8"/>
  <c r="K17" i="16"/>
  <c r="K19" i="16"/>
  <c r="S76" i="23"/>
  <c r="S80" i="23"/>
  <c r="M54" i="15"/>
  <c r="S57" i="23"/>
  <c r="S61" i="23"/>
  <c r="S98" i="23"/>
  <c r="S102" i="23"/>
  <c r="S17" i="23"/>
  <c r="S21" i="23"/>
  <c r="T22" i="23"/>
  <c r="S37" i="23"/>
  <c r="S41" i="23"/>
  <c r="J6" i="8"/>
  <c r="K6" i="8"/>
  <c r="M14" i="24"/>
  <c r="Q14" i="24"/>
  <c r="R14" i="24"/>
  <c r="J5" i="8"/>
  <c r="I8" i="8"/>
  <c r="T81" i="23"/>
  <c r="M55" i="15"/>
  <c r="T103" i="23"/>
  <c r="M53" i="15"/>
  <c r="T62" i="23"/>
  <c r="E71" i="3"/>
  <c r="H17" i="24"/>
  <c r="M17" i="24"/>
  <c r="N54" i="15"/>
  <c r="M52" i="15"/>
  <c r="T42" i="23"/>
  <c r="M51" i="15"/>
  <c r="N51" i="15"/>
  <c r="L6" i="8"/>
  <c r="K5" i="8"/>
  <c r="J8" i="8"/>
  <c r="E70" i="3"/>
  <c r="H16" i="24"/>
  <c r="M16" i="24"/>
  <c r="N53" i="15"/>
  <c r="O53" i="15"/>
  <c r="E72" i="3"/>
  <c r="H18" i="24"/>
  <c r="M18" i="24"/>
  <c r="N55" i="15"/>
  <c r="O55" i="15"/>
  <c r="E69" i="3"/>
  <c r="N52" i="15"/>
  <c r="O52" i="15"/>
  <c r="M61" i="15"/>
  <c r="E68" i="3"/>
  <c r="O51" i="15"/>
  <c r="K8" i="8"/>
  <c r="L5" i="8"/>
  <c r="L8" i="8"/>
  <c r="H15" i="24"/>
  <c r="M15" i="24"/>
  <c r="N61" i="15"/>
</calcChain>
</file>

<file path=xl/comments1.xml><?xml version="1.0" encoding="utf-8"?>
<comments xmlns="http://schemas.openxmlformats.org/spreadsheetml/2006/main">
  <authors>
    <author>Patrick Kichler</author>
  </authors>
  <commentList>
    <comment ref="H18" authorId="0">
      <text>
        <r>
          <rPr>
            <b/>
            <sz val="9"/>
            <color indexed="81"/>
            <rFont val="Tahoma"/>
            <family val="2"/>
          </rPr>
          <t>Patrick Kichler:</t>
        </r>
        <r>
          <rPr>
            <sz val="9"/>
            <color indexed="81"/>
            <rFont val="Tahoma"/>
            <family val="2"/>
          </rPr>
          <t xml:space="preserve">
S-Support Item
SC-Sub-Contractor</t>
        </r>
      </text>
    </comment>
    <comment ref="H38" authorId="0">
      <text>
        <r>
          <rPr>
            <b/>
            <sz val="9"/>
            <color indexed="81"/>
            <rFont val="Tahoma"/>
            <family val="2"/>
          </rPr>
          <t>Patrick Kichler:</t>
        </r>
        <r>
          <rPr>
            <sz val="9"/>
            <color indexed="81"/>
            <rFont val="Tahoma"/>
            <family val="2"/>
          </rPr>
          <t xml:space="preserve">
S-Support Item
SC-Sub-Contractor</t>
        </r>
      </text>
    </comment>
    <comment ref="H58" authorId="0">
      <text>
        <r>
          <rPr>
            <b/>
            <sz val="9"/>
            <color indexed="81"/>
            <rFont val="Tahoma"/>
            <family val="2"/>
          </rPr>
          <t>Patrick Kichler:</t>
        </r>
        <r>
          <rPr>
            <sz val="9"/>
            <color indexed="81"/>
            <rFont val="Tahoma"/>
            <family val="2"/>
          </rPr>
          <t xml:space="preserve">
S-Support Item
SC-Sub-Contractor</t>
        </r>
      </text>
    </comment>
    <comment ref="H77" authorId="0">
      <text>
        <r>
          <rPr>
            <b/>
            <sz val="9"/>
            <color indexed="81"/>
            <rFont val="Tahoma"/>
            <family val="2"/>
          </rPr>
          <t>Patrick Kichler:</t>
        </r>
        <r>
          <rPr>
            <sz val="9"/>
            <color indexed="81"/>
            <rFont val="Tahoma"/>
            <family val="2"/>
          </rPr>
          <t xml:space="preserve">
S-Support Item
SC-Sub-Contractor</t>
        </r>
      </text>
    </comment>
    <comment ref="H99" authorId="0">
      <text>
        <r>
          <rPr>
            <b/>
            <sz val="9"/>
            <color indexed="81"/>
            <rFont val="Tahoma"/>
            <family val="2"/>
          </rPr>
          <t>Patrick Kichler:</t>
        </r>
        <r>
          <rPr>
            <sz val="9"/>
            <color indexed="81"/>
            <rFont val="Tahoma"/>
            <family val="2"/>
          </rPr>
          <t xml:space="preserve">
S-Support Item
SC-Sub-Contractor</t>
        </r>
      </text>
    </comment>
    <comment ref="H117" authorId="0">
      <text>
        <r>
          <rPr>
            <b/>
            <sz val="9"/>
            <color indexed="81"/>
            <rFont val="Tahoma"/>
            <family val="2"/>
          </rPr>
          <t>Patrick Kichler:</t>
        </r>
        <r>
          <rPr>
            <sz val="9"/>
            <color indexed="81"/>
            <rFont val="Tahoma"/>
            <family val="2"/>
          </rPr>
          <t xml:space="preserve">
S-Support Item
SC-Sub-Contractor</t>
        </r>
      </text>
    </comment>
    <comment ref="H135" authorId="0">
      <text>
        <r>
          <rPr>
            <b/>
            <sz val="9"/>
            <color indexed="81"/>
            <rFont val="Tahoma"/>
            <family val="2"/>
          </rPr>
          <t>Patrick Kichler:</t>
        </r>
        <r>
          <rPr>
            <sz val="9"/>
            <color indexed="81"/>
            <rFont val="Tahoma"/>
            <family val="2"/>
          </rPr>
          <t xml:space="preserve">
S-Support Item
SC-Sub-Contractor</t>
        </r>
      </text>
    </comment>
    <comment ref="H153" authorId="0">
      <text>
        <r>
          <rPr>
            <b/>
            <sz val="9"/>
            <color indexed="81"/>
            <rFont val="Tahoma"/>
            <family val="2"/>
          </rPr>
          <t>Patrick Kichler:</t>
        </r>
        <r>
          <rPr>
            <sz val="9"/>
            <color indexed="81"/>
            <rFont val="Tahoma"/>
            <family val="2"/>
          </rPr>
          <t xml:space="preserve">
S-Support Item
SC-Sub-Contractor</t>
        </r>
      </text>
    </comment>
    <comment ref="H171" authorId="0">
      <text>
        <r>
          <rPr>
            <b/>
            <sz val="9"/>
            <color indexed="81"/>
            <rFont val="Tahoma"/>
            <family val="2"/>
          </rPr>
          <t>Patrick Kichler:</t>
        </r>
        <r>
          <rPr>
            <sz val="9"/>
            <color indexed="81"/>
            <rFont val="Tahoma"/>
            <family val="2"/>
          </rPr>
          <t xml:space="preserve">
S-Support Item
SC-Sub-Contractor</t>
        </r>
      </text>
    </comment>
    <comment ref="H189" authorId="0">
      <text>
        <r>
          <rPr>
            <b/>
            <sz val="9"/>
            <color indexed="81"/>
            <rFont val="Tahoma"/>
            <family val="2"/>
          </rPr>
          <t>Patrick Kichler:</t>
        </r>
        <r>
          <rPr>
            <sz val="9"/>
            <color indexed="81"/>
            <rFont val="Tahoma"/>
            <family val="2"/>
          </rPr>
          <t xml:space="preserve">
S-Support Item
SC-Sub-Contractor</t>
        </r>
      </text>
    </comment>
  </commentList>
</comments>
</file>

<file path=xl/sharedStrings.xml><?xml version="1.0" encoding="utf-8"?>
<sst xmlns="http://schemas.openxmlformats.org/spreadsheetml/2006/main" count="4772" uniqueCount="1141">
  <si>
    <t>Logic</t>
  </si>
  <si>
    <t>Yes</t>
  </si>
  <si>
    <t>No</t>
  </si>
  <si>
    <t>Job Set Up</t>
  </si>
  <si>
    <t>Mobilization</t>
  </si>
  <si>
    <t>Close-Out</t>
  </si>
  <si>
    <t>De-Mobilization</t>
  </si>
  <si>
    <t>QTY Hrs</t>
  </si>
  <si>
    <t>Amount</t>
  </si>
  <si>
    <t>Total Job Set-Up</t>
  </si>
  <si>
    <t>Other</t>
  </si>
  <si>
    <t>Job Site Logistics</t>
  </si>
  <si>
    <t>Office Set-Up</t>
  </si>
  <si>
    <t>Site Office Facility</t>
  </si>
  <si>
    <t>Data / Phone</t>
  </si>
  <si>
    <t>Storage</t>
  </si>
  <si>
    <t>Job Setup</t>
  </si>
  <si>
    <t>Submittals</t>
  </si>
  <si>
    <t>Rate</t>
  </si>
  <si>
    <t>Duration</t>
  </si>
  <si>
    <t>Y/N</t>
  </si>
  <si>
    <t>Total Job Site Logistics</t>
  </si>
  <si>
    <t>Management</t>
  </si>
  <si>
    <t>Project Manager</t>
  </si>
  <si>
    <t>Project Engineer</t>
  </si>
  <si>
    <t>QA/QC Manager</t>
  </si>
  <si>
    <t>Safety Manager</t>
  </si>
  <si>
    <t>% Dedicated</t>
  </si>
  <si>
    <t>Admin Set Up Sheet</t>
  </si>
  <si>
    <t>Monthly Salary</t>
  </si>
  <si>
    <t>PTI</t>
  </si>
  <si>
    <t>Total Cost</t>
  </si>
  <si>
    <t>Site Coordinator</t>
  </si>
  <si>
    <t>Estimate Set-Up</t>
  </si>
  <si>
    <t>Project Information</t>
  </si>
  <si>
    <t>*Job Name</t>
  </si>
  <si>
    <t>Documents Date</t>
  </si>
  <si>
    <t>Client Information</t>
  </si>
  <si>
    <t>Phone</t>
  </si>
  <si>
    <t>Fax</t>
  </si>
  <si>
    <t>E-Mail</t>
  </si>
  <si>
    <t>Company Name</t>
  </si>
  <si>
    <t>Contact</t>
  </si>
  <si>
    <t>Address</t>
  </si>
  <si>
    <t>City/State</t>
  </si>
  <si>
    <t>Zip Code</t>
  </si>
  <si>
    <t>Web Document Info</t>
  </si>
  <si>
    <t>URL</t>
  </si>
  <si>
    <t>Username</t>
  </si>
  <si>
    <t>Password</t>
  </si>
  <si>
    <t>Estimator Information</t>
  </si>
  <si>
    <t>*Name</t>
  </si>
  <si>
    <t>*Title</t>
  </si>
  <si>
    <t>*E-Mail</t>
  </si>
  <si>
    <t>*Phone</t>
  </si>
  <si>
    <t>Bid Date</t>
  </si>
  <si>
    <t>Bid Time</t>
  </si>
  <si>
    <t>Addenda</t>
  </si>
  <si>
    <t>Owner / Site Information</t>
  </si>
  <si>
    <t>Misc Costs</t>
  </si>
  <si>
    <t>Sales Tax</t>
  </si>
  <si>
    <t>Payment &amp; Performance Bond</t>
  </si>
  <si>
    <t>%</t>
  </si>
  <si>
    <t>$/Hr</t>
  </si>
  <si>
    <t>OCIP/CCIP Credit</t>
  </si>
  <si>
    <t>Travel Costs</t>
  </si>
  <si>
    <t>R/T Airfare</t>
  </si>
  <si>
    <t>Subsistence</t>
  </si>
  <si>
    <t>EA</t>
  </si>
  <si>
    <t>Company</t>
  </si>
  <si>
    <t>City/State/Zip</t>
  </si>
  <si>
    <t>Status</t>
  </si>
  <si>
    <t>Awarded</t>
  </si>
  <si>
    <t>Apparent Low 1</t>
  </si>
  <si>
    <t>Apparent Low 2</t>
  </si>
  <si>
    <t>Apparent Low 3</t>
  </si>
  <si>
    <t>Contract</t>
  </si>
  <si>
    <t>Pending</t>
  </si>
  <si>
    <t xml:space="preserve">Fuel </t>
  </si>
  <si>
    <t>Per/Gal</t>
  </si>
  <si>
    <t>Duration (Months)</t>
  </si>
  <si>
    <t>% Traveling Crew</t>
  </si>
  <si>
    <t>Safety</t>
  </si>
  <si>
    <t>Safety Supplies</t>
  </si>
  <si>
    <t>Orientation</t>
  </si>
  <si>
    <t>QTY</t>
  </si>
  <si>
    <t>$/Man</t>
  </si>
  <si>
    <t>Hr/Man</t>
  </si>
  <si>
    <t>Orientation/Badging</t>
  </si>
  <si>
    <t>Screening</t>
  </si>
  <si>
    <t>Total Safety</t>
  </si>
  <si>
    <t>Crew Builder</t>
  </si>
  <si>
    <t>QTY Crew</t>
  </si>
  <si>
    <t>% Dedication</t>
  </si>
  <si>
    <t>Hourly Rate</t>
  </si>
  <si>
    <t>Crew #1</t>
  </si>
  <si>
    <t>Superintendent</t>
  </si>
  <si>
    <t>Foreman</t>
  </si>
  <si>
    <t>Painter 1</t>
  </si>
  <si>
    <t>Painter 2</t>
  </si>
  <si>
    <t>Painter 3</t>
  </si>
  <si>
    <t>Totals</t>
  </si>
  <si>
    <t>Crew #2</t>
  </si>
  <si>
    <t>Labor Rate Calculation</t>
  </si>
  <si>
    <t>Regular Time</t>
  </si>
  <si>
    <t>RT</t>
  </si>
  <si>
    <t>Labor Level</t>
  </si>
  <si>
    <t>Base Rate</t>
  </si>
  <si>
    <t>Benefits</t>
  </si>
  <si>
    <t>Total Hourly Rate</t>
  </si>
  <si>
    <t>Labor Rates pulled from Crew Builder</t>
  </si>
  <si>
    <t>PTI = Base Rate (or OT Base Rate) X (Labor Burden Total PTI)</t>
  </si>
  <si>
    <t>Benefits pulled from Labor Burden (Total Benefits/Hr)</t>
  </si>
  <si>
    <t>Overtime Base Rate=Base Rate X 1.5</t>
  </si>
  <si>
    <t>Overtime</t>
  </si>
  <si>
    <t>OT</t>
  </si>
  <si>
    <t>OT Base Rate</t>
  </si>
  <si>
    <t>Crew #1 Composite Calculations</t>
  </si>
  <si>
    <t>40 Hr</t>
  </si>
  <si>
    <t>50 Hr</t>
  </si>
  <si>
    <t>60 Hr</t>
  </si>
  <si>
    <t>Pulled from Crew Builder</t>
  </si>
  <si>
    <t>Dedicate</t>
  </si>
  <si>
    <t>Crew</t>
  </si>
  <si>
    <t>Work Week</t>
  </si>
  <si>
    <t>(QTY Crew X RT Rate) X % Dedicate</t>
  </si>
  <si>
    <t>((((RT X 40)+(OT X 10)) X QTY Crew)) X % Dedicate) / 50</t>
  </si>
  <si>
    <t>((((RT X 40)+(OT X 20)) X QTY Crew)) X % Dedicate) / 60</t>
  </si>
  <si>
    <t>Comp Rate = Totals $'s  / Total QTY Crew</t>
  </si>
  <si>
    <t>Crew 1 Composite Rate (Pre-OHP)</t>
  </si>
  <si>
    <t>Crew #2 Composite Calculations</t>
  </si>
  <si>
    <t>Crew 2 Composite Rate (Pre-OHP)</t>
  </si>
  <si>
    <t>Direct Labor Burden Input</t>
  </si>
  <si>
    <t>Effective Date</t>
  </si>
  <si>
    <t>State</t>
  </si>
  <si>
    <t>Local</t>
  </si>
  <si>
    <t>Payroll Taxes and Insurance (PTI)</t>
  </si>
  <si>
    <t>Social Security / Medicare (FICA)</t>
  </si>
  <si>
    <t>State Unemployment (SUTA)</t>
  </si>
  <si>
    <t>Federal Unemployment (FUTA)</t>
  </si>
  <si>
    <t>Worker's Compensation</t>
  </si>
  <si>
    <t>Total PTI</t>
  </si>
  <si>
    <t>$ / Hr</t>
  </si>
  <si>
    <t>Health &amp; Welfare Insurance</t>
  </si>
  <si>
    <t>Pension / Retirement</t>
  </si>
  <si>
    <t>Small Tools</t>
  </si>
  <si>
    <t>Total Benefits / Hour</t>
  </si>
  <si>
    <t>Category</t>
  </si>
  <si>
    <t>Labor</t>
  </si>
  <si>
    <t>Material</t>
  </si>
  <si>
    <t>Equip</t>
  </si>
  <si>
    <t>Support</t>
  </si>
  <si>
    <t>Sub</t>
  </si>
  <si>
    <t>Overhead %</t>
  </si>
  <si>
    <t>Profit %</t>
  </si>
  <si>
    <t>Adjusted Mark-Up</t>
  </si>
  <si>
    <t>Project Support</t>
  </si>
  <si>
    <t>Travel</t>
  </si>
  <si>
    <t>Total Travel</t>
  </si>
  <si>
    <t># of Crew</t>
  </si>
  <si>
    <t>Travel (Y/N)</t>
  </si>
  <si>
    <t>Subsistence (Y/N)</t>
  </si>
  <si>
    <t>Lodging (Y/N)</t>
  </si>
  <si>
    <t>Frequency Per Month</t>
  </si>
  <si>
    <t>Per Man Day</t>
  </si>
  <si>
    <t>Total Manangement</t>
  </si>
  <si>
    <t>Management Lodging</t>
  </si>
  <si>
    <t>Crew Lodging (Double)</t>
  </si>
  <si>
    <t>Other Support Costs</t>
  </si>
  <si>
    <t>Description</t>
  </si>
  <si>
    <t>Cost</t>
  </si>
  <si>
    <t>Total</t>
  </si>
  <si>
    <t>Company Owned Equipment</t>
  </si>
  <si>
    <t>HVLP</t>
  </si>
  <si>
    <t>Trailer</t>
  </si>
  <si>
    <t>*Number of days from start to finish converted to months</t>
  </si>
  <si>
    <t>Out of Town Project (Y/N)</t>
  </si>
  <si>
    <t>Sub-Contractors</t>
  </si>
  <si>
    <t>Description of Work</t>
  </si>
  <si>
    <t>Sub-Contractor</t>
  </si>
  <si>
    <t>Sub-Cost</t>
  </si>
  <si>
    <t>Total Sub-Contractor Costs</t>
  </si>
  <si>
    <t>Equipment Costs</t>
  </si>
  <si>
    <t>Company  Owned Equipment</t>
  </si>
  <si>
    <t>Monthly</t>
  </si>
  <si>
    <t>Notes</t>
  </si>
  <si>
    <t>Sprayer</t>
  </si>
  <si>
    <t>Truck</t>
  </si>
  <si>
    <t>Compressor</t>
  </si>
  <si>
    <t xml:space="preserve"> P-W</t>
  </si>
  <si>
    <t>Monthly Cost</t>
  </si>
  <si>
    <t>Total Company Owned Equipment Costs</t>
  </si>
  <si>
    <t>Rental Equipment</t>
  </si>
  <si>
    <t>Vendor Quote</t>
  </si>
  <si>
    <t>Total Rental Equipment Costs</t>
  </si>
  <si>
    <t>Project Specific Equipment Purchase</t>
  </si>
  <si>
    <t>% Job Cost</t>
  </si>
  <si>
    <t>Purchase Price</t>
  </si>
  <si>
    <t>Click &amp; CTRL-R</t>
  </si>
  <si>
    <t>HGT</t>
  </si>
  <si>
    <t>Area</t>
  </si>
  <si>
    <t>LF-3</t>
  </si>
  <si>
    <t>LF-2</t>
  </si>
  <si>
    <t>Name</t>
  </si>
  <si>
    <t>ID #</t>
  </si>
  <si>
    <t>System Description</t>
  </si>
  <si>
    <t>Unit of Measure</t>
  </si>
  <si>
    <t>SF</t>
  </si>
  <si>
    <t>LF</t>
  </si>
  <si>
    <t>Scope Qty</t>
  </si>
  <si>
    <t>Production Rate</t>
  </si>
  <si>
    <t>Product</t>
  </si>
  <si>
    <t>Material Coverage</t>
  </si>
  <si>
    <t>Material Cost</t>
  </si>
  <si>
    <t>Crew 2 (X)</t>
  </si>
  <si>
    <t>Shift Type</t>
  </si>
  <si>
    <t>Sundry (X)</t>
  </si>
  <si>
    <t>QTY Hours</t>
  </si>
  <si>
    <t>L/R 40's</t>
  </si>
  <si>
    <t>L/R 50's</t>
  </si>
  <si>
    <t>L/R 60's</t>
  </si>
  <si>
    <t>Active Rate</t>
  </si>
  <si>
    <t>QTY Material</t>
  </si>
  <si>
    <t>Labor Cost</t>
  </si>
  <si>
    <t>Sundry</t>
  </si>
  <si>
    <t>Unit Cost</t>
  </si>
  <si>
    <t>Add Line</t>
  </si>
  <si>
    <t>Click &amp; Ctrl-S to Add Step</t>
  </si>
  <si>
    <t>Crew 1 Composite Rate (Incl-OHP)</t>
  </si>
  <si>
    <t>Latex Flat</t>
  </si>
  <si>
    <t>Latex E/S</t>
  </si>
  <si>
    <t>Latex S/G</t>
  </si>
  <si>
    <t>Sundry Cost</t>
  </si>
  <si>
    <t>Total Equipment Purchase Costs</t>
  </si>
  <si>
    <t>Location</t>
  </si>
  <si>
    <t>AZ</t>
  </si>
  <si>
    <t>OR</t>
  </si>
  <si>
    <t>UT</t>
  </si>
  <si>
    <t>Project Location</t>
  </si>
  <si>
    <t>Labor Rates by State</t>
  </si>
  <si>
    <t>Foreman Premium</t>
  </si>
  <si>
    <t>Union Benefits</t>
  </si>
  <si>
    <t>PPC Safety</t>
  </si>
  <si>
    <t>Total Burden</t>
  </si>
  <si>
    <t>Arizona</t>
  </si>
  <si>
    <t>Oregon</t>
  </si>
  <si>
    <t>Utah</t>
  </si>
  <si>
    <t>Payroll Taxes &amp; Insurance</t>
  </si>
  <si>
    <t>Supt. Add to Forman Rate</t>
  </si>
  <si>
    <t>Supervision Premium for all areas</t>
  </si>
  <si>
    <t>Payroll Benefits</t>
  </si>
  <si>
    <t>Item</t>
  </si>
  <si>
    <t>Scope QTY</t>
  </si>
  <si>
    <t>Material QTY</t>
  </si>
  <si>
    <t>Adjusted Total Cost</t>
  </si>
  <si>
    <t>Adjusted Unit Cost</t>
  </si>
  <si>
    <t>U of M</t>
  </si>
  <si>
    <t>Subtotal Material</t>
  </si>
  <si>
    <t>Allocated Equipment</t>
  </si>
  <si>
    <t>Allocated Support</t>
  </si>
  <si>
    <t>Total Equipment Costs</t>
  </si>
  <si>
    <t>Total Project Support Costs</t>
  </si>
  <si>
    <t>Sub Contractors</t>
  </si>
  <si>
    <t>Project Name</t>
  </si>
  <si>
    <t>Related Specs</t>
  </si>
  <si>
    <t>Proposal Break-Down</t>
  </si>
  <si>
    <t>Scope Clarifications</t>
  </si>
  <si>
    <t>*Unless noted otherwise, proposal is valid for 90 days from dated listed above.</t>
  </si>
  <si>
    <t>Please contact me directly with any questions or further clarifications you may need.  Thank you and we</t>
  </si>
  <si>
    <t>Sincerely,</t>
  </si>
  <si>
    <t>www.peningtonpainting.com</t>
  </si>
  <si>
    <t>*Start Date</t>
  </si>
  <si>
    <t>*Finish Date</t>
  </si>
  <si>
    <t>Bid Package</t>
  </si>
  <si>
    <t>*Bid Package</t>
  </si>
  <si>
    <t>*Proposed Scope</t>
  </si>
  <si>
    <t>Addendum</t>
  </si>
  <si>
    <t>Material &amp; Equipment</t>
  </si>
  <si>
    <t>provide you with this comprehensive proposal as referenced above subject to the clarifications listed.</t>
  </si>
  <si>
    <t>Thank you for your interest in Penington Painting Company for your painting &amp; coating needs.  We are pleased to</t>
  </si>
  <si>
    <t>look forward to the opportunity of becoming an integral part of your team.</t>
  </si>
  <si>
    <t>CTRL-T to Add Day</t>
  </si>
  <si>
    <t>System</t>
  </si>
  <si>
    <t>Hours (Budgeted)</t>
  </si>
  <si>
    <t>Hours (Remaining)</t>
  </si>
  <si>
    <t>% Hours Spent</t>
  </si>
  <si>
    <t>Production Tracking</t>
  </si>
  <si>
    <t>% Complete</t>
  </si>
  <si>
    <t>Labor Hrs</t>
  </si>
  <si>
    <t>% Allocation</t>
  </si>
  <si>
    <t>Tracking Budget Allocation</t>
  </si>
  <si>
    <t>Week Ending</t>
  </si>
  <si>
    <t>QTY Scope</t>
  </si>
  <si>
    <t>QTY Material       (All Coats)</t>
  </si>
  <si>
    <t>Total Hours Spent</t>
  </si>
  <si>
    <t>CTRL-T</t>
  </si>
  <si>
    <t>Y / N</t>
  </si>
  <si>
    <t>OCIP Credit</t>
  </si>
  <si>
    <t>Adjusted Total Proposal Cost</t>
  </si>
  <si>
    <t>Cost to include Payment and Performance Bond</t>
  </si>
  <si>
    <t>Change Order Pricing</t>
  </si>
  <si>
    <t>Date</t>
  </si>
  <si>
    <t>Contractor Information</t>
  </si>
  <si>
    <t>Change Order Set Up</t>
  </si>
  <si>
    <t>Contract #</t>
  </si>
  <si>
    <t>Job Name / Pkg</t>
  </si>
  <si>
    <t>Contractor</t>
  </si>
  <si>
    <t>Project Management Information</t>
  </si>
  <si>
    <t>Job #</t>
  </si>
  <si>
    <t>Manager</t>
  </si>
  <si>
    <t>Title</t>
  </si>
  <si>
    <t>*As-Bid Labor Rate</t>
  </si>
  <si>
    <t>Change Order Pricing Data</t>
  </si>
  <si>
    <t>Subsistence / Hr</t>
  </si>
  <si>
    <t>Safety / Hr</t>
  </si>
  <si>
    <t xml:space="preserve">Other </t>
  </si>
  <si>
    <t>Contractual Overhead and Profit</t>
  </si>
  <si>
    <t xml:space="preserve">Material </t>
  </si>
  <si>
    <t>Subs</t>
  </si>
  <si>
    <t>Overhead</t>
  </si>
  <si>
    <t>Profit</t>
  </si>
  <si>
    <t>Adjusted OHP</t>
  </si>
  <si>
    <t>OCIP</t>
  </si>
  <si>
    <t>P&amp;P Bond</t>
  </si>
  <si>
    <t>Post Bid Adjustments</t>
  </si>
  <si>
    <t>Pre-OHP Rate</t>
  </si>
  <si>
    <t>Contractual CO Rate</t>
  </si>
  <si>
    <t>Material Unit Cost</t>
  </si>
  <si>
    <t>Type</t>
  </si>
  <si>
    <t>CO Logic</t>
  </si>
  <si>
    <t>E</t>
  </si>
  <si>
    <t>S</t>
  </si>
  <si>
    <t>SC</t>
  </si>
  <si>
    <t>Click &amp; Ctrl-L to Add Scope Item</t>
  </si>
  <si>
    <t>Cursor</t>
  </si>
  <si>
    <t>Click &amp; Ctrl-M to Add Misc Cost</t>
  </si>
  <si>
    <t>Total Misc Costs</t>
  </si>
  <si>
    <t>OCIP Deduct</t>
  </si>
  <si>
    <t>Total Change Request due upon appropriate approval of the above referenced scope change</t>
  </si>
  <si>
    <t>Change Request</t>
  </si>
  <si>
    <t>Please provide the appropriate change documentation and/or direction if you wish to proceed:</t>
  </si>
  <si>
    <t>Attention:</t>
  </si>
  <si>
    <t>Contract #:</t>
  </si>
  <si>
    <t>PPC Job #</t>
  </si>
  <si>
    <t>Job Name</t>
  </si>
  <si>
    <t>Approved</t>
  </si>
  <si>
    <t>Hours</t>
  </si>
  <si>
    <t>Client Change Order #</t>
  </si>
  <si>
    <t>Approved Amount</t>
  </si>
  <si>
    <t>Pending Amount</t>
  </si>
  <si>
    <t>Budget Allocation %</t>
  </si>
  <si>
    <t>CO Tracking</t>
  </si>
  <si>
    <t>Void</t>
  </si>
  <si>
    <t>Thank you for allowing Penington Painting Company to be a part of your team.  Our scope of work has been modified as referenced below.</t>
  </si>
  <si>
    <t>Change Order Totals</t>
  </si>
  <si>
    <t>Hrs</t>
  </si>
  <si>
    <t>Cost Code</t>
  </si>
  <si>
    <r>
      <t>Highlight area within "yellow" border;</t>
    </r>
    <r>
      <rPr>
        <b/>
        <i/>
        <sz val="10"/>
        <color theme="0"/>
        <rFont val="Arial"/>
        <family val="2"/>
      </rPr>
      <t xml:space="preserve"> Copy / Paste Special</t>
    </r>
    <r>
      <rPr>
        <sz val="10"/>
        <color theme="0"/>
        <rFont val="Arial"/>
        <family val="2"/>
      </rPr>
      <t xml:space="preserve"> to CR Template Sheet as </t>
    </r>
    <r>
      <rPr>
        <b/>
        <i/>
        <sz val="10"/>
        <color theme="0"/>
        <rFont val="Arial"/>
        <family val="2"/>
      </rPr>
      <t>Picture</t>
    </r>
  </si>
  <si>
    <t>Change of Scope Description</t>
  </si>
  <si>
    <t>Equipment</t>
  </si>
  <si>
    <t>Sell</t>
  </si>
  <si>
    <t>Bid Analysis</t>
  </si>
  <si>
    <t>Change Orders</t>
  </si>
  <si>
    <t>Projected Crew Size</t>
  </si>
  <si>
    <t>Total Production Hours</t>
  </si>
  <si>
    <t>Production Sell Rate</t>
  </si>
  <si>
    <t>Per Hour</t>
  </si>
  <si>
    <t>Target Labor Cost</t>
  </si>
  <si>
    <t>WA</t>
  </si>
  <si>
    <t>Caulk</t>
  </si>
  <si>
    <t>Exclusions</t>
  </si>
  <si>
    <t>Inclusions</t>
  </si>
  <si>
    <t>Change Order Log</t>
  </si>
  <si>
    <t>CR #</t>
  </si>
  <si>
    <t>Mod #</t>
  </si>
  <si>
    <t>Pending Change Requests</t>
  </si>
  <si>
    <t>LF-1</t>
  </si>
  <si>
    <t>Base Bid Quantity Take-Off</t>
  </si>
  <si>
    <t>Add Row</t>
  </si>
  <si>
    <t>Alternate Bid Quantity Take-Off</t>
  </si>
  <si>
    <t>Base Bid Estimate</t>
  </si>
  <si>
    <t>Alternate Bid Estimate</t>
  </si>
  <si>
    <t>Alt 1</t>
  </si>
  <si>
    <t>Alt 2</t>
  </si>
  <si>
    <t>Alt 3</t>
  </si>
  <si>
    <t>Alt 4</t>
  </si>
  <si>
    <t>Alt 5</t>
  </si>
  <si>
    <t>Alt 6</t>
  </si>
  <si>
    <t>Alt 7</t>
  </si>
  <si>
    <t>Alt 8</t>
  </si>
  <si>
    <t>Alt 9</t>
  </si>
  <si>
    <t>Alt 10</t>
  </si>
  <si>
    <t>Total Equipment Cost</t>
  </si>
  <si>
    <t>% of Base Bid</t>
  </si>
  <si>
    <t>Total Equipment</t>
  </si>
  <si>
    <t>S / SC</t>
  </si>
  <si>
    <t>Alt Bid Logic</t>
  </si>
  <si>
    <t>Total Support / Sub</t>
  </si>
  <si>
    <t>Add Equip</t>
  </si>
  <si>
    <t>Add Support</t>
  </si>
  <si>
    <t>Click &amp; Ctrl-E to Add Equip</t>
  </si>
  <si>
    <t>Click &amp; Ctrl-Z to Add Support</t>
  </si>
  <si>
    <t>A1</t>
  </si>
  <si>
    <t>A2</t>
  </si>
  <si>
    <t>A3</t>
  </si>
  <si>
    <t>A4</t>
  </si>
  <si>
    <t>A5</t>
  </si>
  <si>
    <t>A6</t>
  </si>
  <si>
    <t>A7</t>
  </si>
  <si>
    <t>A8</t>
  </si>
  <si>
    <t>A9</t>
  </si>
  <si>
    <t>A10</t>
  </si>
  <si>
    <t>Base Bid Summary</t>
  </si>
  <si>
    <t>Base Bid Project Totals</t>
  </si>
  <si>
    <t>Alternate Bid Summary</t>
  </si>
  <si>
    <t>6313 W. Commonwealth Place, Chandler, AZ 85226</t>
  </si>
  <si>
    <t>Office</t>
  </si>
  <si>
    <t>Thank you for your interest in Penington Painting Company with regards to your painting and coating needs.  We are pleased to provide you with this comprehensive proposal as referenced above and subject to the qualifications as listed below.</t>
  </si>
  <si>
    <t>Package</t>
  </si>
  <si>
    <t>Scope of Work</t>
  </si>
  <si>
    <t>Sub  Contractor</t>
  </si>
  <si>
    <t>Bid Proposal Break-Down</t>
  </si>
  <si>
    <t>Alternate Pricing</t>
  </si>
  <si>
    <t>Proposal Clarifications</t>
  </si>
  <si>
    <t>Plans / Specs</t>
  </si>
  <si>
    <t>Includes</t>
  </si>
  <si>
    <t>Excludes</t>
  </si>
  <si>
    <t>Please contact me directly with any questions or further clarifications you may need.  Thank you again and we look forward to the possibility of becoming a member of your team and part of the successful completion of this project.</t>
  </si>
  <si>
    <t>www.teamppc.com</t>
  </si>
  <si>
    <t>P &amp; P Bond</t>
  </si>
  <si>
    <t>Inclusions &amp; Exclusions</t>
  </si>
  <si>
    <t>Repair of damage and/or deficiencies by other trades</t>
  </si>
  <si>
    <t>Heating / Containment / Weather Protection</t>
  </si>
  <si>
    <t>Overtime due to conditions beyond our control</t>
  </si>
  <si>
    <t>Costs associated with out-of-sequence work</t>
  </si>
  <si>
    <t>Wood doors &amp; frames</t>
  </si>
  <si>
    <t>Painting &amp; Color Coding of Mech / Elec / Plumbing Equipment</t>
  </si>
  <si>
    <t>Protection of finished floors</t>
  </si>
  <si>
    <t>Deferred final coat after other finishes installed</t>
  </si>
  <si>
    <t>State Licenses</t>
  </si>
  <si>
    <t>AZ:  ROC202733</t>
  </si>
  <si>
    <t>OR:  175222</t>
  </si>
  <si>
    <t>WA:  PENINPC951B6</t>
  </si>
  <si>
    <t>UT:  6162397-5501</t>
  </si>
  <si>
    <t>Proposal Submitted to:</t>
  </si>
  <si>
    <t>Nike WHQ Exp - Merchandising Bldg</t>
  </si>
  <si>
    <t>Bid Pkg #2 - All Other Work</t>
  </si>
  <si>
    <t>Painting &amp; Coatings</t>
  </si>
  <si>
    <t>Hoffman Construction Company</t>
  </si>
  <si>
    <t>Nathan Moroney</t>
  </si>
  <si>
    <t>805 SW Broadway, Suite 2100</t>
  </si>
  <si>
    <t>Portland, OR 97205</t>
  </si>
  <si>
    <t>480-580-4717</t>
  </si>
  <si>
    <t>SF SC-1</t>
  </si>
  <si>
    <t>elev control</t>
  </si>
  <si>
    <t>tunnel</t>
  </si>
  <si>
    <t>loading</t>
  </si>
  <si>
    <t>shipping/recvg</t>
  </si>
  <si>
    <t>30a</t>
  </si>
  <si>
    <t>trash</t>
  </si>
  <si>
    <t>35A</t>
  </si>
  <si>
    <t>elev control room</t>
  </si>
  <si>
    <t>chiller room</t>
  </si>
  <si>
    <t>bldg maint</t>
  </si>
  <si>
    <t>bldg storage</t>
  </si>
  <si>
    <t>hallway</t>
  </si>
  <si>
    <t>men</t>
  </si>
  <si>
    <t>women</t>
  </si>
  <si>
    <t>janitor</t>
  </si>
  <si>
    <t>rain reclaim</t>
  </si>
  <si>
    <t>rain reclaim equip</t>
  </si>
  <si>
    <t>prep kitchen</t>
  </si>
  <si>
    <t>dish room</t>
  </si>
  <si>
    <t>security</t>
  </si>
  <si>
    <t>kit office</t>
  </si>
  <si>
    <t>boiler</t>
  </si>
  <si>
    <t>elec</t>
  </si>
  <si>
    <t>BDF</t>
  </si>
  <si>
    <t>elec room</t>
  </si>
  <si>
    <t>transformer</t>
  </si>
  <si>
    <t>emergency generator</t>
  </si>
  <si>
    <t>water entry fire pump</t>
  </si>
  <si>
    <t>fire pump storage tank</t>
  </si>
  <si>
    <t>service drive</t>
  </si>
  <si>
    <t>valve room</t>
  </si>
  <si>
    <t>dry storage</t>
  </si>
  <si>
    <t>storage</t>
  </si>
  <si>
    <t>shipping office</t>
  </si>
  <si>
    <t>parking entry</t>
  </si>
  <si>
    <t>Level P-1</t>
  </si>
  <si>
    <t>S2</t>
  </si>
  <si>
    <t>S5</t>
  </si>
  <si>
    <t>S6</t>
  </si>
  <si>
    <t>S2005</t>
  </si>
  <si>
    <t>Stair 2</t>
  </si>
  <si>
    <t>Stair 5</t>
  </si>
  <si>
    <t>Stair 6</t>
  </si>
  <si>
    <t>Level P1.2</t>
  </si>
  <si>
    <t>Parking</t>
  </si>
  <si>
    <t>Level P1.5</t>
  </si>
  <si>
    <t>Bldg Storage</t>
  </si>
  <si>
    <t>transformer room</t>
  </si>
  <si>
    <t>emergency elec room</t>
  </si>
  <si>
    <t>S1</t>
  </si>
  <si>
    <t>S3</t>
  </si>
  <si>
    <t>Stair 1</t>
  </si>
  <si>
    <t>Stair 3</t>
  </si>
  <si>
    <t>LF-GWB</t>
  </si>
  <si>
    <t>LF-Conc</t>
  </si>
  <si>
    <t>LF-CMU</t>
  </si>
  <si>
    <t>Level 1</t>
  </si>
  <si>
    <t>1031A</t>
  </si>
  <si>
    <t>1031B</t>
  </si>
  <si>
    <t>entry vest</t>
  </si>
  <si>
    <t>lobby 2</t>
  </si>
  <si>
    <t>open office</t>
  </si>
  <si>
    <t>project room</t>
  </si>
  <si>
    <t>team storage</t>
  </si>
  <si>
    <t>kitchen copy</t>
  </si>
  <si>
    <t>private office</t>
  </si>
  <si>
    <t>medium conf room</t>
  </si>
  <si>
    <t>s1008</t>
  </si>
  <si>
    <t>stair 8</t>
  </si>
  <si>
    <t>s1009</t>
  </si>
  <si>
    <t>stair 9</t>
  </si>
  <si>
    <t>s1010</t>
  </si>
  <si>
    <t>stair 10</t>
  </si>
  <si>
    <t>x1035</t>
  </si>
  <si>
    <t>Level 1.5</t>
  </si>
  <si>
    <t>1000a</t>
  </si>
  <si>
    <t>1000b</t>
  </si>
  <si>
    <t xml:space="preserve">entry  </t>
  </si>
  <si>
    <t>lobby 1</t>
  </si>
  <si>
    <t>elev lobby</t>
  </si>
  <si>
    <t>lounge</t>
  </si>
  <si>
    <t>sundries</t>
  </si>
  <si>
    <t>vest</t>
  </si>
  <si>
    <t>servery prep</t>
  </si>
  <si>
    <t xml:space="preserve">servery  </t>
  </si>
  <si>
    <t>dining room</t>
  </si>
  <si>
    <t>fire command center</t>
  </si>
  <si>
    <t>gas meter closet</t>
  </si>
  <si>
    <t>retail lobby</t>
  </si>
  <si>
    <t>restroom vest</t>
  </si>
  <si>
    <t>mens</t>
  </si>
  <si>
    <t>womens</t>
  </si>
  <si>
    <t>reception</t>
  </si>
  <si>
    <t>employee retail store</t>
  </si>
  <si>
    <t>employee retail storage</t>
  </si>
  <si>
    <t>1113a</t>
  </si>
  <si>
    <t>exit corridor</t>
  </si>
  <si>
    <t>bicycle storage room</t>
  </si>
  <si>
    <t>1118a</t>
  </si>
  <si>
    <t>JC</t>
  </si>
  <si>
    <t>retail entry corridor</t>
  </si>
  <si>
    <t>retail perimeter corr</t>
  </si>
  <si>
    <t>retail west corr</t>
  </si>
  <si>
    <t>retail transverse corridor</t>
  </si>
  <si>
    <t>retail XL-1</t>
  </si>
  <si>
    <t>IDF</t>
  </si>
  <si>
    <t>corridor</t>
  </si>
  <si>
    <t>conf rm 02</t>
  </si>
  <si>
    <t>conf rm 03</t>
  </si>
  <si>
    <t>retail S-1</t>
  </si>
  <si>
    <t>parking lobby</t>
  </si>
  <si>
    <t>meeting / training</t>
  </si>
  <si>
    <t>1140a</t>
  </si>
  <si>
    <t>retail S-3</t>
  </si>
  <si>
    <t>retail S-4</t>
  </si>
  <si>
    <t>retail M-1</t>
  </si>
  <si>
    <t>conf rm 04</t>
  </si>
  <si>
    <t>conf rm 05</t>
  </si>
  <si>
    <t>conf rm 06</t>
  </si>
  <si>
    <t>break out 01</t>
  </si>
  <si>
    <t>break out 02</t>
  </si>
  <si>
    <t>elec closet</t>
  </si>
  <si>
    <t>breakout 03</t>
  </si>
  <si>
    <t>retail L-1</t>
  </si>
  <si>
    <t>1160a</t>
  </si>
  <si>
    <t>idf</t>
  </si>
  <si>
    <t>retail BOH corridor</t>
  </si>
  <si>
    <t>retail M-2</t>
  </si>
  <si>
    <t>retail S-5</t>
  </si>
  <si>
    <t>retail S-6</t>
  </si>
  <si>
    <t>high dens storage 3</t>
  </si>
  <si>
    <t>high dens storage 2</t>
  </si>
  <si>
    <t>retail central corridor</t>
  </si>
  <si>
    <t>loading staging area</t>
  </si>
  <si>
    <t>1182B</t>
  </si>
  <si>
    <t>security desk</t>
  </si>
  <si>
    <t>high dens storage 1</t>
  </si>
  <si>
    <t xml:space="preserve">rest </t>
  </si>
  <si>
    <t>rest</t>
  </si>
  <si>
    <t>café</t>
  </si>
  <si>
    <t>servery</t>
  </si>
  <si>
    <t>1191A</t>
  </si>
  <si>
    <t>retail L-2</t>
  </si>
  <si>
    <t>retail S-2</t>
  </si>
  <si>
    <t>high dens storage 4</t>
  </si>
  <si>
    <t>S1001</t>
  </si>
  <si>
    <t>S1002</t>
  </si>
  <si>
    <t>S1003</t>
  </si>
  <si>
    <t>S1004</t>
  </si>
  <si>
    <t>S1005</t>
  </si>
  <si>
    <t>S1006</t>
  </si>
  <si>
    <t>S1007</t>
  </si>
  <si>
    <t>stair 1</t>
  </si>
  <si>
    <t>stair 2</t>
  </si>
  <si>
    <t>stair 3</t>
  </si>
  <si>
    <t>stair 4</t>
  </si>
  <si>
    <t>stair 5</t>
  </si>
  <si>
    <t>stair 6</t>
  </si>
  <si>
    <t>stair 7</t>
  </si>
  <si>
    <t>Level 1M</t>
  </si>
  <si>
    <t>1067a</t>
  </si>
  <si>
    <t>1067b</t>
  </si>
  <si>
    <t>S1008M</t>
  </si>
  <si>
    <t>S1009M</t>
  </si>
  <si>
    <t>S1010M</t>
  </si>
  <si>
    <t>Level 2</t>
  </si>
  <si>
    <t>projector room</t>
  </si>
  <si>
    <t>merch west corridor</t>
  </si>
  <si>
    <t>merch BOH Corridor</t>
  </si>
  <si>
    <t>copy storage</t>
  </si>
  <si>
    <t>small conf room</t>
  </si>
  <si>
    <t>jan</t>
  </si>
  <si>
    <t>balcony</t>
  </si>
  <si>
    <t>merch trans corridor</t>
  </si>
  <si>
    <t>merch XL-2</t>
  </si>
  <si>
    <t>Merch M-4</t>
  </si>
  <si>
    <t>Merch S-7</t>
  </si>
  <si>
    <t>merch L-1</t>
  </si>
  <si>
    <t>Merch M-1</t>
  </si>
  <si>
    <t>Merch S-1</t>
  </si>
  <si>
    <t>Merch S-2</t>
  </si>
  <si>
    <t>water feature pump room</t>
  </si>
  <si>
    <t>merch S-3</t>
  </si>
  <si>
    <t>merch XL-1</t>
  </si>
  <si>
    <t>merch S-4</t>
  </si>
  <si>
    <t>merch L-2</t>
  </si>
  <si>
    <t>merch S-5</t>
  </si>
  <si>
    <t>merch M-2</t>
  </si>
  <si>
    <t>merch L-3</t>
  </si>
  <si>
    <t>merch M-3</t>
  </si>
  <si>
    <t>merch S-6</t>
  </si>
  <si>
    <t>2172A</t>
  </si>
  <si>
    <t>2172B</t>
  </si>
  <si>
    <t>loading /staging area</t>
  </si>
  <si>
    <t>merch storage</t>
  </si>
  <si>
    <t>digital printing</t>
  </si>
  <si>
    <t>s2001</t>
  </si>
  <si>
    <t>s2002</t>
  </si>
  <si>
    <t>s2003</t>
  </si>
  <si>
    <t>s2004</t>
  </si>
  <si>
    <t>Level 2.5</t>
  </si>
  <si>
    <t>2001A</t>
  </si>
  <si>
    <t>2001b</t>
  </si>
  <si>
    <t>2002A</t>
  </si>
  <si>
    <t>2002B</t>
  </si>
  <si>
    <t>2003A</t>
  </si>
  <si>
    <t>2003B</t>
  </si>
  <si>
    <t>2004A</t>
  </si>
  <si>
    <t>2004B</t>
  </si>
  <si>
    <t>2005A</t>
  </si>
  <si>
    <t>2005B</t>
  </si>
  <si>
    <t>2006A</t>
  </si>
  <si>
    <t>2009A</t>
  </si>
  <si>
    <t>2009B</t>
  </si>
  <si>
    <t>video conf center</t>
  </si>
  <si>
    <t>it bar</t>
  </si>
  <si>
    <t>it storage</t>
  </si>
  <si>
    <t>large conf room</t>
  </si>
  <si>
    <t>small conf rm</t>
  </si>
  <si>
    <t>2011b</t>
  </si>
  <si>
    <t>2012b</t>
  </si>
  <si>
    <t>2013b</t>
  </si>
  <si>
    <t>2014b</t>
  </si>
  <si>
    <t>2015b</t>
  </si>
  <si>
    <t>2011a</t>
  </si>
  <si>
    <t>2012a</t>
  </si>
  <si>
    <t>2013a</t>
  </si>
  <si>
    <t>2014a</t>
  </si>
  <si>
    <t>med conf rm</t>
  </si>
  <si>
    <t>phone rm</t>
  </si>
  <si>
    <t>rig room</t>
  </si>
  <si>
    <t>copy</t>
  </si>
  <si>
    <t>hi dens storage</t>
  </si>
  <si>
    <t>pin up area</t>
  </si>
  <si>
    <t>2059a</t>
  </si>
  <si>
    <t>2059b</t>
  </si>
  <si>
    <t>2074a</t>
  </si>
  <si>
    <t>2074b</t>
  </si>
  <si>
    <t>storage vestibule</t>
  </si>
  <si>
    <t>2084a</t>
  </si>
  <si>
    <t>lounge A</t>
  </si>
  <si>
    <t>2084b</t>
  </si>
  <si>
    <t>vestibule</t>
  </si>
  <si>
    <t>storage/copy</t>
  </si>
  <si>
    <t>extra lrg conf rm-A</t>
  </si>
  <si>
    <t>2091 B</t>
  </si>
  <si>
    <t>2091 A</t>
  </si>
  <si>
    <t>s2006</t>
  </si>
  <si>
    <t>s2007</t>
  </si>
  <si>
    <t>s2008</t>
  </si>
  <si>
    <t>s2009</t>
  </si>
  <si>
    <t>s2010</t>
  </si>
  <si>
    <t>stair7</t>
  </si>
  <si>
    <t>Level 3</t>
  </si>
  <si>
    <t>library 1</t>
  </si>
  <si>
    <t>3003a</t>
  </si>
  <si>
    <t>3003b</t>
  </si>
  <si>
    <t>3004a</t>
  </si>
  <si>
    <t>3004b</t>
  </si>
  <si>
    <t>3005a</t>
  </si>
  <si>
    <t>3005b</t>
  </si>
  <si>
    <t>open meeting</t>
  </si>
  <si>
    <t>library reception</t>
  </si>
  <si>
    <t>3021a</t>
  </si>
  <si>
    <t>3021b</t>
  </si>
  <si>
    <t>copy / work room</t>
  </si>
  <si>
    <t xml:space="preserve">copy  </t>
  </si>
  <si>
    <t>3038a</t>
  </si>
  <si>
    <t>3038b</t>
  </si>
  <si>
    <t>pin up</t>
  </si>
  <si>
    <t>3074a</t>
  </si>
  <si>
    <t>3074b</t>
  </si>
  <si>
    <t>storage vest</t>
  </si>
  <si>
    <t>3084a</t>
  </si>
  <si>
    <t>3084b</t>
  </si>
  <si>
    <t>lounge B</t>
  </si>
  <si>
    <t>extra lrg conf room B</t>
  </si>
  <si>
    <t>3091a</t>
  </si>
  <si>
    <t>3091b</t>
  </si>
  <si>
    <t>storage / copy</t>
  </si>
  <si>
    <t>3100b</t>
  </si>
  <si>
    <t>workshop 1</t>
  </si>
  <si>
    <t>janitor closet</t>
  </si>
  <si>
    <t>tower connector</t>
  </si>
  <si>
    <t>kitchen</t>
  </si>
  <si>
    <t>air lounge</t>
  </si>
  <si>
    <t>3129a</t>
  </si>
  <si>
    <t>3129b</t>
  </si>
  <si>
    <t>3132a</t>
  </si>
  <si>
    <t>3132b</t>
  </si>
  <si>
    <t>kitchenette</t>
  </si>
  <si>
    <t>3148a</t>
  </si>
  <si>
    <t>3148b</t>
  </si>
  <si>
    <t>kitchen lounge</t>
  </si>
  <si>
    <t>wellness</t>
  </si>
  <si>
    <t>3180a</t>
  </si>
  <si>
    <t>3180b</t>
  </si>
  <si>
    <t>lobby 4</t>
  </si>
  <si>
    <t>design connector</t>
  </si>
  <si>
    <t>s3001</t>
  </si>
  <si>
    <t>s3002</t>
  </si>
  <si>
    <t>s3003</t>
  </si>
  <si>
    <t>s3004</t>
  </si>
  <si>
    <t>s3005</t>
  </si>
  <si>
    <t>s3006</t>
  </si>
  <si>
    <t>s3007</t>
  </si>
  <si>
    <t>s3008</t>
  </si>
  <si>
    <t>s3009</t>
  </si>
  <si>
    <t>s3010</t>
  </si>
  <si>
    <t>Level 4</t>
  </si>
  <si>
    <t>4003a</t>
  </si>
  <si>
    <t>4003b</t>
  </si>
  <si>
    <t>4004a</t>
  </si>
  <si>
    <t>4004b</t>
  </si>
  <si>
    <t>4005a</t>
  </si>
  <si>
    <t>4005b</t>
  </si>
  <si>
    <t>library 2</t>
  </si>
  <si>
    <t>4020a</t>
  </si>
  <si>
    <t>4020b</t>
  </si>
  <si>
    <t>copy work room</t>
  </si>
  <si>
    <t>dark room</t>
  </si>
  <si>
    <t>4038b</t>
  </si>
  <si>
    <t>4076a</t>
  </si>
  <si>
    <t>4076b</t>
  </si>
  <si>
    <t>4084a</t>
  </si>
  <si>
    <t>4084b</t>
  </si>
  <si>
    <t>storage copy</t>
  </si>
  <si>
    <t>terrace</t>
  </si>
  <si>
    <t>south connector</t>
  </si>
  <si>
    <t>break area</t>
  </si>
  <si>
    <t>workshop 2</t>
  </si>
  <si>
    <t>shipping &amp; recvg</t>
  </si>
  <si>
    <t>4103b</t>
  </si>
  <si>
    <t>4103a</t>
  </si>
  <si>
    <t>mechanic work area</t>
  </si>
  <si>
    <t>4132a</t>
  </si>
  <si>
    <t>4132b</t>
  </si>
  <si>
    <t>4144b</t>
  </si>
  <si>
    <t>4144a</t>
  </si>
  <si>
    <t>4151b</t>
  </si>
  <si>
    <t>4151a</t>
  </si>
  <si>
    <t>extra lrg conf rm</t>
  </si>
  <si>
    <t>4181a</t>
  </si>
  <si>
    <t>4181b</t>
  </si>
  <si>
    <t>4207a</t>
  </si>
  <si>
    <t>4207b</t>
  </si>
  <si>
    <t>north connector</t>
  </si>
  <si>
    <t>s4001</t>
  </si>
  <si>
    <t>s4002</t>
  </si>
  <si>
    <t>s4003</t>
  </si>
  <si>
    <t>s4004</t>
  </si>
  <si>
    <t>s4005</t>
  </si>
  <si>
    <t>s4006</t>
  </si>
  <si>
    <t>s4007</t>
  </si>
  <si>
    <t>s4008</t>
  </si>
  <si>
    <t>s4009</t>
  </si>
  <si>
    <t>s4010</t>
  </si>
  <si>
    <t>Level 5</t>
  </si>
  <si>
    <t>5003a</t>
  </si>
  <si>
    <t>5003b</t>
  </si>
  <si>
    <t>5004a</t>
  </si>
  <si>
    <t>5004b</t>
  </si>
  <si>
    <t>5005a</t>
  </si>
  <si>
    <t>5005b</t>
  </si>
  <si>
    <t>5103a</t>
  </si>
  <si>
    <t>5103b</t>
  </si>
  <si>
    <t>gallery</t>
  </si>
  <si>
    <t>med conf room</t>
  </si>
  <si>
    <t>5117a</t>
  </si>
  <si>
    <t>5117b</t>
  </si>
  <si>
    <t>5128a</t>
  </si>
  <si>
    <t>5128b</t>
  </si>
  <si>
    <t>5135a</t>
  </si>
  <si>
    <t>5135b</t>
  </si>
  <si>
    <t>extra lrg conf room</t>
  </si>
  <si>
    <t xml:space="preserve">jan </t>
  </si>
  <si>
    <t>5183a</t>
  </si>
  <si>
    <t>5183b</t>
  </si>
  <si>
    <t>5198a</t>
  </si>
  <si>
    <t>5198b</t>
  </si>
  <si>
    <t>5212b</t>
  </si>
  <si>
    <t>5220a</t>
  </si>
  <si>
    <t>5220b</t>
  </si>
  <si>
    <t>5500a</t>
  </si>
  <si>
    <t>5500b</t>
  </si>
  <si>
    <t>5500c</t>
  </si>
  <si>
    <t>5500d</t>
  </si>
  <si>
    <t>5500e</t>
  </si>
  <si>
    <t>5500f</t>
  </si>
  <si>
    <t>5500g</t>
  </si>
  <si>
    <t>5500h</t>
  </si>
  <si>
    <t>mech</t>
  </si>
  <si>
    <t>s5001</t>
  </si>
  <si>
    <t>s5002</t>
  </si>
  <si>
    <t>s5003</t>
  </si>
  <si>
    <t>s5004</t>
  </si>
  <si>
    <t>s5005</t>
  </si>
  <si>
    <t>s5006</t>
  </si>
  <si>
    <t>s5007</t>
  </si>
  <si>
    <t>Level 6</t>
  </si>
  <si>
    <t>6003a</t>
  </si>
  <si>
    <t>6003b</t>
  </si>
  <si>
    <t>meeting</t>
  </si>
  <si>
    <t>ex large meeting</t>
  </si>
  <si>
    <t>roof deck</t>
  </si>
  <si>
    <t>shipping recvg</t>
  </si>
  <si>
    <t>6182b</t>
  </si>
  <si>
    <t>6182a</t>
  </si>
  <si>
    <t>6193a</t>
  </si>
  <si>
    <t>6193b</t>
  </si>
  <si>
    <t>6201a</t>
  </si>
  <si>
    <t>6201b</t>
  </si>
  <si>
    <t>ex large conf rm D</t>
  </si>
  <si>
    <t>6600a</t>
  </si>
  <si>
    <t>6600b</t>
  </si>
  <si>
    <t>6600c</t>
  </si>
  <si>
    <t>6600d</t>
  </si>
  <si>
    <t>6600e</t>
  </si>
  <si>
    <t>s6001</t>
  </si>
  <si>
    <t>s6002</t>
  </si>
  <si>
    <t>s6006</t>
  </si>
  <si>
    <t>s6007</t>
  </si>
  <si>
    <t>Level 7</t>
  </si>
  <si>
    <t>7002a</t>
  </si>
  <si>
    <t>7002b</t>
  </si>
  <si>
    <t>7700a</t>
  </si>
  <si>
    <t>7700b</t>
  </si>
  <si>
    <t>7700c</t>
  </si>
  <si>
    <t>7700d</t>
  </si>
  <si>
    <t>7700e</t>
  </si>
  <si>
    <t>s7006</t>
  </si>
  <si>
    <t>s7007</t>
  </si>
  <si>
    <t>green room</t>
  </si>
  <si>
    <t>pre function</t>
  </si>
  <si>
    <t>lecture hall</t>
  </si>
  <si>
    <t>banquet storage</t>
  </si>
  <si>
    <t>WH Room</t>
  </si>
  <si>
    <t>Level 8</t>
  </si>
  <si>
    <t>8003a</t>
  </si>
  <si>
    <t>8003b</t>
  </si>
  <si>
    <t>s8006</t>
  </si>
  <si>
    <t>s8007</t>
  </si>
  <si>
    <t>control room</t>
  </si>
  <si>
    <t>Level 9</t>
  </si>
  <si>
    <t>9003a</t>
  </si>
  <si>
    <t>9003b</t>
  </si>
  <si>
    <t>s9006</t>
  </si>
  <si>
    <t>s9007</t>
  </si>
  <si>
    <t>prefunction</t>
  </si>
  <si>
    <t>banquet</t>
  </si>
  <si>
    <t>Level 10</t>
  </si>
  <si>
    <t>s10006</t>
  </si>
  <si>
    <t>s10007</t>
  </si>
  <si>
    <t>dining</t>
  </si>
  <si>
    <t>bar dining</t>
  </si>
  <si>
    <t>bar back</t>
  </si>
  <si>
    <t>private dining</t>
  </si>
  <si>
    <t>Walls GWB</t>
  </si>
  <si>
    <t>Walls Conc</t>
  </si>
  <si>
    <t>Walls CMU</t>
  </si>
  <si>
    <t>LF Stair Walls</t>
  </si>
  <si>
    <t>Walls-Stairs</t>
  </si>
  <si>
    <t>GWB Ceiling</t>
  </si>
  <si>
    <t>Conc Ceiling</t>
  </si>
  <si>
    <t>Area GWB Ceiling</t>
  </si>
  <si>
    <t>Area Conc Ceiling</t>
  </si>
  <si>
    <t>Walls Sealed</t>
  </si>
  <si>
    <t>Floor Sealer</t>
  </si>
  <si>
    <t>Sealed Walls LF</t>
  </si>
  <si>
    <t>hallway (shipping/recvg)</t>
  </si>
  <si>
    <t>see shipping/recvg</t>
  </si>
  <si>
    <t>Walls Prime/FRP</t>
  </si>
  <si>
    <t>LF FRP Prime</t>
  </si>
  <si>
    <t>Transition QTY</t>
  </si>
  <si>
    <t>Caulk Transitions</t>
  </si>
  <si>
    <t>LF GR</t>
  </si>
  <si>
    <t>G/R Systems</t>
  </si>
  <si>
    <t>Bollards</t>
  </si>
  <si>
    <t>Drawing</t>
  </si>
  <si>
    <t>A7-000</t>
  </si>
  <si>
    <t>Conc Walls</t>
  </si>
  <si>
    <t>CMU Walls</t>
  </si>
  <si>
    <t>Detail</t>
  </si>
  <si>
    <t>Transition Mask</t>
  </si>
  <si>
    <t>A7-002</t>
  </si>
  <si>
    <t>Color</t>
  </si>
  <si>
    <t>P-6a</t>
  </si>
  <si>
    <t>multi</t>
  </si>
  <si>
    <t>P-6m</t>
  </si>
  <si>
    <t>11 &amp; 12</t>
  </si>
  <si>
    <t>4 &amp; 5</t>
  </si>
  <si>
    <t>P6-g</t>
  </si>
  <si>
    <t>P6-f</t>
  </si>
  <si>
    <t>1 &amp; 2</t>
  </si>
  <si>
    <t>A7-003</t>
  </si>
  <si>
    <t>All</t>
  </si>
  <si>
    <t>P6-m</t>
  </si>
  <si>
    <t>A7-004</t>
  </si>
  <si>
    <t>Garage Walls - Tansitional (Conc)</t>
  </si>
  <si>
    <t>Garage Walls CMU</t>
  </si>
  <si>
    <t>Branded Columns</t>
  </si>
  <si>
    <t>Transitional</t>
  </si>
  <si>
    <t>P-6</t>
  </si>
  <si>
    <t>A7-005</t>
  </si>
  <si>
    <t>P-6 Columns</t>
  </si>
  <si>
    <t>Garage Walls/Columns Conc</t>
  </si>
  <si>
    <t>Pre-Punch Final</t>
  </si>
  <si>
    <t>Polished Plaster Application</t>
  </si>
  <si>
    <t>L-1 RCP</t>
  </si>
  <si>
    <t>Sector A</t>
  </si>
  <si>
    <t>Sector B</t>
  </si>
  <si>
    <t>Sector C</t>
  </si>
  <si>
    <t>Sector D</t>
  </si>
  <si>
    <t>Sector E</t>
  </si>
  <si>
    <t>Sector F</t>
  </si>
  <si>
    <t>Sector G</t>
  </si>
  <si>
    <t>Mezz RCP</t>
  </si>
  <si>
    <t>Painting of Acoustical GWB (ACP-1)</t>
  </si>
  <si>
    <t>L-2 RCP</t>
  </si>
  <si>
    <t>L-3 RCP</t>
  </si>
  <si>
    <t>L-4 RCP</t>
  </si>
  <si>
    <t>L-5 RCP</t>
  </si>
  <si>
    <t>L-6 RCP</t>
  </si>
  <si>
    <t>L-7 RCP</t>
  </si>
  <si>
    <t>L-8 RCP</t>
  </si>
  <si>
    <t>L-9 RCP</t>
  </si>
  <si>
    <t>L-10 RCP</t>
  </si>
  <si>
    <t>LF Base</t>
  </si>
  <si>
    <t>Base</t>
  </si>
  <si>
    <t>See 1123</t>
  </si>
  <si>
    <t>y</t>
  </si>
  <si>
    <t>See 1185</t>
  </si>
  <si>
    <t>Transitional Walls</t>
  </si>
  <si>
    <t>LF Trans</t>
  </si>
  <si>
    <t>QTY Columns</t>
  </si>
  <si>
    <t>SS Column</t>
  </si>
  <si>
    <t>Wall/Accent</t>
  </si>
  <si>
    <t>4074B</t>
  </si>
  <si>
    <t>5212A</t>
  </si>
  <si>
    <t>Shipping Rcvg</t>
  </si>
  <si>
    <t>LF Stairs</t>
  </si>
  <si>
    <t>Stair Steel</t>
  </si>
  <si>
    <t>Stair Rails</t>
  </si>
  <si>
    <t>Stair</t>
  </si>
  <si>
    <t>Steel Factor</t>
  </si>
  <si>
    <t>Steel SF</t>
  </si>
  <si>
    <t>Rail Factor</t>
  </si>
  <si>
    <t>Rail LF</t>
  </si>
  <si>
    <t>Misc Steel Add</t>
  </si>
  <si>
    <t>5 Lower</t>
  </si>
  <si>
    <t>5 Upper</t>
  </si>
  <si>
    <t>Stair Steel from Misc TO</t>
  </si>
  <si>
    <t>HM Door</t>
  </si>
  <si>
    <t>HM Frame</t>
  </si>
  <si>
    <t>10x10 OHC</t>
  </si>
  <si>
    <t>HM Door/Frame Painting per Door Schedule</t>
  </si>
  <si>
    <t>Custom Painted Graphics / Back-Painted Glass</t>
  </si>
  <si>
    <t>Prime</t>
  </si>
  <si>
    <t>Finish</t>
  </si>
  <si>
    <t>x</t>
  </si>
  <si>
    <t>Epoxy</t>
  </si>
  <si>
    <t>Block Fill</t>
  </si>
  <si>
    <t>Clean</t>
  </si>
  <si>
    <t>Seal</t>
  </si>
  <si>
    <t>Mask</t>
  </si>
  <si>
    <t>Epoxy Prime</t>
  </si>
  <si>
    <t>Epoxy SG</t>
  </si>
  <si>
    <t>Mask/Stripe</t>
  </si>
  <si>
    <t>Caulk/Putty</t>
  </si>
  <si>
    <t>Primer</t>
  </si>
  <si>
    <t>Prep / Spot Prime</t>
  </si>
  <si>
    <t>Scissor Lift</t>
  </si>
  <si>
    <t>Vehicle Fuel</t>
  </si>
  <si>
    <t>Connector Steel</t>
  </si>
  <si>
    <t>South Connector</t>
  </si>
  <si>
    <t>HSS 10x8</t>
  </si>
  <si>
    <t>w12x19</t>
  </si>
  <si>
    <t>HSS 12x6</t>
  </si>
  <si>
    <t>HSS 14x6</t>
  </si>
  <si>
    <t>HSS 16x8</t>
  </si>
  <si>
    <t>HSS 14x14</t>
  </si>
  <si>
    <t>North Connector</t>
  </si>
  <si>
    <t>HSS 8x8</t>
  </si>
  <si>
    <t>HSS 12x12</t>
  </si>
  <si>
    <t>HSS 10x10</t>
  </si>
  <si>
    <t>w12x72</t>
  </si>
  <si>
    <t>w12x170</t>
  </si>
  <si>
    <t>w16x16</t>
  </si>
  <si>
    <t>hss14x4</t>
  </si>
  <si>
    <t>Factor</t>
  </si>
  <si>
    <t>Total SF</t>
  </si>
  <si>
    <t>Total Connector Steel</t>
  </si>
  <si>
    <t>Mech Screen Structure</t>
  </si>
  <si>
    <t>Level 6 Sector F</t>
  </si>
  <si>
    <t>w12x26</t>
  </si>
  <si>
    <t>Level 6 Sector G</t>
  </si>
  <si>
    <t>Level 6 Sector D</t>
  </si>
  <si>
    <t>Level 7 Sector A</t>
  </si>
  <si>
    <t>Columns</t>
  </si>
  <si>
    <t>Level 7 Sector C</t>
  </si>
  <si>
    <t>Level 7 Sector B</t>
  </si>
  <si>
    <t>Level 8 Sector A</t>
  </si>
  <si>
    <t>Level 8 Sector C</t>
  </si>
  <si>
    <t>Tower Mech Screen</t>
  </si>
  <si>
    <t>Level 6 sector B</t>
  </si>
  <si>
    <t>C6x10.5</t>
  </si>
  <si>
    <t>Total Screen Wall Steel</t>
  </si>
  <si>
    <t>Mech Screen Framing</t>
  </si>
  <si>
    <t>Façade Curtain Wall Steel</t>
  </si>
  <si>
    <t>HSS 12x4</t>
  </si>
  <si>
    <t>HSS 20x12</t>
  </si>
  <si>
    <t>L-7/8 Sector E</t>
  </si>
  <si>
    <t>L-9 Sector E</t>
  </si>
  <si>
    <t>Total Curtain Wall</t>
  </si>
  <si>
    <t>Curtain Wall Steel</t>
  </si>
  <si>
    <t>Painting of Base scheduled WDB-2</t>
  </si>
  <si>
    <t>Flat Finish</t>
  </si>
  <si>
    <t>Acrolon</t>
  </si>
  <si>
    <t>SC-1</t>
  </si>
  <si>
    <t>L-1.5</t>
  </si>
  <si>
    <t>FP Heads</t>
  </si>
  <si>
    <t>De Mask</t>
  </si>
  <si>
    <t>Exp FP Pipe (Wall Mounted)</t>
  </si>
  <si>
    <t>Wet Land Bridge</t>
  </si>
  <si>
    <t>Hgt</t>
  </si>
  <si>
    <t>Beams</t>
  </si>
  <si>
    <t>Railings</t>
  </si>
  <si>
    <t>Bridge</t>
  </si>
  <si>
    <t>Metal Deck</t>
  </si>
  <si>
    <t>Wet Land Bridge Steel</t>
  </si>
  <si>
    <t>Total Steel</t>
  </si>
  <si>
    <t>Epoxy Primer</t>
  </si>
  <si>
    <t>Epoxy Intermediate</t>
  </si>
  <si>
    <t>HS Poly</t>
  </si>
  <si>
    <t>Containment</t>
  </si>
  <si>
    <t>Size</t>
  </si>
  <si>
    <t>Canopy</t>
  </si>
  <si>
    <t>Misc Exterior Steel</t>
  </si>
  <si>
    <t>Sustainability Fence</t>
  </si>
  <si>
    <t>3x3 Post</t>
  </si>
  <si>
    <t>1x3 Bar</t>
  </si>
  <si>
    <t>Total Misc Ext</t>
  </si>
  <si>
    <t xml:space="preserve">Misc Exterior Steel </t>
  </si>
  <si>
    <t>Prep</t>
  </si>
  <si>
    <t>Final after Finish</t>
  </si>
  <si>
    <t>FAF Prep/Mask</t>
  </si>
  <si>
    <t>FAF</t>
  </si>
  <si>
    <t>Final After Finish</t>
  </si>
  <si>
    <t>Alt 17</t>
  </si>
  <si>
    <t>Walls Paint</t>
  </si>
  <si>
    <t>Door/Frame</t>
  </si>
  <si>
    <t>Alt 15 - SC-1 @ Stairs</t>
  </si>
  <si>
    <t>Alt 17 Conf/Office Wood to GWB</t>
  </si>
  <si>
    <t>Alt 20 - Lobby RR Walls to GWB</t>
  </si>
  <si>
    <t>Alt 26 - Reduce Bridge 33%</t>
  </si>
  <si>
    <t>Shercrete</t>
  </si>
  <si>
    <t>SC-1 Scope Material to be Sher-Crete Sealer/Hardener in Lieu of Specified System</t>
  </si>
  <si>
    <r>
      <t xml:space="preserve">Caulking scope limited to Painted to Painted transitions </t>
    </r>
    <r>
      <rPr>
        <u/>
        <sz val="8"/>
        <rFont val="Arial"/>
        <family val="2"/>
      </rPr>
      <t>&lt;</t>
    </r>
    <r>
      <rPr>
        <sz val="8"/>
        <rFont val="Arial"/>
        <family val="2"/>
      </rPr>
      <t xml:space="preserve"> 1/4"</t>
    </r>
  </si>
  <si>
    <t>Floor Sealer per Finish Schedule (See clarification above)</t>
  </si>
  <si>
    <t>Interior Concrete and CMU per Section 099600</t>
  </si>
  <si>
    <t>Exterior Sealers / Graffiti Control Coatings</t>
  </si>
  <si>
    <t>Branding-Related Painting @ Garage Level Only</t>
  </si>
  <si>
    <t>848 3rd Avenue South, Kent, WA 98032</t>
  </si>
  <si>
    <t>Apprenticeship</t>
  </si>
  <si>
    <t>Pump &amp; Pump Training</t>
  </si>
  <si>
    <t>Solar Array Structure &amp; Mech Screen Steel</t>
  </si>
  <si>
    <t>Priming of Walls Scheduled for WC-#'s / Branding</t>
  </si>
  <si>
    <t>Seattle Labor</t>
  </si>
  <si>
    <t>PDX Labor</t>
  </si>
  <si>
    <t>Seattle Foreman</t>
  </si>
  <si>
    <t>Traffic Coatings &amp; Traffic Striping</t>
  </si>
  <si>
    <t>Pat Kichler, Vice President</t>
  </si>
  <si>
    <t>patk@teamppc.om</t>
  </si>
  <si>
    <t>Fabrications per Section 05750 assumed to be Fabricator  Pre-Finished</t>
  </si>
  <si>
    <t>Due to unique applications, colors &amp; finishes, above pricing includes for a dedicated site-specific Quality Assurance / Control Manager</t>
  </si>
  <si>
    <t>Parking Garage Exposed Ceilings / MEP / FP Pipe</t>
  </si>
  <si>
    <t>Garage Painting limited to walls / columns per Branding &amp; Elevations (A7 / 000-004); GWB Ceilings @ Garage entries only</t>
  </si>
  <si>
    <t>A, B, C, D</t>
  </si>
  <si>
    <t>099112</t>
  </si>
  <si>
    <t>Painting / Finishing of Casework &amp; Cabinetry</t>
  </si>
  <si>
    <t>Woodwork scheduled for Clear / Natural Finishes</t>
  </si>
  <si>
    <t>099600</t>
  </si>
  <si>
    <t>Attachment 1</t>
  </si>
  <si>
    <t xml:space="preserve">Deferred Final Finish Coat of Paint @ All GWB Walls; Including Stairs </t>
  </si>
  <si>
    <t>Painting of Exposed Structure Ceilings, Framing &amp; Fasteners</t>
  </si>
  <si>
    <t>Painting Wall-Mounted FP Pipe @ Open Offices; All other MEP Excluded</t>
  </si>
  <si>
    <t>Sealing of Interior Concrete Walls per Finish Schedule Note FN-13</t>
  </si>
</sst>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5" formatCode="&quot;$&quot;#,##0_);\(&quot;$&quot;#,##0\)"/>
    <numFmt numFmtId="44" formatCode="_(&quot;$&quot;* #,##0.00_);_(&quot;$&quot;* \(#,##0.00\);_(&quot;$&quot;* &quot;-&quot;??_);_(@_)"/>
    <numFmt numFmtId="164" formatCode="m/d/yy;@"/>
    <numFmt numFmtId="165" formatCode="0.0%"/>
    <numFmt numFmtId="166" formatCode="&quot;$&quot;#,##0"/>
    <numFmt numFmtId="167" formatCode="#,##0.0_);\(#,##0.0\)"/>
    <numFmt numFmtId="168" formatCode="&quot;$&quot;#,##0.00"/>
    <numFmt numFmtId="169" formatCode="0.0"/>
    <numFmt numFmtId="170" formatCode="_([$$-409]* #,##0.00_);_([$$-409]* \(#,##0.00\);_([$$-409]* &quot;-&quot;??_);_(@_)"/>
    <numFmt numFmtId="171" formatCode="[$-409]mmmm\ d\,\ yyyy;@"/>
    <numFmt numFmtId="172" formatCode="[$$-409]#,##0.00"/>
  </numFmts>
  <fonts count="107" x14ac:knownFonts="1">
    <font>
      <sz val="11"/>
      <color theme="1"/>
      <name val="Calibri"/>
      <family val="2"/>
      <scheme val="minor"/>
    </font>
    <font>
      <sz val="11"/>
      <color theme="1"/>
      <name val="Calibri"/>
      <family val="2"/>
      <scheme val="minor"/>
    </font>
    <font>
      <sz val="11"/>
      <color theme="1"/>
      <name val="Arial"/>
      <family val="2"/>
    </font>
    <font>
      <sz val="11"/>
      <color theme="0"/>
      <name val="Arial"/>
      <family val="2"/>
    </font>
    <font>
      <b/>
      <sz val="11"/>
      <color theme="0"/>
      <name val="Arial"/>
      <family val="2"/>
    </font>
    <font>
      <sz val="9"/>
      <color theme="1"/>
      <name val="Arial"/>
      <family val="2"/>
    </font>
    <font>
      <b/>
      <sz val="9"/>
      <color theme="0"/>
      <name val="Arial"/>
      <family val="2"/>
    </font>
    <font>
      <b/>
      <sz val="10"/>
      <color theme="0"/>
      <name val="Arial"/>
      <family val="2"/>
    </font>
    <font>
      <sz val="11"/>
      <name val="Arial"/>
      <family val="2"/>
    </font>
    <font>
      <b/>
      <sz val="11"/>
      <color theme="1"/>
      <name val="Arial"/>
      <family val="2"/>
    </font>
    <font>
      <sz val="10"/>
      <color theme="1"/>
      <name val="Arial"/>
      <family val="2"/>
    </font>
    <font>
      <u/>
      <sz val="11"/>
      <color theme="11"/>
      <name val="Calibri"/>
      <family val="2"/>
      <scheme val="minor"/>
    </font>
    <font>
      <sz val="11"/>
      <color theme="1"/>
      <name val="Arial Black"/>
      <family val="2"/>
    </font>
    <font>
      <b/>
      <sz val="11"/>
      <name val="Arial"/>
      <family val="2"/>
    </font>
    <font>
      <sz val="16"/>
      <color theme="0"/>
      <name val="Arial Black"/>
      <family val="2"/>
    </font>
    <font>
      <b/>
      <i/>
      <sz val="12"/>
      <color theme="0"/>
      <name val="Arial"/>
      <family val="2"/>
    </font>
    <font>
      <b/>
      <sz val="8"/>
      <color indexed="9"/>
      <name val="Arial"/>
      <family val="2"/>
    </font>
    <font>
      <sz val="8"/>
      <color indexed="9"/>
      <name val="Arial"/>
      <family val="2"/>
    </font>
    <font>
      <sz val="10"/>
      <name val="Arial"/>
      <family val="2"/>
    </font>
    <font>
      <sz val="12"/>
      <color theme="1"/>
      <name val="Arial Black"/>
      <family val="2"/>
    </font>
    <font>
      <b/>
      <sz val="11"/>
      <color indexed="9"/>
      <name val="Arial"/>
      <family val="2"/>
    </font>
    <font>
      <sz val="11"/>
      <color indexed="9"/>
      <name val="Arial"/>
      <family val="2"/>
    </font>
    <font>
      <b/>
      <sz val="9"/>
      <color indexed="9"/>
      <name val="Arial"/>
      <family val="2"/>
    </font>
    <font>
      <sz val="9"/>
      <name val="Arial"/>
      <family val="2"/>
    </font>
    <font>
      <sz val="9"/>
      <color theme="0"/>
      <name val="Arial"/>
      <family val="2"/>
    </font>
    <font>
      <b/>
      <sz val="10"/>
      <color theme="1"/>
      <name val="Arial"/>
      <family val="2"/>
    </font>
    <font>
      <b/>
      <sz val="9"/>
      <color theme="1"/>
      <name val="Arial"/>
      <family val="2"/>
    </font>
    <font>
      <sz val="11"/>
      <color theme="0"/>
      <name val="Arial Black"/>
      <family val="2"/>
    </font>
    <font>
      <sz val="10"/>
      <color theme="0"/>
      <name val="Arial"/>
      <family val="2"/>
    </font>
    <font>
      <u/>
      <sz val="11"/>
      <color theme="10"/>
      <name val="Calibri"/>
      <family val="2"/>
      <scheme val="minor"/>
    </font>
    <font>
      <sz val="11"/>
      <color theme="0"/>
      <name val="Calibri"/>
      <family val="2"/>
      <scheme val="minor"/>
    </font>
    <font>
      <sz val="8"/>
      <color theme="1"/>
      <name val="Arial"/>
      <family val="2"/>
    </font>
    <font>
      <sz val="18"/>
      <color theme="0"/>
      <name val="Arial"/>
      <family val="2"/>
    </font>
    <font>
      <sz val="11"/>
      <color theme="0"/>
      <name val="Calibri"/>
      <family val="2"/>
      <scheme val="minor"/>
    </font>
    <font>
      <sz val="8"/>
      <color theme="1"/>
      <name val="Arial"/>
      <family val="2"/>
    </font>
    <font>
      <b/>
      <sz val="8"/>
      <color theme="1"/>
      <name val="Arial"/>
      <family val="2"/>
    </font>
    <font>
      <b/>
      <sz val="8"/>
      <color theme="0"/>
      <name val="Arial"/>
      <family val="2"/>
    </font>
    <font>
      <sz val="18"/>
      <color theme="0"/>
      <name val="Arial Black"/>
      <family val="2"/>
    </font>
    <font>
      <sz val="8"/>
      <color theme="0"/>
      <name val="Arial"/>
      <family val="2"/>
    </font>
    <font>
      <b/>
      <sz val="10"/>
      <name val="Arial"/>
      <family val="2"/>
    </font>
    <font>
      <sz val="11"/>
      <color theme="2" tint="-0.499984740745262"/>
      <name val="Arial"/>
      <family val="2"/>
    </font>
    <font>
      <i/>
      <sz val="16"/>
      <color theme="1"/>
      <name val="Arial Black"/>
      <family val="2"/>
    </font>
    <font>
      <b/>
      <i/>
      <sz val="11"/>
      <color theme="1"/>
      <name val="Arial"/>
      <family val="2"/>
    </font>
    <font>
      <sz val="14"/>
      <color theme="0"/>
      <name val="Arial Black"/>
      <family val="2"/>
    </font>
    <font>
      <b/>
      <i/>
      <sz val="14"/>
      <color rgb="FF000066"/>
      <name val="Arial"/>
      <family val="2"/>
    </font>
    <font>
      <u/>
      <sz val="11"/>
      <color rgb="FF000066"/>
      <name val="Arial Black"/>
      <family val="2"/>
    </font>
    <font>
      <b/>
      <sz val="9"/>
      <name val="Arial"/>
      <family val="2"/>
    </font>
    <font>
      <b/>
      <i/>
      <sz val="10"/>
      <color theme="1"/>
      <name val="Arial"/>
      <family val="2"/>
    </font>
    <font>
      <b/>
      <sz val="10"/>
      <color theme="0"/>
      <name val="Arial Black"/>
      <family val="2"/>
    </font>
    <font>
      <b/>
      <sz val="11"/>
      <color theme="0"/>
      <name val="Arial Black"/>
      <family val="2"/>
    </font>
    <font>
      <b/>
      <sz val="8"/>
      <name val="Arial Narrow"/>
      <family val="2"/>
    </font>
    <font>
      <sz val="9"/>
      <color theme="1"/>
      <name val="Arial Narrow"/>
      <family val="2"/>
    </font>
    <font>
      <sz val="8"/>
      <color theme="1"/>
      <name val="Arial Narrow"/>
      <family val="2"/>
    </font>
    <font>
      <sz val="11"/>
      <color theme="1"/>
      <name val="Arial Narrow"/>
      <family val="2"/>
    </font>
    <font>
      <sz val="11"/>
      <color theme="0"/>
      <name val="Arial Narrow"/>
      <family val="2"/>
    </font>
    <font>
      <sz val="9"/>
      <color theme="0"/>
      <name val="Arial Narrow"/>
      <family val="2"/>
    </font>
    <font>
      <sz val="10"/>
      <color theme="0"/>
      <name val="Arial Narrow"/>
      <family val="2"/>
    </font>
    <font>
      <b/>
      <sz val="9"/>
      <color theme="0"/>
      <name val="Arial Narrow"/>
      <family val="2"/>
    </font>
    <font>
      <b/>
      <sz val="8"/>
      <color theme="0"/>
      <name val="Arial Narrow"/>
      <family val="2"/>
    </font>
    <font>
      <b/>
      <sz val="8"/>
      <color theme="1"/>
      <name val="Arial Narrow"/>
      <family val="2"/>
    </font>
    <font>
      <sz val="8"/>
      <color theme="0"/>
      <name val="Arial Black"/>
      <family val="2"/>
    </font>
    <font>
      <sz val="14"/>
      <color theme="1"/>
      <name val="Arial Black"/>
      <family val="2"/>
    </font>
    <font>
      <sz val="8"/>
      <name val="Arial"/>
      <family val="2"/>
    </font>
    <font>
      <b/>
      <sz val="7"/>
      <color theme="1"/>
      <name val="Arial Narrow"/>
      <family val="2"/>
    </font>
    <font>
      <sz val="8"/>
      <color theme="0"/>
      <name val="Arial Narrow"/>
      <family val="2"/>
    </font>
    <font>
      <b/>
      <sz val="11"/>
      <color rgb="FF000099"/>
      <name val="Arial"/>
      <family val="2"/>
    </font>
    <font>
      <b/>
      <sz val="10"/>
      <color theme="0"/>
      <name val="Arial Narrow"/>
      <family val="2"/>
    </font>
    <font>
      <b/>
      <i/>
      <sz val="10"/>
      <color theme="0"/>
      <name val="Arial"/>
      <family val="2"/>
    </font>
    <font>
      <b/>
      <sz val="10"/>
      <color theme="1" tint="4.9989318521683403E-2"/>
      <name val="Arial Black"/>
      <family val="2"/>
    </font>
    <font>
      <sz val="11"/>
      <name val="Arial Narrow"/>
      <family val="2"/>
    </font>
    <font>
      <sz val="20"/>
      <color theme="0"/>
      <name val="Arial Black"/>
      <family val="2"/>
    </font>
    <font>
      <i/>
      <sz val="10"/>
      <color theme="1"/>
      <name val="Arial"/>
      <family val="2"/>
    </font>
    <font>
      <sz val="8"/>
      <name val="Calibri"/>
      <family val="2"/>
      <scheme val="minor"/>
    </font>
    <font>
      <sz val="10"/>
      <name val="Tahoma"/>
      <family val="2"/>
    </font>
    <font>
      <sz val="18"/>
      <name val="Arial Black"/>
      <family val="2"/>
    </font>
    <font>
      <sz val="11"/>
      <name val="Calibri"/>
      <family val="2"/>
      <scheme val="minor"/>
    </font>
    <font>
      <b/>
      <sz val="8"/>
      <name val="Arial"/>
      <family val="2"/>
    </font>
    <font>
      <b/>
      <sz val="6"/>
      <color theme="0"/>
      <name val="Arial"/>
      <family val="2"/>
    </font>
    <font>
      <sz val="7"/>
      <name val="Arial"/>
      <family val="2"/>
    </font>
    <font>
      <sz val="7"/>
      <color theme="1"/>
      <name val="Arial"/>
      <family val="2"/>
    </font>
    <font>
      <sz val="9"/>
      <color indexed="81"/>
      <name val="Tahoma"/>
      <family val="2"/>
    </font>
    <font>
      <b/>
      <sz val="9"/>
      <color indexed="81"/>
      <name val="Tahoma"/>
      <family val="2"/>
    </font>
    <font>
      <b/>
      <sz val="7"/>
      <name val="Arial"/>
      <family val="2"/>
    </font>
    <font>
      <sz val="6"/>
      <color theme="0"/>
      <name val="Arial"/>
      <family val="2"/>
    </font>
    <font>
      <sz val="5"/>
      <color theme="0"/>
      <name val="Arial"/>
      <family val="2"/>
    </font>
    <font>
      <sz val="10"/>
      <color rgb="FF000066"/>
      <name val="Arial Black"/>
      <family val="2"/>
    </font>
    <font>
      <b/>
      <sz val="9"/>
      <color rgb="FFDDC723"/>
      <name val="Arial"/>
      <family val="2"/>
    </font>
    <font>
      <b/>
      <sz val="8"/>
      <color rgb="FFDDC723"/>
      <name val="Arial"/>
      <family val="2"/>
    </font>
    <font>
      <sz val="10"/>
      <color theme="1"/>
      <name val="Arial Black"/>
      <family val="2"/>
    </font>
    <font>
      <sz val="12"/>
      <color rgb="FFDDC723"/>
      <name val="Arial Black"/>
      <family val="2"/>
    </font>
    <font>
      <b/>
      <i/>
      <sz val="9"/>
      <color theme="0"/>
      <name val="Arial"/>
      <family val="2"/>
    </font>
    <font>
      <sz val="11"/>
      <color rgb="FF002060"/>
      <name val="Arial Black"/>
      <family val="2"/>
    </font>
    <font>
      <u/>
      <sz val="10"/>
      <color rgb="FF002060"/>
      <name val="Arial Black"/>
      <family val="2"/>
    </font>
    <font>
      <sz val="10"/>
      <color rgb="FF002060"/>
      <name val="Arial Black"/>
      <family val="2"/>
    </font>
    <font>
      <b/>
      <i/>
      <sz val="10"/>
      <color rgb="FF002060"/>
      <name val="Arial"/>
      <family val="2"/>
    </font>
    <font>
      <sz val="9"/>
      <color rgb="FFDDC723"/>
      <name val="Arial Black"/>
      <family val="2"/>
    </font>
    <font>
      <sz val="14"/>
      <color rgb="FF002060"/>
      <name val="Magneto"/>
      <family val="5"/>
    </font>
    <font>
      <sz val="8"/>
      <color rgb="FF002060"/>
      <name val="Arial"/>
      <family val="2"/>
    </font>
    <font>
      <b/>
      <sz val="14"/>
      <color rgb="FFC7B31F"/>
      <name val="Arial Black"/>
      <family val="2"/>
    </font>
    <font>
      <b/>
      <i/>
      <sz val="9"/>
      <color rgb="FF002060"/>
      <name val="Arial Black"/>
      <family val="2"/>
    </font>
    <font>
      <sz val="9"/>
      <color rgb="FF002060"/>
      <name val="Arial Black"/>
      <family val="2"/>
    </font>
    <font>
      <b/>
      <sz val="7.5"/>
      <color theme="1"/>
      <name val="Arial Black"/>
      <family val="2"/>
    </font>
    <font>
      <u/>
      <sz val="8"/>
      <name val="Arial"/>
      <family val="2"/>
    </font>
    <font>
      <b/>
      <sz val="10"/>
      <color rgb="FF002060"/>
      <name val="Arial"/>
      <family val="2"/>
    </font>
    <font>
      <sz val="14"/>
      <color rgb="FF002060"/>
      <name val="Arial Black"/>
      <family val="2"/>
    </font>
    <font>
      <b/>
      <sz val="7"/>
      <color theme="1"/>
      <name val="Arial"/>
      <family val="2"/>
    </font>
    <font>
      <sz val="9"/>
      <color theme="0"/>
      <name val="Arial Black"/>
      <family val="2"/>
    </font>
  </fonts>
  <fills count="35">
    <fill>
      <patternFill patternType="none"/>
    </fill>
    <fill>
      <patternFill patternType="gray125"/>
    </fill>
    <fill>
      <patternFill patternType="solid">
        <fgColor rgb="FFFFFF00"/>
        <bgColor indexed="64"/>
      </patternFill>
    </fill>
    <fill>
      <patternFill patternType="solid">
        <fgColor theme="2" tint="-0.89999084444715716"/>
        <bgColor indexed="64"/>
      </patternFill>
    </fill>
    <fill>
      <patternFill patternType="solid">
        <fgColor theme="2" tint="-0.499984740745262"/>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2" tint="-9.9978637043366805E-2"/>
        <bgColor indexed="64"/>
      </patternFill>
    </fill>
    <fill>
      <patternFill patternType="solid">
        <fgColor theme="1" tint="4.9989318521683403E-2"/>
        <bgColor indexed="64"/>
      </patternFill>
    </fill>
    <fill>
      <patternFill patternType="solid">
        <fgColor rgb="FFFF0000"/>
        <bgColor indexed="64"/>
      </patternFill>
    </fill>
    <fill>
      <patternFill patternType="solid">
        <fgColor rgb="FF0070C0"/>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theme="6" tint="-0.249977111117893"/>
        <bgColor indexed="64"/>
      </patternFill>
    </fill>
    <fill>
      <patternFill patternType="solid">
        <fgColor theme="0" tint="-0.249977111117893"/>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4" tint="0.59999389629810485"/>
        <bgColor indexed="64"/>
      </patternFill>
    </fill>
    <fill>
      <patternFill patternType="solid">
        <fgColor rgb="FFC00000"/>
        <bgColor indexed="64"/>
      </patternFill>
    </fill>
    <fill>
      <patternFill patternType="solid">
        <fgColor rgb="FFFFFFCC"/>
        <bgColor indexed="64"/>
      </patternFill>
    </fill>
    <fill>
      <patternFill patternType="solid">
        <fgColor theme="9" tint="-0.249977111117893"/>
        <bgColor indexed="64"/>
      </patternFill>
    </fill>
    <fill>
      <patternFill patternType="solid">
        <fgColor theme="1" tint="0.14999847407452621"/>
        <bgColor indexed="64"/>
      </patternFill>
    </fill>
    <fill>
      <patternFill patternType="solid">
        <fgColor theme="9" tint="-0.499984740745262"/>
        <bgColor indexed="64"/>
      </patternFill>
    </fill>
    <fill>
      <patternFill patternType="solid">
        <fgColor theme="1"/>
        <bgColor indexed="64"/>
      </patternFill>
    </fill>
    <fill>
      <patternFill patternType="solid">
        <fgColor theme="0"/>
        <bgColor indexed="64"/>
      </patternFill>
    </fill>
    <fill>
      <patternFill patternType="solid">
        <fgColor rgb="FFA14D07"/>
        <bgColor indexed="64"/>
      </patternFill>
    </fill>
    <fill>
      <patternFill patternType="solid">
        <fgColor rgb="FF4D2403"/>
        <bgColor indexed="64"/>
      </patternFill>
    </fill>
    <fill>
      <patternFill patternType="solid">
        <fgColor rgb="FFDDC723"/>
        <bgColor indexed="64"/>
      </patternFill>
    </fill>
    <fill>
      <patternFill patternType="solid">
        <fgColor rgb="FF002060"/>
        <bgColor indexed="64"/>
      </patternFill>
    </fill>
    <fill>
      <patternFill patternType="solid">
        <fgColor rgb="FFC7B31F"/>
        <bgColor indexed="64"/>
      </patternFill>
    </fill>
    <fill>
      <patternFill patternType="solid">
        <fgColor rgb="FFD1D147"/>
        <bgColor indexed="64"/>
      </patternFill>
    </fill>
  </fills>
  <borders count="226">
    <border>
      <left/>
      <right/>
      <top/>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top style="medium">
        <color auto="1"/>
      </top>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thin">
        <color auto="1"/>
      </left>
      <right style="medium">
        <color auto="1"/>
      </right>
      <top style="thin">
        <color auto="1"/>
      </top>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style="thin">
        <color auto="1"/>
      </left>
      <right/>
      <top style="thin">
        <color auto="1"/>
      </top>
      <bottom style="medium">
        <color auto="1"/>
      </bottom>
      <diagonal/>
    </border>
    <border>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thin">
        <color auto="1"/>
      </right>
      <top/>
      <bottom style="medium">
        <color auto="1"/>
      </bottom>
      <diagonal/>
    </border>
    <border>
      <left/>
      <right style="medium">
        <color auto="1"/>
      </right>
      <top style="thin">
        <color auto="1"/>
      </top>
      <bottom style="thin">
        <color auto="1"/>
      </bottom>
      <diagonal/>
    </border>
    <border>
      <left style="thin">
        <color auto="1"/>
      </left>
      <right style="medium">
        <color auto="1"/>
      </right>
      <top/>
      <bottom style="medium">
        <color auto="1"/>
      </bottom>
      <diagonal/>
    </border>
    <border>
      <left/>
      <right style="thick">
        <color theme="0"/>
      </right>
      <top/>
      <bottom style="thick">
        <color auto="1"/>
      </bottom>
      <diagonal/>
    </border>
    <border>
      <left style="thick">
        <color theme="0"/>
      </left>
      <right style="thick">
        <color theme="0"/>
      </right>
      <top/>
      <bottom style="thick">
        <color auto="1"/>
      </bottom>
      <diagonal/>
    </border>
    <border>
      <left style="thick">
        <color theme="0"/>
      </left>
      <right/>
      <top/>
      <bottom style="thick">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style="thin">
        <color auto="1"/>
      </top>
      <bottom style="thin">
        <color auto="1"/>
      </bottom>
      <diagonal/>
    </border>
    <border>
      <left style="thin">
        <color auto="1"/>
      </left>
      <right style="thick">
        <color auto="1"/>
      </right>
      <top style="thin">
        <color auto="1"/>
      </top>
      <bottom style="thin">
        <color auto="1"/>
      </bottom>
      <diagonal/>
    </border>
    <border>
      <left style="thick">
        <color auto="1"/>
      </left>
      <right/>
      <top style="thin">
        <color auto="1"/>
      </top>
      <bottom/>
      <diagonal/>
    </border>
    <border>
      <left style="thin">
        <color auto="1"/>
      </left>
      <right style="thick">
        <color auto="1"/>
      </right>
      <top style="thin">
        <color auto="1"/>
      </top>
      <bottom/>
      <diagonal/>
    </border>
    <border>
      <left style="thick">
        <color auto="1"/>
      </left>
      <right/>
      <top/>
      <bottom/>
      <diagonal/>
    </border>
    <border>
      <left/>
      <right style="thick">
        <color auto="1"/>
      </right>
      <top/>
      <bottom/>
      <diagonal/>
    </border>
    <border>
      <left style="thick">
        <color auto="1"/>
      </left>
      <right style="thin">
        <color auto="1"/>
      </right>
      <top style="thin">
        <color auto="1"/>
      </top>
      <bottom style="thin">
        <color auto="1"/>
      </bottom>
      <diagonal/>
    </border>
    <border>
      <left style="thin">
        <color auto="1"/>
      </left>
      <right style="thick">
        <color auto="1"/>
      </right>
      <top/>
      <bottom/>
      <diagonal/>
    </border>
    <border>
      <left style="thick">
        <color auto="1"/>
      </left>
      <right style="thin">
        <color auto="1"/>
      </right>
      <top style="thin">
        <color auto="1"/>
      </top>
      <bottom/>
      <diagonal/>
    </border>
    <border>
      <left style="thick">
        <color auto="1"/>
      </left>
      <right style="thin">
        <color auto="1"/>
      </right>
      <top style="thin">
        <color auto="1"/>
      </top>
      <bottom style="thick">
        <color auto="1"/>
      </bottom>
      <diagonal/>
    </border>
    <border>
      <left style="thin">
        <color auto="1"/>
      </left>
      <right style="thin">
        <color auto="1"/>
      </right>
      <top style="thin">
        <color auto="1"/>
      </top>
      <bottom style="thick">
        <color auto="1"/>
      </bottom>
      <diagonal/>
    </border>
    <border>
      <left style="thin">
        <color auto="1"/>
      </left>
      <right/>
      <top style="thin">
        <color auto="1"/>
      </top>
      <bottom style="thick">
        <color auto="1"/>
      </bottom>
      <diagonal/>
    </border>
    <border>
      <left/>
      <right style="thick">
        <color auto="1"/>
      </right>
      <top/>
      <bottom style="thick">
        <color auto="1"/>
      </bottom>
      <diagonal/>
    </border>
    <border>
      <left style="medium">
        <color auto="1"/>
      </left>
      <right/>
      <top style="medium">
        <color auto="1"/>
      </top>
      <bottom style="thin">
        <color auto="1"/>
      </bottom>
      <diagonal/>
    </border>
    <border>
      <left style="medium">
        <color auto="1"/>
      </left>
      <right style="medium">
        <color auto="1"/>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medium">
        <color auto="1"/>
      </left>
      <right style="medium">
        <color auto="1"/>
      </right>
      <top style="thin">
        <color auto="1"/>
      </top>
      <bottom style="thin">
        <color auto="1"/>
      </bottom>
      <diagonal/>
    </border>
    <border>
      <left/>
      <right/>
      <top style="thin">
        <color auto="1"/>
      </top>
      <bottom style="thin">
        <color auto="1"/>
      </bottom>
      <diagonal/>
    </border>
    <border>
      <left style="medium">
        <color auto="1"/>
      </left>
      <right/>
      <top style="thin">
        <color auto="1"/>
      </top>
      <bottom/>
      <diagonal/>
    </border>
    <border>
      <left style="medium">
        <color auto="1"/>
      </left>
      <right/>
      <top style="thin">
        <color auto="1"/>
      </top>
      <bottom style="medium">
        <color auto="1"/>
      </bottom>
      <diagonal/>
    </border>
    <border>
      <left style="medium">
        <color auto="1"/>
      </left>
      <right style="medium">
        <color auto="1"/>
      </right>
      <top style="thin">
        <color auto="1"/>
      </top>
      <bottom style="medium">
        <color auto="1"/>
      </bottom>
      <diagonal/>
    </border>
    <border>
      <left/>
      <right/>
      <top style="thin">
        <color auto="1"/>
      </top>
      <bottom style="medium">
        <color auto="1"/>
      </bottom>
      <diagonal/>
    </border>
    <border>
      <left/>
      <right style="medium">
        <color auto="1"/>
      </right>
      <top style="thin">
        <color auto="1"/>
      </top>
      <bottom style="medium">
        <color auto="1"/>
      </bottom>
      <diagonal/>
    </border>
    <border>
      <left style="thin">
        <color auto="1"/>
      </left>
      <right/>
      <top style="medium">
        <color auto="1"/>
      </top>
      <bottom style="thin">
        <color auto="1"/>
      </bottom>
      <diagonal/>
    </border>
    <border>
      <left style="medium">
        <color theme="0"/>
      </left>
      <right style="medium">
        <color theme="0"/>
      </right>
      <top style="medium">
        <color auto="1"/>
      </top>
      <bottom/>
      <diagonal/>
    </border>
    <border>
      <left style="medium">
        <color theme="0"/>
      </left>
      <right style="medium">
        <color auto="1"/>
      </right>
      <top style="medium">
        <color auto="1"/>
      </top>
      <bottom/>
      <diagonal/>
    </border>
    <border>
      <left style="thin">
        <color auto="1"/>
      </left>
      <right/>
      <top style="thin">
        <color auto="1"/>
      </top>
      <bottom style="thin">
        <color auto="1"/>
      </bottom>
      <diagonal/>
    </border>
    <border>
      <left style="medium">
        <color theme="0"/>
      </left>
      <right style="medium">
        <color theme="0"/>
      </right>
      <top/>
      <bottom style="thin">
        <color auto="1"/>
      </bottom>
      <diagonal/>
    </border>
    <border>
      <left style="medium">
        <color theme="0"/>
      </left>
      <right style="medium">
        <color auto="1"/>
      </right>
      <top/>
      <bottom style="thin">
        <color auto="1"/>
      </bottom>
      <diagonal/>
    </border>
    <border>
      <left/>
      <right style="medium">
        <color auto="1"/>
      </right>
      <top/>
      <bottom style="thin">
        <color auto="1"/>
      </bottom>
      <diagonal/>
    </border>
    <border>
      <left style="medium">
        <color auto="1"/>
      </left>
      <right/>
      <top/>
      <bottom style="thin">
        <color auto="1"/>
      </bottom>
      <diagonal/>
    </border>
    <border>
      <left/>
      <right/>
      <top/>
      <bottom style="thin">
        <color auto="1"/>
      </bottom>
      <diagonal/>
    </border>
    <border>
      <left/>
      <right style="medium">
        <color auto="1"/>
      </right>
      <top style="thin">
        <color auto="1"/>
      </top>
      <bottom/>
      <diagonal/>
    </border>
    <border>
      <left style="medium">
        <color auto="1"/>
      </left>
      <right style="medium">
        <color auto="1"/>
      </right>
      <top style="thin">
        <color auto="1"/>
      </top>
      <bottom/>
      <diagonal/>
    </border>
    <border>
      <left/>
      <right/>
      <top style="thin">
        <color auto="1"/>
      </top>
      <bottom/>
      <diagonal/>
    </border>
    <border>
      <left style="medium">
        <color theme="0"/>
      </left>
      <right/>
      <top style="medium">
        <color auto="1"/>
      </top>
      <bottom/>
      <diagonal/>
    </border>
    <border>
      <left style="thin">
        <color auto="1"/>
      </left>
      <right/>
      <top/>
      <bottom style="medium">
        <color auto="1"/>
      </bottom>
      <diagonal/>
    </border>
    <border>
      <left/>
      <right style="thin">
        <color auto="1"/>
      </right>
      <top/>
      <bottom style="medium">
        <color auto="1"/>
      </bottom>
      <diagonal/>
    </border>
    <border>
      <left/>
      <right/>
      <top style="medium">
        <color auto="1"/>
      </top>
      <bottom style="medium">
        <color auto="1"/>
      </bottom>
      <diagonal/>
    </border>
    <border>
      <left style="thin">
        <color auto="1"/>
      </left>
      <right/>
      <top style="medium">
        <color auto="1"/>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style="thin">
        <color auto="1"/>
      </right>
      <top style="thin">
        <color auto="1"/>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right style="thin">
        <color auto="1"/>
      </right>
      <top style="medium">
        <color auto="1"/>
      </top>
      <bottom style="thin">
        <color auto="1"/>
      </bottom>
      <diagonal/>
    </border>
    <border>
      <left style="thick">
        <color auto="1"/>
      </left>
      <right style="thick">
        <color auto="1"/>
      </right>
      <top/>
      <bottom style="thick">
        <color auto="1"/>
      </bottom>
      <diagonal/>
    </border>
    <border>
      <left style="thin">
        <color auto="1"/>
      </left>
      <right style="thin">
        <color auto="1"/>
      </right>
      <top/>
      <bottom/>
      <diagonal/>
    </border>
    <border>
      <left style="medium">
        <color theme="2" tint="-0.749961851863155"/>
      </left>
      <right style="medium">
        <color theme="2" tint="-0.749961851863155"/>
      </right>
      <top style="medium">
        <color theme="2" tint="-0.749961851863155"/>
      </top>
      <bottom style="thin">
        <color auto="1"/>
      </bottom>
      <diagonal/>
    </border>
    <border>
      <left style="medium">
        <color theme="2" tint="-0.749961851863155"/>
      </left>
      <right style="medium">
        <color theme="2" tint="-0.749961851863155"/>
      </right>
      <top/>
      <bottom style="thin">
        <color auto="1"/>
      </bottom>
      <diagonal/>
    </border>
    <border>
      <left style="medium">
        <color theme="2" tint="-0.499984740745262"/>
      </left>
      <right/>
      <top style="medium">
        <color theme="2" tint="-0.499984740745262"/>
      </top>
      <bottom style="medium">
        <color theme="2" tint="-0.499984740745262"/>
      </bottom>
      <diagonal/>
    </border>
    <border>
      <left/>
      <right/>
      <top style="medium">
        <color theme="2" tint="-0.499984740745262"/>
      </top>
      <bottom style="medium">
        <color theme="2" tint="-0.499984740745262"/>
      </bottom>
      <diagonal/>
    </border>
    <border>
      <left/>
      <right style="thin">
        <color auto="1"/>
      </right>
      <top style="medium">
        <color theme="2" tint="-0.499984740745262"/>
      </top>
      <bottom style="medium">
        <color theme="2" tint="-0.499984740745262"/>
      </bottom>
      <diagonal/>
    </border>
    <border>
      <left style="medium">
        <color theme="2" tint="-0.749961851863155"/>
      </left>
      <right style="thin">
        <color theme="2" tint="-0.499984740745262"/>
      </right>
      <top style="thin">
        <color auto="1"/>
      </top>
      <bottom style="thin">
        <color auto="1"/>
      </bottom>
      <diagonal/>
    </border>
    <border>
      <left style="thin">
        <color theme="2" tint="-0.499984740745262"/>
      </left>
      <right style="thin">
        <color theme="2" tint="-0.499984740745262"/>
      </right>
      <top style="thin">
        <color auto="1"/>
      </top>
      <bottom style="thin">
        <color auto="1"/>
      </bottom>
      <diagonal/>
    </border>
    <border>
      <left style="thin">
        <color theme="2" tint="-0.499984740745262"/>
      </left>
      <right style="thin">
        <color auto="1"/>
      </right>
      <top style="thin">
        <color auto="1"/>
      </top>
      <bottom style="thin">
        <color auto="1"/>
      </bottom>
      <diagonal/>
    </border>
    <border>
      <left style="medium">
        <color rgb="FFFFC000"/>
      </left>
      <right style="medium">
        <color rgb="FFFFC000"/>
      </right>
      <top style="medium">
        <color rgb="FFFFC000"/>
      </top>
      <bottom style="medium">
        <color rgb="FFFFC000"/>
      </bottom>
      <diagonal/>
    </border>
    <border>
      <left style="medium">
        <color auto="1"/>
      </left>
      <right style="medium">
        <color auto="1"/>
      </right>
      <top style="medium">
        <color auto="1"/>
      </top>
      <bottom/>
      <diagonal/>
    </border>
    <border>
      <left style="medium">
        <color rgb="FF002060"/>
      </left>
      <right style="medium">
        <color rgb="FF002060"/>
      </right>
      <top style="medium">
        <color rgb="FF002060"/>
      </top>
      <bottom style="medium">
        <color rgb="FF002060"/>
      </bottom>
      <diagonal/>
    </border>
    <border>
      <left style="medium">
        <color auto="1"/>
      </left>
      <right style="medium">
        <color auto="1"/>
      </right>
      <top/>
      <bottom/>
      <diagonal/>
    </border>
    <border>
      <left style="thick">
        <color auto="1"/>
      </left>
      <right style="thin">
        <color auto="1"/>
      </right>
      <top style="thick">
        <color auto="1"/>
      </top>
      <bottom style="thin">
        <color auto="1"/>
      </bottom>
      <diagonal/>
    </border>
    <border>
      <left style="thin">
        <color auto="1"/>
      </left>
      <right style="thin">
        <color auto="1"/>
      </right>
      <top style="thick">
        <color auto="1"/>
      </top>
      <bottom style="thin">
        <color auto="1"/>
      </bottom>
      <diagonal/>
    </border>
    <border>
      <left style="thin">
        <color auto="1"/>
      </left>
      <right/>
      <top style="thick">
        <color auto="1"/>
      </top>
      <bottom style="thin">
        <color auto="1"/>
      </bottom>
      <diagonal/>
    </border>
    <border>
      <left style="thin">
        <color auto="1"/>
      </left>
      <right style="thick">
        <color auto="1"/>
      </right>
      <top style="thick">
        <color auto="1"/>
      </top>
      <bottom style="thin">
        <color auto="1"/>
      </bottom>
      <diagonal/>
    </border>
    <border>
      <left style="thin">
        <color auto="1"/>
      </left>
      <right style="thick">
        <color auto="1"/>
      </right>
      <top style="thin">
        <color auto="1"/>
      </top>
      <bottom style="thick">
        <color auto="1"/>
      </bottom>
      <diagonal/>
    </border>
    <border>
      <left style="thin">
        <color auto="1"/>
      </left>
      <right/>
      <top/>
      <bottom style="thick">
        <color auto="1"/>
      </bottom>
      <diagonal/>
    </border>
    <border>
      <left/>
      <right style="thin">
        <color auto="1"/>
      </right>
      <top/>
      <bottom style="thick">
        <color auto="1"/>
      </bottom>
      <diagonal/>
    </border>
    <border>
      <left style="thick">
        <color auto="1"/>
      </left>
      <right/>
      <top style="thick">
        <color auto="1"/>
      </top>
      <bottom style="thin">
        <color auto="1"/>
      </bottom>
      <diagonal/>
    </border>
    <border>
      <left/>
      <right/>
      <top style="thick">
        <color auto="1"/>
      </top>
      <bottom style="thin">
        <color auto="1"/>
      </bottom>
      <diagonal/>
    </border>
    <border>
      <left/>
      <right style="thick">
        <color auto="1"/>
      </right>
      <top style="thick">
        <color auto="1"/>
      </top>
      <bottom style="thin">
        <color auto="1"/>
      </bottom>
      <diagonal/>
    </border>
    <border>
      <left/>
      <right style="thick">
        <color auto="1"/>
      </right>
      <top style="thin">
        <color auto="1"/>
      </top>
      <bottom style="thin">
        <color auto="1"/>
      </bottom>
      <diagonal/>
    </border>
    <border>
      <left/>
      <right/>
      <top style="thin">
        <color auto="1"/>
      </top>
      <bottom style="thick">
        <color auto="1"/>
      </bottom>
      <diagonal/>
    </border>
    <border>
      <left/>
      <right style="thick">
        <color auto="1"/>
      </right>
      <top style="thin">
        <color auto="1"/>
      </top>
      <bottom style="thick">
        <color auto="1"/>
      </bottom>
      <diagonal/>
    </border>
    <border>
      <left style="medium">
        <color auto="1"/>
      </left>
      <right style="thin">
        <color auto="1"/>
      </right>
      <top/>
      <bottom/>
      <diagonal/>
    </border>
    <border>
      <left style="thin">
        <color auto="1"/>
      </left>
      <right style="medium">
        <color auto="1"/>
      </right>
      <top/>
      <bottom/>
      <diagonal/>
    </border>
    <border>
      <left style="dashed">
        <color auto="1"/>
      </left>
      <right style="dashed">
        <color auto="1"/>
      </right>
      <top style="medium">
        <color auto="1"/>
      </top>
      <bottom style="medium">
        <color auto="1"/>
      </bottom>
      <diagonal/>
    </border>
    <border>
      <left style="dashed">
        <color auto="1"/>
      </left>
      <right style="dashed">
        <color auto="1"/>
      </right>
      <top style="thin">
        <color auto="1"/>
      </top>
      <bottom style="thick">
        <color auto="1"/>
      </bottom>
      <diagonal/>
    </border>
    <border>
      <left style="dashed">
        <color auto="1"/>
      </left>
      <right style="thick">
        <color auto="1"/>
      </right>
      <top style="thin">
        <color auto="1"/>
      </top>
      <bottom style="thick">
        <color auto="1"/>
      </bottom>
      <diagonal/>
    </border>
    <border>
      <left style="thick">
        <color rgb="FFFFFF00"/>
      </left>
      <right style="thick">
        <color rgb="FFFFFF00"/>
      </right>
      <top style="thick">
        <color rgb="FFFFFF00"/>
      </top>
      <bottom style="thick">
        <color rgb="FFFFFF00"/>
      </bottom>
      <diagonal/>
    </border>
    <border>
      <left/>
      <right style="thin">
        <color auto="1"/>
      </right>
      <top style="thick">
        <color auto="1"/>
      </top>
      <bottom style="thin">
        <color auto="1"/>
      </bottom>
      <diagonal/>
    </border>
    <border>
      <left/>
      <right style="thin">
        <color auto="1"/>
      </right>
      <top style="thin">
        <color auto="1"/>
      </top>
      <bottom style="thick">
        <color auto="1"/>
      </bottom>
      <diagonal/>
    </border>
    <border>
      <left/>
      <right style="dashed">
        <color auto="1"/>
      </right>
      <top/>
      <bottom style="medium">
        <color auto="1"/>
      </bottom>
      <diagonal/>
    </border>
    <border>
      <left/>
      <right style="medium">
        <color rgb="FFFFC000"/>
      </right>
      <top style="medium">
        <color rgb="FFFFC000"/>
      </top>
      <bottom style="medium">
        <color rgb="FFFFC000"/>
      </bottom>
      <diagonal/>
    </border>
    <border>
      <left style="medium">
        <color auto="1"/>
      </left>
      <right style="medium">
        <color auto="1"/>
      </right>
      <top style="medium">
        <color auto="1"/>
      </top>
      <bottom style="medium">
        <color auto="1"/>
      </bottom>
      <diagonal/>
    </border>
    <border>
      <left style="dashed">
        <color auto="1"/>
      </left>
      <right style="dashed">
        <color auto="1"/>
      </right>
      <top style="medium">
        <color auto="1"/>
      </top>
      <bottom style="thin">
        <color auto="1"/>
      </bottom>
      <diagonal/>
    </border>
    <border>
      <left style="dashed">
        <color auto="1"/>
      </left>
      <right style="medium">
        <color auto="1"/>
      </right>
      <top style="medium">
        <color auto="1"/>
      </top>
      <bottom style="thin">
        <color auto="1"/>
      </bottom>
      <diagonal/>
    </border>
    <border>
      <left style="dashed">
        <color auto="1"/>
      </left>
      <right style="dashed">
        <color auto="1"/>
      </right>
      <top style="thin">
        <color auto="1"/>
      </top>
      <bottom style="thin">
        <color auto="1"/>
      </bottom>
      <diagonal/>
    </border>
    <border>
      <left style="dashed">
        <color auto="1"/>
      </left>
      <right style="medium">
        <color auto="1"/>
      </right>
      <top style="thin">
        <color auto="1"/>
      </top>
      <bottom style="thin">
        <color auto="1"/>
      </bottom>
      <diagonal/>
    </border>
    <border>
      <left style="thin">
        <color auto="1"/>
      </left>
      <right style="dashed">
        <color auto="1"/>
      </right>
      <top style="medium">
        <color auto="1"/>
      </top>
      <bottom style="thin">
        <color auto="1"/>
      </bottom>
      <diagonal/>
    </border>
    <border>
      <left style="thin">
        <color auto="1"/>
      </left>
      <right style="dashed">
        <color auto="1"/>
      </right>
      <top style="thin">
        <color auto="1"/>
      </top>
      <bottom style="thin">
        <color auto="1"/>
      </bottom>
      <diagonal/>
    </border>
    <border>
      <left style="medium">
        <color rgb="FFFFC000"/>
      </left>
      <right style="medium">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ck">
        <color rgb="FFFFC000"/>
      </left>
      <right/>
      <top style="thick">
        <color rgb="FFFFC000"/>
      </top>
      <bottom/>
      <diagonal/>
    </border>
    <border>
      <left/>
      <right/>
      <top style="thick">
        <color rgb="FFFFC000"/>
      </top>
      <bottom/>
      <diagonal/>
    </border>
    <border>
      <left/>
      <right style="thick">
        <color rgb="FFFFC000"/>
      </right>
      <top style="thick">
        <color rgb="FFFFC000"/>
      </top>
      <bottom/>
      <diagonal/>
    </border>
    <border>
      <left/>
      <right style="thick">
        <color rgb="FFFFC000"/>
      </right>
      <top/>
      <bottom/>
      <diagonal/>
    </border>
    <border>
      <left style="thick">
        <color rgb="FFFFC000"/>
      </left>
      <right/>
      <top/>
      <bottom/>
      <diagonal/>
    </border>
    <border>
      <left style="thick">
        <color rgb="FFFFC000"/>
      </left>
      <right style="medium">
        <color auto="1"/>
      </right>
      <top style="medium">
        <color auto="1"/>
      </top>
      <bottom style="medium">
        <color auto="1"/>
      </bottom>
      <diagonal/>
    </border>
    <border>
      <left style="thick">
        <color rgb="FFFFC000"/>
      </left>
      <right style="medium">
        <color rgb="FF002060"/>
      </right>
      <top/>
      <bottom style="medium">
        <color rgb="FF002060"/>
      </bottom>
      <diagonal/>
    </border>
    <border>
      <left style="thick">
        <color rgb="FFFFC000"/>
      </left>
      <right/>
      <top/>
      <bottom style="thin">
        <color auto="1"/>
      </bottom>
      <diagonal/>
    </border>
    <border>
      <left style="thick">
        <color rgb="FFFFC000"/>
      </left>
      <right style="medium">
        <color auto="1"/>
      </right>
      <top/>
      <bottom style="medium">
        <color auto="1"/>
      </bottom>
      <diagonal/>
    </border>
    <border>
      <left style="thick">
        <color rgb="FFFFC000"/>
      </left>
      <right/>
      <top/>
      <bottom style="thick">
        <color rgb="FFFFC000"/>
      </bottom>
      <diagonal/>
    </border>
    <border>
      <left/>
      <right/>
      <top/>
      <bottom style="thick">
        <color rgb="FFFFC000"/>
      </bottom>
      <diagonal/>
    </border>
    <border>
      <left/>
      <right style="thick">
        <color rgb="FFFFC000"/>
      </right>
      <top/>
      <bottom style="thick">
        <color rgb="FFFFC000"/>
      </bottom>
      <diagonal/>
    </border>
    <border>
      <left style="thick">
        <color rgb="FFFFC000"/>
      </left>
      <right style="thin">
        <color theme="2" tint="-0.24994659260841701"/>
      </right>
      <top/>
      <bottom/>
      <diagonal/>
    </border>
    <border>
      <left style="thin">
        <color theme="2" tint="-0.24994659260841701"/>
      </left>
      <right style="thin">
        <color theme="2" tint="-0.24994659260841701"/>
      </right>
      <top/>
      <bottom/>
      <diagonal/>
    </border>
    <border>
      <left style="thin">
        <color theme="2" tint="-0.24994659260841701"/>
      </left>
      <right/>
      <top/>
      <bottom/>
      <diagonal/>
    </border>
    <border>
      <left/>
      <right style="thin">
        <color theme="2" tint="-0.24994659260841701"/>
      </right>
      <top/>
      <bottom/>
      <diagonal/>
    </border>
    <border>
      <left style="thin">
        <color auto="1"/>
      </left>
      <right/>
      <top style="thick">
        <color auto="1"/>
      </top>
      <bottom/>
      <diagonal/>
    </border>
    <border>
      <left style="thick">
        <color rgb="FFFFC000"/>
      </left>
      <right style="thin">
        <color theme="2" tint="-0.24994659260841701"/>
      </right>
      <top/>
      <bottom style="medium">
        <color auto="1"/>
      </bottom>
      <diagonal/>
    </border>
    <border>
      <left style="thin">
        <color theme="2" tint="-0.24994659260841701"/>
      </left>
      <right style="thin">
        <color theme="2" tint="-0.24994659260841701"/>
      </right>
      <top/>
      <bottom style="medium">
        <color auto="1"/>
      </bottom>
      <diagonal/>
    </border>
    <border>
      <left style="thin">
        <color theme="2" tint="-0.24994659260841701"/>
      </left>
      <right/>
      <top/>
      <bottom style="medium">
        <color auto="1"/>
      </bottom>
      <diagonal/>
    </border>
    <border>
      <left style="medium">
        <color auto="1"/>
      </left>
      <right style="medium">
        <color auto="1"/>
      </right>
      <top style="thick">
        <color auto="1"/>
      </top>
      <bottom style="thin">
        <color auto="1"/>
      </bottom>
      <diagonal/>
    </border>
    <border>
      <left style="thin">
        <color auto="1"/>
      </left>
      <right style="medium">
        <color auto="1"/>
      </right>
      <top style="medium">
        <color auto="1"/>
      </top>
      <bottom/>
      <diagonal/>
    </border>
    <border>
      <left/>
      <right style="thin">
        <color auto="1"/>
      </right>
      <top style="medium">
        <color auto="1"/>
      </top>
      <bottom style="medium">
        <color auto="1"/>
      </bottom>
      <diagonal/>
    </border>
    <border>
      <left style="medium">
        <color rgb="FF4D2403"/>
      </left>
      <right style="medium">
        <color rgb="FF4D2403"/>
      </right>
      <top style="medium">
        <color rgb="FF4D2403"/>
      </top>
      <bottom style="medium">
        <color rgb="FF4D2403"/>
      </bottom>
      <diagonal/>
    </border>
    <border>
      <left style="medium">
        <color rgb="FF4D2403"/>
      </left>
      <right/>
      <top style="medium">
        <color rgb="FF4D2403"/>
      </top>
      <bottom style="medium">
        <color rgb="FF4D2403"/>
      </bottom>
      <diagonal/>
    </border>
    <border>
      <left/>
      <right/>
      <top style="medium">
        <color rgb="FF4D2403"/>
      </top>
      <bottom style="medium">
        <color rgb="FF4D2403"/>
      </bottom>
      <diagonal/>
    </border>
    <border>
      <left/>
      <right style="medium">
        <color rgb="FF4D2403"/>
      </right>
      <top style="medium">
        <color rgb="FF4D2403"/>
      </top>
      <bottom style="medium">
        <color rgb="FF4D2403"/>
      </bottom>
      <diagonal/>
    </border>
    <border>
      <left/>
      <right style="thin">
        <color theme="2" tint="-0.499984740745262"/>
      </right>
      <top style="thin">
        <color auto="1"/>
      </top>
      <bottom style="thin">
        <color auto="1"/>
      </bottom>
      <diagonal/>
    </border>
    <border>
      <left style="medium">
        <color rgb="FF4D2403"/>
      </left>
      <right/>
      <top style="medium">
        <color rgb="FF4D2403"/>
      </top>
      <bottom/>
      <diagonal/>
    </border>
    <border>
      <left/>
      <right/>
      <top style="medium">
        <color rgb="FF4D2403"/>
      </top>
      <bottom/>
      <diagonal/>
    </border>
    <border>
      <left/>
      <right style="medium">
        <color rgb="FF4D2403"/>
      </right>
      <top style="medium">
        <color rgb="FF4D2403"/>
      </top>
      <bottom/>
      <diagonal/>
    </border>
    <border>
      <left style="thick">
        <color rgb="FFFFC000"/>
      </left>
      <right style="thick">
        <color rgb="FFFFC000"/>
      </right>
      <top style="thick">
        <color rgb="FFFFC000"/>
      </top>
      <bottom style="thick">
        <color rgb="FFFFC000"/>
      </bottom>
      <diagonal/>
    </border>
    <border>
      <left style="thin">
        <color theme="2" tint="-0.499984740745262"/>
      </left>
      <right/>
      <top style="thin">
        <color auto="1"/>
      </top>
      <bottom style="thin">
        <color auto="1"/>
      </bottom>
      <diagonal/>
    </border>
    <border>
      <left style="thin">
        <color theme="0"/>
      </left>
      <right style="thin">
        <color theme="0"/>
      </right>
      <top style="thin">
        <color theme="0"/>
      </top>
      <bottom style="thin">
        <color theme="0"/>
      </bottom>
      <diagonal/>
    </border>
    <border>
      <left style="thin">
        <color theme="0"/>
      </left>
      <right style="medium">
        <color auto="1"/>
      </right>
      <top style="thin">
        <color theme="0"/>
      </top>
      <bottom style="thin">
        <color theme="0"/>
      </bottom>
      <diagonal/>
    </border>
    <border>
      <left style="medium">
        <color theme="0"/>
      </left>
      <right style="thin">
        <color theme="0"/>
      </right>
      <top style="thin">
        <color theme="0"/>
      </top>
      <bottom style="thin">
        <color theme="0"/>
      </bottom>
      <diagonal/>
    </border>
    <border>
      <left style="medium">
        <color auto="1"/>
      </left>
      <right style="medium">
        <color theme="0"/>
      </right>
      <top style="thin">
        <color theme="0"/>
      </top>
      <bottom style="thin">
        <color theme="0"/>
      </bottom>
      <diagonal/>
    </border>
    <border>
      <left style="medium">
        <color auto="1"/>
      </left>
      <right style="medium">
        <color theme="0"/>
      </right>
      <top style="thin">
        <color theme="0"/>
      </top>
      <bottom style="medium">
        <color auto="1"/>
      </bottom>
      <diagonal/>
    </border>
    <border>
      <left style="medium">
        <color theme="0"/>
      </left>
      <right style="thin">
        <color theme="1"/>
      </right>
      <top style="thin">
        <color theme="0"/>
      </top>
      <bottom style="thin">
        <color theme="1"/>
      </bottom>
      <diagonal/>
    </border>
    <border>
      <left style="thin">
        <color theme="1"/>
      </left>
      <right style="thin">
        <color theme="1"/>
      </right>
      <top style="thin">
        <color theme="0"/>
      </top>
      <bottom style="thin">
        <color theme="1"/>
      </bottom>
      <diagonal/>
    </border>
    <border>
      <left style="thin">
        <color theme="1"/>
      </left>
      <right style="medium">
        <color auto="1"/>
      </right>
      <top style="thin">
        <color theme="0"/>
      </top>
      <bottom style="thin">
        <color theme="1"/>
      </bottom>
      <diagonal/>
    </border>
    <border>
      <left style="medium">
        <color theme="0"/>
      </left>
      <right style="thin">
        <color theme="1"/>
      </right>
      <top style="thin">
        <color theme="1"/>
      </top>
      <bottom style="medium">
        <color auto="1"/>
      </bottom>
      <diagonal/>
    </border>
    <border>
      <left style="thin">
        <color theme="1"/>
      </left>
      <right style="thin">
        <color theme="1"/>
      </right>
      <top style="thin">
        <color theme="1"/>
      </top>
      <bottom style="medium">
        <color auto="1"/>
      </bottom>
      <diagonal/>
    </border>
    <border>
      <left style="thin">
        <color theme="1"/>
      </left>
      <right style="medium">
        <color auto="1"/>
      </right>
      <top style="thin">
        <color theme="1"/>
      </top>
      <bottom style="medium">
        <color auto="1"/>
      </bottom>
      <diagonal/>
    </border>
    <border>
      <left style="medium">
        <color auto="1"/>
      </left>
      <right style="medium">
        <color theme="0"/>
      </right>
      <top/>
      <bottom style="thin">
        <color theme="0"/>
      </bottom>
      <diagonal/>
    </border>
    <border>
      <left style="medium">
        <color theme="0"/>
      </left>
      <right style="thin">
        <color theme="0"/>
      </right>
      <top/>
      <bottom style="thin">
        <color theme="0"/>
      </bottom>
      <diagonal/>
    </border>
    <border>
      <left style="thin">
        <color theme="0"/>
      </left>
      <right style="thin">
        <color theme="0"/>
      </right>
      <top/>
      <bottom style="thin">
        <color theme="0"/>
      </bottom>
      <diagonal/>
    </border>
    <border>
      <left style="thin">
        <color theme="0"/>
      </left>
      <right style="medium">
        <color auto="1"/>
      </right>
      <top/>
      <bottom style="thin">
        <color theme="0"/>
      </bottom>
      <diagonal/>
    </border>
    <border>
      <left style="hair">
        <color rgb="FF002060"/>
      </left>
      <right style="hair">
        <color rgb="FF002060"/>
      </right>
      <top/>
      <bottom style="thin">
        <color rgb="FF002060"/>
      </bottom>
      <diagonal/>
    </border>
    <border>
      <left style="hair">
        <color rgb="FF002060"/>
      </left>
      <right style="hair">
        <color rgb="FF002060"/>
      </right>
      <top style="thin">
        <color rgb="FF002060"/>
      </top>
      <bottom style="thin">
        <color rgb="FF002060"/>
      </bottom>
      <diagonal/>
    </border>
    <border>
      <left style="medium">
        <color rgb="FF002060"/>
      </left>
      <right/>
      <top style="medium">
        <color rgb="FF002060"/>
      </top>
      <bottom/>
      <diagonal/>
    </border>
    <border>
      <left/>
      <right/>
      <top style="medium">
        <color rgb="FF002060"/>
      </top>
      <bottom/>
      <diagonal/>
    </border>
    <border>
      <left/>
      <right style="medium">
        <color rgb="FF002060"/>
      </right>
      <top style="medium">
        <color rgb="FF002060"/>
      </top>
      <bottom/>
      <diagonal/>
    </border>
    <border>
      <left style="medium">
        <color rgb="FF002060"/>
      </left>
      <right style="hair">
        <color rgb="FF002060"/>
      </right>
      <top/>
      <bottom style="thin">
        <color rgb="FF002060"/>
      </bottom>
      <diagonal/>
    </border>
    <border>
      <left style="hair">
        <color rgb="FF002060"/>
      </left>
      <right style="medium">
        <color rgb="FF002060"/>
      </right>
      <top/>
      <bottom style="thin">
        <color rgb="FF002060"/>
      </bottom>
      <diagonal/>
    </border>
    <border>
      <left style="medium">
        <color rgb="FF002060"/>
      </left>
      <right style="hair">
        <color rgb="FF002060"/>
      </right>
      <top style="thin">
        <color rgb="FF002060"/>
      </top>
      <bottom style="thin">
        <color rgb="FF002060"/>
      </bottom>
      <diagonal/>
    </border>
    <border>
      <left style="hair">
        <color rgb="FF002060"/>
      </left>
      <right style="medium">
        <color rgb="FF002060"/>
      </right>
      <top style="thin">
        <color rgb="FF002060"/>
      </top>
      <bottom style="thin">
        <color rgb="FF002060"/>
      </bottom>
      <diagonal/>
    </border>
    <border>
      <left style="hair">
        <color rgb="FF002060"/>
      </left>
      <right style="hair">
        <color rgb="FF002060"/>
      </right>
      <top style="thin">
        <color rgb="FF002060"/>
      </top>
      <bottom style="medium">
        <color rgb="FF002060"/>
      </bottom>
      <diagonal/>
    </border>
    <border>
      <left/>
      <right style="hair">
        <color rgb="FF002060"/>
      </right>
      <top style="thin">
        <color rgb="FF002060"/>
      </top>
      <bottom style="thin">
        <color rgb="FF002060"/>
      </bottom>
      <diagonal/>
    </border>
    <border>
      <left style="medium">
        <color rgb="FF002060"/>
      </left>
      <right/>
      <top style="thin">
        <color rgb="FF002060"/>
      </top>
      <bottom style="thin">
        <color rgb="FF002060"/>
      </bottom>
      <diagonal/>
    </border>
    <border>
      <left/>
      <right/>
      <top style="thin">
        <color rgb="FF002060"/>
      </top>
      <bottom style="thin">
        <color rgb="FF002060"/>
      </bottom>
      <diagonal/>
    </border>
    <border>
      <left style="medium">
        <color rgb="FF002060"/>
      </left>
      <right/>
      <top style="thin">
        <color rgb="FF002060"/>
      </top>
      <bottom style="medium">
        <color rgb="FF002060"/>
      </bottom>
      <diagonal/>
    </border>
    <border>
      <left/>
      <right/>
      <top style="thin">
        <color rgb="FF002060"/>
      </top>
      <bottom style="medium">
        <color rgb="FF002060"/>
      </bottom>
      <diagonal/>
    </border>
    <border>
      <left/>
      <right style="hair">
        <color rgb="FF002060"/>
      </right>
      <top style="thin">
        <color rgb="FF002060"/>
      </top>
      <bottom style="medium">
        <color rgb="FF002060"/>
      </bottom>
      <diagonal/>
    </border>
    <border>
      <left style="medium">
        <color rgb="FF002060"/>
      </left>
      <right/>
      <top/>
      <bottom/>
      <diagonal/>
    </border>
    <border>
      <left/>
      <right style="medium">
        <color rgb="FF002060"/>
      </right>
      <top/>
      <bottom/>
      <diagonal/>
    </border>
    <border>
      <left style="medium">
        <color rgb="FF002060"/>
      </left>
      <right/>
      <top/>
      <bottom style="medium">
        <color rgb="FF002060"/>
      </bottom>
      <diagonal/>
    </border>
    <border>
      <left/>
      <right/>
      <top/>
      <bottom style="medium">
        <color rgb="FF002060"/>
      </bottom>
      <diagonal/>
    </border>
    <border>
      <left/>
      <right style="medium">
        <color rgb="FF002060"/>
      </right>
      <top/>
      <bottom style="medium">
        <color rgb="FF002060"/>
      </bottom>
      <diagonal/>
    </border>
    <border>
      <left style="medium">
        <color rgb="FF002060"/>
      </left>
      <right/>
      <top style="medium">
        <color rgb="FF002060"/>
      </top>
      <bottom style="dashed">
        <color rgb="FF002060"/>
      </bottom>
      <diagonal/>
    </border>
    <border>
      <left/>
      <right/>
      <top style="medium">
        <color rgb="FF002060"/>
      </top>
      <bottom style="dashed">
        <color rgb="FF002060"/>
      </bottom>
      <diagonal/>
    </border>
    <border>
      <left style="medium">
        <color rgb="FF002060"/>
      </left>
      <right/>
      <top style="dashed">
        <color rgb="FF002060"/>
      </top>
      <bottom style="dashed">
        <color rgb="FF002060"/>
      </bottom>
      <diagonal/>
    </border>
    <border>
      <left/>
      <right/>
      <top style="dashed">
        <color rgb="FF002060"/>
      </top>
      <bottom style="dashed">
        <color rgb="FF002060"/>
      </bottom>
      <diagonal/>
    </border>
    <border>
      <left style="medium">
        <color rgb="FF002060"/>
      </left>
      <right/>
      <top style="dashed">
        <color rgb="FF002060"/>
      </top>
      <bottom style="medium">
        <color rgb="FF002060"/>
      </bottom>
      <diagonal/>
    </border>
    <border>
      <left/>
      <right/>
      <top style="dashed">
        <color rgb="FF002060"/>
      </top>
      <bottom style="medium">
        <color rgb="FF002060"/>
      </bottom>
      <diagonal/>
    </border>
    <border>
      <left/>
      <right style="medium">
        <color rgb="FF002060"/>
      </right>
      <top style="medium">
        <color rgb="FF002060"/>
      </top>
      <bottom style="dashed">
        <color rgb="FF002060"/>
      </bottom>
      <diagonal/>
    </border>
    <border>
      <left/>
      <right style="medium">
        <color rgb="FF002060"/>
      </right>
      <top style="dashed">
        <color rgb="FF002060"/>
      </top>
      <bottom style="dashed">
        <color rgb="FF002060"/>
      </bottom>
      <diagonal/>
    </border>
    <border>
      <left/>
      <right style="medium">
        <color rgb="FF002060"/>
      </right>
      <top style="dashed">
        <color rgb="FF002060"/>
      </top>
      <bottom style="medium">
        <color rgb="FF002060"/>
      </bottom>
      <diagonal/>
    </border>
    <border>
      <left style="medium">
        <color rgb="FFC7B31F"/>
      </left>
      <right/>
      <top style="medium">
        <color rgb="FFC7B31F"/>
      </top>
      <bottom/>
      <diagonal/>
    </border>
    <border>
      <left/>
      <right/>
      <top style="medium">
        <color rgb="FFC7B31F"/>
      </top>
      <bottom/>
      <diagonal/>
    </border>
    <border>
      <left/>
      <right style="medium">
        <color rgb="FFC7B31F"/>
      </right>
      <top style="medium">
        <color rgb="FFC7B31F"/>
      </top>
      <bottom/>
      <diagonal/>
    </border>
    <border>
      <left style="thick">
        <color rgb="FFC7B31F"/>
      </left>
      <right/>
      <top style="thick">
        <color rgb="FFC7B31F"/>
      </top>
      <bottom/>
      <diagonal/>
    </border>
    <border>
      <left/>
      <right/>
      <top style="thick">
        <color rgb="FFC7B31F"/>
      </top>
      <bottom/>
      <diagonal/>
    </border>
    <border>
      <left/>
      <right style="thick">
        <color rgb="FFC7B31F"/>
      </right>
      <top style="thick">
        <color rgb="FFC7B31F"/>
      </top>
      <bottom/>
      <diagonal/>
    </border>
    <border>
      <left/>
      <right/>
      <top/>
      <bottom style="dashed">
        <color rgb="FF002060"/>
      </bottom>
      <diagonal/>
    </border>
    <border>
      <left/>
      <right style="thin">
        <color rgb="FF002060"/>
      </right>
      <top/>
      <bottom style="dashed">
        <color rgb="FF002060"/>
      </bottom>
      <diagonal/>
    </border>
    <border>
      <left style="thin">
        <color rgb="FF002060"/>
      </left>
      <right/>
      <top/>
      <bottom style="dashed">
        <color rgb="FF002060"/>
      </bottom>
      <diagonal/>
    </border>
    <border>
      <left style="thin">
        <color rgb="FF002060"/>
      </left>
      <right/>
      <top style="dashed">
        <color rgb="FF002060"/>
      </top>
      <bottom style="dashed">
        <color rgb="FF002060"/>
      </bottom>
      <diagonal/>
    </border>
    <border>
      <left style="thin">
        <color rgb="FF002060"/>
      </left>
      <right/>
      <top style="dashed">
        <color rgb="FF002060"/>
      </top>
      <bottom style="medium">
        <color rgb="FF002060"/>
      </bottom>
      <diagonal/>
    </border>
    <border>
      <left style="hair">
        <color rgb="FF002060"/>
      </left>
      <right style="medium">
        <color rgb="FF002060"/>
      </right>
      <top style="thin">
        <color rgb="FF002060"/>
      </top>
      <bottom style="medium">
        <color rgb="FF002060"/>
      </bottom>
      <diagonal/>
    </border>
    <border>
      <left/>
      <right style="thin">
        <color rgb="FF002060"/>
      </right>
      <top style="dashed">
        <color rgb="FF002060"/>
      </top>
      <bottom style="dashed">
        <color rgb="FF002060"/>
      </bottom>
      <diagonal/>
    </border>
  </borders>
  <cellStyleXfs count="26">
    <xf numFmtId="0" fontId="0" fillId="0" borderId="0"/>
    <xf numFmtId="44" fontId="1" fillId="0" borderId="0" applyFont="0" applyFill="0" applyBorder="0" applyAlignment="0" applyProtection="0"/>
    <xf numFmtId="9" fontId="1" fillId="0" borderId="0" applyFon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29" fillId="0" borderId="0" applyNumberFormat="0" applyFill="0" applyBorder="0" applyAlignment="0" applyProtection="0"/>
    <xf numFmtId="0" fontId="11" fillId="0" borderId="0" applyNumberFormat="0" applyFill="0" applyBorder="0" applyAlignment="0" applyProtection="0"/>
    <xf numFmtId="0" fontId="29" fillId="0" borderId="0" applyNumberFormat="0" applyFill="0" applyBorder="0" applyAlignment="0" applyProtection="0"/>
    <xf numFmtId="0" fontId="11" fillId="0" borderId="0" applyNumberFormat="0" applyFill="0" applyBorder="0" applyAlignment="0" applyProtection="0"/>
    <xf numFmtId="0" fontId="29" fillId="0" borderId="0" applyNumberFormat="0" applyFill="0" applyBorder="0" applyAlignment="0" applyProtection="0"/>
    <xf numFmtId="0" fontId="11" fillId="0" borderId="0" applyNumberFormat="0" applyFill="0" applyBorder="0" applyAlignment="0" applyProtection="0"/>
    <xf numFmtId="0" fontId="29" fillId="0" borderId="0" applyNumberFormat="0" applyFill="0" applyBorder="0" applyAlignment="0" applyProtection="0"/>
    <xf numFmtId="0" fontId="11" fillId="0" borderId="0" applyNumberFormat="0" applyFill="0" applyBorder="0" applyAlignment="0" applyProtection="0"/>
    <xf numFmtId="0" fontId="29" fillId="0" borderId="0" applyNumberFormat="0" applyFill="0" applyBorder="0" applyAlignment="0" applyProtection="0"/>
    <xf numFmtId="0" fontId="11" fillId="0" borderId="0" applyNumberFormat="0" applyFill="0" applyBorder="0" applyAlignment="0" applyProtection="0"/>
    <xf numFmtId="0" fontId="29" fillId="0" borderId="0" applyNumberFormat="0" applyFill="0" applyBorder="0" applyAlignment="0" applyProtection="0"/>
    <xf numFmtId="44" fontId="18" fillId="0" borderId="0" applyFont="0" applyFill="0" applyBorder="0" applyAlignment="0" applyProtection="0"/>
    <xf numFmtId="0" fontId="73" fillId="0" borderId="0"/>
    <xf numFmtId="0" fontId="18" fillId="0" borderId="0"/>
    <xf numFmtId="9" fontId="73" fillId="0" borderId="0" applyFont="0" applyFill="0" applyBorder="0" applyAlignment="0" applyProtection="0"/>
    <xf numFmtId="0" fontId="11" fillId="0" borderId="0" applyNumberFormat="0" applyFill="0" applyBorder="0" applyAlignment="0" applyProtection="0"/>
  </cellStyleXfs>
  <cellXfs count="1392">
    <xf numFmtId="0" fontId="0" fillId="0" borderId="0" xfId="0"/>
    <xf numFmtId="0" fontId="2" fillId="0" borderId="0" xfId="0" applyFont="1"/>
    <xf numFmtId="0" fontId="0" fillId="0" borderId="0" xfId="0" applyAlignment="1">
      <alignment horizontal="center"/>
    </xf>
    <xf numFmtId="0" fontId="0" fillId="2" borderId="0" xfId="0" applyFill="1" applyAlignment="1">
      <alignment horizontal="center"/>
    </xf>
    <xf numFmtId="0" fontId="0" fillId="2" borderId="1" xfId="0" applyFill="1" applyBorder="1" applyAlignment="1">
      <alignment horizontal="center"/>
    </xf>
    <xf numFmtId="0" fontId="0" fillId="0" borderId="1" xfId="0" applyBorder="1" applyAlignment="1">
      <alignment horizontal="center"/>
    </xf>
    <xf numFmtId="0" fontId="2" fillId="4" borderId="0" xfId="0" applyFont="1" applyFill="1" applyAlignment="1">
      <alignment horizontal="center"/>
    </xf>
    <xf numFmtId="0" fontId="2" fillId="0" borderId="0" xfId="0" applyFont="1" applyFill="1" applyBorder="1"/>
    <xf numFmtId="9" fontId="2" fillId="0" borderId="1" xfId="2" applyFont="1" applyBorder="1" applyAlignment="1">
      <alignment horizontal="center"/>
    </xf>
    <xf numFmtId="0" fontId="9" fillId="4" borderId="0" xfId="0" applyFont="1" applyFill="1" applyAlignment="1">
      <alignment horizontal="center" vertical="center"/>
    </xf>
    <xf numFmtId="0" fontId="0" fillId="0" borderId="0" xfId="0"/>
    <xf numFmtId="0" fontId="2" fillId="0" borderId="0" xfId="0" applyFont="1"/>
    <xf numFmtId="0" fontId="2" fillId="0" borderId="0" xfId="0" applyFont="1" applyAlignment="1">
      <alignment horizontal="center"/>
    </xf>
    <xf numFmtId="0" fontId="0" fillId="0" borderId="0" xfId="0" applyAlignment="1">
      <alignment horizontal="center"/>
    </xf>
    <xf numFmtId="0" fontId="10" fillId="0" borderId="6" xfId="0" applyFont="1" applyBorder="1" applyAlignment="1">
      <alignment horizontal="center"/>
    </xf>
    <xf numFmtId="0" fontId="10" fillId="0" borderId="9" xfId="0" applyFont="1" applyBorder="1" applyAlignment="1">
      <alignment horizontal="center"/>
    </xf>
    <xf numFmtId="0" fontId="10" fillId="0" borderId="4" xfId="0" applyFont="1" applyBorder="1" applyAlignment="1">
      <alignment horizontal="center"/>
    </xf>
    <xf numFmtId="0" fontId="0" fillId="2" borderId="0" xfId="0" applyFill="1" applyAlignment="1">
      <alignment horizontal="center"/>
    </xf>
    <xf numFmtId="164" fontId="10" fillId="0" borderId="13" xfId="0" applyNumberFormat="1" applyFont="1" applyBorder="1" applyAlignment="1">
      <alignment horizontal="center"/>
    </xf>
    <xf numFmtId="0" fontId="4" fillId="6" borderId="5" xfId="0" applyFont="1" applyFill="1" applyBorder="1" applyAlignment="1">
      <alignment horizontal="center"/>
    </xf>
    <xf numFmtId="0" fontId="4" fillId="6" borderId="11" xfId="0" applyFont="1" applyFill="1" applyBorder="1" applyAlignment="1">
      <alignment horizontal="center"/>
    </xf>
    <xf numFmtId="0" fontId="4" fillId="6" borderId="7" xfId="0" applyFont="1" applyFill="1" applyBorder="1" applyAlignment="1">
      <alignment horizontal="center"/>
    </xf>
    <xf numFmtId="0" fontId="4" fillId="6" borderId="2" xfId="0" applyFont="1" applyFill="1" applyBorder="1" applyAlignment="1">
      <alignment horizontal="center"/>
    </xf>
    <xf numFmtId="0" fontId="4" fillId="6" borderId="0" xfId="0" applyFont="1" applyFill="1" applyAlignment="1">
      <alignment horizontal="center"/>
    </xf>
    <xf numFmtId="0" fontId="4" fillId="8" borderId="0" xfId="0" applyFont="1" applyFill="1" applyAlignment="1">
      <alignment horizontal="center"/>
    </xf>
    <xf numFmtId="2" fontId="10" fillId="5" borderId="13" xfId="0" applyNumberFormat="1" applyFont="1" applyFill="1" applyBorder="1" applyAlignment="1">
      <alignment horizontal="center"/>
    </xf>
    <xf numFmtId="165" fontId="0" fillId="0" borderId="0" xfId="2" applyNumberFormat="1" applyFont="1" applyAlignment="1">
      <alignment horizontal="center"/>
    </xf>
    <xf numFmtId="9" fontId="0" fillId="0" borderId="0" xfId="2" applyFont="1" applyAlignment="1">
      <alignment horizontal="center"/>
    </xf>
    <xf numFmtId="0" fontId="2" fillId="0" borderId="0" xfId="0" applyFont="1" applyFill="1"/>
    <xf numFmtId="0" fontId="3" fillId="8" borderId="0" xfId="0" applyFont="1" applyFill="1"/>
    <xf numFmtId="0" fontId="2" fillId="0" borderId="0" xfId="0" applyFont="1" applyAlignment="1">
      <alignment horizontal="center" vertical="center" textRotation="180" wrapText="1"/>
    </xf>
    <xf numFmtId="0" fontId="0" fillId="2" borderId="0" xfId="0" applyFill="1"/>
    <xf numFmtId="0" fontId="0" fillId="0" borderId="0" xfId="0" applyFill="1"/>
    <xf numFmtId="0" fontId="2" fillId="16" borderId="2" xfId="0" applyFont="1" applyFill="1" applyBorder="1" applyAlignment="1">
      <alignment horizontal="center"/>
    </xf>
    <xf numFmtId="164" fontId="2" fillId="0" borderId="4" xfId="0" applyNumberFormat="1" applyFont="1" applyBorder="1" applyAlignment="1">
      <alignment vertical="center"/>
    </xf>
    <xf numFmtId="0" fontId="2" fillId="16" borderId="5" xfId="0" applyFont="1" applyFill="1" applyBorder="1" applyAlignment="1">
      <alignment horizontal="center"/>
    </xf>
    <xf numFmtId="0" fontId="2" fillId="0" borderId="6" xfId="0" applyFont="1" applyBorder="1" applyAlignment="1"/>
    <xf numFmtId="0" fontId="2" fillId="16" borderId="7" xfId="0" applyFont="1" applyFill="1" applyBorder="1" applyAlignment="1">
      <alignment horizontal="center"/>
    </xf>
    <xf numFmtId="0" fontId="2" fillId="0" borderId="9" xfId="0" applyFont="1" applyBorder="1" applyAlignment="1"/>
    <xf numFmtId="168" fontId="10" fillId="14" borderId="0" xfId="0" applyNumberFormat="1" applyFont="1" applyFill="1" applyAlignment="1">
      <alignment horizontal="center"/>
    </xf>
    <xf numFmtId="0" fontId="2" fillId="16" borderId="66" xfId="0" applyFont="1" applyFill="1" applyBorder="1" applyAlignment="1">
      <alignment horizontal="center"/>
    </xf>
    <xf numFmtId="10" fontId="2" fillId="0" borderId="49" xfId="2" applyNumberFormat="1" applyFont="1" applyBorder="1" applyAlignment="1">
      <alignment horizontal="center"/>
    </xf>
    <xf numFmtId="168" fontId="10" fillId="16" borderId="67" xfId="0" applyNumberFormat="1" applyFont="1" applyFill="1" applyBorder="1" applyAlignment="1">
      <alignment horizontal="center"/>
    </xf>
    <xf numFmtId="168" fontId="10" fillId="16" borderId="68" xfId="0" applyNumberFormat="1" applyFont="1" applyFill="1" applyBorder="1" applyAlignment="1">
      <alignment horizontal="center"/>
    </xf>
    <xf numFmtId="0" fontId="2" fillId="16" borderId="27" xfId="0" applyFont="1" applyFill="1" applyBorder="1" applyAlignment="1">
      <alignment horizontal="center"/>
    </xf>
    <xf numFmtId="10" fontId="2" fillId="0" borderId="53" xfId="0" applyNumberFormat="1" applyFont="1" applyBorder="1" applyAlignment="1">
      <alignment horizontal="center"/>
    </xf>
    <xf numFmtId="168" fontId="10" fillId="16" borderId="52" xfId="0" applyNumberFormat="1" applyFont="1" applyFill="1" applyBorder="1" applyAlignment="1">
      <alignment horizontal="center"/>
    </xf>
    <xf numFmtId="168" fontId="10" fillId="16" borderId="54" xfId="0" applyNumberFormat="1" applyFont="1" applyFill="1" applyBorder="1" applyAlignment="1">
      <alignment horizontal="center"/>
    </xf>
    <xf numFmtId="0" fontId="2" fillId="0" borderId="27" xfId="0" applyFont="1" applyFill="1" applyBorder="1" applyAlignment="1">
      <alignment horizontal="center"/>
    </xf>
    <xf numFmtId="0" fontId="2" fillId="0" borderId="69" xfId="0" applyFont="1" applyFill="1" applyBorder="1" applyAlignment="1">
      <alignment horizontal="center"/>
    </xf>
    <xf numFmtId="10" fontId="2" fillId="0" borderId="70" xfId="0" applyNumberFormat="1" applyFont="1" applyBorder="1" applyAlignment="1">
      <alignment horizontal="center"/>
    </xf>
    <xf numFmtId="168" fontId="10" fillId="16" borderId="55" xfId="0" applyNumberFormat="1" applyFont="1" applyFill="1" applyBorder="1" applyAlignment="1">
      <alignment horizontal="center"/>
    </xf>
    <xf numFmtId="168" fontId="10" fillId="16" borderId="71" xfId="0" applyNumberFormat="1" applyFont="1" applyFill="1" applyBorder="1" applyAlignment="1">
      <alignment horizontal="center"/>
    </xf>
    <xf numFmtId="0" fontId="4" fillId="8" borderId="10" xfId="0" applyFont="1" applyFill="1" applyBorder="1" applyAlignment="1">
      <alignment horizontal="center"/>
    </xf>
    <xf numFmtId="10" fontId="13" fillId="11" borderId="72" xfId="0" applyNumberFormat="1" applyFont="1" applyFill="1" applyBorder="1" applyAlignment="1">
      <alignment horizontal="center"/>
    </xf>
    <xf numFmtId="168" fontId="28" fillId="8" borderId="0" xfId="0" applyNumberFormat="1" applyFont="1" applyFill="1" applyAlignment="1">
      <alignment horizontal="center"/>
    </xf>
    <xf numFmtId="0" fontId="2" fillId="14" borderId="0" xfId="0" applyFont="1" applyFill="1" applyAlignment="1">
      <alignment horizontal="center"/>
    </xf>
    <xf numFmtId="168" fontId="2" fillId="0" borderId="49" xfId="0" applyNumberFormat="1" applyFont="1" applyBorder="1" applyAlignment="1">
      <alignment horizontal="center"/>
    </xf>
    <xf numFmtId="168" fontId="2" fillId="0" borderId="53" xfId="0" applyNumberFormat="1" applyFont="1" applyBorder="1" applyAlignment="1">
      <alignment horizontal="center"/>
    </xf>
    <xf numFmtId="0" fontId="2" fillId="0" borderId="27" xfId="0" applyFont="1" applyBorder="1" applyAlignment="1">
      <alignment horizontal="center"/>
    </xf>
    <xf numFmtId="0" fontId="2" fillId="0" borderId="69" xfId="0" applyFont="1" applyBorder="1" applyAlignment="1">
      <alignment horizontal="center"/>
    </xf>
    <xf numFmtId="168" fontId="2" fillId="0" borderId="70" xfId="0" applyNumberFormat="1" applyFont="1" applyBorder="1" applyAlignment="1">
      <alignment horizontal="center"/>
    </xf>
    <xf numFmtId="168" fontId="13" fillId="11" borderId="72" xfId="0" applyNumberFormat="1" applyFont="1" applyFill="1" applyBorder="1" applyAlignment="1">
      <alignment horizontal="center"/>
    </xf>
    <xf numFmtId="0" fontId="10" fillId="0" borderId="4" xfId="0" applyFont="1" applyFill="1" applyBorder="1" applyAlignment="1">
      <alignment horizontal="center" vertical="center" wrapText="1"/>
    </xf>
    <xf numFmtId="0" fontId="10" fillId="0" borderId="6" xfId="0" applyFont="1" applyFill="1" applyBorder="1" applyAlignment="1">
      <alignment horizontal="center"/>
    </xf>
    <xf numFmtId="164" fontId="10" fillId="0" borderId="6" xfId="0" applyNumberFormat="1" applyFont="1" applyFill="1" applyBorder="1" applyAlignment="1">
      <alignment horizontal="center"/>
    </xf>
    <xf numFmtId="164" fontId="10" fillId="0" borderId="13" xfId="0" applyNumberFormat="1" applyFont="1" applyFill="1" applyBorder="1" applyAlignment="1">
      <alignment horizontal="center"/>
    </xf>
    <xf numFmtId="0" fontId="7" fillId="6" borderId="11" xfId="0" applyFont="1" applyFill="1" applyBorder="1" applyAlignment="1">
      <alignment horizontal="center"/>
    </xf>
    <xf numFmtId="9" fontId="10" fillId="0" borderId="9" xfId="2" applyFont="1" applyBorder="1" applyAlignment="1">
      <alignment horizontal="center"/>
    </xf>
    <xf numFmtId="0" fontId="0" fillId="0" borderId="80" xfId="0" applyBorder="1" applyAlignment="1">
      <alignment horizontal="center"/>
    </xf>
    <xf numFmtId="0" fontId="0" fillId="0" borderId="81" xfId="0" applyBorder="1" applyAlignment="1">
      <alignment horizontal="center"/>
    </xf>
    <xf numFmtId="0" fontId="0" fillId="0" borderId="82" xfId="0" applyBorder="1" applyAlignment="1">
      <alignment horizontal="center"/>
    </xf>
    <xf numFmtId="166" fontId="0" fillId="0" borderId="83" xfId="0" applyNumberFormat="1" applyBorder="1" applyAlignment="1">
      <alignment horizontal="center"/>
    </xf>
    <xf numFmtId="166" fontId="0" fillId="0" borderId="84" xfId="0" applyNumberFormat="1" applyBorder="1" applyAlignment="1">
      <alignment horizontal="center"/>
    </xf>
    <xf numFmtId="166" fontId="0" fillId="0" borderId="85" xfId="0" applyNumberFormat="1" applyBorder="1" applyAlignment="1">
      <alignment horizontal="center"/>
    </xf>
    <xf numFmtId="166" fontId="2" fillId="5" borderId="54" xfId="0" applyNumberFormat="1" applyFont="1" applyFill="1" applyBorder="1" applyAlignment="1">
      <alignment horizontal="center"/>
    </xf>
    <xf numFmtId="0" fontId="0" fillId="0" borderId="12" xfId="0" applyBorder="1" applyAlignment="1">
      <alignment horizontal="center"/>
    </xf>
    <xf numFmtId="0" fontId="0" fillId="0" borderId="88" xfId="0" applyBorder="1" applyAlignment="1">
      <alignment horizontal="center"/>
    </xf>
    <xf numFmtId="0" fontId="0" fillId="0" borderId="15" xfId="0" applyBorder="1" applyAlignment="1">
      <alignment horizontal="center"/>
    </xf>
    <xf numFmtId="0" fontId="5" fillId="0" borderId="71" xfId="0" applyFont="1" applyBorder="1" applyAlignment="1">
      <alignment horizontal="center"/>
    </xf>
    <xf numFmtId="0" fontId="26" fillId="11" borderId="0" xfId="0" applyFont="1" applyFill="1" applyAlignment="1">
      <alignment horizontal="center" vertical="center" wrapText="1"/>
    </xf>
    <xf numFmtId="0" fontId="10" fillId="0" borderId="97" xfId="0" applyFont="1" applyBorder="1" applyAlignment="1">
      <alignment horizontal="center"/>
    </xf>
    <xf numFmtId="0" fontId="10" fillId="0" borderId="98" xfId="0" applyFont="1" applyBorder="1" applyAlignment="1">
      <alignment horizontal="center"/>
    </xf>
    <xf numFmtId="170" fontId="5" fillId="0" borderId="0" xfId="0" applyNumberFormat="1" applyFont="1" applyAlignment="1">
      <alignment horizontal="center"/>
    </xf>
    <xf numFmtId="170" fontId="5" fillId="0" borderId="1" xfId="0" applyNumberFormat="1" applyFont="1" applyBorder="1" applyAlignment="1">
      <alignment horizontal="center"/>
    </xf>
    <xf numFmtId="0" fontId="10" fillId="0" borderId="57" xfId="0" applyFont="1" applyBorder="1" applyAlignment="1">
      <alignment horizontal="center"/>
    </xf>
    <xf numFmtId="170" fontId="5" fillId="0" borderId="83" xfId="0" applyNumberFormat="1" applyFont="1" applyBorder="1" applyAlignment="1">
      <alignment horizontal="center"/>
    </xf>
    <xf numFmtId="0" fontId="26" fillId="0" borderId="0" xfId="0" applyFont="1" applyFill="1" applyAlignment="1">
      <alignment horizontal="center" vertical="center" wrapText="1"/>
    </xf>
    <xf numFmtId="37" fontId="5" fillId="0" borderId="1" xfId="0" applyNumberFormat="1" applyFont="1" applyBorder="1" applyAlignment="1">
      <alignment horizontal="center"/>
    </xf>
    <xf numFmtId="0" fontId="3" fillId="6" borderId="0" xfId="0" applyFont="1" applyFill="1" applyAlignment="1">
      <alignment horizontal="centerContinuous"/>
    </xf>
    <xf numFmtId="0" fontId="2" fillId="6" borderId="0" xfId="0" applyFont="1" applyFill="1"/>
    <xf numFmtId="0" fontId="2" fillId="4" borderId="0" xfId="0" applyFont="1" applyFill="1"/>
    <xf numFmtId="0" fontId="0" fillId="4" borderId="0" xfId="0" applyFill="1"/>
    <xf numFmtId="0" fontId="3" fillId="6" borderId="0" xfId="0" applyFont="1" applyFill="1" applyAlignment="1">
      <alignment horizontal="center" vertical="center" wrapText="1"/>
    </xf>
    <xf numFmtId="0" fontId="24" fillId="6" borderId="0" xfId="0" applyFont="1" applyFill="1" applyAlignment="1">
      <alignment horizontal="center" vertical="center" textRotation="180" wrapText="1"/>
    </xf>
    <xf numFmtId="0" fontId="28" fillId="6" borderId="0" xfId="0" applyFont="1" applyFill="1" applyAlignment="1">
      <alignment horizontal="center" vertical="center" textRotation="180" wrapText="1"/>
    </xf>
    <xf numFmtId="0" fontId="2" fillId="6" borderId="0" xfId="0" applyFont="1" applyFill="1" applyAlignment="1">
      <alignment horizontal="centerContinuous"/>
    </xf>
    <xf numFmtId="1" fontId="38" fillId="6" borderId="0" xfId="0" applyNumberFormat="1" applyFont="1" applyFill="1" applyAlignment="1">
      <alignment horizontal="center"/>
    </xf>
    <xf numFmtId="169" fontId="24" fillId="6" borderId="0" xfId="0" applyNumberFormat="1" applyFont="1" applyFill="1" applyAlignment="1">
      <alignment horizontal="center"/>
    </xf>
    <xf numFmtId="168" fontId="24" fillId="6" borderId="0" xfId="0" applyNumberFormat="1" applyFont="1" applyFill="1" applyAlignment="1">
      <alignment horizontal="center"/>
    </xf>
    <xf numFmtId="1" fontId="5" fillId="5" borderId="0" xfId="0" applyNumberFormat="1" applyFont="1" applyFill="1" applyAlignment="1">
      <alignment horizontal="center"/>
    </xf>
    <xf numFmtId="168" fontId="34" fillId="5" borderId="0" xfId="0" applyNumberFormat="1" applyFont="1" applyFill="1" applyAlignment="1">
      <alignment horizontal="center"/>
    </xf>
    <xf numFmtId="168" fontId="10" fillId="5" borderId="0" xfId="0" applyNumberFormat="1" applyFont="1" applyFill="1" applyAlignment="1">
      <alignment horizontal="center"/>
    </xf>
    <xf numFmtId="0" fontId="5" fillId="5" borderId="71" xfId="0" applyFont="1" applyFill="1" applyBorder="1" applyAlignment="1">
      <alignment horizontal="center"/>
    </xf>
    <xf numFmtId="0" fontId="24" fillId="3" borderId="0" xfId="0" applyFont="1" applyFill="1" applyAlignment="1">
      <alignment horizontal="center" vertical="center" textRotation="180" wrapText="1"/>
    </xf>
    <xf numFmtId="0" fontId="35" fillId="11" borderId="99" xfId="0" applyFont="1" applyFill="1" applyBorder="1" applyAlignment="1">
      <alignment horizontal="center"/>
    </xf>
    <xf numFmtId="166" fontId="35" fillId="5" borderId="0" xfId="0" applyNumberFormat="1" applyFont="1" applyFill="1" applyAlignment="1">
      <alignment horizontal="center"/>
    </xf>
    <xf numFmtId="166" fontId="36" fillId="6" borderId="0" xfId="0" applyNumberFormat="1" applyFont="1" applyFill="1" applyAlignment="1">
      <alignment horizontal="center"/>
    </xf>
    <xf numFmtId="166" fontId="34" fillId="5" borderId="0" xfId="0" applyNumberFormat="1" applyFont="1" applyFill="1" applyAlignment="1">
      <alignment horizontal="center"/>
    </xf>
    <xf numFmtId="166" fontId="38" fillId="6" borderId="0" xfId="0" applyNumberFormat="1" applyFont="1" applyFill="1" applyAlignment="1">
      <alignment horizontal="center"/>
    </xf>
    <xf numFmtId="0" fontId="28" fillId="4" borderId="0" xfId="0" applyFont="1" applyFill="1" applyAlignment="1">
      <alignment horizontal="center"/>
    </xf>
    <xf numFmtId="0" fontId="2" fillId="7" borderId="0" xfId="0" applyFont="1" applyFill="1" applyAlignment="1">
      <alignment horizontal="center"/>
    </xf>
    <xf numFmtId="0" fontId="0" fillId="0" borderId="1" xfId="0" applyBorder="1"/>
    <xf numFmtId="0" fontId="12" fillId="0" borderId="0" xfId="0" applyFont="1" applyAlignment="1">
      <alignment horizontal="left" vertical="center"/>
    </xf>
    <xf numFmtId="0" fontId="0" fillId="0" borderId="0" xfId="0" applyAlignment="1">
      <alignment horizontal="center" vertical="center" textRotation="180"/>
    </xf>
    <xf numFmtId="0" fontId="33" fillId="8" borderId="0" xfId="0" applyFont="1" applyFill="1" applyAlignment="1">
      <alignment horizontal="center"/>
    </xf>
    <xf numFmtId="0" fontId="2" fillId="23" borderId="101" xfId="0" applyFont="1" applyFill="1" applyBorder="1" applyAlignment="1">
      <alignment horizontal="center"/>
    </xf>
    <xf numFmtId="0" fontId="2" fillId="23" borderId="41" xfId="0" applyFont="1" applyFill="1" applyBorder="1" applyAlignment="1">
      <alignment horizontal="center"/>
    </xf>
    <xf numFmtId="0" fontId="2" fillId="23" borderId="44" xfId="0" applyFont="1" applyFill="1" applyBorder="1" applyAlignment="1">
      <alignment horizontal="center"/>
    </xf>
    <xf numFmtId="168" fontId="10" fillId="23" borderId="102" xfId="0" applyNumberFormat="1" applyFont="1" applyFill="1" applyBorder="1" applyAlignment="1">
      <alignment horizontal="center"/>
    </xf>
    <xf numFmtId="9" fontId="10" fillId="23" borderId="102" xfId="0" applyNumberFormat="1" applyFont="1" applyFill="1" applyBorder="1" applyAlignment="1">
      <alignment horizontal="center"/>
    </xf>
    <xf numFmtId="168" fontId="10" fillId="23" borderId="103" xfId="0" applyNumberFormat="1" applyFont="1" applyFill="1" applyBorder="1" applyAlignment="1">
      <alignment horizontal="center"/>
    </xf>
    <xf numFmtId="168" fontId="10" fillId="23" borderId="104" xfId="0" applyNumberFormat="1" applyFont="1" applyFill="1" applyBorder="1" applyAlignment="1">
      <alignment horizontal="center"/>
    </xf>
    <xf numFmtId="168" fontId="10" fillId="23" borderId="1" xfId="0" applyNumberFormat="1" applyFont="1" applyFill="1" applyBorder="1" applyAlignment="1">
      <alignment horizontal="center"/>
    </xf>
    <xf numFmtId="9" fontId="10" fillId="23" borderId="1" xfId="0" applyNumberFormat="1" applyFont="1" applyFill="1" applyBorder="1" applyAlignment="1">
      <alignment horizontal="center"/>
    </xf>
    <xf numFmtId="168" fontId="10" fillId="23" borderId="63" xfId="0" applyNumberFormat="1" applyFont="1" applyFill="1" applyBorder="1" applyAlignment="1">
      <alignment horizontal="center"/>
    </xf>
    <xf numFmtId="168" fontId="10" fillId="23" borderId="36" xfId="0" applyNumberFormat="1" applyFont="1" applyFill="1" applyBorder="1" applyAlignment="1">
      <alignment horizontal="center"/>
    </xf>
    <xf numFmtId="168" fontId="10" fillId="0" borderId="45" xfId="0" applyNumberFormat="1" applyFont="1" applyBorder="1" applyAlignment="1">
      <alignment horizontal="center"/>
    </xf>
    <xf numFmtId="9" fontId="10" fillId="0" borderId="45" xfId="0" applyNumberFormat="1" applyFont="1" applyBorder="1" applyAlignment="1">
      <alignment horizontal="center"/>
    </xf>
    <xf numFmtId="168" fontId="10" fillId="23" borderId="45" xfId="0" applyNumberFormat="1" applyFont="1" applyFill="1" applyBorder="1" applyAlignment="1">
      <alignment horizontal="center"/>
    </xf>
    <xf numFmtId="168" fontId="10" fillId="0" borderId="46" xfId="0" applyNumberFormat="1" applyFont="1" applyFill="1" applyBorder="1" applyAlignment="1">
      <alignment horizontal="center"/>
    </xf>
    <xf numFmtId="168" fontId="10" fillId="23" borderId="105" xfId="0" applyNumberFormat="1" applyFont="1" applyFill="1" applyBorder="1" applyAlignment="1">
      <alignment horizontal="center"/>
    </xf>
    <xf numFmtId="0" fontId="3" fillId="8" borderId="0" xfId="0" applyFont="1" applyFill="1" applyAlignment="1">
      <alignment horizontal="center" vertical="center" textRotation="180"/>
    </xf>
    <xf numFmtId="0" fontId="3" fillId="8" borderId="0" xfId="0" applyFont="1" applyFill="1" applyAlignment="1">
      <alignment horizontal="center" vertical="center" textRotation="180" wrapText="1"/>
    </xf>
    <xf numFmtId="0" fontId="4" fillId="8" borderId="0" xfId="0" applyFont="1" applyFill="1" applyAlignment="1">
      <alignment horizontal="center" vertical="center" textRotation="180"/>
    </xf>
    <xf numFmtId="0" fontId="40" fillId="4" borderId="0" xfId="0" applyFont="1" applyFill="1"/>
    <xf numFmtId="0" fontId="0" fillId="0" borderId="0" xfId="0" applyAlignment="1">
      <alignment horizontal="center" vertical="center" wrapText="1"/>
    </xf>
    <xf numFmtId="0" fontId="3" fillId="25" borderId="0" xfId="0" applyFont="1" applyFill="1" applyAlignment="1">
      <alignment horizontal="center" vertical="center" textRotation="180"/>
    </xf>
    <xf numFmtId="0" fontId="3" fillId="25" borderId="0" xfId="0" applyFont="1" applyFill="1" applyAlignment="1">
      <alignment horizontal="center" vertical="center" wrapText="1"/>
    </xf>
    <xf numFmtId="0" fontId="24" fillId="25" borderId="0" xfId="0" applyFont="1" applyFill="1" applyAlignment="1">
      <alignment horizontal="center" vertical="center" wrapText="1"/>
    </xf>
    <xf numFmtId="0" fontId="3" fillId="25" borderId="0" xfId="0" applyFont="1" applyFill="1" applyAlignment="1">
      <alignment horizontal="center"/>
    </xf>
    <xf numFmtId="1" fontId="24" fillId="25" borderId="0" xfId="0" applyNumberFormat="1" applyFont="1" applyFill="1" applyAlignment="1">
      <alignment horizontal="center"/>
    </xf>
    <xf numFmtId="166" fontId="24" fillId="25" borderId="0" xfId="1" applyNumberFormat="1" applyFont="1" applyFill="1" applyAlignment="1">
      <alignment horizontal="center"/>
    </xf>
    <xf numFmtId="0" fontId="2" fillId="26" borderId="0" xfId="0" applyFont="1" applyFill="1"/>
    <xf numFmtId="0" fontId="0" fillId="26" borderId="0" xfId="0" applyFill="1"/>
    <xf numFmtId="0" fontId="2" fillId="25" borderId="33" xfId="0" applyFont="1" applyFill="1" applyBorder="1"/>
    <xf numFmtId="1" fontId="12" fillId="26" borderId="0" xfId="0" applyNumberFormat="1" applyFont="1" applyFill="1" applyAlignment="1">
      <alignment horizontal="center" vertical="center"/>
    </xf>
    <xf numFmtId="166" fontId="12" fillId="26" borderId="0" xfId="0" applyNumberFormat="1" applyFont="1" applyFill="1" applyAlignment="1">
      <alignment horizontal="center" vertical="center"/>
    </xf>
    <xf numFmtId="0" fontId="41" fillId="0" borderId="0" xfId="0" applyFont="1"/>
    <xf numFmtId="0" fontId="2" fillId="0" borderId="21" xfId="0" applyFont="1" applyFill="1" applyBorder="1"/>
    <xf numFmtId="0" fontId="44" fillId="0" borderId="0" xfId="0" applyFont="1"/>
    <xf numFmtId="0" fontId="10" fillId="0" borderId="0" xfId="0" applyFont="1"/>
    <xf numFmtId="0" fontId="9" fillId="11" borderId="0" xfId="0" applyFont="1" applyFill="1" applyAlignment="1">
      <alignment horizontal="center"/>
    </xf>
    <xf numFmtId="0" fontId="0" fillId="8" borderId="0" xfId="0" applyFill="1"/>
    <xf numFmtId="0" fontId="2" fillId="8" borderId="0" xfId="0" applyFont="1" applyFill="1"/>
    <xf numFmtId="0" fontId="4" fillId="26" borderId="11" xfId="0" applyFont="1" applyFill="1" applyBorder="1" applyAlignment="1">
      <alignment horizontal="center"/>
    </xf>
    <xf numFmtId="0" fontId="4" fillId="26" borderId="2" xfId="0" applyFont="1" applyFill="1" applyBorder="1" applyAlignment="1">
      <alignment horizontal="center" vertical="center"/>
    </xf>
    <xf numFmtId="0" fontId="4" fillId="26" borderId="5" xfId="0" applyFont="1" applyFill="1" applyBorder="1" applyAlignment="1">
      <alignment horizontal="center"/>
    </xf>
    <xf numFmtId="0" fontId="10" fillId="0" borderId="115" xfId="0" applyFont="1" applyBorder="1" applyAlignment="1">
      <alignment horizontal="center"/>
    </xf>
    <xf numFmtId="0" fontId="23" fillId="0" borderId="88" xfId="0" applyFont="1" applyBorder="1" applyAlignment="1">
      <alignment horizontal="center"/>
    </xf>
    <xf numFmtId="0" fontId="4" fillId="26" borderId="14" xfId="0" applyFont="1" applyFill="1" applyBorder="1" applyAlignment="1">
      <alignment horizontal="center" vertical="center"/>
    </xf>
    <xf numFmtId="0" fontId="10" fillId="0" borderId="16" xfId="0" applyFont="1" applyFill="1" applyBorder="1" applyAlignment="1">
      <alignment horizontal="center" vertical="center" wrapText="1"/>
    </xf>
    <xf numFmtId="0" fontId="18" fillId="0" borderId="8" xfId="0" applyFont="1" applyBorder="1" applyAlignment="1">
      <alignment horizontal="center"/>
    </xf>
    <xf numFmtId="0" fontId="18" fillId="0" borderId="9" xfId="0" applyFont="1" applyBorder="1" applyAlignment="1">
      <alignment horizontal="center"/>
    </xf>
    <xf numFmtId="0" fontId="2" fillId="5" borderId="0" xfId="0" applyFont="1" applyFill="1"/>
    <xf numFmtId="0" fontId="47" fillId="0" borderId="0" xfId="0" applyFont="1"/>
    <xf numFmtId="0" fontId="0" fillId="0" borderId="0" xfId="0" applyAlignment="1">
      <alignment horizontal="center" vertical="center" textRotation="180" wrapText="1"/>
    </xf>
    <xf numFmtId="0" fontId="27" fillId="8" borderId="0" xfId="0" applyFont="1" applyFill="1"/>
    <xf numFmtId="0" fontId="4" fillId="6" borderId="117" xfId="0" applyFont="1" applyFill="1" applyBorder="1" applyAlignment="1">
      <alignment horizontal="center" vertical="center" textRotation="180" wrapText="1"/>
    </xf>
    <xf numFmtId="0" fontId="3" fillId="6" borderId="0" xfId="0" applyFont="1" applyFill="1"/>
    <xf numFmtId="1" fontId="7" fillId="6" borderId="0" xfId="0" applyNumberFormat="1" applyFont="1" applyFill="1" applyAlignment="1">
      <alignment horizontal="center"/>
    </xf>
    <xf numFmtId="0" fontId="2" fillId="0" borderId="102" xfId="0" applyFont="1" applyBorder="1" applyAlignment="1">
      <alignment horizontal="center" vertical="center"/>
    </xf>
    <xf numFmtId="0" fontId="2" fillId="0" borderId="104" xfId="0" applyFont="1" applyBorder="1" applyAlignment="1">
      <alignment horizontal="center" vertical="center"/>
    </xf>
    <xf numFmtId="0" fontId="2" fillId="0" borderId="1" xfId="0" applyFont="1" applyBorder="1" applyAlignment="1">
      <alignment horizontal="center" vertical="center"/>
    </xf>
    <xf numFmtId="0" fontId="2" fillId="0" borderId="36" xfId="0" applyFont="1" applyBorder="1" applyAlignment="1">
      <alignment horizontal="center" vertical="center"/>
    </xf>
    <xf numFmtId="0" fontId="2" fillId="0" borderId="45" xfId="0" applyFont="1" applyBorder="1" applyAlignment="1">
      <alignment horizontal="center" vertical="center"/>
    </xf>
    <xf numFmtId="0" fontId="2" fillId="0" borderId="105" xfId="0" applyFont="1" applyBorder="1" applyAlignment="1">
      <alignment horizontal="center" vertical="center"/>
    </xf>
    <xf numFmtId="164" fontId="9" fillId="7" borderId="117" xfId="0" applyNumberFormat="1" applyFont="1" applyFill="1" applyBorder="1" applyAlignment="1">
      <alignment horizontal="center" vertical="center" textRotation="180" wrapText="1"/>
    </xf>
    <xf numFmtId="0" fontId="4" fillId="6" borderId="82" xfId="0" applyFont="1" applyFill="1" applyBorder="1" applyAlignment="1"/>
    <xf numFmtId="0" fontId="4" fillId="6" borderId="68" xfId="0" applyFont="1" applyFill="1" applyBorder="1" applyAlignment="1"/>
    <xf numFmtId="0" fontId="35" fillId="26" borderId="119" xfId="0" applyFont="1" applyFill="1" applyBorder="1" applyAlignment="1">
      <alignment horizontal="center" vertical="center" wrapText="1"/>
    </xf>
    <xf numFmtId="0" fontId="4" fillId="8" borderId="0" xfId="0" applyFont="1" applyFill="1" applyAlignment="1">
      <alignment vertical="center"/>
    </xf>
    <xf numFmtId="0" fontId="2" fillId="0" borderId="120" xfId="0" applyFont="1" applyBorder="1" applyAlignment="1">
      <alignment horizontal="center" vertical="center"/>
    </xf>
    <xf numFmtId="0" fontId="2" fillId="0" borderId="79" xfId="0" applyFont="1" applyBorder="1" applyAlignment="1">
      <alignment horizontal="center" vertical="center"/>
    </xf>
    <xf numFmtId="0" fontId="2" fillId="0" borderId="121" xfId="0" applyFont="1" applyBorder="1" applyAlignment="1">
      <alignment horizontal="center" vertical="center"/>
    </xf>
    <xf numFmtId="0" fontId="4" fillId="6" borderId="118" xfId="0" applyFont="1" applyFill="1" applyBorder="1" applyAlignment="1">
      <alignment horizontal="center" vertical="center" textRotation="180" wrapText="1"/>
    </xf>
    <xf numFmtId="0" fontId="25" fillId="0" borderId="0" xfId="0" applyFont="1" applyFill="1" applyBorder="1" applyAlignment="1">
      <alignment horizontal="center" vertical="center" wrapText="1"/>
    </xf>
    <xf numFmtId="0" fontId="35" fillId="0" borderId="0" xfId="0" applyFont="1" applyFill="1" applyBorder="1" applyAlignment="1">
      <alignment horizontal="center" vertical="center" wrapText="1"/>
    </xf>
    <xf numFmtId="166" fontId="10" fillId="0" borderId="0" xfId="0" applyNumberFormat="1" applyFont="1" applyFill="1" applyBorder="1" applyAlignment="1">
      <alignment horizontal="center" vertical="center" wrapText="1"/>
    </xf>
    <xf numFmtId="166" fontId="35" fillId="0" borderId="0" xfId="0" applyNumberFormat="1" applyFont="1" applyFill="1" applyBorder="1" applyAlignment="1">
      <alignment horizontal="center" vertical="center"/>
    </xf>
    <xf numFmtId="166" fontId="10" fillId="0" borderId="0" xfId="0" applyNumberFormat="1" applyFont="1" applyFill="1" applyBorder="1" applyAlignment="1">
      <alignment vertical="center"/>
    </xf>
    <xf numFmtId="166" fontId="25" fillId="0" borderId="0" xfId="0" applyNumberFormat="1" applyFont="1" applyFill="1" applyBorder="1" applyAlignment="1">
      <alignment horizontal="center" vertical="center"/>
    </xf>
    <xf numFmtId="0" fontId="25" fillId="3" borderId="0" xfId="0" applyFont="1" applyFill="1" applyBorder="1" applyAlignment="1">
      <alignment horizontal="center" vertical="center" wrapText="1"/>
    </xf>
    <xf numFmtId="0" fontId="35" fillId="3" borderId="0" xfId="0" applyFont="1" applyFill="1" applyBorder="1" applyAlignment="1">
      <alignment horizontal="center" vertical="center" wrapText="1"/>
    </xf>
    <xf numFmtId="166" fontId="10" fillId="3" borderId="0" xfId="0" applyNumberFormat="1" applyFont="1" applyFill="1" applyBorder="1" applyAlignment="1">
      <alignment vertical="center"/>
    </xf>
    <xf numFmtId="0" fontId="36" fillId="6" borderId="24" xfId="0" applyFont="1" applyFill="1" applyBorder="1" applyAlignment="1">
      <alignment horizontal="center" vertical="center"/>
    </xf>
    <xf numFmtId="166" fontId="5" fillId="7" borderId="116" xfId="0" applyNumberFormat="1" applyFont="1" applyFill="1" applyBorder="1" applyAlignment="1">
      <alignment horizontal="center" vertical="center"/>
    </xf>
    <xf numFmtId="166" fontId="10" fillId="7" borderId="122" xfId="0" applyNumberFormat="1" applyFont="1" applyFill="1" applyBorder="1" applyAlignment="1">
      <alignment horizontal="center" vertical="center"/>
    </xf>
    <xf numFmtId="0" fontId="2" fillId="4" borderId="50" xfId="0" applyFont="1" applyFill="1" applyBorder="1" applyAlignment="1"/>
    <xf numFmtId="0" fontId="2" fillId="4" borderId="51" xfId="0" applyFont="1" applyFill="1" applyBorder="1" applyAlignment="1"/>
    <xf numFmtId="0" fontId="26" fillId="4" borderId="19" xfId="0" applyFont="1" applyFill="1" applyBorder="1"/>
    <xf numFmtId="0" fontId="26" fillId="4" borderId="10" xfId="0" applyFont="1" applyFill="1" applyBorder="1"/>
    <xf numFmtId="0" fontId="26" fillId="4" borderId="21" xfId="0" applyFont="1" applyFill="1" applyBorder="1"/>
    <xf numFmtId="0" fontId="26" fillId="4" borderId="0" xfId="0" applyFont="1" applyFill="1" applyBorder="1"/>
    <xf numFmtId="0" fontId="26" fillId="4" borderId="23" xfId="0" applyFont="1" applyFill="1" applyBorder="1"/>
    <xf numFmtId="0" fontId="26" fillId="4" borderId="24" xfId="0" applyFont="1" applyFill="1" applyBorder="1"/>
    <xf numFmtId="0" fontId="43" fillId="6" borderId="0" xfId="0" applyFont="1" applyFill="1" applyAlignment="1">
      <alignment horizontal="center"/>
    </xf>
    <xf numFmtId="0" fontId="9" fillId="4" borderId="117" xfId="0" applyFont="1" applyFill="1" applyBorder="1" applyAlignment="1">
      <alignment horizontal="center" vertical="center" textRotation="180" wrapText="1"/>
    </xf>
    <xf numFmtId="1" fontId="10" fillId="4" borderId="102" xfId="0" applyNumberFormat="1" applyFont="1" applyFill="1" applyBorder="1" applyAlignment="1">
      <alignment horizontal="center" vertical="center"/>
    </xf>
    <xf numFmtId="1" fontId="10" fillId="4" borderId="1" xfId="0" applyNumberFormat="1" applyFont="1" applyFill="1" applyBorder="1" applyAlignment="1">
      <alignment horizontal="center" vertical="center"/>
    </xf>
    <xf numFmtId="1" fontId="10" fillId="4" borderId="45" xfId="0" applyNumberFormat="1" applyFont="1" applyFill="1" applyBorder="1" applyAlignment="1">
      <alignment horizontal="center" vertical="center"/>
    </xf>
    <xf numFmtId="0" fontId="9" fillId="5" borderId="117" xfId="0" applyFont="1" applyFill="1" applyBorder="1" applyAlignment="1">
      <alignment horizontal="center" vertical="center" textRotation="180" wrapText="1"/>
    </xf>
    <xf numFmtId="1" fontId="10" fillId="5" borderId="102" xfId="0" applyNumberFormat="1" applyFont="1" applyFill="1" applyBorder="1" applyAlignment="1">
      <alignment horizontal="center" vertical="center"/>
    </xf>
    <xf numFmtId="1" fontId="10" fillId="5" borderId="1" xfId="0" applyNumberFormat="1" applyFont="1" applyFill="1" applyBorder="1" applyAlignment="1">
      <alignment horizontal="center" vertical="center"/>
    </xf>
    <xf numFmtId="1" fontId="10" fillId="5" borderId="45" xfId="0" applyNumberFormat="1" applyFont="1" applyFill="1" applyBorder="1" applyAlignment="1">
      <alignment horizontal="center" vertical="center"/>
    </xf>
    <xf numFmtId="9" fontId="10" fillId="4" borderId="102" xfId="2" applyFont="1" applyFill="1" applyBorder="1" applyAlignment="1">
      <alignment horizontal="center" vertical="center"/>
    </xf>
    <xf numFmtId="9" fontId="10" fillId="4" borderId="1" xfId="2" applyFont="1" applyFill="1" applyBorder="1" applyAlignment="1">
      <alignment horizontal="center" vertical="center"/>
    </xf>
    <xf numFmtId="9" fontId="10" fillId="0" borderId="104" xfId="2" applyFont="1" applyBorder="1" applyAlignment="1">
      <alignment horizontal="center" vertical="center"/>
    </xf>
    <xf numFmtId="9" fontId="10" fillId="0" borderId="36" xfId="2" applyFont="1" applyBorder="1" applyAlignment="1">
      <alignment horizontal="center" vertical="center"/>
    </xf>
    <xf numFmtId="9" fontId="10" fillId="0" borderId="105" xfId="2" applyFont="1" applyBorder="1" applyAlignment="1">
      <alignment horizontal="center" vertical="center"/>
    </xf>
    <xf numFmtId="0" fontId="2" fillId="5" borderId="54" xfId="0" applyFont="1" applyFill="1" applyBorder="1" applyAlignment="1">
      <alignment horizontal="center"/>
    </xf>
    <xf numFmtId="0" fontId="2" fillId="5" borderId="79" xfId="0" applyFont="1" applyFill="1" applyBorder="1" applyAlignment="1">
      <alignment horizontal="center"/>
    </xf>
    <xf numFmtId="0" fontId="5" fillId="7" borderId="108" xfId="0" applyFont="1" applyFill="1" applyBorder="1" applyAlignment="1">
      <alignment horizontal="center"/>
    </xf>
    <xf numFmtId="0" fontId="5" fillId="7" borderId="109" xfId="0" applyFont="1" applyFill="1" applyBorder="1" applyAlignment="1">
      <alignment horizontal="center" vertical="center" wrapText="1"/>
    </xf>
    <xf numFmtId="0" fontId="10" fillId="7" borderId="109" xfId="0" applyFont="1" applyFill="1" applyBorder="1" applyAlignment="1">
      <alignment horizontal="center" vertical="center" wrapText="1"/>
    </xf>
    <xf numFmtId="1" fontId="10" fillId="7" borderId="109" xfId="0" applyNumberFormat="1" applyFont="1" applyFill="1" applyBorder="1" applyAlignment="1">
      <alignment horizontal="center"/>
    </xf>
    <xf numFmtId="166" fontId="10" fillId="7" borderId="109" xfId="0" applyNumberFormat="1" applyFont="1" applyFill="1" applyBorder="1" applyAlignment="1">
      <alignment horizontal="center"/>
    </xf>
    <xf numFmtId="166" fontId="5" fillId="7" borderId="109" xfId="1" applyNumberFormat="1" applyFont="1" applyFill="1" applyBorder="1" applyAlignment="1">
      <alignment horizontal="center"/>
    </xf>
    <xf numFmtId="168" fontId="5" fillId="7" borderId="110" xfId="1" applyNumberFormat="1" applyFont="1" applyFill="1" applyBorder="1" applyAlignment="1">
      <alignment horizontal="center"/>
    </xf>
    <xf numFmtId="0" fontId="5" fillId="7" borderId="35" xfId="0" applyFont="1" applyFill="1" applyBorder="1" applyAlignment="1">
      <alignment horizontal="center"/>
    </xf>
    <xf numFmtId="0" fontId="5" fillId="7" borderId="54" xfId="0" applyFont="1" applyFill="1" applyBorder="1" applyAlignment="1">
      <alignment horizontal="center" vertical="center" wrapText="1"/>
    </xf>
    <xf numFmtId="0" fontId="10" fillId="7" borderId="54" xfId="0" applyFont="1" applyFill="1" applyBorder="1" applyAlignment="1">
      <alignment horizontal="center" vertical="center" wrapText="1"/>
    </xf>
    <xf numFmtId="1" fontId="10" fillId="7" borderId="54" xfId="0" applyNumberFormat="1" applyFont="1" applyFill="1" applyBorder="1" applyAlignment="1">
      <alignment horizontal="center"/>
    </xf>
    <xf numFmtId="169" fontId="10" fillId="7" borderId="54" xfId="0" applyNumberFormat="1" applyFont="1" applyFill="1" applyBorder="1" applyAlignment="1">
      <alignment horizontal="center"/>
    </xf>
    <xf numFmtId="166" fontId="10" fillId="7" borderId="54" xfId="0" applyNumberFormat="1" applyFont="1" applyFill="1" applyBorder="1" applyAlignment="1">
      <alignment horizontal="center"/>
    </xf>
    <xf numFmtId="166" fontId="5" fillId="7" borderId="54" xfId="1" applyNumberFormat="1" applyFont="1" applyFill="1" applyBorder="1" applyAlignment="1">
      <alignment horizontal="center"/>
    </xf>
    <xf numFmtId="168" fontId="5" fillId="7" borderId="111" xfId="1" applyNumberFormat="1" applyFont="1" applyFill="1" applyBorder="1" applyAlignment="1">
      <alignment horizontal="center"/>
    </xf>
    <xf numFmtId="0" fontId="10" fillId="7" borderId="54" xfId="0" applyFont="1" applyFill="1" applyBorder="1" applyAlignment="1">
      <alignment horizontal="center"/>
    </xf>
    <xf numFmtId="0" fontId="5" fillId="7" borderId="37" xfId="0" applyFont="1" applyFill="1" applyBorder="1" applyAlignment="1">
      <alignment horizontal="center"/>
    </xf>
    <xf numFmtId="0" fontId="5" fillId="7" borderId="112" xfId="0" applyFont="1" applyFill="1" applyBorder="1" applyAlignment="1">
      <alignment horizontal="center" vertical="center" wrapText="1"/>
    </xf>
    <xf numFmtId="0" fontId="10" fillId="7" borderId="112" xfId="0" applyFont="1" applyFill="1" applyBorder="1" applyAlignment="1">
      <alignment horizontal="center"/>
    </xf>
    <xf numFmtId="1" fontId="10" fillId="7" borderId="112" xfId="0" applyNumberFormat="1" applyFont="1" applyFill="1" applyBorder="1" applyAlignment="1">
      <alignment horizontal="center"/>
    </xf>
    <xf numFmtId="169" fontId="10" fillId="7" borderId="112" xfId="0" applyNumberFormat="1" applyFont="1" applyFill="1" applyBorder="1" applyAlignment="1">
      <alignment horizontal="center"/>
    </xf>
    <xf numFmtId="166" fontId="10" fillId="7" borderId="112" xfId="0" applyNumberFormat="1" applyFont="1" applyFill="1" applyBorder="1" applyAlignment="1">
      <alignment horizontal="center"/>
    </xf>
    <xf numFmtId="166" fontId="5" fillId="7" borderId="112" xfId="1" applyNumberFormat="1" applyFont="1" applyFill="1" applyBorder="1" applyAlignment="1">
      <alignment horizontal="center"/>
    </xf>
    <xf numFmtId="168" fontId="5" fillId="7" borderId="113" xfId="1" applyNumberFormat="1" applyFont="1" applyFill="1" applyBorder="1" applyAlignment="1">
      <alignment horizontal="center"/>
    </xf>
    <xf numFmtId="0" fontId="6" fillId="0" borderId="114" xfId="0" applyFont="1" applyFill="1" applyBorder="1" applyAlignment="1">
      <alignment horizontal="center"/>
    </xf>
    <xf numFmtId="0" fontId="5" fillId="0" borderId="115" xfId="0" applyFont="1" applyBorder="1" applyAlignment="1">
      <alignment horizontal="center"/>
    </xf>
    <xf numFmtId="0" fontId="2" fillId="0" borderId="71" xfId="0" applyFont="1" applyBorder="1" applyAlignment="1">
      <alignment horizontal="center"/>
    </xf>
    <xf numFmtId="0" fontId="2" fillId="0" borderId="71" xfId="0" applyFont="1" applyBorder="1"/>
    <xf numFmtId="0" fontId="10" fillId="5" borderId="48" xfId="0" applyFont="1" applyFill="1" applyBorder="1" applyAlignment="1">
      <alignment horizontal="center"/>
    </xf>
    <xf numFmtId="0" fontId="10" fillId="5" borderId="52" xfId="0" applyFont="1" applyFill="1" applyBorder="1" applyAlignment="1">
      <alignment horizontal="center"/>
    </xf>
    <xf numFmtId="0" fontId="2" fillId="0" borderId="59" xfId="0" applyFont="1" applyFill="1" applyBorder="1" applyAlignment="1">
      <alignment horizontal="center"/>
    </xf>
    <xf numFmtId="0" fontId="25" fillId="5" borderId="48" xfId="0" applyFont="1" applyFill="1" applyBorder="1" applyAlignment="1">
      <alignment horizontal="center"/>
    </xf>
    <xf numFmtId="0" fontId="25" fillId="5" borderId="52" xfId="0" applyFont="1" applyFill="1" applyBorder="1" applyAlignment="1">
      <alignment horizontal="center"/>
    </xf>
    <xf numFmtId="0" fontId="25" fillId="5" borderId="56" xfId="0" applyFont="1" applyFill="1" applyBorder="1" applyAlignment="1">
      <alignment horizontal="center"/>
    </xf>
    <xf numFmtId="0" fontId="25" fillId="5" borderId="55" xfId="0" applyFont="1" applyFill="1" applyBorder="1" applyAlignment="1">
      <alignment horizontal="center"/>
    </xf>
    <xf numFmtId="0" fontId="2" fillId="0" borderId="10" xfId="0" applyFont="1" applyFill="1" applyBorder="1" applyAlignment="1"/>
    <xf numFmtId="0" fontId="2" fillId="0" borderId="0" xfId="0" applyFont="1" applyFill="1" applyBorder="1" applyAlignment="1"/>
    <xf numFmtId="0" fontId="25" fillId="0" borderId="0" xfId="0" applyFont="1" applyFill="1" applyBorder="1" applyAlignment="1">
      <alignment horizontal="center"/>
    </xf>
    <xf numFmtId="0" fontId="2" fillId="3" borderId="0" xfId="0" applyFont="1" applyFill="1"/>
    <xf numFmtId="0" fontId="2" fillId="3" borderId="2" xfId="0" applyFont="1" applyFill="1" applyBorder="1"/>
    <xf numFmtId="9" fontId="2" fillId="0" borderId="6" xfId="2" applyFont="1" applyBorder="1" applyAlignment="1">
      <alignment horizontal="center"/>
    </xf>
    <xf numFmtId="0" fontId="2" fillId="0" borderId="0" xfId="0" applyFont="1" applyFill="1" applyBorder="1" applyAlignment="1">
      <alignment horizontal="center"/>
    </xf>
    <xf numFmtId="0" fontId="26" fillId="5" borderId="3" xfId="0" applyFont="1" applyFill="1" applyBorder="1" applyAlignment="1">
      <alignment horizontal="center"/>
    </xf>
    <xf numFmtId="0" fontId="26" fillId="5" borderId="4" xfId="0" applyFont="1" applyFill="1" applyBorder="1" applyAlignment="1">
      <alignment horizontal="center"/>
    </xf>
    <xf numFmtId="0" fontId="26" fillId="5" borderId="7" xfId="0" applyFont="1" applyFill="1" applyBorder="1" applyAlignment="1">
      <alignment horizontal="center"/>
    </xf>
    <xf numFmtId="0" fontId="25" fillId="5" borderId="5" xfId="0" applyFont="1" applyFill="1" applyBorder="1" applyAlignment="1">
      <alignment horizontal="center"/>
    </xf>
    <xf numFmtId="165" fontId="10" fillId="5" borderId="8" xfId="2" applyNumberFormat="1" applyFont="1" applyFill="1" applyBorder="1" applyAlignment="1">
      <alignment horizontal="center"/>
    </xf>
    <xf numFmtId="0" fontId="3" fillId="3" borderId="0" xfId="0" applyFont="1" applyFill="1" applyAlignment="1">
      <alignment horizontal="center"/>
    </xf>
    <xf numFmtId="168" fontId="2" fillId="0" borderId="0" xfId="0" applyNumberFormat="1" applyFont="1"/>
    <xf numFmtId="0" fontId="36" fillId="3" borderId="56" xfId="0" applyFont="1" applyFill="1" applyBorder="1" applyAlignment="1">
      <alignment horizontal="center"/>
    </xf>
    <xf numFmtId="168" fontId="7" fillId="3" borderId="58" xfId="0" applyNumberFormat="1" applyFont="1" applyFill="1" applyBorder="1" applyAlignment="1">
      <alignment horizontal="center"/>
    </xf>
    <xf numFmtId="168" fontId="7" fillId="3" borderId="59" xfId="0" applyNumberFormat="1" applyFont="1" applyFill="1" applyBorder="1" applyAlignment="1">
      <alignment horizontal="center"/>
    </xf>
    <xf numFmtId="168" fontId="10" fillId="0" borderId="125" xfId="0" applyNumberFormat="1" applyFont="1" applyBorder="1" applyAlignment="1">
      <alignment horizontal="center"/>
    </xf>
    <xf numFmtId="168" fontId="10" fillId="0" borderId="126" xfId="0" applyNumberFormat="1" applyFont="1" applyBorder="1" applyAlignment="1">
      <alignment horizontal="center"/>
    </xf>
    <xf numFmtId="0" fontId="2" fillId="5" borderId="127" xfId="0" applyFont="1" applyFill="1" applyBorder="1" applyAlignment="1">
      <alignment horizontal="center"/>
    </xf>
    <xf numFmtId="0" fontId="2" fillId="5" borderId="128" xfId="0" applyFont="1" applyFill="1" applyBorder="1" applyAlignment="1">
      <alignment horizontal="center"/>
    </xf>
    <xf numFmtId="168" fontId="10" fillId="5" borderId="127" xfId="0" applyNumberFormat="1" applyFont="1" applyFill="1" applyBorder="1" applyAlignment="1">
      <alignment horizontal="center"/>
    </xf>
    <xf numFmtId="168" fontId="10" fillId="5" borderId="128" xfId="0" applyNumberFormat="1" applyFont="1" applyFill="1" applyBorder="1" applyAlignment="1">
      <alignment horizontal="center"/>
    </xf>
    <xf numFmtId="168" fontId="10" fillId="0" borderId="129" xfId="0" applyNumberFormat="1" applyFont="1" applyBorder="1" applyAlignment="1">
      <alignment horizontal="center"/>
    </xf>
    <xf numFmtId="0" fontId="2" fillId="5" borderId="130" xfId="0" applyFont="1" applyFill="1" applyBorder="1" applyAlignment="1">
      <alignment horizontal="center"/>
    </xf>
    <xf numFmtId="168" fontId="10" fillId="5" borderId="130" xfId="0" applyNumberFormat="1" applyFont="1" applyFill="1" applyBorder="1" applyAlignment="1">
      <alignment horizontal="center"/>
    </xf>
    <xf numFmtId="0" fontId="51" fillId="0" borderId="52" xfId="0" applyFont="1" applyBorder="1" applyAlignment="1">
      <alignment horizontal="center"/>
    </xf>
    <xf numFmtId="0" fontId="35" fillId="5" borderId="52" xfId="0" applyFont="1" applyFill="1" applyBorder="1" applyAlignment="1">
      <alignment horizontal="center" vertical="center"/>
    </xf>
    <xf numFmtId="168" fontId="10" fillId="0" borderId="130" xfId="0" applyNumberFormat="1" applyFont="1" applyBorder="1" applyAlignment="1">
      <alignment horizontal="center"/>
    </xf>
    <xf numFmtId="168" fontId="10" fillId="0" borderId="127" xfId="0" applyNumberFormat="1" applyFont="1" applyBorder="1" applyAlignment="1">
      <alignment horizontal="center"/>
    </xf>
    <xf numFmtId="168" fontId="10" fillId="0" borderId="128" xfId="0" applyNumberFormat="1" applyFont="1" applyBorder="1" applyAlignment="1">
      <alignment horizontal="center"/>
    </xf>
    <xf numFmtId="0" fontId="51" fillId="0" borderId="131" xfId="0" applyFont="1" applyBorder="1" applyAlignment="1">
      <alignment horizontal="center" vertical="center" wrapText="1"/>
    </xf>
    <xf numFmtId="0" fontId="3" fillId="6" borderId="71" xfId="0" applyFont="1" applyFill="1" applyBorder="1" applyAlignment="1">
      <alignment horizontal="center" vertical="center"/>
    </xf>
    <xf numFmtId="0" fontId="53" fillId="0" borderId="0" xfId="0" applyFont="1" applyBorder="1"/>
    <xf numFmtId="0" fontId="0" fillId="2" borderId="0" xfId="0" applyFill="1" applyBorder="1" applyAlignment="1">
      <alignment horizontal="center"/>
    </xf>
    <xf numFmtId="0" fontId="0" fillId="0" borderId="1" xfId="0" applyFill="1" applyBorder="1" applyAlignment="1">
      <alignment horizontal="center"/>
    </xf>
    <xf numFmtId="0" fontId="52" fillId="0" borderId="52" xfId="0" applyFont="1" applyBorder="1" applyAlignment="1">
      <alignment horizontal="center" vertical="center" wrapText="1"/>
    </xf>
    <xf numFmtId="0" fontId="52" fillId="0" borderId="1" xfId="0" applyFont="1" applyBorder="1" applyAlignment="1">
      <alignment horizontal="center" vertical="center"/>
    </xf>
    <xf numFmtId="0" fontId="52" fillId="0" borderId="54" xfId="0" applyFont="1" applyBorder="1"/>
    <xf numFmtId="0" fontId="52" fillId="4" borderId="54" xfId="0" applyFont="1" applyFill="1" applyBorder="1"/>
    <xf numFmtId="0" fontId="58" fillId="3" borderId="22" xfId="0" applyFont="1" applyFill="1" applyBorder="1" applyAlignment="1">
      <alignment vertical="center" wrapText="1"/>
    </xf>
    <xf numFmtId="0" fontId="58" fillId="3" borderId="66" xfId="0" applyFont="1" applyFill="1" applyBorder="1" applyAlignment="1">
      <alignment vertical="center" wrapText="1"/>
    </xf>
    <xf numFmtId="168" fontId="52" fillId="6" borderId="63" xfId="0" applyNumberFormat="1" applyFont="1" applyFill="1" applyBorder="1" applyAlignment="1">
      <alignment horizontal="centerContinuous" vertical="center"/>
    </xf>
    <xf numFmtId="168" fontId="52" fillId="6" borderId="79" xfId="0" applyNumberFormat="1" applyFont="1" applyFill="1" applyBorder="1" applyAlignment="1">
      <alignment horizontal="centerContinuous" vertical="center"/>
    </xf>
    <xf numFmtId="166" fontId="52" fillId="0" borderId="54" xfId="1" applyNumberFormat="1" applyFont="1" applyFill="1" applyBorder="1" applyAlignment="1">
      <alignment horizontal="center"/>
    </xf>
    <xf numFmtId="166" fontId="52" fillId="7" borderId="27" xfId="0" applyNumberFormat="1" applyFont="1" applyFill="1" applyBorder="1" applyAlignment="1">
      <alignment horizontal="center" vertical="center"/>
    </xf>
    <xf numFmtId="166" fontId="52" fillId="5" borderId="27" xfId="0" applyNumberFormat="1" applyFont="1" applyFill="1" applyBorder="1" applyAlignment="1">
      <alignment horizontal="center" vertical="center"/>
    </xf>
    <xf numFmtId="0" fontId="52" fillId="5" borderId="71" xfId="0" applyFont="1" applyFill="1" applyBorder="1" applyAlignment="1">
      <alignment horizontal="centerContinuous" vertical="center"/>
    </xf>
    <xf numFmtId="0" fontId="55" fillId="3" borderId="0" xfId="0" applyFont="1" applyFill="1" applyBorder="1" applyAlignment="1">
      <alignment horizontal="center" vertical="center" textRotation="180" wrapText="1"/>
    </xf>
    <xf numFmtId="0" fontId="2" fillId="6" borderId="0" xfId="0" applyFont="1" applyFill="1" applyBorder="1" applyAlignment="1">
      <alignment horizontal="center" vertical="center"/>
    </xf>
    <xf numFmtId="0" fontId="38" fillId="6" borderId="0" xfId="0" applyFont="1" applyFill="1" applyBorder="1" applyAlignment="1">
      <alignment horizontal="center" vertical="center"/>
    </xf>
    <xf numFmtId="1" fontId="38" fillId="6" borderId="0" xfId="0" applyNumberFormat="1" applyFont="1" applyFill="1" applyBorder="1" applyAlignment="1">
      <alignment horizontal="center" vertical="center"/>
    </xf>
    <xf numFmtId="169" fontId="38" fillId="6" borderId="0" xfId="0" applyNumberFormat="1" applyFont="1" applyFill="1" applyBorder="1" applyAlignment="1">
      <alignment horizontal="center" vertical="center"/>
    </xf>
    <xf numFmtId="166" fontId="38" fillId="6" borderId="0" xfId="0" applyNumberFormat="1" applyFont="1" applyFill="1" applyBorder="1" applyAlignment="1">
      <alignment horizontal="center" vertical="center"/>
    </xf>
    <xf numFmtId="166" fontId="36" fillId="6" borderId="0" xfId="0" applyNumberFormat="1" applyFont="1" applyFill="1" applyBorder="1" applyAlignment="1">
      <alignment horizontal="center" vertical="center"/>
    </xf>
    <xf numFmtId="0" fontId="0" fillId="3" borderId="0" xfId="0" applyFill="1" applyBorder="1" applyAlignment="1"/>
    <xf numFmtId="0" fontId="0" fillId="3" borderId="0" xfId="0" applyFill="1" applyBorder="1"/>
    <xf numFmtId="0" fontId="52" fillId="4" borderId="0" xfId="0" applyFont="1" applyFill="1" applyBorder="1" applyAlignment="1">
      <alignment horizontal="center" vertical="center"/>
    </xf>
    <xf numFmtId="0" fontId="53" fillId="6" borderId="0" xfId="0" applyFont="1" applyFill="1" applyBorder="1"/>
    <xf numFmtId="5" fontId="59" fillId="5" borderId="0" xfId="0" applyNumberFormat="1" applyFont="1" applyFill="1" applyBorder="1" applyAlignment="1">
      <alignment horizontal="center" vertical="center"/>
    </xf>
    <xf numFmtId="5" fontId="52" fillId="5" borderId="0" xfId="0" applyNumberFormat="1" applyFont="1" applyFill="1" applyBorder="1" applyAlignment="1">
      <alignment horizontal="center" vertical="center"/>
    </xf>
    <xf numFmtId="0" fontId="0" fillId="6" borderId="0" xfId="0" applyFill="1" applyBorder="1"/>
    <xf numFmtId="0" fontId="0" fillId="0" borderId="0" xfId="0" applyBorder="1"/>
    <xf numFmtId="166" fontId="52" fillId="5" borderId="0" xfId="0" applyNumberFormat="1" applyFont="1" applyFill="1" applyBorder="1" applyAlignment="1">
      <alignment horizontal="center" vertical="center"/>
    </xf>
    <xf numFmtId="0" fontId="37" fillId="8" borderId="0" xfId="0" applyFont="1" applyFill="1" applyAlignment="1">
      <alignment horizontal="center" vertical="center"/>
    </xf>
    <xf numFmtId="0" fontId="52" fillId="4" borderId="0" xfId="0" applyFont="1" applyFill="1" applyBorder="1" applyAlignment="1">
      <alignment horizontal="center" vertical="center"/>
    </xf>
    <xf numFmtId="0" fontId="50" fillId="0" borderId="0" xfId="0" applyFont="1" applyFill="1" applyBorder="1" applyAlignment="1">
      <alignment horizontal="center" vertical="center"/>
    </xf>
    <xf numFmtId="164" fontId="51" fillId="0" borderId="0" xfId="0" applyNumberFormat="1" applyFont="1" applyFill="1" applyBorder="1" applyAlignment="1">
      <alignment horizontal="center"/>
    </xf>
    <xf numFmtId="0" fontId="61" fillId="0" borderId="0" xfId="0" applyFont="1"/>
    <xf numFmtId="0" fontId="2" fillId="0" borderId="0" xfId="0" applyFont="1" applyAlignment="1"/>
    <xf numFmtId="0" fontId="35" fillId="0" borderId="0" xfId="0" applyFont="1" applyFill="1" applyBorder="1" applyAlignment="1">
      <alignment horizontal="center"/>
    </xf>
    <xf numFmtId="0" fontId="51" fillId="0" borderId="0" xfId="0" applyFont="1" applyFill="1" applyBorder="1" applyAlignment="1">
      <alignment vertical="center" wrapText="1"/>
    </xf>
    <xf numFmtId="0" fontId="0" fillId="0" borderId="0" xfId="0" applyFill="1" applyBorder="1"/>
    <xf numFmtId="0" fontId="49" fillId="0" borderId="0" xfId="0" applyFont="1" applyFill="1" applyBorder="1" applyAlignment="1">
      <alignment horizontal="center"/>
    </xf>
    <xf numFmtId="0" fontId="26" fillId="0" borderId="0" xfId="0" applyFont="1" applyFill="1" applyBorder="1" applyAlignment="1"/>
    <xf numFmtId="0" fontId="7" fillId="0" borderId="0" xfId="0" applyFont="1" applyFill="1" applyBorder="1" applyAlignment="1"/>
    <xf numFmtId="0" fontId="25" fillId="0" borderId="0" xfId="0" applyFont="1" applyFill="1" applyBorder="1" applyAlignment="1"/>
    <xf numFmtId="0" fontId="39" fillId="0" borderId="0" xfId="0" applyFont="1" applyFill="1" applyBorder="1" applyAlignment="1"/>
    <xf numFmtId="0" fontId="4" fillId="0" borderId="0" xfId="0" applyFont="1" applyFill="1" applyBorder="1" applyAlignment="1"/>
    <xf numFmtId="0" fontId="24" fillId="0" borderId="0" xfId="0" applyFont="1" applyFill="1" applyBorder="1" applyAlignment="1">
      <alignment horizontal="center" vertical="center"/>
    </xf>
    <xf numFmtId="0" fontId="3" fillId="0" borderId="0" xfId="0" applyFont="1" applyFill="1" applyBorder="1" applyAlignment="1">
      <alignment horizontal="center" vertical="center"/>
    </xf>
    <xf numFmtId="0" fontId="28" fillId="0" borderId="0" xfId="0" applyFont="1" applyFill="1" applyBorder="1" applyAlignment="1">
      <alignment horizontal="center" vertical="center"/>
    </xf>
    <xf numFmtId="0" fontId="28" fillId="0" borderId="0" xfId="0" applyFont="1" applyFill="1" applyBorder="1" applyAlignment="1">
      <alignment horizontal="center" vertical="center" wrapText="1"/>
    </xf>
    <xf numFmtId="0" fontId="62" fillId="0" borderId="0" xfId="0" applyFont="1" applyFill="1" applyBorder="1" applyAlignment="1">
      <alignment horizontal="center" vertical="center" wrapText="1"/>
    </xf>
    <xf numFmtId="0" fontId="18" fillId="0" borderId="0" xfId="0" applyFont="1" applyFill="1" applyBorder="1" applyAlignment="1">
      <alignment horizontal="center" vertical="center"/>
    </xf>
    <xf numFmtId="0" fontId="34" fillId="0" borderId="0" xfId="0" applyFont="1" applyFill="1" applyBorder="1" applyAlignment="1">
      <alignment horizontal="center" vertical="center" wrapText="1"/>
    </xf>
    <xf numFmtId="0" fontId="34" fillId="0" borderId="0" xfId="0" applyFont="1" applyFill="1" applyBorder="1" applyAlignment="1">
      <alignment horizontal="center" vertical="center"/>
    </xf>
    <xf numFmtId="0" fontId="34" fillId="0" borderId="0" xfId="0" applyFont="1" applyFill="1" applyBorder="1" applyAlignment="1">
      <alignment horizontal="center"/>
    </xf>
    <xf numFmtId="166" fontId="34" fillId="0" borderId="0" xfId="1" applyNumberFormat="1" applyFont="1" applyFill="1" applyBorder="1" applyAlignment="1">
      <alignment horizontal="center"/>
    </xf>
    <xf numFmtId="169" fontId="34" fillId="0" borderId="0" xfId="0" applyNumberFormat="1" applyFont="1" applyFill="1" applyBorder="1" applyAlignment="1">
      <alignment horizontal="center"/>
    </xf>
    <xf numFmtId="166" fontId="34" fillId="0" borderId="0" xfId="0" applyNumberFormat="1" applyFont="1" applyFill="1" applyBorder="1" applyAlignment="1">
      <alignment horizontal="center"/>
    </xf>
    <xf numFmtId="166" fontId="35" fillId="0" borderId="0" xfId="0" applyNumberFormat="1" applyFont="1" applyFill="1" applyBorder="1" applyAlignment="1">
      <alignment horizontal="center"/>
    </xf>
    <xf numFmtId="0" fontId="36" fillId="0" borderId="0" xfId="0" applyFont="1" applyFill="1" applyBorder="1" applyAlignment="1">
      <alignment horizontal="left"/>
    </xf>
    <xf numFmtId="0" fontId="36" fillId="0" borderId="0" xfId="0" applyFont="1" applyFill="1" applyBorder="1" applyAlignment="1">
      <alignment horizontal="center" vertical="center"/>
    </xf>
    <xf numFmtId="169" fontId="59" fillId="0" borderId="0" xfId="0" applyNumberFormat="1" applyFont="1" applyFill="1" applyBorder="1" applyAlignment="1">
      <alignment horizontal="center"/>
    </xf>
    <xf numFmtId="166" fontId="59" fillId="0" borderId="0" xfId="0" applyNumberFormat="1" applyFont="1" applyFill="1" applyBorder="1" applyAlignment="1">
      <alignment horizontal="center"/>
    </xf>
    <xf numFmtId="0" fontId="63" fillId="0" borderId="0" xfId="0" applyFont="1" applyFill="1" applyBorder="1" applyAlignment="1">
      <alignment horizontal="center" vertical="center"/>
    </xf>
    <xf numFmtId="0" fontId="35" fillId="0" borderId="0" xfId="0" applyFont="1" applyFill="1" applyBorder="1" applyAlignment="1">
      <alignment horizontal="center" vertical="center"/>
    </xf>
    <xf numFmtId="169" fontId="34" fillId="0" borderId="0" xfId="0" applyNumberFormat="1" applyFont="1" applyFill="1" applyBorder="1" applyAlignment="1">
      <alignment horizontal="center" vertical="center"/>
    </xf>
    <xf numFmtId="166" fontId="34" fillId="0" borderId="0" xfId="0" applyNumberFormat="1" applyFont="1" applyFill="1" applyBorder="1" applyAlignment="1">
      <alignment horizontal="center" vertical="center"/>
    </xf>
    <xf numFmtId="0" fontId="63" fillId="0" borderId="0" xfId="0" applyFont="1" applyFill="1" applyBorder="1" applyAlignment="1">
      <alignment horizontal="center" vertical="center" wrapText="1"/>
    </xf>
    <xf numFmtId="166" fontId="62" fillId="0" borderId="0" xfId="1" applyNumberFormat="1" applyFont="1" applyFill="1" applyBorder="1" applyAlignment="1">
      <alignment horizontal="center" vertical="center"/>
    </xf>
    <xf numFmtId="0" fontId="64" fillId="0" borderId="0" xfId="0" applyFont="1" applyFill="1" applyBorder="1" applyAlignment="1">
      <alignment horizontal="left"/>
    </xf>
    <xf numFmtId="168" fontId="35" fillId="0" borderId="0" xfId="0" applyNumberFormat="1" applyFont="1" applyFill="1" applyBorder="1" applyAlignment="1">
      <alignment horizontal="center"/>
    </xf>
    <xf numFmtId="0" fontId="42" fillId="0" borderId="0" xfId="0" applyFont="1"/>
    <xf numFmtId="0" fontId="65" fillId="0" borderId="0" xfId="0" applyFont="1" applyAlignment="1"/>
    <xf numFmtId="0" fontId="3" fillId="3" borderId="82" xfId="0" applyFont="1" applyFill="1" applyBorder="1" applyAlignment="1">
      <alignment horizontal="center"/>
    </xf>
    <xf numFmtId="0" fontId="57" fillId="6" borderId="135" xfId="0" applyFont="1" applyFill="1" applyBorder="1" applyAlignment="1">
      <alignment horizontal="center" vertical="center"/>
    </xf>
    <xf numFmtId="0" fontId="57" fillId="6" borderId="136" xfId="0" applyFont="1" applyFill="1" applyBorder="1" applyAlignment="1">
      <alignment horizontal="center" vertical="center"/>
    </xf>
    <xf numFmtId="0" fontId="60" fillId="6" borderId="136" xfId="0" applyFont="1" applyFill="1" applyBorder="1" applyAlignment="1">
      <alignment horizontal="center" vertical="center"/>
    </xf>
    <xf numFmtId="0" fontId="37" fillId="6" borderId="136" xfId="0" applyFont="1" applyFill="1" applyBorder="1" applyAlignment="1">
      <alignment horizontal="center" vertical="center"/>
    </xf>
    <xf numFmtId="0" fontId="37" fillId="6" borderId="137" xfId="0" applyFont="1" applyFill="1" applyBorder="1" applyAlignment="1">
      <alignment horizontal="center" vertical="center"/>
    </xf>
    <xf numFmtId="0" fontId="14" fillId="4" borderId="138" xfId="0" applyFont="1" applyFill="1" applyBorder="1" applyAlignment="1">
      <alignment horizontal="center" vertical="center"/>
    </xf>
    <xf numFmtId="0" fontId="0" fillId="4" borderId="138" xfId="0" applyFill="1" applyBorder="1"/>
    <xf numFmtId="0" fontId="59" fillId="11" borderId="141" xfId="0" applyFont="1" applyFill="1" applyBorder="1" applyAlignment="1">
      <alignment horizontal="center" vertical="center"/>
    </xf>
    <xf numFmtId="0" fontId="0" fillId="3" borderId="139" xfId="0" applyFill="1" applyBorder="1" applyAlignment="1"/>
    <xf numFmtId="0" fontId="58" fillId="3" borderId="139" xfId="0" applyFont="1" applyFill="1" applyBorder="1" applyAlignment="1">
      <alignment vertical="center" wrapText="1"/>
    </xf>
    <xf numFmtId="0" fontId="58" fillId="3" borderId="142" xfId="0" applyFont="1" applyFill="1" applyBorder="1" applyAlignment="1">
      <alignment vertical="center" wrapText="1"/>
    </xf>
    <xf numFmtId="0" fontId="59" fillId="26" borderId="143" xfId="0" applyFont="1" applyFill="1" applyBorder="1" applyAlignment="1">
      <alignment horizontal="center" vertical="center"/>
    </xf>
    <xf numFmtId="0" fontId="53" fillId="6" borderId="139" xfId="0" applyFont="1" applyFill="1" applyBorder="1"/>
    <xf numFmtId="0" fontId="0" fillId="6" borderId="139" xfId="0" applyFill="1" applyBorder="1"/>
    <xf numFmtId="0" fontId="57" fillId="3" borderId="144" xfId="0" applyFont="1" applyFill="1" applyBorder="1" applyAlignment="1">
      <alignment vertical="center"/>
    </xf>
    <xf numFmtId="0" fontId="0" fillId="3" borderId="145" xfId="0" applyFill="1" applyBorder="1"/>
    <xf numFmtId="166" fontId="6" fillId="3" borderId="145" xfId="0" applyNumberFormat="1" applyFont="1" applyFill="1" applyBorder="1" applyAlignment="1">
      <alignment horizontal="center" vertical="center"/>
    </xf>
    <xf numFmtId="0" fontId="0" fillId="4" borderId="146" xfId="0" applyFill="1" applyBorder="1"/>
    <xf numFmtId="0" fontId="54" fillId="6" borderId="147" xfId="0" applyFont="1" applyFill="1" applyBorder="1" applyAlignment="1">
      <alignment horizontal="center" vertical="center" wrapText="1"/>
    </xf>
    <xf numFmtId="0" fontId="55" fillId="6" borderId="148" xfId="0" applyFont="1" applyFill="1" applyBorder="1" applyAlignment="1">
      <alignment horizontal="center" vertical="center" textRotation="180" wrapText="1"/>
    </xf>
    <xf numFmtId="0" fontId="54" fillId="6" borderId="148" xfId="0" applyFont="1" applyFill="1" applyBorder="1" applyAlignment="1">
      <alignment horizontal="center" vertical="center" wrapText="1"/>
    </xf>
    <xf numFmtId="0" fontId="55" fillId="6" borderId="149" xfId="0" applyFont="1" applyFill="1" applyBorder="1" applyAlignment="1">
      <alignment horizontal="center" vertical="center" textRotation="180" wrapText="1"/>
    </xf>
    <xf numFmtId="0" fontId="56" fillId="6" borderId="150" xfId="0" applyFont="1" applyFill="1" applyBorder="1" applyAlignment="1">
      <alignment horizontal="center" vertical="center" textRotation="180" wrapText="1"/>
    </xf>
    <xf numFmtId="0" fontId="56" fillId="6" borderId="148" xfId="0" applyFont="1" applyFill="1" applyBorder="1" applyAlignment="1">
      <alignment horizontal="center" vertical="center" textRotation="180" wrapText="1"/>
    </xf>
    <xf numFmtId="1" fontId="5" fillId="28" borderId="140" xfId="0" applyNumberFormat="1" applyFont="1" applyFill="1" applyBorder="1" applyAlignment="1">
      <alignment horizontal="center" vertical="center"/>
    </xf>
    <xf numFmtId="0" fontId="10" fillId="0" borderId="123" xfId="0" applyFont="1" applyBorder="1" applyAlignment="1">
      <alignment horizontal="center" vertical="center"/>
    </xf>
    <xf numFmtId="0" fontId="10" fillId="0" borderId="53" xfId="0" applyFont="1" applyBorder="1" applyAlignment="1">
      <alignment horizontal="center" vertical="center"/>
    </xf>
    <xf numFmtId="170" fontId="5" fillId="0" borderId="79" xfId="0" applyNumberFormat="1" applyFont="1" applyBorder="1" applyAlignment="1">
      <alignment horizontal="center" vertical="center"/>
    </xf>
    <xf numFmtId="37" fontId="5" fillId="0" borderId="1" xfId="0" applyNumberFormat="1" applyFont="1" applyBorder="1" applyAlignment="1">
      <alignment horizontal="center" vertical="center"/>
    </xf>
    <xf numFmtId="1" fontId="5" fillId="5" borderId="0" xfId="0" applyNumberFormat="1" applyFont="1" applyFill="1" applyBorder="1" applyAlignment="1">
      <alignment horizontal="center" vertical="center"/>
    </xf>
    <xf numFmtId="168" fontId="34" fillId="5" borderId="0" xfId="0" applyNumberFormat="1" applyFont="1" applyFill="1" applyBorder="1" applyAlignment="1">
      <alignment horizontal="center" vertical="center"/>
    </xf>
    <xf numFmtId="166" fontId="34" fillId="5" borderId="0" xfId="0" applyNumberFormat="1" applyFont="1" applyFill="1" applyBorder="1" applyAlignment="1">
      <alignment horizontal="center" vertical="center"/>
    </xf>
    <xf numFmtId="166" fontId="35" fillId="5" borderId="0" xfId="0" applyNumberFormat="1" applyFont="1" applyFill="1" applyBorder="1" applyAlignment="1">
      <alignment horizontal="center" vertical="center"/>
    </xf>
    <xf numFmtId="0" fontId="0" fillId="4" borderId="138" xfId="0" applyFill="1" applyBorder="1" applyAlignment="1">
      <alignment horizontal="center" vertical="center"/>
    </xf>
    <xf numFmtId="0" fontId="5" fillId="0" borderId="123" xfId="0" applyFont="1" applyBorder="1" applyAlignment="1">
      <alignment horizontal="center" vertical="center"/>
    </xf>
    <xf numFmtId="0" fontId="5" fillId="0" borderId="140" xfId="0" applyFont="1" applyFill="1" applyBorder="1" applyAlignment="1">
      <alignment horizontal="center" vertical="center"/>
    </xf>
    <xf numFmtId="0" fontId="10" fillId="0" borderId="57" xfId="0" applyFont="1" applyBorder="1" applyAlignment="1">
      <alignment horizontal="center" vertical="center"/>
    </xf>
    <xf numFmtId="170" fontId="5" fillId="0" borderId="83" xfId="0" applyNumberFormat="1" applyFont="1" applyBorder="1" applyAlignment="1">
      <alignment horizontal="center" vertical="center"/>
    </xf>
    <xf numFmtId="0" fontId="5" fillId="0" borderId="71" xfId="0" applyFont="1" applyBorder="1" applyAlignment="1">
      <alignment horizontal="center" vertical="center" wrapText="1"/>
    </xf>
    <xf numFmtId="0" fontId="5" fillId="0" borderId="75" xfId="0" applyFont="1" applyBorder="1" applyAlignment="1">
      <alignment horizontal="center" vertical="center"/>
    </xf>
    <xf numFmtId="0" fontId="9" fillId="4" borderId="68" xfId="0" applyFont="1" applyFill="1" applyBorder="1" applyAlignment="1">
      <alignment horizontal="center" vertical="center" wrapText="1"/>
    </xf>
    <xf numFmtId="9" fontId="10" fillId="4" borderId="103" xfId="2" applyFont="1" applyFill="1" applyBorder="1" applyAlignment="1">
      <alignment horizontal="center" vertical="center"/>
    </xf>
    <xf numFmtId="9" fontId="10" fillId="4" borderId="63" xfId="2" applyFont="1" applyFill="1" applyBorder="1" applyAlignment="1">
      <alignment horizontal="center" vertical="center"/>
    </xf>
    <xf numFmtId="9" fontId="10" fillId="4" borderId="151" xfId="2" applyFont="1" applyFill="1" applyBorder="1" applyAlignment="1">
      <alignment horizontal="center" vertical="center"/>
    </xf>
    <xf numFmtId="0" fontId="2" fillId="6" borderId="0" xfId="0" applyFont="1" applyFill="1" applyBorder="1"/>
    <xf numFmtId="0" fontId="57" fillId="3" borderId="153" xfId="0" applyFont="1" applyFill="1" applyBorder="1" applyAlignment="1">
      <alignment horizontal="center" vertical="center" wrapText="1"/>
    </xf>
    <xf numFmtId="0" fontId="57" fillId="3" borderId="153" xfId="0" applyFont="1" applyFill="1" applyBorder="1" applyAlignment="1">
      <alignment horizontal="center" vertical="center" textRotation="180" wrapText="1"/>
    </xf>
    <xf numFmtId="0" fontId="58" fillId="3" borderId="153" xfId="0" applyFont="1" applyFill="1" applyBorder="1" applyAlignment="1">
      <alignment horizontal="center" vertical="center" textRotation="180" wrapText="1"/>
    </xf>
    <xf numFmtId="0" fontId="58" fillId="3" borderId="154" xfId="0" applyFont="1" applyFill="1" applyBorder="1" applyAlignment="1">
      <alignment horizontal="center" vertical="center" textRotation="180" wrapText="1"/>
    </xf>
    <xf numFmtId="9" fontId="34" fillId="0" borderId="124" xfId="2" applyFont="1" applyBorder="1" applyAlignment="1">
      <alignment horizontal="center" vertical="center"/>
    </xf>
    <xf numFmtId="166" fontId="51" fillId="0" borderId="7" xfId="0" applyNumberFormat="1" applyFont="1" applyBorder="1" applyAlignment="1">
      <alignment horizontal="center"/>
    </xf>
    <xf numFmtId="166" fontId="51" fillId="0" borderId="8" xfId="0" applyNumberFormat="1" applyFont="1" applyBorder="1" applyAlignment="1">
      <alignment horizontal="center"/>
    </xf>
    <xf numFmtId="0" fontId="50" fillId="4" borderId="2" xfId="0" applyFont="1" applyFill="1" applyBorder="1" applyAlignment="1">
      <alignment horizontal="center" vertical="center"/>
    </xf>
    <xf numFmtId="0" fontId="50" fillId="4" borderId="3" xfId="0" applyFont="1" applyFill="1" applyBorder="1" applyAlignment="1">
      <alignment horizontal="center" vertical="center"/>
    </xf>
    <xf numFmtId="0" fontId="50" fillId="4" borderId="4" xfId="0" applyFont="1" applyFill="1" applyBorder="1" applyAlignment="1">
      <alignment horizontal="center" vertical="center"/>
    </xf>
    <xf numFmtId="0" fontId="0" fillId="6" borderId="0" xfId="0" applyFill="1"/>
    <xf numFmtId="0" fontId="2" fillId="5" borderId="120" xfId="0" applyFont="1" applyFill="1" applyBorder="1" applyAlignment="1">
      <alignment horizontal="center" vertical="center" wrapText="1"/>
    </xf>
    <xf numFmtId="0" fontId="2" fillId="5" borderId="79" xfId="0" applyFont="1" applyFill="1" applyBorder="1" applyAlignment="1">
      <alignment horizontal="center" vertical="center" wrapText="1"/>
    </xf>
    <xf numFmtId="0" fontId="2" fillId="5" borderId="121" xfId="0" applyFont="1" applyFill="1" applyBorder="1" applyAlignment="1">
      <alignment horizontal="center" vertical="center" wrapText="1"/>
    </xf>
    <xf numFmtId="0" fontId="27" fillId="6" borderId="49" xfId="0" applyFont="1" applyFill="1" applyBorder="1" applyAlignment="1">
      <alignment horizontal="center" vertical="center" textRotation="180"/>
    </xf>
    <xf numFmtId="0" fontId="51" fillId="0" borderId="53" xfId="0" applyFont="1" applyBorder="1" applyAlignment="1">
      <alignment horizontal="center"/>
    </xf>
    <xf numFmtId="0" fontId="51" fillId="0" borderId="57" xfId="0" applyFont="1" applyBorder="1" applyAlignment="1">
      <alignment horizontal="center"/>
    </xf>
    <xf numFmtId="9" fontId="66" fillId="6" borderId="0" xfId="2" applyFont="1" applyFill="1" applyAlignment="1">
      <alignment horizontal="center"/>
    </xf>
    <xf numFmtId="1" fontId="66" fillId="6" borderId="0" xfId="0" applyNumberFormat="1" applyFont="1" applyFill="1" applyAlignment="1">
      <alignment horizontal="center"/>
    </xf>
    <xf numFmtId="9" fontId="66" fillId="6" borderId="1" xfId="2" applyFont="1" applyFill="1" applyBorder="1" applyAlignment="1">
      <alignment horizontal="center"/>
    </xf>
    <xf numFmtId="9" fontId="66" fillId="6" borderId="0" xfId="2" applyFont="1" applyFill="1" applyBorder="1" applyAlignment="1">
      <alignment horizontal="center"/>
    </xf>
    <xf numFmtId="164" fontId="0" fillId="4" borderId="0" xfId="0" applyNumberFormat="1" applyFill="1"/>
    <xf numFmtId="166" fontId="0" fillId="4" borderId="0" xfId="0" applyNumberFormat="1" applyFill="1"/>
    <xf numFmtId="0" fontId="68" fillId="4" borderId="0" xfId="0" applyFont="1" applyFill="1" applyBorder="1" applyAlignment="1"/>
    <xf numFmtId="0" fontId="68" fillId="4" borderId="138" xfId="0" applyFont="1" applyFill="1" applyBorder="1" applyAlignment="1"/>
    <xf numFmtId="164" fontId="50" fillId="0" borderId="140" xfId="0" applyNumberFormat="1" applyFont="1" applyFill="1" applyBorder="1" applyAlignment="1">
      <alignment horizontal="center" vertical="center"/>
    </xf>
    <xf numFmtId="0" fontId="0" fillId="3" borderId="0" xfId="0" applyFill="1"/>
    <xf numFmtId="0" fontId="57" fillId="6" borderId="152" xfId="0" applyFont="1" applyFill="1" applyBorder="1" applyAlignment="1">
      <alignment horizontal="center" vertical="center" textRotation="180" wrapText="1"/>
    </xf>
    <xf numFmtId="166" fontId="69" fillId="0" borderId="132" xfId="0" applyNumberFormat="1" applyFont="1" applyFill="1" applyBorder="1" applyAlignment="1">
      <alignment horizontal="center" vertical="center"/>
    </xf>
    <xf numFmtId="166" fontId="69" fillId="0" borderId="133" xfId="0" applyNumberFormat="1" applyFont="1" applyFill="1" applyBorder="1" applyAlignment="1">
      <alignment horizontal="center" vertical="center"/>
    </xf>
    <xf numFmtId="1" fontId="69" fillId="0" borderId="134" xfId="0" applyNumberFormat="1" applyFont="1" applyFill="1" applyBorder="1" applyAlignment="1">
      <alignment horizontal="center" vertical="center"/>
    </xf>
    <xf numFmtId="0" fontId="8" fillId="0" borderId="78" xfId="0" applyFont="1" applyBorder="1" applyAlignment="1">
      <alignment horizontal="center" vertical="center"/>
    </xf>
    <xf numFmtId="3" fontId="56" fillId="3" borderId="0" xfId="0" applyNumberFormat="1" applyFont="1" applyFill="1" applyAlignment="1">
      <alignment horizontal="center" vertical="center"/>
    </xf>
    <xf numFmtId="166" fontId="56" fillId="3" borderId="0" xfId="0" applyNumberFormat="1" applyFont="1" applyFill="1" applyAlignment="1">
      <alignment horizontal="center" vertical="center"/>
    </xf>
    <xf numFmtId="3" fontId="52" fillId="0" borderId="9" xfId="0" applyNumberFormat="1" applyFont="1" applyBorder="1" applyAlignment="1">
      <alignment horizontal="center"/>
    </xf>
    <xf numFmtId="0" fontId="51" fillId="0" borderId="70" xfId="0" applyFont="1" applyBorder="1" applyAlignment="1">
      <alignment horizontal="center"/>
    </xf>
    <xf numFmtId="0" fontId="2" fillId="5" borderId="83" xfId="0" applyFont="1" applyFill="1" applyBorder="1" applyAlignment="1">
      <alignment horizontal="center" vertical="center" wrapText="1"/>
    </xf>
    <xf numFmtId="1" fontId="10" fillId="4" borderId="12" xfId="0" applyNumberFormat="1" applyFont="1" applyFill="1" applyBorder="1" applyAlignment="1">
      <alignment horizontal="center" vertical="center"/>
    </xf>
    <xf numFmtId="1" fontId="10" fillId="5" borderId="12" xfId="0" applyNumberFormat="1" applyFont="1" applyFill="1" applyBorder="1" applyAlignment="1">
      <alignment horizontal="center" vertical="center"/>
    </xf>
    <xf numFmtId="9" fontId="10" fillId="4" borderId="12" xfId="2" applyFont="1" applyFill="1" applyBorder="1" applyAlignment="1">
      <alignment horizontal="center" vertical="center"/>
    </xf>
    <xf numFmtId="9" fontId="10" fillId="4" borderId="80" xfId="2" applyFont="1" applyFill="1" applyBorder="1" applyAlignment="1">
      <alignment horizontal="center" vertical="center"/>
    </xf>
    <xf numFmtId="9" fontId="10" fillId="0" borderId="38" xfId="2" applyFont="1" applyBorder="1" applyAlignment="1">
      <alignment horizontal="center" vertical="center"/>
    </xf>
    <xf numFmtId="0" fontId="2" fillId="0" borderId="83" xfId="0" applyFont="1" applyBorder="1" applyAlignment="1">
      <alignment horizontal="center" vertical="center"/>
    </xf>
    <xf numFmtId="0" fontId="2" fillId="0" borderId="12" xfId="0" applyFont="1" applyBorder="1" applyAlignment="1">
      <alignment horizontal="center" vertical="center"/>
    </xf>
    <xf numFmtId="0" fontId="2" fillId="0" borderId="38" xfId="0" applyFont="1" applyBorder="1" applyAlignment="1">
      <alignment horizontal="center" vertical="center"/>
    </xf>
    <xf numFmtId="0" fontId="51" fillId="0" borderId="155" xfId="0" applyFont="1" applyBorder="1" applyAlignment="1">
      <alignment horizontal="center"/>
    </xf>
    <xf numFmtId="1" fontId="10" fillId="3" borderId="102" xfId="0" applyNumberFormat="1" applyFont="1" applyFill="1" applyBorder="1" applyAlignment="1">
      <alignment horizontal="center" vertical="center"/>
    </xf>
    <xf numFmtId="1" fontId="2" fillId="0" borderId="0" xfId="0" applyNumberFormat="1" applyFont="1" applyAlignment="1">
      <alignment horizontal="center"/>
    </xf>
    <xf numFmtId="168" fontId="2" fillId="0" borderId="0" xfId="1" applyNumberFormat="1" applyFont="1" applyAlignment="1">
      <alignment horizontal="center"/>
    </xf>
    <xf numFmtId="168" fontId="2" fillId="0" borderId="0" xfId="0" applyNumberFormat="1" applyFont="1" applyAlignment="1">
      <alignment horizontal="center"/>
    </xf>
    <xf numFmtId="0" fontId="2" fillId="0" borderId="0" xfId="0" applyFont="1" applyAlignment="1">
      <alignment horizontal="center"/>
    </xf>
    <xf numFmtId="44" fontId="2" fillId="0" borderId="0" xfId="1" applyFont="1"/>
    <xf numFmtId="44" fontId="2" fillId="0" borderId="0" xfId="0" applyNumberFormat="1" applyFont="1"/>
    <xf numFmtId="0" fontId="29" fillId="0" borderId="88" xfId="20" applyBorder="1" applyAlignment="1">
      <alignment horizontal="center"/>
    </xf>
    <xf numFmtId="0" fontId="4" fillId="6" borderId="10" xfId="0" applyFont="1" applyFill="1" applyBorder="1" applyAlignment="1"/>
    <xf numFmtId="0" fontId="4" fillId="8" borderId="75" xfId="0" applyFont="1" applyFill="1" applyBorder="1" applyAlignment="1">
      <alignment horizontal="center"/>
    </xf>
    <xf numFmtId="0" fontId="2" fillId="0" borderId="0" xfId="0" applyFont="1" applyAlignment="1">
      <alignment horizontal="center"/>
    </xf>
    <xf numFmtId="0" fontId="28" fillId="0" borderId="0" xfId="0" applyFont="1" applyFill="1" applyAlignment="1">
      <alignment horizontal="center" vertical="center" textRotation="180" wrapText="1"/>
    </xf>
    <xf numFmtId="0" fontId="5" fillId="0" borderId="0" xfId="0" applyFont="1" applyFill="1" applyAlignment="1">
      <alignment horizontal="center"/>
    </xf>
    <xf numFmtId="0" fontId="12" fillId="0" borderId="0" xfId="0" applyFont="1" applyAlignment="1">
      <alignment horizontal="center"/>
    </xf>
    <xf numFmtId="0" fontId="2" fillId="8" borderId="0" xfId="0" applyFont="1" applyFill="1" applyAlignment="1">
      <alignment horizontal="center"/>
    </xf>
    <xf numFmtId="0" fontId="3" fillId="6" borderId="2" xfId="0" applyFont="1" applyFill="1" applyBorder="1" applyAlignment="1">
      <alignment horizontal="center" vertical="center"/>
    </xf>
    <xf numFmtId="0" fontId="3" fillId="6" borderId="3" xfId="0" applyFont="1" applyFill="1" applyBorder="1" applyAlignment="1">
      <alignment horizontal="center" vertical="center"/>
    </xf>
    <xf numFmtId="0" fontId="3" fillId="6" borderId="3" xfId="0" applyFont="1" applyFill="1" applyBorder="1" applyAlignment="1">
      <alignment horizontal="center" vertical="center" textRotation="180"/>
    </xf>
    <xf numFmtId="0" fontId="3" fillId="6" borderId="60" xfId="0" applyFont="1" applyFill="1" applyBorder="1" applyAlignment="1">
      <alignment horizontal="center" vertical="center" textRotation="180"/>
    </xf>
    <xf numFmtId="0" fontId="38" fillId="6" borderId="156" xfId="0" applyFont="1" applyFill="1" applyBorder="1" applyAlignment="1">
      <alignment horizontal="center" vertical="center" textRotation="180" wrapText="1"/>
    </xf>
    <xf numFmtId="0" fontId="31" fillId="7" borderId="1" xfId="0" applyNumberFormat="1" applyFont="1" applyFill="1" applyBorder="1" applyAlignment="1">
      <alignment horizontal="center" vertical="center" wrapText="1"/>
    </xf>
    <xf numFmtId="168" fontId="5" fillId="7" borderId="1" xfId="0" applyNumberFormat="1" applyFont="1" applyFill="1" applyBorder="1" applyAlignment="1">
      <alignment horizontal="center" vertical="center" wrapText="1"/>
    </xf>
    <xf numFmtId="0" fontId="5" fillId="0" borderId="1" xfId="0" applyFont="1" applyBorder="1" applyAlignment="1">
      <alignment horizontal="center" vertical="center" wrapText="1"/>
    </xf>
    <xf numFmtId="1" fontId="10" fillId="0" borderId="63" xfId="0" applyNumberFormat="1" applyFont="1" applyBorder="1" applyAlignment="1">
      <alignment horizontal="center" vertical="center" wrapText="1"/>
    </xf>
    <xf numFmtId="168" fontId="5" fillId="7" borderId="16" xfId="0" applyNumberFormat="1" applyFont="1" applyFill="1" applyBorder="1" applyAlignment="1">
      <alignment horizontal="center" vertical="center"/>
    </xf>
    <xf numFmtId="168" fontId="5" fillId="7" borderId="6" xfId="0" applyNumberFormat="1" applyFont="1" applyFill="1" applyBorder="1" applyAlignment="1">
      <alignment horizontal="center" vertical="center"/>
    </xf>
    <xf numFmtId="0" fontId="3" fillId="8" borderId="77" xfId="0" applyFont="1" applyFill="1" applyBorder="1" applyAlignment="1">
      <alignment horizontal="center"/>
    </xf>
    <xf numFmtId="0" fontId="3" fillId="8" borderId="75" xfId="0" applyFont="1" applyFill="1" applyBorder="1" applyAlignment="1">
      <alignment horizontal="center"/>
    </xf>
    <xf numFmtId="168" fontId="36" fillId="8" borderId="75" xfId="0" applyNumberFormat="1" applyFont="1" applyFill="1" applyBorder="1" applyAlignment="1">
      <alignment horizontal="center"/>
    </xf>
    <xf numFmtId="0" fontId="2" fillId="0" borderId="21" xfId="0" applyFont="1" applyBorder="1" applyAlignment="1">
      <alignment horizontal="center"/>
    </xf>
    <xf numFmtId="0" fontId="2" fillId="0" borderId="0" xfId="0" applyFont="1" applyBorder="1" applyAlignment="1">
      <alignment horizontal="center"/>
    </xf>
    <xf numFmtId="0" fontId="3" fillId="6" borderId="86" xfId="0" applyFont="1" applyFill="1" applyBorder="1" applyAlignment="1">
      <alignment horizontal="center" vertical="center"/>
    </xf>
    <xf numFmtId="164" fontId="10" fillId="7" borderId="79" xfId="0" applyNumberFormat="1" applyFont="1" applyFill="1" applyBorder="1" applyAlignment="1">
      <alignment horizontal="center" vertical="center" wrapText="1"/>
    </xf>
    <xf numFmtId="0" fontId="2" fillId="0" borderId="76" xfId="0" applyFont="1" applyBorder="1" applyAlignment="1">
      <alignment horizontal="center"/>
    </xf>
    <xf numFmtId="0" fontId="24" fillId="6" borderId="132" xfId="0" applyFont="1" applyFill="1" applyBorder="1" applyAlignment="1" applyProtection="1">
      <alignment horizontal="center"/>
      <protection locked="0"/>
    </xf>
    <xf numFmtId="1" fontId="10" fillId="7" borderId="5" xfId="0" applyNumberFormat="1" applyFont="1" applyFill="1" applyBorder="1" applyAlignment="1">
      <alignment horizontal="center" vertical="center" wrapText="1"/>
    </xf>
    <xf numFmtId="166" fontId="2" fillId="0" borderId="0" xfId="0" applyNumberFormat="1" applyFont="1" applyFill="1" applyBorder="1" applyAlignment="1"/>
    <xf numFmtId="172" fontId="10" fillId="7" borderId="79" xfId="0" applyNumberFormat="1" applyFont="1" applyFill="1" applyBorder="1" applyAlignment="1">
      <alignment horizontal="center" vertical="center" wrapText="1"/>
    </xf>
    <xf numFmtId="172" fontId="5" fillId="7" borderId="1" xfId="0" applyNumberFormat="1" applyFont="1" applyFill="1" applyBorder="1" applyAlignment="1">
      <alignment horizontal="center" vertical="center" wrapText="1"/>
    </xf>
    <xf numFmtId="0" fontId="37" fillId="6" borderId="0" xfId="0" applyFont="1" applyFill="1" applyAlignment="1">
      <alignment horizontal="center" vertical="center"/>
    </xf>
    <xf numFmtId="0" fontId="5" fillId="0" borderId="0" xfId="0" applyFont="1" applyAlignment="1">
      <alignment horizontal="center"/>
    </xf>
    <xf numFmtId="0" fontId="3" fillId="6" borderId="0" xfId="0" applyFont="1" applyFill="1" applyBorder="1" applyAlignment="1">
      <alignment horizontal="center"/>
    </xf>
    <xf numFmtId="0" fontId="35" fillId="3" borderId="0" xfId="0" applyFont="1" applyFill="1" applyBorder="1" applyAlignment="1">
      <alignment horizontal="center"/>
    </xf>
    <xf numFmtId="166" fontId="76" fillId="5" borderId="0" xfId="0" applyNumberFormat="1" applyFont="1" applyFill="1" applyAlignment="1">
      <alignment horizontal="center"/>
    </xf>
    <xf numFmtId="0" fontId="62" fillId="6" borderId="0" xfId="0" applyFont="1" applyFill="1" applyBorder="1" applyAlignment="1">
      <alignment horizontal="center"/>
    </xf>
    <xf numFmtId="0" fontId="23" fillId="6" borderId="0" xfId="0" applyFont="1" applyFill="1" applyBorder="1" applyAlignment="1">
      <alignment horizontal="center"/>
    </xf>
    <xf numFmtId="166" fontId="62" fillId="6" borderId="0" xfId="0" applyNumberFormat="1" applyFont="1" applyFill="1" applyBorder="1" applyAlignment="1">
      <alignment horizontal="center"/>
    </xf>
    <xf numFmtId="0" fontId="3" fillId="3" borderId="0" xfId="0" applyFont="1" applyFill="1" applyBorder="1" applyAlignment="1">
      <alignment horizontal="center" vertical="center" wrapText="1"/>
    </xf>
    <xf numFmtId="1" fontId="38" fillId="3" borderId="0" xfId="0" applyNumberFormat="1" applyFont="1" applyFill="1" applyAlignment="1">
      <alignment horizontal="center" vertical="center" wrapText="1"/>
    </xf>
    <xf numFmtId="169" fontId="24" fillId="3" borderId="0" xfId="0" applyNumberFormat="1" applyFont="1" applyFill="1" applyAlignment="1">
      <alignment horizontal="center"/>
    </xf>
    <xf numFmtId="166" fontId="38" fillId="3" borderId="0" xfId="0" applyNumberFormat="1" applyFont="1" applyFill="1" applyAlignment="1">
      <alignment horizontal="center"/>
    </xf>
    <xf numFmtId="166" fontId="77" fillId="3" borderId="0" xfId="0" applyNumberFormat="1" applyFont="1" applyFill="1" applyAlignment="1">
      <alignment horizontal="center" vertical="center" wrapText="1"/>
    </xf>
    <xf numFmtId="168" fontId="24" fillId="3" borderId="0" xfId="0" applyNumberFormat="1" applyFont="1" applyFill="1" applyAlignment="1">
      <alignment horizontal="center"/>
    </xf>
    <xf numFmtId="166" fontId="62" fillId="5" borderId="0" xfId="0" applyNumberFormat="1" applyFont="1" applyFill="1" applyBorder="1" applyAlignment="1">
      <alignment horizontal="center"/>
    </xf>
    <xf numFmtId="0" fontId="79" fillId="6" borderId="0" xfId="0" applyFont="1" applyFill="1" applyAlignment="1">
      <alignment horizontal="center"/>
    </xf>
    <xf numFmtId="166" fontId="36" fillId="3" borderId="0" xfId="0" applyNumberFormat="1" applyFont="1" applyFill="1" applyAlignment="1">
      <alignment horizontal="center"/>
    </xf>
    <xf numFmtId="0" fontId="46" fillId="5" borderId="12" xfId="0" applyFont="1" applyFill="1" applyBorder="1" applyAlignment="1">
      <alignment horizontal="center"/>
    </xf>
    <xf numFmtId="166" fontId="78" fillId="0" borderId="12" xfId="0" applyNumberFormat="1" applyFont="1" applyFill="1" applyBorder="1" applyAlignment="1">
      <alignment horizontal="center" vertical="center"/>
    </xf>
    <xf numFmtId="0" fontId="76" fillId="4" borderId="1" xfId="0" applyFont="1" applyFill="1" applyBorder="1" applyAlignment="1">
      <alignment horizontal="center" vertical="center"/>
    </xf>
    <xf numFmtId="166" fontId="82" fillId="4" borderId="1" xfId="0" applyNumberFormat="1" applyFont="1" applyFill="1" applyBorder="1" applyAlignment="1">
      <alignment horizontal="center" vertical="center"/>
    </xf>
    <xf numFmtId="0" fontId="3" fillId="5" borderId="0" xfId="0" applyFont="1" applyFill="1" applyBorder="1" applyAlignment="1">
      <alignment horizontal="center"/>
    </xf>
    <xf numFmtId="1" fontId="38" fillId="5" borderId="0" xfId="0" applyNumberFormat="1" applyFont="1" applyFill="1" applyAlignment="1">
      <alignment horizontal="center"/>
    </xf>
    <xf numFmtId="0" fontId="62" fillId="26" borderId="0" xfId="0" applyFont="1" applyFill="1" applyBorder="1" applyAlignment="1">
      <alignment horizontal="center"/>
    </xf>
    <xf numFmtId="0" fontId="23" fillId="26" borderId="0" xfId="0" applyFont="1" applyFill="1" applyBorder="1" applyAlignment="1">
      <alignment horizontal="center"/>
    </xf>
    <xf numFmtId="166" fontId="62" fillId="26" borderId="0" xfId="0" applyNumberFormat="1" applyFont="1" applyFill="1" applyBorder="1" applyAlignment="1">
      <alignment horizontal="center"/>
    </xf>
    <xf numFmtId="0" fontId="3" fillId="26" borderId="0" xfId="0" applyFont="1" applyFill="1" applyBorder="1" applyAlignment="1">
      <alignment horizontal="center"/>
    </xf>
    <xf numFmtId="1" fontId="38" fillId="26" borderId="0" xfId="0" applyNumberFormat="1" applyFont="1" applyFill="1" applyAlignment="1">
      <alignment horizontal="center"/>
    </xf>
    <xf numFmtId="169" fontId="24" fillId="26" borderId="0" xfId="0" applyNumberFormat="1" applyFont="1" applyFill="1" applyAlignment="1">
      <alignment horizontal="center"/>
    </xf>
    <xf numFmtId="166" fontId="38" fillId="26" borderId="0" xfId="0" applyNumberFormat="1" applyFont="1" applyFill="1" applyAlignment="1">
      <alignment horizontal="center"/>
    </xf>
    <xf numFmtId="166" fontId="76" fillId="26" borderId="0" xfId="0" applyNumberFormat="1" applyFont="1" applyFill="1" applyAlignment="1">
      <alignment horizontal="center"/>
    </xf>
    <xf numFmtId="168" fontId="24" fillId="26" borderId="0" xfId="0" applyNumberFormat="1" applyFont="1" applyFill="1" applyAlignment="1">
      <alignment horizontal="center"/>
    </xf>
    <xf numFmtId="0" fontId="7" fillId="3" borderId="0" xfId="0" applyFont="1" applyFill="1" applyAlignment="1">
      <alignment horizontal="centerContinuous" vertical="center" wrapText="1"/>
    </xf>
    <xf numFmtId="0" fontId="6" fillId="3" borderId="0" xfId="0" applyFont="1" applyFill="1" applyAlignment="1">
      <alignment horizontal="center" vertical="center" wrapText="1"/>
    </xf>
    <xf numFmtId="0" fontId="36" fillId="3" borderId="0" xfId="0" applyFont="1" applyFill="1" applyAlignment="1">
      <alignment horizontal="centerContinuous" vertical="center" wrapText="1"/>
    </xf>
    <xf numFmtId="166" fontId="36" fillId="26" borderId="0" xfId="0" applyNumberFormat="1" applyFont="1" applyFill="1" applyAlignment="1">
      <alignment horizontal="center"/>
    </xf>
    <xf numFmtId="0" fontId="62" fillId="0" borderId="12" xfId="0" applyFont="1" applyFill="1" applyBorder="1" applyAlignment="1">
      <alignment horizontal="center"/>
    </xf>
    <xf numFmtId="0" fontId="23" fillId="0" borderId="12" xfId="0" applyFont="1" applyFill="1" applyBorder="1" applyAlignment="1">
      <alignment horizontal="center"/>
    </xf>
    <xf numFmtId="0" fontId="62" fillId="0" borderId="15" xfId="0" applyFont="1" applyFill="1" applyBorder="1" applyAlignment="1">
      <alignment horizontal="center"/>
    </xf>
    <xf numFmtId="0" fontId="23" fillId="0" borderId="15" xfId="0" applyFont="1" applyFill="1" applyBorder="1" applyAlignment="1">
      <alignment horizontal="center"/>
    </xf>
    <xf numFmtId="166" fontId="62" fillId="0" borderId="12" xfId="0" applyNumberFormat="1" applyFont="1" applyFill="1" applyBorder="1" applyAlignment="1">
      <alignment horizontal="center"/>
    </xf>
    <xf numFmtId="166" fontId="62" fillId="0" borderId="15" xfId="0" applyNumberFormat="1" applyFont="1" applyFill="1" applyBorder="1" applyAlignment="1">
      <alignment horizontal="center"/>
    </xf>
    <xf numFmtId="0" fontId="35" fillId="26" borderId="0" xfId="0" applyFont="1" applyFill="1" applyBorder="1" applyAlignment="1">
      <alignment horizontal="center"/>
    </xf>
    <xf numFmtId="0" fontId="3" fillId="26" borderId="0" xfId="0" applyFont="1" applyFill="1" applyAlignment="1">
      <alignment horizontal="centerContinuous"/>
    </xf>
    <xf numFmtId="0" fontId="2" fillId="26" borderId="0" xfId="0" applyFont="1" applyFill="1" applyAlignment="1">
      <alignment horizontal="centerContinuous"/>
    </xf>
    <xf numFmtId="0" fontId="83" fillId="22" borderId="166" xfId="0" applyFont="1" applyFill="1" applyBorder="1" applyAlignment="1">
      <alignment horizontal="center"/>
    </xf>
    <xf numFmtId="169" fontId="6" fillId="3" borderId="0" xfId="0" applyNumberFormat="1" applyFont="1" applyFill="1" applyAlignment="1"/>
    <xf numFmtId="169" fontId="6" fillId="6" borderId="0" xfId="0" applyNumberFormat="1" applyFont="1" applyFill="1" applyAlignment="1">
      <alignment horizontal="center"/>
    </xf>
    <xf numFmtId="0" fontId="24" fillId="6" borderId="0" xfId="0" applyFont="1" applyFill="1" applyAlignment="1">
      <alignment horizontal="centerContinuous"/>
    </xf>
    <xf numFmtId="0" fontId="84" fillId="6" borderId="0" xfId="0" applyFont="1" applyFill="1" applyBorder="1" applyAlignment="1">
      <alignment horizontal="center"/>
    </xf>
    <xf numFmtId="0" fontId="84" fillId="22" borderId="166" xfId="0" applyFont="1" applyFill="1" applyBorder="1" applyAlignment="1">
      <alignment horizontal="center" vertical="center"/>
    </xf>
    <xf numFmtId="169" fontId="24" fillId="5" borderId="0" xfId="0" applyNumberFormat="1" applyFont="1" applyFill="1" applyAlignment="1">
      <alignment horizontal="center"/>
    </xf>
    <xf numFmtId="166" fontId="38" fillId="5" borderId="0" xfId="0" applyNumberFormat="1" applyFont="1" applyFill="1" applyAlignment="1">
      <alignment horizontal="center"/>
    </xf>
    <xf numFmtId="0" fontId="14" fillId="26" borderId="0" xfId="0" applyFont="1" applyFill="1" applyAlignment="1">
      <alignment horizontal="center" vertical="center"/>
    </xf>
    <xf numFmtId="166" fontId="27" fillId="6" borderId="0" xfId="0" applyNumberFormat="1" applyFont="1" applyFill="1" applyAlignment="1">
      <alignment horizontal="center" vertical="center"/>
    </xf>
    <xf numFmtId="0" fontId="3" fillId="6" borderId="0" xfId="0" applyFont="1" applyFill="1" applyAlignment="1">
      <alignment horizontal="center" vertical="center"/>
    </xf>
    <xf numFmtId="1" fontId="27" fillId="6" borderId="0" xfId="0" applyNumberFormat="1" applyFont="1" applyFill="1" applyAlignment="1">
      <alignment horizontal="center" vertical="center"/>
    </xf>
    <xf numFmtId="9" fontId="3" fillId="0" borderId="0" xfId="2" applyFont="1" applyAlignment="1">
      <alignment horizontal="center"/>
    </xf>
    <xf numFmtId="0" fontId="3" fillId="26" borderId="0" xfId="0" applyFont="1" applyFill="1" applyAlignment="1">
      <alignment horizontal="center" vertical="center" textRotation="180"/>
    </xf>
    <xf numFmtId="0" fontId="3" fillId="26" borderId="0" xfId="0" applyFont="1" applyFill="1" applyAlignment="1">
      <alignment horizontal="center" vertical="center" wrapText="1"/>
    </xf>
    <xf numFmtId="0" fontId="24" fillId="26" borderId="0" xfId="0" applyFont="1" applyFill="1" applyAlignment="1">
      <alignment horizontal="center" vertical="center" wrapText="1"/>
    </xf>
    <xf numFmtId="169" fontId="10" fillId="7" borderId="109" xfId="0" applyNumberFormat="1" applyFont="1" applyFill="1" applyBorder="1" applyAlignment="1">
      <alignment horizontal="center"/>
    </xf>
    <xf numFmtId="0" fontId="31" fillId="7" borderId="109" xfId="0" applyFont="1" applyFill="1" applyBorder="1" applyAlignment="1">
      <alignment horizontal="center" vertical="center" wrapText="1"/>
    </xf>
    <xf numFmtId="0" fontId="31" fillId="7" borderId="54" xfId="0" applyFont="1" applyFill="1" applyBorder="1" applyAlignment="1">
      <alignment horizontal="center" vertical="center" wrapText="1"/>
    </xf>
    <xf numFmtId="0" fontId="31" fillId="7" borderId="54" xfId="0" applyFont="1" applyFill="1" applyBorder="1" applyAlignment="1">
      <alignment horizontal="center"/>
    </xf>
    <xf numFmtId="0" fontId="31" fillId="7" borderId="112" xfId="0" applyFont="1" applyFill="1" applyBorder="1" applyAlignment="1">
      <alignment horizontal="center"/>
    </xf>
    <xf numFmtId="1" fontId="5" fillId="7" borderId="109" xfId="0" applyNumberFormat="1" applyFont="1" applyFill="1" applyBorder="1" applyAlignment="1">
      <alignment horizontal="center"/>
    </xf>
    <xf numFmtId="1" fontId="5" fillId="7" borderId="54" xfId="0" applyNumberFormat="1" applyFont="1" applyFill="1" applyBorder="1" applyAlignment="1">
      <alignment horizontal="center"/>
    </xf>
    <xf numFmtId="169" fontId="5" fillId="7" borderId="109" xfId="0" applyNumberFormat="1" applyFont="1" applyFill="1" applyBorder="1" applyAlignment="1">
      <alignment horizontal="center"/>
    </xf>
    <xf numFmtId="166" fontId="5" fillId="7" borderId="109" xfId="0" applyNumberFormat="1" applyFont="1" applyFill="1" applyBorder="1" applyAlignment="1">
      <alignment horizontal="center"/>
    </xf>
    <xf numFmtId="0" fontId="29" fillId="0" borderId="6" xfId="20" applyBorder="1" applyAlignment="1">
      <alignment horizontal="center"/>
    </xf>
    <xf numFmtId="1" fontId="0" fillId="0" borderId="1" xfId="0" applyNumberFormat="1" applyBorder="1" applyAlignment="1">
      <alignment horizontal="center"/>
    </xf>
    <xf numFmtId="0" fontId="76" fillId="0" borderId="114" xfId="0" applyFont="1" applyFill="1" applyBorder="1" applyAlignment="1">
      <alignment horizontal="center"/>
    </xf>
    <xf numFmtId="0" fontId="0" fillId="0" borderId="63" xfId="0" applyBorder="1"/>
    <xf numFmtId="0" fontId="0" fillId="0" borderId="54" xfId="0" applyBorder="1"/>
    <xf numFmtId="0" fontId="0" fillId="0" borderId="79" xfId="0" applyBorder="1"/>
    <xf numFmtId="0" fontId="2" fillId="0" borderId="0" xfId="0" applyFont="1" applyProtection="1">
      <protection locked="0"/>
    </xf>
    <xf numFmtId="0" fontId="0" fillId="0" borderId="0" xfId="0" applyProtection="1">
      <protection locked="0"/>
    </xf>
    <xf numFmtId="0" fontId="4" fillId="15" borderId="0" xfId="0" applyFont="1" applyFill="1" applyAlignment="1" applyProtection="1">
      <alignment horizontal="center"/>
      <protection locked="0"/>
    </xf>
    <xf numFmtId="0" fontId="12" fillId="0" borderId="0" xfId="0" applyFont="1" applyFill="1" applyAlignment="1" applyProtection="1">
      <alignment horizontal="center"/>
      <protection locked="0"/>
    </xf>
    <xf numFmtId="0" fontId="12" fillId="15" borderId="0" xfId="0" applyFont="1" applyFill="1" applyAlignment="1" applyProtection="1">
      <alignment horizontal="center"/>
      <protection locked="0"/>
    </xf>
    <xf numFmtId="0" fontId="3" fillId="8" borderId="0" xfId="0" applyFont="1" applyFill="1" applyProtection="1">
      <protection locked="0"/>
    </xf>
    <xf numFmtId="0" fontId="3" fillId="8" borderId="29" xfId="0" applyFont="1" applyFill="1" applyBorder="1" applyAlignment="1" applyProtection="1">
      <alignment horizontal="center" vertical="center" textRotation="180" wrapText="1"/>
      <protection locked="0"/>
    </xf>
    <xf numFmtId="0" fontId="3" fillId="8" borderId="30" xfId="0" applyFont="1" applyFill="1" applyBorder="1" applyAlignment="1" applyProtection="1">
      <alignment horizontal="center" vertical="center" textRotation="180" wrapText="1"/>
      <protection locked="0"/>
    </xf>
    <xf numFmtId="0" fontId="3" fillId="8" borderId="31" xfId="0" applyFont="1" applyFill="1" applyBorder="1" applyAlignment="1" applyProtection="1">
      <alignment horizontal="center" vertical="center" textRotation="180" wrapText="1"/>
      <protection locked="0"/>
    </xf>
    <xf numFmtId="0" fontId="2" fillId="0" borderId="0" xfId="0" applyFont="1" applyAlignment="1" applyProtection="1">
      <alignment horizontal="center" vertical="center" textRotation="180" wrapText="1"/>
      <protection locked="0"/>
    </xf>
    <xf numFmtId="0" fontId="2" fillId="14" borderId="35" xfId="0" applyFont="1" applyFill="1" applyBorder="1" applyAlignment="1" applyProtection="1">
      <alignment horizontal="center"/>
      <protection locked="0"/>
    </xf>
    <xf numFmtId="0" fontId="2" fillId="0" borderId="1" xfId="0" applyFont="1" applyBorder="1" applyAlignment="1" applyProtection="1">
      <alignment horizontal="center"/>
      <protection locked="0"/>
    </xf>
    <xf numFmtId="9" fontId="2" fillId="0" borderId="1" xfId="2" applyFont="1" applyBorder="1" applyAlignment="1" applyProtection="1">
      <alignment horizontal="center"/>
      <protection locked="0"/>
    </xf>
    <xf numFmtId="168" fontId="10" fillId="14" borderId="36" xfId="0" applyNumberFormat="1" applyFont="1" applyFill="1" applyBorder="1" applyAlignment="1" applyProtection="1">
      <alignment horizontal="center"/>
      <protection locked="0"/>
    </xf>
    <xf numFmtId="0" fontId="2" fillId="14" borderId="1" xfId="0" applyFont="1" applyFill="1" applyBorder="1" applyAlignment="1" applyProtection="1">
      <alignment horizontal="center"/>
      <protection locked="0"/>
    </xf>
    <xf numFmtId="0" fontId="3" fillId="27" borderId="37" xfId="0" applyFont="1" applyFill="1" applyBorder="1" applyAlignment="1" applyProtection="1">
      <alignment horizontal="center"/>
      <protection locked="0"/>
    </xf>
    <xf numFmtId="0" fontId="2" fillId="27" borderId="12" xfId="0" applyFont="1" applyFill="1" applyBorder="1" applyAlignment="1" applyProtection="1">
      <alignment horizontal="center"/>
      <protection locked="0"/>
    </xf>
    <xf numFmtId="168" fontId="10" fillId="27" borderId="38" xfId="0" applyNumberFormat="1" applyFont="1" applyFill="1" applyBorder="1" applyAlignment="1" applyProtection="1">
      <alignment horizontal="center"/>
      <protection locked="0"/>
    </xf>
    <xf numFmtId="0" fontId="2" fillId="14" borderId="41" xfId="0" applyFont="1" applyFill="1" applyBorder="1" applyAlignment="1" applyProtection="1">
      <alignment horizontal="center"/>
      <protection locked="0"/>
    </xf>
    <xf numFmtId="168" fontId="10" fillId="14" borderId="42" xfId="0" applyNumberFormat="1" applyFont="1" applyFill="1" applyBorder="1" applyAlignment="1" applyProtection="1">
      <alignment horizontal="center"/>
      <protection locked="0"/>
    </xf>
    <xf numFmtId="0" fontId="2" fillId="14" borderId="43" xfId="0" applyFont="1" applyFill="1" applyBorder="1" applyAlignment="1" applyProtection="1">
      <alignment horizontal="center"/>
      <protection locked="0"/>
    </xf>
    <xf numFmtId="0" fontId="2" fillId="0" borderId="12" xfId="0" applyFont="1" applyBorder="1" applyAlignment="1" applyProtection="1">
      <alignment horizontal="center"/>
      <protection locked="0"/>
    </xf>
    <xf numFmtId="9" fontId="2" fillId="0" borderId="12" xfId="2" applyFont="1" applyBorder="1" applyAlignment="1" applyProtection="1">
      <alignment horizontal="center"/>
      <protection locked="0"/>
    </xf>
    <xf numFmtId="0" fontId="2" fillId="14" borderId="44" xfId="0" applyFont="1" applyFill="1" applyBorder="1" applyAlignment="1" applyProtection="1">
      <alignment horizontal="center"/>
      <protection locked="0"/>
    </xf>
    <xf numFmtId="0" fontId="2" fillId="14" borderId="46" xfId="0" applyFont="1" applyFill="1" applyBorder="1" applyAlignment="1" applyProtection="1">
      <alignment horizontal="center"/>
      <protection locked="0"/>
    </xf>
    <xf numFmtId="0" fontId="2" fillId="14" borderId="47" xfId="0" applyFont="1" applyFill="1" applyBorder="1" applyAlignment="1" applyProtection="1">
      <alignment horizontal="center"/>
      <protection locked="0"/>
    </xf>
    <xf numFmtId="0" fontId="2" fillId="14" borderId="101" xfId="0" applyFont="1" applyFill="1" applyBorder="1" applyAlignment="1" applyProtection="1">
      <alignment horizontal="center"/>
      <protection locked="0"/>
    </xf>
    <xf numFmtId="0" fontId="2" fillId="0" borderId="0" xfId="0" applyFont="1" applyBorder="1" applyProtection="1">
      <protection locked="0"/>
    </xf>
    <xf numFmtId="0" fontId="4" fillId="27" borderId="48" xfId="0" applyFont="1" applyFill="1" applyBorder="1" applyAlignment="1" applyProtection="1">
      <alignment horizontal="center"/>
      <protection locked="0"/>
    </xf>
    <xf numFmtId="0" fontId="4" fillId="27" borderId="50" xfId="0" applyFont="1" applyFill="1" applyBorder="1" applyAlignment="1" applyProtection="1">
      <alignment horizontal="center"/>
      <protection locked="0"/>
    </xf>
    <xf numFmtId="0" fontId="4" fillId="27" borderId="51" xfId="0" applyFont="1" applyFill="1" applyBorder="1" applyAlignment="1" applyProtection="1">
      <alignment horizontal="center"/>
      <protection locked="0"/>
    </xf>
    <xf numFmtId="0" fontId="2" fillId="5" borderId="56" xfId="0" applyFont="1" applyFill="1" applyBorder="1" applyAlignment="1" applyProtection="1">
      <alignment horizontal="center"/>
      <protection locked="0"/>
    </xf>
    <xf numFmtId="0" fontId="2" fillId="14" borderId="1" xfId="0" applyFont="1" applyFill="1" applyBorder="1" applyAlignment="1" applyProtection="1">
      <alignment horizontal="center"/>
    </xf>
    <xf numFmtId="0" fontId="2" fillId="14" borderId="45" xfId="0" applyFont="1" applyFill="1" applyBorder="1" applyAlignment="1" applyProtection="1">
      <alignment horizontal="center"/>
    </xf>
    <xf numFmtId="168" fontId="10" fillId="14" borderId="36" xfId="0" applyNumberFormat="1" applyFont="1" applyFill="1" applyBorder="1" applyAlignment="1" applyProtection="1">
      <alignment horizontal="center"/>
      <protection hidden="1"/>
    </xf>
    <xf numFmtId="9" fontId="28" fillId="25" borderId="36" xfId="2" applyFont="1" applyFill="1" applyBorder="1" applyAlignment="1" applyProtection="1">
      <alignment horizontal="center"/>
      <protection hidden="1"/>
    </xf>
    <xf numFmtId="168" fontId="28" fillId="25" borderId="105" xfId="1" applyNumberFormat="1" applyFont="1" applyFill="1" applyBorder="1" applyAlignment="1" applyProtection="1">
      <alignment horizontal="center"/>
      <protection hidden="1"/>
    </xf>
    <xf numFmtId="169" fontId="2" fillId="5" borderId="58" xfId="0" applyNumberFormat="1" applyFont="1" applyFill="1" applyBorder="1" applyAlignment="1" applyProtection="1">
      <alignment horizontal="center"/>
      <protection hidden="1"/>
    </xf>
    <xf numFmtId="169" fontId="2" fillId="5" borderId="59" xfId="0" applyNumberFormat="1" applyFont="1" applyFill="1" applyBorder="1" applyAlignment="1" applyProtection="1">
      <alignment horizontal="center"/>
      <protection hidden="1"/>
    </xf>
    <xf numFmtId="0" fontId="12" fillId="0" borderId="0" xfId="0" applyFont="1" applyProtection="1">
      <protection locked="0"/>
    </xf>
    <xf numFmtId="0" fontId="9" fillId="4" borderId="0" xfId="0" applyFont="1" applyFill="1" applyAlignment="1" applyProtection="1">
      <alignment horizontal="center" vertical="center"/>
      <protection locked="0"/>
    </xf>
    <xf numFmtId="0" fontId="2" fillId="4" borderId="0" xfId="0" applyFont="1" applyFill="1" applyAlignment="1" applyProtection="1">
      <alignment horizontal="center" vertical="center" wrapText="1"/>
      <protection locked="0"/>
    </xf>
    <xf numFmtId="0" fontId="2" fillId="0" borderId="0" xfId="0" applyFont="1" applyAlignment="1" applyProtection="1">
      <alignment horizontal="center" vertical="center" wrapText="1"/>
      <protection locked="0"/>
    </xf>
    <xf numFmtId="0" fontId="2" fillId="0" borderId="0" xfId="0" applyFont="1" applyAlignment="1" applyProtection="1">
      <alignment horizontal="center" vertical="center"/>
      <protection locked="0"/>
    </xf>
    <xf numFmtId="0" fontId="2" fillId="0" borderId="0" xfId="0" applyFont="1" applyAlignment="1" applyProtection="1">
      <alignment vertical="center"/>
      <protection locked="0"/>
    </xf>
    <xf numFmtId="0" fontId="2" fillId="7" borderId="19" xfId="0" applyFont="1" applyFill="1" applyBorder="1" applyAlignment="1" applyProtection="1">
      <alignment horizontal="center"/>
      <protection locked="0"/>
    </xf>
    <xf numFmtId="166" fontId="2" fillId="0" borderId="10" xfId="1" applyNumberFormat="1" applyFont="1" applyBorder="1" applyAlignment="1" applyProtection="1">
      <alignment horizontal="center"/>
      <protection locked="0"/>
    </xf>
    <xf numFmtId="0" fontId="2" fillId="0" borderId="0" xfId="0" applyFont="1" applyFill="1" applyProtection="1">
      <protection locked="0"/>
    </xf>
    <xf numFmtId="0" fontId="2" fillId="7" borderId="21" xfId="0" applyFont="1" applyFill="1" applyBorder="1" applyAlignment="1" applyProtection="1">
      <alignment horizontal="center"/>
      <protection locked="0"/>
    </xf>
    <xf numFmtId="166" fontId="2" fillId="0" borderId="0" xfId="1" applyNumberFormat="1" applyFont="1" applyBorder="1" applyAlignment="1" applyProtection="1">
      <alignment horizontal="center"/>
      <protection locked="0"/>
    </xf>
    <xf numFmtId="0" fontId="2" fillId="7" borderId="23" xfId="0" applyFont="1" applyFill="1" applyBorder="1" applyAlignment="1" applyProtection="1">
      <alignment horizontal="center"/>
      <protection locked="0"/>
    </xf>
    <xf numFmtId="166" fontId="2" fillId="0" borderId="24" xfId="1" applyNumberFormat="1" applyFont="1" applyBorder="1" applyAlignment="1" applyProtection="1">
      <alignment horizontal="center"/>
      <protection locked="0"/>
    </xf>
    <xf numFmtId="0" fontId="9" fillId="4" borderId="24" xfId="0" applyFont="1" applyFill="1" applyBorder="1" applyAlignment="1" applyProtection="1">
      <alignment horizontal="center" vertical="center"/>
      <protection locked="0"/>
    </xf>
    <xf numFmtId="0" fontId="2" fillId="4" borderId="24" xfId="0" applyFont="1" applyFill="1" applyBorder="1" applyAlignment="1" applyProtection="1">
      <alignment horizontal="center" vertical="center" wrapText="1"/>
      <protection locked="0"/>
    </xf>
    <xf numFmtId="0" fontId="9" fillId="4" borderId="24" xfId="0" applyFont="1" applyFill="1" applyBorder="1" applyAlignment="1" applyProtection="1">
      <alignment horizontal="center" vertical="center" wrapText="1"/>
      <protection locked="0"/>
    </xf>
    <xf numFmtId="10" fontId="2" fillId="0" borderId="10" xfId="2" applyNumberFormat="1" applyFont="1" applyBorder="1" applyAlignment="1" applyProtection="1">
      <alignment horizontal="center"/>
      <protection locked="0"/>
    </xf>
    <xf numFmtId="0" fontId="2" fillId="5" borderId="10" xfId="0" applyFont="1" applyFill="1" applyBorder="1" applyAlignment="1" applyProtection="1">
      <alignment horizontal="center"/>
      <protection locked="0"/>
    </xf>
    <xf numFmtId="44" fontId="2" fillId="0" borderId="49" xfId="0" applyNumberFormat="1" applyFont="1" applyFill="1" applyBorder="1" applyAlignment="1" applyProtection="1">
      <alignment horizontal="center"/>
      <protection locked="0"/>
    </xf>
    <xf numFmtId="0" fontId="10" fillId="7" borderId="21" xfId="0" applyFont="1" applyFill="1" applyBorder="1" applyAlignment="1" applyProtection="1">
      <alignment horizontal="center"/>
      <protection locked="0"/>
    </xf>
    <xf numFmtId="10" fontId="2" fillId="0" borderId="0" xfId="2" applyNumberFormat="1" applyFont="1" applyBorder="1" applyAlignment="1" applyProtection="1">
      <alignment horizontal="center"/>
      <protection locked="0"/>
    </xf>
    <xf numFmtId="0" fontId="2" fillId="5" borderId="0" xfId="0" applyFont="1" applyFill="1" applyBorder="1" applyAlignment="1" applyProtection="1">
      <alignment horizontal="center"/>
      <protection locked="0"/>
    </xf>
    <xf numFmtId="0" fontId="2" fillId="0" borderId="53" xfId="0" applyFont="1" applyFill="1" applyBorder="1" applyAlignment="1" applyProtection="1">
      <alignment horizontal="center"/>
      <protection locked="0"/>
    </xf>
    <xf numFmtId="168" fontId="2" fillId="0" borderId="0" xfId="1" applyNumberFormat="1" applyFont="1" applyBorder="1" applyAlignment="1" applyProtection="1">
      <alignment horizontal="center"/>
      <protection locked="0"/>
    </xf>
    <xf numFmtId="0" fontId="2" fillId="0" borderId="57" xfId="0" applyFont="1" applyFill="1" applyBorder="1" applyAlignment="1" applyProtection="1">
      <alignment horizontal="center"/>
      <protection locked="0"/>
    </xf>
    <xf numFmtId="0" fontId="2" fillId="0" borderId="21" xfId="0" applyFont="1" applyFill="1" applyBorder="1" applyAlignment="1" applyProtection="1">
      <alignment horizontal="center"/>
      <protection locked="0"/>
    </xf>
    <xf numFmtId="167" fontId="2" fillId="0" borderId="0" xfId="1" applyNumberFormat="1" applyFont="1" applyBorder="1" applyAlignment="1" applyProtection="1">
      <alignment horizontal="center"/>
      <protection locked="0"/>
    </xf>
    <xf numFmtId="0" fontId="2" fillId="0" borderId="23" xfId="0" applyFont="1" applyFill="1" applyBorder="1" applyAlignment="1" applyProtection="1">
      <alignment horizontal="center"/>
      <protection locked="0"/>
    </xf>
    <xf numFmtId="44" fontId="2" fillId="0" borderId="24" xfId="1" applyFont="1" applyBorder="1" applyAlignment="1" applyProtection="1">
      <alignment horizontal="center"/>
      <protection locked="0"/>
    </xf>
    <xf numFmtId="0" fontId="2" fillId="0" borderId="24" xfId="0" applyFont="1" applyFill="1" applyBorder="1" applyAlignment="1" applyProtection="1">
      <alignment horizontal="center"/>
      <protection locked="0"/>
    </xf>
    <xf numFmtId="0" fontId="2" fillId="5" borderId="20" xfId="0" applyFont="1" applyFill="1" applyBorder="1" applyAlignment="1" applyProtection="1">
      <alignment horizontal="center"/>
      <protection locked="0"/>
    </xf>
    <xf numFmtId="0" fontId="5" fillId="5" borderId="22" xfId="0" applyFont="1" applyFill="1" applyBorder="1" applyAlignment="1" applyProtection="1">
      <alignment horizontal="center"/>
      <protection locked="0"/>
    </xf>
    <xf numFmtId="0" fontId="2" fillId="0" borderId="25" xfId="0" applyFont="1" applyFill="1" applyBorder="1" applyAlignment="1" applyProtection="1">
      <alignment horizontal="center"/>
      <protection locked="0"/>
    </xf>
    <xf numFmtId="0" fontId="8" fillId="7" borderId="77" xfId="0" applyFont="1" applyFill="1" applyBorder="1" applyAlignment="1" applyProtection="1">
      <alignment horizontal="center"/>
      <protection locked="0"/>
    </xf>
    <xf numFmtId="9" fontId="2" fillId="0" borderId="75" xfId="2" applyFont="1" applyBorder="1" applyAlignment="1" applyProtection="1">
      <alignment horizontal="center"/>
      <protection locked="0"/>
    </xf>
    <xf numFmtId="9" fontId="2" fillId="0" borderId="78" xfId="2" applyFont="1" applyFill="1" applyBorder="1" applyAlignment="1" applyProtection="1">
      <alignment horizontal="center"/>
      <protection locked="0"/>
    </xf>
    <xf numFmtId="166" fontId="2" fillId="5" borderId="10" xfId="1" applyNumberFormat="1" applyFont="1" applyFill="1" applyBorder="1" applyAlignment="1" applyProtection="1">
      <alignment horizontal="center"/>
      <protection hidden="1"/>
    </xf>
    <xf numFmtId="166" fontId="2" fillId="7" borderId="20" xfId="0" applyNumberFormat="1" applyFont="1" applyFill="1" applyBorder="1" applyAlignment="1" applyProtection="1">
      <alignment horizontal="center"/>
      <protection hidden="1"/>
    </xf>
    <xf numFmtId="166" fontId="2" fillId="5" borderId="0" xfId="1" applyNumberFormat="1" applyFont="1" applyFill="1" applyBorder="1" applyAlignment="1" applyProtection="1">
      <alignment horizontal="center"/>
      <protection hidden="1"/>
    </xf>
    <xf numFmtId="166" fontId="2" fillId="7" borderId="22" xfId="0" applyNumberFormat="1" applyFont="1" applyFill="1" applyBorder="1" applyAlignment="1" applyProtection="1">
      <alignment horizontal="center"/>
      <protection hidden="1"/>
    </xf>
    <xf numFmtId="166" fontId="2" fillId="5" borderId="24" xfId="1" applyNumberFormat="1" applyFont="1" applyFill="1" applyBorder="1" applyAlignment="1" applyProtection="1">
      <alignment horizontal="center"/>
      <protection hidden="1"/>
    </xf>
    <xf numFmtId="166" fontId="2" fillId="7" borderId="25" xfId="0" applyNumberFormat="1" applyFont="1" applyFill="1" applyBorder="1" applyAlignment="1" applyProtection="1">
      <alignment horizontal="center"/>
      <protection hidden="1"/>
    </xf>
    <xf numFmtId="0" fontId="37" fillId="6" borderId="0" xfId="0" applyFont="1" applyFill="1" applyAlignment="1" applyProtection="1">
      <alignment horizontal="center" vertical="center"/>
      <protection locked="0"/>
    </xf>
    <xf numFmtId="0" fontId="33" fillId="6" borderId="0" xfId="0" applyFont="1" applyFill="1" applyProtection="1">
      <protection locked="0"/>
    </xf>
    <xf numFmtId="0" fontId="31" fillId="0" borderId="1" xfId="0" applyFont="1" applyBorder="1" applyAlignment="1" applyProtection="1">
      <alignment horizontal="center" vertical="center" textRotation="180" wrapText="1"/>
      <protection locked="0"/>
    </xf>
    <xf numFmtId="0" fontId="34" fillId="0" borderId="1" xfId="0" applyFont="1" applyBorder="1" applyAlignment="1" applyProtection="1">
      <alignment horizontal="center" vertical="center" textRotation="180" wrapText="1"/>
      <protection locked="0"/>
    </xf>
    <xf numFmtId="0" fontId="37" fillId="6" borderId="0" xfId="0" applyFont="1" applyFill="1" applyAlignment="1" applyProtection="1">
      <alignment vertical="top"/>
      <protection locked="0"/>
    </xf>
    <xf numFmtId="0" fontId="33" fillId="6" borderId="91" xfId="0" applyFont="1" applyFill="1" applyBorder="1" applyProtection="1">
      <protection locked="0"/>
    </xf>
    <xf numFmtId="0" fontId="33" fillId="6" borderId="92" xfId="0" applyFont="1" applyFill="1" applyBorder="1" applyProtection="1">
      <protection locked="0"/>
    </xf>
    <xf numFmtId="0" fontId="3" fillId="6" borderId="93" xfId="0" applyFont="1" applyFill="1" applyBorder="1" applyAlignment="1" applyProtection="1">
      <alignment horizontal="right"/>
      <protection locked="0"/>
    </xf>
    <xf numFmtId="0" fontId="13" fillId="4" borderId="89" xfId="0" applyFont="1" applyFill="1" applyBorder="1" applyAlignment="1" applyProtection="1">
      <alignment horizontal="center" vertical="center" textRotation="180"/>
      <protection locked="0"/>
    </xf>
    <xf numFmtId="0" fontId="13" fillId="4" borderId="89" xfId="0" applyFont="1" applyFill="1" applyBorder="1" applyAlignment="1" applyProtection="1">
      <alignment horizontal="center" vertical="center"/>
      <protection locked="0"/>
    </xf>
    <xf numFmtId="0" fontId="13" fillId="4" borderId="89" xfId="0" applyFont="1" applyFill="1" applyBorder="1" applyAlignment="1" applyProtection="1">
      <alignment horizontal="center" vertical="center" textRotation="180" wrapText="1"/>
      <protection locked="0"/>
    </xf>
    <xf numFmtId="0" fontId="13" fillId="4" borderId="90" xfId="0" applyFont="1" applyFill="1" applyBorder="1" applyAlignment="1" applyProtection="1">
      <alignment horizontal="center" vertical="center" textRotation="180"/>
      <protection locked="0"/>
    </xf>
    <xf numFmtId="0" fontId="36" fillId="3" borderId="94" xfId="0" applyFont="1" applyFill="1" applyBorder="1" applyAlignment="1" applyProtection="1">
      <alignment horizontal="center" vertical="center" textRotation="180" wrapText="1"/>
      <protection locked="0"/>
    </xf>
    <xf numFmtId="0" fontId="36" fillId="3" borderId="95" xfId="0" applyFont="1" applyFill="1" applyBorder="1" applyAlignment="1" applyProtection="1">
      <alignment horizontal="center" vertical="center" textRotation="180" wrapText="1"/>
      <protection locked="0"/>
    </xf>
    <xf numFmtId="0" fontId="36" fillId="3" borderId="96" xfId="0" applyFont="1" applyFill="1" applyBorder="1" applyAlignment="1" applyProtection="1">
      <alignment horizontal="center" vertical="center" textRotation="180" wrapText="1"/>
      <protection locked="0"/>
    </xf>
    <xf numFmtId="0" fontId="5" fillId="0" borderId="1" xfId="0" applyFont="1" applyFill="1" applyBorder="1" applyAlignment="1" applyProtection="1">
      <alignment horizontal="center"/>
      <protection locked="0"/>
    </xf>
    <xf numFmtId="1" fontId="5" fillId="0" borderId="1" xfId="0" applyNumberFormat="1" applyFont="1" applyFill="1" applyBorder="1" applyAlignment="1" applyProtection="1">
      <alignment horizontal="center"/>
      <protection locked="0"/>
    </xf>
    <xf numFmtId="169" fontId="34" fillId="0" borderId="1" xfId="0" applyNumberFormat="1" applyFont="1" applyBorder="1" applyAlignment="1" applyProtection="1">
      <alignment horizontal="center"/>
      <protection locked="0"/>
    </xf>
    <xf numFmtId="0" fontId="5" fillId="0" borderId="1" xfId="0" applyFont="1" applyBorder="1" applyAlignment="1" applyProtection="1">
      <alignment horizontal="center"/>
      <protection locked="0"/>
    </xf>
    <xf numFmtId="0" fontId="35" fillId="9" borderId="87" xfId="0" applyFont="1" applyFill="1" applyBorder="1" applyAlignment="1" applyProtection="1">
      <alignment horizontal="center" vertical="center" wrapText="1"/>
      <protection locked="0"/>
    </xf>
    <xf numFmtId="0" fontId="5" fillId="8" borderId="0" xfId="0" applyFont="1" applyFill="1" applyBorder="1" applyAlignment="1" applyProtection="1">
      <alignment horizontal="center"/>
      <protection locked="0"/>
    </xf>
    <xf numFmtId="169" fontId="5" fillId="8" borderId="0" xfId="0" applyNumberFormat="1" applyFont="1" applyFill="1" applyBorder="1" applyAlignment="1" applyProtection="1">
      <alignment horizontal="center"/>
      <protection locked="0"/>
    </xf>
    <xf numFmtId="0" fontId="0" fillId="5" borderId="0" xfId="0" applyFill="1" applyAlignment="1" applyProtection="1">
      <alignment horizontal="center"/>
      <protection locked="0"/>
    </xf>
    <xf numFmtId="0" fontId="0" fillId="5" borderId="0" xfId="0" applyFill="1" applyProtection="1">
      <protection locked="0"/>
    </xf>
    <xf numFmtId="0" fontId="0" fillId="26" borderId="0" xfId="0" applyFill="1" applyAlignment="1" applyProtection="1">
      <alignment horizontal="center"/>
      <protection locked="0"/>
    </xf>
    <xf numFmtId="0" fontId="0" fillId="26" borderId="0" xfId="0" applyFill="1" applyProtection="1">
      <protection locked="0"/>
    </xf>
    <xf numFmtId="0" fontId="0" fillId="0" borderId="0" xfId="0" applyFill="1" applyBorder="1" applyProtection="1">
      <protection locked="0"/>
    </xf>
    <xf numFmtId="0" fontId="74" fillId="24" borderId="0" xfId="0" applyFont="1" applyFill="1" applyAlignment="1" applyProtection="1">
      <alignment horizontal="center" vertical="center"/>
      <protection locked="0"/>
    </xf>
    <xf numFmtId="0" fontId="75" fillId="24" borderId="0" xfId="0" applyFont="1" applyFill="1" applyProtection="1">
      <protection locked="0"/>
    </xf>
    <xf numFmtId="0" fontId="31" fillId="0" borderId="79" xfId="0" applyFont="1" applyBorder="1" applyAlignment="1" applyProtection="1">
      <alignment horizontal="center" vertical="center" textRotation="180" wrapText="1"/>
      <protection locked="0"/>
    </xf>
    <xf numFmtId="0" fontId="34" fillId="0" borderId="81" xfId="0" applyFont="1" applyFill="1" applyBorder="1" applyAlignment="1" applyProtection="1">
      <alignment horizontal="center" vertical="center" textRotation="180" wrapText="1"/>
      <protection locked="0"/>
    </xf>
    <xf numFmtId="0" fontId="34" fillId="0" borderId="0" xfId="0" applyFont="1" applyFill="1" applyBorder="1" applyAlignment="1" applyProtection="1">
      <alignment horizontal="center" vertical="center" textRotation="180" wrapText="1"/>
      <protection locked="0"/>
    </xf>
    <xf numFmtId="0" fontId="74" fillId="24" borderId="0" xfId="0" applyFont="1" applyFill="1" applyAlignment="1" applyProtection="1">
      <alignment vertical="top"/>
      <protection locked="0"/>
    </xf>
    <xf numFmtId="0" fontId="75" fillId="24" borderId="159" xfId="0" applyFont="1" applyFill="1" applyBorder="1" applyProtection="1">
      <protection locked="0"/>
    </xf>
    <xf numFmtId="0" fontId="75" fillId="24" borderId="160" xfId="0" applyFont="1" applyFill="1" applyBorder="1" applyProtection="1">
      <protection locked="0"/>
    </xf>
    <xf numFmtId="0" fontId="8" fillId="24" borderId="161" xfId="0" applyFont="1" applyFill="1" applyBorder="1" applyAlignment="1" applyProtection="1">
      <alignment horizontal="right"/>
      <protection locked="0"/>
    </xf>
    <xf numFmtId="169" fontId="34" fillId="0" borderId="81" xfId="0" applyNumberFormat="1" applyFont="1" applyFill="1" applyBorder="1" applyAlignment="1" applyProtection="1">
      <alignment horizontal="center" vertical="center" wrapText="1"/>
      <protection locked="0"/>
    </xf>
    <xf numFmtId="169" fontId="34" fillId="0" borderId="0" xfId="0" applyNumberFormat="1" applyFont="1" applyFill="1" applyBorder="1" applyAlignment="1" applyProtection="1">
      <alignment horizontal="center" vertical="center" wrapText="1"/>
      <protection locked="0"/>
    </xf>
    <xf numFmtId="0" fontId="2" fillId="0" borderId="79" xfId="0" applyFont="1" applyBorder="1" applyAlignment="1" applyProtection="1">
      <alignment horizontal="center"/>
      <protection locked="0"/>
    </xf>
    <xf numFmtId="0" fontId="2" fillId="0" borderId="63" xfId="0" applyFont="1" applyBorder="1" applyAlignment="1" applyProtection="1">
      <alignment horizontal="center"/>
      <protection locked="0"/>
    </xf>
    <xf numFmtId="0" fontId="2" fillId="0" borderId="81" xfId="0" applyFont="1" applyFill="1" applyBorder="1" applyAlignment="1" applyProtection="1">
      <alignment horizontal="center"/>
      <protection locked="0"/>
    </xf>
    <xf numFmtId="0" fontId="2" fillId="0" borderId="0" xfId="0" applyFont="1" applyFill="1" applyBorder="1" applyAlignment="1" applyProtection="1">
      <alignment horizontal="center"/>
      <protection locked="0"/>
    </xf>
    <xf numFmtId="0" fontId="13" fillId="29" borderId="158" xfId="0" applyFont="1" applyFill="1" applyBorder="1" applyAlignment="1" applyProtection="1">
      <alignment horizontal="center" vertical="center" textRotation="180"/>
      <protection locked="0"/>
    </xf>
    <xf numFmtId="0" fontId="13" fillId="29" borderId="158" xfId="0" applyFont="1" applyFill="1" applyBorder="1" applyAlignment="1" applyProtection="1">
      <alignment horizontal="center" vertical="center"/>
      <protection locked="0"/>
    </xf>
    <xf numFmtId="0" fontId="13" fillId="29" borderId="158" xfId="0" applyFont="1" applyFill="1" applyBorder="1" applyAlignment="1" applyProtection="1">
      <alignment horizontal="center" vertical="center" textRotation="180" wrapText="1"/>
      <protection locked="0"/>
    </xf>
    <xf numFmtId="0" fontId="36" fillId="30" borderId="162" xfId="0" applyFont="1" applyFill="1" applyBorder="1" applyAlignment="1" applyProtection="1">
      <alignment horizontal="center" vertical="center" textRotation="180" wrapText="1"/>
      <protection locked="0"/>
    </xf>
    <xf numFmtId="0" fontId="36" fillId="30" borderId="95" xfId="0" applyFont="1" applyFill="1" applyBorder="1" applyAlignment="1" applyProtection="1">
      <alignment horizontal="center" vertical="center" textRotation="180" wrapText="1"/>
      <protection locked="0"/>
    </xf>
    <xf numFmtId="0" fontId="36" fillId="30" borderId="167" xfId="0" applyFont="1" applyFill="1" applyBorder="1" applyAlignment="1" applyProtection="1">
      <alignment horizontal="center" vertical="center" textRotation="180" wrapText="1"/>
      <protection locked="0"/>
    </xf>
    <xf numFmtId="0" fontId="36" fillId="0" borderId="81" xfId="0" applyFont="1" applyFill="1" applyBorder="1" applyAlignment="1" applyProtection="1">
      <alignment horizontal="center" vertical="center" textRotation="180" wrapText="1"/>
      <protection locked="0"/>
    </xf>
    <xf numFmtId="0" fontId="36" fillId="0" borderId="0" xfId="0" applyFont="1" applyFill="1" applyBorder="1" applyAlignment="1" applyProtection="1">
      <alignment horizontal="center" vertical="center" textRotation="180" wrapText="1"/>
      <protection locked="0"/>
    </xf>
    <xf numFmtId="0" fontId="5" fillId="0" borderId="15" xfId="0" applyFont="1" applyFill="1" applyBorder="1" applyAlignment="1" applyProtection="1">
      <alignment horizontal="center"/>
      <protection locked="0"/>
    </xf>
    <xf numFmtId="169" fontId="34" fillId="0" borderId="63" xfId="0" applyNumberFormat="1" applyFont="1" applyBorder="1" applyAlignment="1" applyProtection="1">
      <alignment horizontal="center"/>
      <protection locked="0"/>
    </xf>
    <xf numFmtId="169" fontId="34" fillId="0" borderId="81" xfId="0" applyNumberFormat="1" applyFont="1" applyFill="1" applyBorder="1" applyAlignment="1" applyProtection="1">
      <alignment horizontal="center"/>
      <protection locked="0"/>
    </xf>
    <xf numFmtId="169" fontId="34" fillId="0" borderId="0" xfId="0" applyNumberFormat="1" applyFont="1" applyFill="1" applyBorder="1" applyAlignment="1" applyProtection="1">
      <alignment horizontal="center"/>
      <protection locked="0"/>
    </xf>
    <xf numFmtId="0" fontId="5" fillId="30" borderId="0" xfId="0" applyFont="1" applyFill="1" applyBorder="1" applyAlignment="1" applyProtection="1">
      <alignment horizontal="center"/>
      <protection locked="0"/>
    </xf>
    <xf numFmtId="169" fontId="5" fillId="30" borderId="0" xfId="0" applyNumberFormat="1" applyFont="1" applyFill="1" applyBorder="1" applyAlignment="1" applyProtection="1">
      <alignment horizontal="center"/>
      <protection locked="0"/>
    </xf>
    <xf numFmtId="169" fontId="5" fillId="0" borderId="0" xfId="0" applyNumberFormat="1" applyFont="1" applyFill="1" applyBorder="1" applyAlignment="1" applyProtection="1">
      <alignment horizontal="center"/>
      <protection locked="0"/>
    </xf>
    <xf numFmtId="169" fontId="34" fillId="5" borderId="0" xfId="0" applyNumberFormat="1" applyFont="1" applyFill="1" applyAlignment="1" applyProtection="1">
      <alignment horizontal="center"/>
    </xf>
    <xf numFmtId="0" fontId="0" fillId="0" borderId="0" xfId="0" applyFill="1" applyProtection="1">
      <protection locked="0"/>
    </xf>
    <xf numFmtId="0" fontId="40" fillId="4" borderId="0" xfId="0" applyFont="1" applyFill="1" applyProtection="1"/>
    <xf numFmtId="0" fontId="2" fillId="7" borderId="0" xfId="0" applyFont="1" applyFill="1" applyAlignment="1" applyProtection="1">
      <alignment horizontal="center"/>
    </xf>
    <xf numFmtId="1" fontId="5" fillId="5" borderId="0" xfId="0" applyNumberFormat="1" applyFont="1" applyFill="1" applyAlignment="1" applyProtection="1">
      <alignment horizontal="center"/>
    </xf>
    <xf numFmtId="0" fontId="5" fillId="5" borderId="71" xfId="0" applyFont="1" applyFill="1" applyBorder="1" applyAlignment="1" applyProtection="1">
      <alignment horizontal="center"/>
    </xf>
    <xf numFmtId="168" fontId="34" fillId="5" borderId="0" xfId="0" applyNumberFormat="1" applyFont="1" applyFill="1" applyAlignment="1" applyProtection="1">
      <alignment horizontal="center"/>
    </xf>
    <xf numFmtId="166" fontId="34" fillId="5" borderId="0" xfId="0" applyNumberFormat="1" applyFont="1" applyFill="1" applyAlignment="1" applyProtection="1">
      <alignment horizontal="center"/>
    </xf>
    <xf numFmtId="166" fontId="35" fillId="5" borderId="0" xfId="0" applyNumberFormat="1" applyFont="1" applyFill="1" applyAlignment="1" applyProtection="1">
      <alignment horizontal="center"/>
    </xf>
    <xf numFmtId="168" fontId="10" fillId="5" borderId="0" xfId="0" applyNumberFormat="1" applyFont="1" applyFill="1" applyAlignment="1" applyProtection="1">
      <alignment horizontal="center"/>
    </xf>
    <xf numFmtId="1" fontId="38" fillId="6" borderId="0" xfId="0" applyNumberFormat="1" applyFont="1" applyFill="1" applyAlignment="1" applyProtection="1">
      <alignment horizontal="center"/>
    </xf>
    <xf numFmtId="0" fontId="2" fillId="6" borderId="0" xfId="0" applyFont="1" applyFill="1" applyProtection="1"/>
    <xf numFmtId="169" fontId="24" fillId="6" borderId="0" xfId="0" applyNumberFormat="1" applyFont="1" applyFill="1" applyAlignment="1" applyProtection="1">
      <alignment horizontal="center"/>
    </xf>
    <xf numFmtId="166" fontId="38" fillId="6" borderId="0" xfId="0" applyNumberFormat="1" applyFont="1" applyFill="1" applyAlignment="1" applyProtection="1">
      <alignment horizontal="center"/>
    </xf>
    <xf numFmtId="166" fontId="36" fillId="6" borderId="0" xfId="0" applyNumberFormat="1" applyFont="1" applyFill="1" applyAlignment="1" applyProtection="1">
      <alignment horizontal="center"/>
    </xf>
    <xf numFmtId="168" fontId="24" fillId="6" borderId="0" xfId="0" applyNumberFormat="1" applyFont="1" applyFill="1" applyAlignment="1" applyProtection="1">
      <alignment horizontal="center"/>
    </xf>
    <xf numFmtId="0" fontId="24" fillId="8" borderId="0" xfId="0" applyFont="1" applyFill="1" applyAlignment="1" applyProtection="1">
      <alignment horizontal="center"/>
      <protection locked="0"/>
    </xf>
    <xf numFmtId="0" fontId="24" fillId="8" borderId="0" xfId="0" applyFont="1" applyFill="1" applyAlignment="1" applyProtection="1">
      <alignment horizontal="center" vertical="center" wrapText="1"/>
      <protection locked="0"/>
    </xf>
    <xf numFmtId="0" fontId="24" fillId="0" borderId="0" xfId="0" applyFont="1" applyFill="1" applyProtection="1">
      <protection locked="0"/>
    </xf>
    <xf numFmtId="0" fontId="2" fillId="5" borderId="48" xfId="0" applyFont="1" applyFill="1" applyBorder="1" applyAlignment="1" applyProtection="1">
      <alignment horizontal="center"/>
      <protection locked="0"/>
    </xf>
    <xf numFmtId="9" fontId="2" fillId="0" borderId="50" xfId="2" applyFont="1" applyBorder="1" applyAlignment="1" applyProtection="1">
      <alignment horizontal="center"/>
      <protection locked="0"/>
    </xf>
    <xf numFmtId="1" fontId="2" fillId="0" borderId="50" xfId="2" applyNumberFormat="1" applyFont="1" applyBorder="1" applyAlignment="1" applyProtection="1">
      <alignment horizontal="center"/>
      <protection locked="0"/>
    </xf>
    <xf numFmtId="0" fontId="2" fillId="5" borderId="52" xfId="0" applyFont="1" applyFill="1" applyBorder="1" applyAlignment="1" applyProtection="1">
      <alignment horizontal="center"/>
      <protection locked="0"/>
    </xf>
    <xf numFmtId="9" fontId="2" fillId="0" borderId="54" xfId="2" applyFont="1" applyBorder="1" applyAlignment="1" applyProtection="1">
      <alignment horizontal="center"/>
      <protection locked="0"/>
    </xf>
    <xf numFmtId="1" fontId="2" fillId="0" borderId="54" xfId="2" applyNumberFormat="1" applyFont="1" applyBorder="1" applyAlignment="1" applyProtection="1">
      <alignment horizontal="center"/>
      <protection locked="0"/>
    </xf>
    <xf numFmtId="0" fontId="2" fillId="0" borderId="52" xfId="0" applyFont="1" applyBorder="1" applyAlignment="1" applyProtection="1">
      <alignment horizontal="center"/>
      <protection locked="0"/>
    </xf>
    <xf numFmtId="166" fontId="2" fillId="0" borderId="54" xfId="0" applyNumberFormat="1" applyFont="1" applyFill="1" applyBorder="1" applyAlignment="1" applyProtection="1">
      <alignment horizontal="center"/>
      <protection locked="0"/>
    </xf>
    <xf numFmtId="0" fontId="2" fillId="0" borderId="56" xfId="0" applyFont="1" applyBorder="1" applyAlignment="1" applyProtection="1">
      <alignment horizontal="center"/>
      <protection locked="0"/>
    </xf>
    <xf numFmtId="9" fontId="2" fillId="0" borderId="58" xfId="2" applyFont="1" applyBorder="1" applyAlignment="1" applyProtection="1">
      <alignment horizontal="center"/>
      <protection locked="0"/>
    </xf>
    <xf numFmtId="1" fontId="2" fillId="0" borderId="58" xfId="2" applyNumberFormat="1" applyFont="1" applyBorder="1" applyAlignment="1" applyProtection="1">
      <alignment horizontal="center"/>
      <protection locked="0"/>
    </xf>
    <xf numFmtId="0" fontId="2" fillId="0" borderId="71" xfId="0" applyFont="1" applyFill="1" applyBorder="1" applyAlignment="1" applyProtection="1">
      <alignment horizontal="center"/>
      <protection locked="0"/>
    </xf>
    <xf numFmtId="0" fontId="3" fillId="3" borderId="0" xfId="0" applyFont="1" applyFill="1" applyProtection="1">
      <protection locked="0"/>
    </xf>
    <xf numFmtId="0" fontId="28" fillId="3" borderId="0" xfId="0" applyFont="1" applyFill="1" applyAlignment="1" applyProtection="1">
      <alignment horizontal="center" vertical="center"/>
      <protection locked="0"/>
    </xf>
    <xf numFmtId="0" fontId="2" fillId="0" borderId="48" xfId="0" applyFont="1" applyBorder="1" applyAlignment="1" applyProtection="1">
      <alignment horizontal="center"/>
      <protection locked="0"/>
    </xf>
    <xf numFmtId="9" fontId="2" fillId="0" borderId="3" xfId="2" applyFont="1" applyBorder="1" applyAlignment="1" applyProtection="1">
      <alignment horizontal="center"/>
      <protection locked="0"/>
    </xf>
    <xf numFmtId="1" fontId="2" fillId="0" borderId="3" xfId="0" applyNumberFormat="1" applyFont="1" applyBorder="1" applyAlignment="1" applyProtection="1">
      <alignment horizontal="center"/>
      <protection locked="0"/>
    </xf>
    <xf numFmtId="166" fontId="2" fillId="0" borderId="50" xfId="0" applyNumberFormat="1" applyFont="1" applyBorder="1" applyAlignment="1" applyProtection="1">
      <alignment horizontal="center"/>
      <protection locked="0"/>
    </xf>
    <xf numFmtId="0" fontId="31" fillId="0" borderId="49" xfId="0" applyFont="1" applyBorder="1" applyAlignment="1" applyProtection="1">
      <alignment horizontal="center"/>
      <protection locked="0"/>
    </xf>
    <xf numFmtId="1" fontId="2" fillId="0" borderId="1" xfId="0" applyNumberFormat="1" applyFont="1" applyBorder="1" applyAlignment="1" applyProtection="1">
      <alignment horizontal="center"/>
      <protection locked="0"/>
    </xf>
    <xf numFmtId="166" fontId="2" fillId="0" borderId="54" xfId="0" applyNumberFormat="1" applyFont="1" applyBorder="1" applyAlignment="1" applyProtection="1">
      <alignment horizontal="center"/>
      <protection locked="0"/>
    </xf>
    <xf numFmtId="0" fontId="31" fillId="0" borderId="53" xfId="0" applyFont="1" applyBorder="1" applyAlignment="1" applyProtection="1">
      <alignment horizontal="center"/>
      <protection locked="0"/>
    </xf>
    <xf numFmtId="9" fontId="2" fillId="0" borderId="8" xfId="2" applyFont="1" applyBorder="1" applyAlignment="1" applyProtection="1">
      <alignment horizontal="center"/>
      <protection locked="0"/>
    </xf>
    <xf numFmtId="1" fontId="2" fillId="0" borderId="8" xfId="0" applyNumberFormat="1" applyFont="1" applyBorder="1" applyAlignment="1" applyProtection="1">
      <alignment horizontal="center"/>
      <protection locked="0"/>
    </xf>
    <xf numFmtId="166" fontId="2" fillId="0" borderId="58" xfId="0" applyNumberFormat="1" applyFont="1" applyBorder="1" applyAlignment="1" applyProtection="1">
      <alignment horizontal="center"/>
      <protection locked="0"/>
    </xf>
    <xf numFmtId="0" fontId="31" fillId="0" borderId="57" xfId="0" applyFont="1" applyBorder="1" applyAlignment="1" applyProtection="1">
      <alignment horizontal="center"/>
      <protection locked="0"/>
    </xf>
    <xf numFmtId="0" fontId="24" fillId="8" borderId="0" xfId="0" applyFont="1" applyFill="1" applyAlignment="1" applyProtection="1">
      <alignment horizontal="center" wrapText="1"/>
      <protection locked="0"/>
    </xf>
    <xf numFmtId="0" fontId="31" fillId="0" borderId="49" xfId="0" applyFont="1" applyFill="1" applyBorder="1" applyAlignment="1" applyProtection="1">
      <alignment horizontal="center"/>
      <protection locked="0"/>
    </xf>
    <xf numFmtId="0" fontId="31" fillId="0" borderId="53" xfId="0" applyFont="1" applyFill="1" applyBorder="1" applyAlignment="1" applyProtection="1">
      <alignment horizontal="center"/>
      <protection locked="0"/>
    </xf>
    <xf numFmtId="0" fontId="31" fillId="0" borderId="57" xfId="0" applyFont="1" applyFill="1" applyBorder="1" applyAlignment="1" applyProtection="1">
      <alignment horizontal="center"/>
      <protection locked="0"/>
    </xf>
    <xf numFmtId="0" fontId="2" fillId="26" borderId="0" xfId="0" applyFont="1" applyFill="1" applyProtection="1">
      <protection locked="0"/>
    </xf>
    <xf numFmtId="169" fontId="2" fillId="4" borderId="50" xfId="0" applyNumberFormat="1" applyFont="1" applyFill="1" applyBorder="1" applyAlignment="1" applyProtection="1">
      <alignment horizontal="center"/>
    </xf>
    <xf numFmtId="166" fontId="2" fillId="4" borderId="50" xfId="0" applyNumberFormat="1" applyFont="1" applyFill="1" applyBorder="1" applyAlignment="1" applyProtection="1">
      <alignment horizontal="center"/>
    </xf>
    <xf numFmtId="166" fontId="28" fillId="3" borderId="51" xfId="0" applyNumberFormat="1" applyFont="1" applyFill="1" applyBorder="1" applyAlignment="1" applyProtection="1">
      <alignment horizontal="center"/>
    </xf>
    <xf numFmtId="169" fontId="2" fillId="4" borderId="54" xfId="0" applyNumberFormat="1" applyFont="1" applyFill="1" applyBorder="1" applyAlignment="1" applyProtection="1">
      <alignment horizontal="center"/>
    </xf>
    <xf numFmtId="166" fontId="2" fillId="4" borderId="54" xfId="0" applyNumberFormat="1" applyFont="1" applyFill="1" applyBorder="1" applyAlignment="1" applyProtection="1">
      <alignment horizontal="center"/>
    </xf>
    <xf numFmtId="166" fontId="28" fillId="3" borderId="66" xfId="0" applyNumberFormat="1" applyFont="1" applyFill="1" applyBorder="1" applyAlignment="1" applyProtection="1">
      <alignment horizontal="center"/>
    </xf>
    <xf numFmtId="169" fontId="2" fillId="4" borderId="58" xfId="0" applyNumberFormat="1" applyFont="1" applyFill="1" applyBorder="1" applyAlignment="1" applyProtection="1">
      <alignment horizontal="center"/>
    </xf>
    <xf numFmtId="166" fontId="28" fillId="3" borderId="0" xfId="0" applyNumberFormat="1" applyFont="1" applyFill="1" applyAlignment="1" applyProtection="1">
      <alignment horizontal="center"/>
    </xf>
    <xf numFmtId="166" fontId="28" fillId="3" borderId="27" xfId="0" applyNumberFormat="1" applyFont="1" applyFill="1" applyBorder="1" applyAlignment="1" applyProtection="1">
      <alignment horizontal="center"/>
    </xf>
    <xf numFmtId="166" fontId="28" fillId="3" borderId="59" xfId="0" applyNumberFormat="1" applyFont="1" applyFill="1" applyBorder="1" applyAlignment="1" applyProtection="1">
      <alignment horizontal="center"/>
    </xf>
    <xf numFmtId="166" fontId="12" fillId="26" borderId="0" xfId="0" applyNumberFormat="1" applyFont="1" applyFill="1" applyAlignment="1" applyProtection="1">
      <alignment horizontal="center"/>
    </xf>
    <xf numFmtId="0" fontId="4" fillId="0" borderId="0" xfId="0" applyFont="1" applyFill="1" applyAlignment="1" applyProtection="1">
      <alignment horizontal="center"/>
      <protection locked="0"/>
    </xf>
    <xf numFmtId="0" fontId="2" fillId="4" borderId="0" xfId="0" applyFont="1" applyFill="1" applyAlignment="1" applyProtection="1">
      <alignment horizontal="center"/>
      <protection locked="0"/>
    </xf>
    <xf numFmtId="0" fontId="2" fillId="0" borderId="0" xfId="0" applyFont="1" applyFill="1" applyAlignment="1" applyProtection="1">
      <alignment horizontal="center" vertical="center" wrapText="1"/>
      <protection locked="0"/>
    </xf>
    <xf numFmtId="0" fontId="2" fillId="5" borderId="2" xfId="0" applyFont="1" applyFill="1" applyBorder="1" applyAlignment="1" applyProtection="1">
      <alignment horizontal="center"/>
      <protection locked="0"/>
    </xf>
    <xf numFmtId="0" fontId="2" fillId="0" borderId="3" xfId="0" applyFont="1" applyBorder="1" applyAlignment="1" applyProtection="1">
      <alignment horizontal="center"/>
      <protection locked="0"/>
    </xf>
    <xf numFmtId="0" fontId="2" fillId="0" borderId="0" xfId="0" applyFont="1" applyFill="1" applyBorder="1" applyProtection="1">
      <protection locked="0"/>
    </xf>
    <xf numFmtId="0" fontId="2" fillId="0" borderId="0" xfId="0" applyFont="1" applyAlignment="1" applyProtection="1">
      <alignment horizontal="center"/>
      <protection locked="0"/>
    </xf>
    <xf numFmtId="0" fontId="2" fillId="5" borderId="14" xfId="0" applyFont="1" applyFill="1" applyBorder="1" applyAlignment="1" applyProtection="1">
      <alignment horizontal="center"/>
      <protection locked="0"/>
    </xf>
    <xf numFmtId="0" fontId="2" fillId="0" borderId="15" xfId="0" applyFont="1" applyBorder="1" applyAlignment="1" applyProtection="1">
      <alignment horizontal="center"/>
      <protection locked="0"/>
    </xf>
    <xf numFmtId="0" fontId="2" fillId="5" borderId="5" xfId="0" applyFont="1" applyFill="1" applyBorder="1" applyAlignment="1" applyProtection="1">
      <alignment horizontal="center"/>
      <protection locked="0"/>
    </xf>
    <xf numFmtId="0" fontId="2" fillId="5" borderId="11" xfId="0" applyFont="1" applyFill="1" applyBorder="1" applyAlignment="1" applyProtection="1">
      <alignment horizontal="center"/>
      <protection locked="0"/>
    </xf>
    <xf numFmtId="0" fontId="5" fillId="0" borderId="5" xfId="0" applyFont="1" applyFill="1" applyBorder="1" applyAlignment="1" applyProtection="1">
      <alignment horizontal="center"/>
      <protection locked="0"/>
    </xf>
    <xf numFmtId="0" fontId="5" fillId="0" borderId="7" xfId="0" applyFont="1" applyFill="1" applyBorder="1" applyAlignment="1" applyProtection="1">
      <alignment horizontal="center"/>
      <protection locked="0"/>
    </xf>
    <xf numFmtId="0" fontId="2" fillId="0" borderId="8" xfId="0" applyFont="1" applyBorder="1" applyAlignment="1" applyProtection="1">
      <alignment horizontal="center"/>
      <protection locked="0"/>
    </xf>
    <xf numFmtId="44" fontId="3" fillId="0" borderId="0" xfId="1" applyFont="1" applyFill="1" applyAlignment="1" applyProtection="1">
      <alignment horizontal="center"/>
      <protection locked="0"/>
    </xf>
    <xf numFmtId="0" fontId="3" fillId="0" borderId="0" xfId="0" applyFont="1" applyFill="1" applyBorder="1" applyAlignment="1" applyProtection="1">
      <alignment horizontal="center"/>
      <protection locked="0"/>
    </xf>
    <xf numFmtId="0" fontId="4" fillId="6" borderId="0" xfId="0" applyFont="1" applyFill="1" applyAlignment="1" applyProtection="1">
      <alignment horizontal="center"/>
      <protection locked="0"/>
    </xf>
    <xf numFmtId="0" fontId="4" fillId="6" borderId="0" xfId="0" applyFont="1" applyFill="1" applyAlignment="1" applyProtection="1">
      <alignment horizontal="center" vertical="center"/>
      <protection locked="0"/>
    </xf>
    <xf numFmtId="166" fontId="2" fillId="0" borderId="3" xfId="1" applyNumberFormat="1" applyFont="1" applyBorder="1" applyAlignment="1" applyProtection="1">
      <alignment horizontal="center"/>
      <protection locked="0"/>
    </xf>
    <xf numFmtId="166" fontId="2" fillId="0" borderId="1" xfId="1" applyNumberFormat="1" applyFont="1" applyBorder="1" applyAlignment="1" applyProtection="1">
      <alignment horizontal="center"/>
      <protection locked="0"/>
    </xf>
    <xf numFmtId="0" fontId="2" fillId="0" borderId="5" xfId="0" applyFont="1" applyBorder="1" applyAlignment="1" applyProtection="1">
      <alignment horizontal="center"/>
      <protection locked="0"/>
    </xf>
    <xf numFmtId="0" fontId="3" fillId="8" borderId="7" xfId="0" applyFont="1" applyFill="1" applyBorder="1" applyAlignment="1" applyProtection="1">
      <alignment horizontal="center"/>
      <protection locked="0"/>
    </xf>
    <xf numFmtId="0" fontId="4" fillId="6" borderId="0" xfId="0" applyFont="1" applyFill="1" applyAlignment="1" applyProtection="1">
      <alignment horizontal="center" vertical="center" wrapText="1"/>
      <protection locked="0"/>
    </xf>
    <xf numFmtId="0" fontId="6" fillId="6" borderId="0" xfId="0" applyFont="1" applyFill="1" applyAlignment="1" applyProtection="1">
      <alignment horizontal="center" vertical="center" wrapText="1"/>
      <protection locked="0"/>
    </xf>
    <xf numFmtId="0" fontId="8" fillId="5" borderId="5" xfId="0" applyFont="1" applyFill="1" applyBorder="1" applyAlignment="1" applyProtection="1">
      <alignment horizontal="center"/>
      <protection locked="0"/>
    </xf>
    <xf numFmtId="0" fontId="3" fillId="8" borderId="17" xfId="0" applyFont="1" applyFill="1" applyBorder="1" applyAlignment="1" applyProtection="1">
      <protection locked="0"/>
    </xf>
    <xf numFmtId="0" fontId="3" fillId="8" borderId="18" xfId="0" applyFont="1" applyFill="1" applyBorder="1" applyAlignment="1" applyProtection="1">
      <protection locked="0"/>
    </xf>
    <xf numFmtId="9" fontId="8" fillId="24" borderId="0" xfId="2" applyFont="1" applyFill="1" applyAlignment="1" applyProtection="1">
      <alignment horizontal="center" vertical="center" wrapText="1"/>
      <protection locked="0"/>
    </xf>
    <xf numFmtId="0" fontId="2" fillId="0" borderId="3" xfId="0" applyFont="1" applyFill="1" applyBorder="1" applyAlignment="1" applyProtection="1">
      <alignment horizontal="center"/>
      <protection locked="0"/>
    </xf>
    <xf numFmtId="1" fontId="2" fillId="0" borderId="3" xfId="2" applyNumberFormat="1" applyFont="1" applyFill="1" applyBorder="1" applyAlignment="1" applyProtection="1">
      <alignment horizontal="center"/>
      <protection locked="0"/>
    </xf>
    <xf numFmtId="0" fontId="2" fillId="0" borderId="1" xfId="0" applyFont="1" applyFill="1" applyBorder="1" applyAlignment="1" applyProtection="1">
      <alignment horizontal="center"/>
      <protection locked="0"/>
    </xf>
    <xf numFmtId="1" fontId="2" fillId="0" borderId="1" xfId="2" applyNumberFormat="1" applyFont="1" applyFill="1" applyBorder="1" applyAlignment="1" applyProtection="1">
      <alignment horizontal="center"/>
      <protection locked="0"/>
    </xf>
    <xf numFmtId="0" fontId="4" fillId="3" borderId="5" xfId="0" applyFont="1" applyFill="1" applyBorder="1" applyAlignment="1" applyProtection="1">
      <alignment horizontal="center"/>
      <protection locked="0"/>
    </xf>
    <xf numFmtId="0" fontId="3" fillId="3" borderId="1" xfId="0" applyFont="1" applyFill="1" applyBorder="1" applyAlignment="1" applyProtection="1">
      <alignment horizontal="center"/>
      <protection locked="0"/>
    </xf>
    <xf numFmtId="9" fontId="3" fillId="3" borderId="1" xfId="2" applyFont="1" applyFill="1" applyBorder="1" applyAlignment="1" applyProtection="1">
      <alignment horizontal="center"/>
      <protection locked="0"/>
    </xf>
    <xf numFmtId="166" fontId="3" fillId="8" borderId="28" xfId="1" applyNumberFormat="1" applyFont="1" applyFill="1" applyBorder="1" applyAlignment="1" applyProtection="1">
      <alignment horizontal="center"/>
      <protection locked="0"/>
    </xf>
    <xf numFmtId="0" fontId="7" fillId="6" borderId="0" xfId="0" applyFont="1" applyFill="1" applyAlignment="1" applyProtection="1">
      <alignment horizontal="center" vertical="center" wrapText="1"/>
      <protection locked="0"/>
    </xf>
    <xf numFmtId="0" fontId="5" fillId="0" borderId="3" xfId="0" applyFont="1" applyFill="1" applyBorder="1" applyAlignment="1" applyProtection="1">
      <alignment horizontal="center"/>
      <protection locked="0"/>
    </xf>
    <xf numFmtId="166" fontId="5" fillId="0" borderId="3" xfId="2" applyNumberFormat="1" applyFont="1" applyFill="1" applyBorder="1" applyAlignment="1" applyProtection="1">
      <alignment horizontal="center"/>
      <protection locked="0"/>
    </xf>
    <xf numFmtId="0" fontId="5" fillId="0" borderId="1" xfId="0" applyFont="1" applyFill="1" applyBorder="1" applyAlignment="1" applyProtection="1">
      <alignment horizontal="center"/>
      <protection locked="0"/>
    </xf>
    <xf numFmtId="166" fontId="5" fillId="0" borderId="1" xfId="2" applyNumberFormat="1" applyFont="1" applyFill="1" applyBorder="1" applyAlignment="1" applyProtection="1">
      <alignment horizontal="center"/>
      <protection locked="0"/>
    </xf>
    <xf numFmtId="0" fontId="5" fillId="0" borderId="8" xfId="0" applyFont="1" applyFill="1" applyBorder="1" applyAlignment="1" applyProtection="1">
      <alignment horizontal="center"/>
      <protection locked="0"/>
    </xf>
    <xf numFmtId="166" fontId="5" fillId="0" borderId="8" xfId="2" applyNumberFormat="1" applyFont="1" applyFill="1" applyBorder="1" applyAlignment="1" applyProtection="1">
      <alignment horizontal="center"/>
      <protection locked="0"/>
    </xf>
    <xf numFmtId="0" fontId="3" fillId="8" borderId="26" xfId="0" applyFont="1" applyFill="1" applyBorder="1" applyAlignment="1" applyProtection="1">
      <alignment horizontal="center"/>
      <protection locked="0"/>
    </xf>
    <xf numFmtId="0" fontId="3" fillId="8" borderId="76" xfId="0" applyFont="1" applyFill="1" applyBorder="1" applyAlignment="1" applyProtection="1">
      <protection locked="0"/>
    </xf>
    <xf numFmtId="0" fontId="3" fillId="8" borderId="75" xfId="0" applyFont="1" applyFill="1" applyBorder="1" applyAlignment="1" applyProtection="1">
      <protection locked="0"/>
    </xf>
    <xf numFmtId="166" fontId="10" fillId="4" borderId="4" xfId="0" applyNumberFormat="1" applyFont="1" applyFill="1" applyBorder="1" applyAlignment="1" applyProtection="1">
      <alignment horizontal="center"/>
    </xf>
    <xf numFmtId="166" fontId="10" fillId="4" borderId="6" xfId="0" applyNumberFormat="1" applyFont="1" applyFill="1" applyBorder="1" applyAlignment="1" applyProtection="1">
      <alignment horizontal="center"/>
    </xf>
    <xf numFmtId="166" fontId="10" fillId="4" borderId="9" xfId="0" applyNumberFormat="1" applyFont="1" applyFill="1" applyBorder="1" applyAlignment="1" applyProtection="1">
      <alignment horizontal="center"/>
    </xf>
    <xf numFmtId="166" fontId="28" fillId="8" borderId="0" xfId="1" applyNumberFormat="1" applyFont="1" applyFill="1" applyAlignment="1" applyProtection="1">
      <alignment horizontal="center"/>
    </xf>
    <xf numFmtId="2" fontId="2" fillId="5" borderId="3" xfId="0" applyNumberFormat="1" applyFont="1" applyFill="1" applyBorder="1" applyAlignment="1" applyProtection="1">
      <alignment horizontal="center"/>
    </xf>
    <xf numFmtId="2" fontId="2" fillId="5" borderId="1" xfId="0" applyNumberFormat="1" applyFont="1" applyFill="1" applyBorder="1" applyAlignment="1" applyProtection="1">
      <alignment horizontal="center"/>
    </xf>
    <xf numFmtId="2" fontId="2" fillId="5" borderId="8" xfId="0" applyNumberFormat="1" applyFont="1" applyFill="1" applyBorder="1" applyAlignment="1" applyProtection="1">
      <alignment horizontal="center"/>
    </xf>
    <xf numFmtId="166" fontId="18" fillId="4" borderId="4" xfId="1" applyNumberFormat="1" applyFont="1" applyFill="1" applyBorder="1" applyAlignment="1" applyProtection="1">
      <alignment horizontal="center"/>
    </xf>
    <xf numFmtId="166" fontId="18" fillId="4" borderId="6" xfId="1" applyNumberFormat="1" applyFont="1" applyFill="1" applyBorder="1" applyAlignment="1" applyProtection="1">
      <alignment horizontal="center"/>
    </xf>
    <xf numFmtId="166" fontId="18" fillId="4" borderId="9" xfId="1" applyNumberFormat="1" applyFont="1" applyFill="1" applyBorder="1" applyAlignment="1" applyProtection="1">
      <alignment horizontal="center"/>
    </xf>
    <xf numFmtId="5" fontId="3" fillId="8" borderId="28" xfId="1" applyNumberFormat="1" applyFont="1" applyFill="1" applyBorder="1" applyAlignment="1" applyProtection="1">
      <alignment horizontal="center"/>
    </xf>
    <xf numFmtId="0" fontId="8" fillId="2" borderId="58" xfId="0" applyFont="1" applyFill="1" applyBorder="1" applyAlignment="1" applyProtection="1">
      <alignment horizontal="center"/>
    </xf>
    <xf numFmtId="166" fontId="28" fillId="8" borderId="28" xfId="1" applyNumberFormat="1" applyFont="1" applyFill="1" applyBorder="1" applyAlignment="1" applyProtection="1">
      <alignment horizontal="center"/>
    </xf>
    <xf numFmtId="0" fontId="2" fillId="5" borderId="3" xfId="0" applyFont="1" applyFill="1" applyBorder="1" applyAlignment="1" applyProtection="1">
      <alignment horizontal="center"/>
    </xf>
    <xf numFmtId="166" fontId="2" fillId="4" borderId="3" xfId="2" applyNumberFormat="1" applyFont="1" applyFill="1" applyBorder="1" applyAlignment="1" applyProtection="1">
      <alignment horizontal="center"/>
    </xf>
    <xf numFmtId="166" fontId="10" fillId="4" borderId="4" xfId="1" applyNumberFormat="1" applyFont="1" applyFill="1" applyBorder="1" applyAlignment="1" applyProtection="1">
      <alignment horizontal="center"/>
    </xf>
    <xf numFmtId="0" fontId="2" fillId="5" borderId="1" xfId="0" applyFont="1" applyFill="1" applyBorder="1" applyAlignment="1" applyProtection="1">
      <alignment horizontal="center"/>
    </xf>
    <xf numFmtId="166" fontId="2" fillId="4" borderId="1" xfId="2" applyNumberFormat="1" applyFont="1" applyFill="1" applyBorder="1" applyAlignment="1" applyProtection="1">
      <alignment horizontal="center"/>
    </xf>
    <xf numFmtId="166" fontId="10" fillId="4" borderId="6" xfId="1" applyNumberFormat="1" applyFont="1" applyFill="1" applyBorder="1" applyAlignment="1" applyProtection="1">
      <alignment horizontal="center"/>
    </xf>
    <xf numFmtId="0" fontId="2" fillId="5" borderId="8" xfId="0" applyFont="1" applyFill="1" applyBorder="1" applyAlignment="1" applyProtection="1">
      <alignment horizontal="center"/>
    </xf>
    <xf numFmtId="166" fontId="28" fillId="8" borderId="9" xfId="1" applyNumberFormat="1" applyFont="1" applyFill="1" applyBorder="1" applyAlignment="1" applyProtection="1">
      <alignment horizontal="center"/>
    </xf>
    <xf numFmtId="169" fontId="2" fillId="5" borderId="3" xfId="0" applyNumberFormat="1" applyFont="1" applyFill="1" applyBorder="1" applyAlignment="1" applyProtection="1">
      <alignment horizontal="center"/>
    </xf>
    <xf numFmtId="169" fontId="2" fillId="5" borderId="1" xfId="0" applyNumberFormat="1" applyFont="1" applyFill="1" applyBorder="1" applyAlignment="1" applyProtection="1">
      <alignment horizontal="center"/>
    </xf>
    <xf numFmtId="0" fontId="3" fillId="3" borderId="1" xfId="0" applyFont="1" applyFill="1" applyBorder="1" applyAlignment="1" applyProtection="1">
      <alignment horizontal="center"/>
    </xf>
    <xf numFmtId="0" fontId="8" fillId="5" borderId="1" xfId="0" applyFont="1" applyFill="1" applyBorder="1" applyAlignment="1" applyProtection="1">
      <alignment horizontal="center"/>
    </xf>
    <xf numFmtId="166" fontId="3" fillId="3" borderId="6" xfId="1" applyNumberFormat="1" applyFont="1" applyFill="1" applyBorder="1" applyAlignment="1" applyProtection="1">
      <alignment horizontal="center"/>
    </xf>
    <xf numFmtId="166" fontId="3" fillId="8" borderId="28" xfId="1" applyNumberFormat="1" applyFont="1" applyFill="1" applyBorder="1" applyAlignment="1" applyProtection="1">
      <alignment horizontal="center"/>
    </xf>
    <xf numFmtId="166" fontId="5" fillId="5" borderId="4" xfId="1" applyNumberFormat="1" applyFont="1" applyFill="1" applyBorder="1" applyAlignment="1" applyProtection="1">
      <alignment horizontal="center"/>
    </xf>
    <xf numFmtId="166" fontId="5" fillId="5" borderId="6" xfId="1" applyNumberFormat="1" applyFont="1" applyFill="1" applyBorder="1" applyAlignment="1" applyProtection="1">
      <alignment horizontal="center"/>
    </xf>
    <xf numFmtId="166" fontId="5" fillId="5" borderId="9" xfId="1" applyNumberFormat="1" applyFont="1" applyFill="1" applyBorder="1" applyAlignment="1" applyProtection="1">
      <alignment horizontal="center"/>
    </xf>
    <xf numFmtId="0" fontId="0" fillId="0" borderId="0" xfId="0" applyProtection="1"/>
    <xf numFmtId="5" fontId="12" fillId="26" borderId="0" xfId="0" applyNumberFormat="1" applyFont="1" applyFill="1" applyAlignment="1" applyProtection="1">
      <alignment horizontal="center"/>
    </xf>
    <xf numFmtId="0" fontId="0" fillId="0" borderId="0" xfId="0" applyProtection="1">
      <protection hidden="1"/>
    </xf>
    <xf numFmtId="0" fontId="15" fillId="3" borderId="0" xfId="0" applyFont="1" applyFill="1" applyAlignment="1" applyProtection="1">
      <alignment horizontal="center"/>
      <protection hidden="1"/>
    </xf>
    <xf numFmtId="0" fontId="3" fillId="3" borderId="0" xfId="0" applyFont="1" applyFill="1" applyProtection="1">
      <protection hidden="1"/>
    </xf>
    <xf numFmtId="0" fontId="4" fillId="3" borderId="0" xfId="0" applyFont="1" applyFill="1" applyAlignment="1" applyProtection="1">
      <alignment horizontal="center"/>
      <protection hidden="1"/>
    </xf>
    <xf numFmtId="0" fontId="16" fillId="15" borderId="0" xfId="0" applyFont="1" applyFill="1" applyAlignment="1" applyProtection="1">
      <alignment horizontal="center" vertical="center" wrapText="1"/>
      <protection hidden="1"/>
    </xf>
    <xf numFmtId="0" fontId="17" fillId="15" borderId="0" xfId="0" applyFont="1" applyFill="1" applyAlignment="1" applyProtection="1">
      <alignment horizontal="center" vertical="center" wrapText="1"/>
      <protection hidden="1"/>
    </xf>
    <xf numFmtId="0" fontId="2" fillId="0" borderId="0" xfId="0" applyFont="1" applyAlignment="1" applyProtection="1">
      <alignment horizontal="center" vertical="center" wrapText="1"/>
      <protection hidden="1"/>
    </xf>
    <xf numFmtId="0" fontId="10" fillId="16" borderId="48" xfId="0" applyFont="1" applyFill="1" applyBorder="1" applyAlignment="1" applyProtection="1">
      <alignment horizontal="center"/>
      <protection hidden="1"/>
    </xf>
    <xf numFmtId="168" fontId="10" fillId="2" borderId="2" xfId="1" applyNumberFormat="1" applyFont="1" applyFill="1" applyBorder="1" applyAlignment="1" applyProtection="1">
      <alignment horizontal="center"/>
      <protection hidden="1"/>
    </xf>
    <xf numFmtId="168" fontId="10" fillId="9" borderId="3" xfId="1" applyNumberFormat="1" applyFont="1" applyFill="1" applyBorder="1" applyAlignment="1" applyProtection="1">
      <alignment horizontal="center"/>
      <protection hidden="1"/>
    </xf>
    <xf numFmtId="168" fontId="18" fillId="17" borderId="3" xfId="1" applyNumberFormat="1" applyFont="1" applyFill="1" applyBorder="1" applyAlignment="1" applyProtection="1">
      <alignment horizontal="center"/>
      <protection hidden="1"/>
    </xf>
    <xf numFmtId="168" fontId="10" fillId="16" borderId="4" xfId="1" applyNumberFormat="1" applyFont="1" applyFill="1" applyBorder="1" applyAlignment="1" applyProtection="1">
      <alignment horizontal="center"/>
      <protection hidden="1"/>
    </xf>
    <xf numFmtId="0" fontId="2" fillId="0" borderId="0" xfId="0" applyFont="1" applyProtection="1">
      <protection hidden="1"/>
    </xf>
    <xf numFmtId="0" fontId="2" fillId="2" borderId="0" xfId="0" applyFont="1" applyFill="1" applyProtection="1">
      <protection hidden="1"/>
    </xf>
    <xf numFmtId="0" fontId="10" fillId="16" borderId="52" xfId="0" applyFont="1" applyFill="1" applyBorder="1" applyAlignment="1" applyProtection="1">
      <alignment horizontal="center"/>
      <protection hidden="1"/>
    </xf>
    <xf numFmtId="168" fontId="10" fillId="2" borderId="5" xfId="1" applyNumberFormat="1" applyFont="1" applyFill="1" applyBorder="1" applyAlignment="1" applyProtection="1">
      <alignment horizontal="center"/>
      <protection hidden="1"/>
    </xf>
    <xf numFmtId="168" fontId="10" fillId="9" borderId="1" xfId="1" applyNumberFormat="1" applyFont="1" applyFill="1" applyBorder="1" applyAlignment="1" applyProtection="1">
      <alignment horizontal="center"/>
      <protection hidden="1"/>
    </xf>
    <xf numFmtId="168" fontId="18" fillId="17" borderId="1" xfId="1" applyNumberFormat="1" applyFont="1" applyFill="1" applyBorder="1" applyAlignment="1" applyProtection="1">
      <alignment horizontal="center"/>
      <protection hidden="1"/>
    </xf>
    <xf numFmtId="168" fontId="10" fillId="16" borderId="6" xfId="1" applyNumberFormat="1" applyFont="1" applyFill="1" applyBorder="1" applyAlignment="1" applyProtection="1">
      <alignment horizontal="center"/>
      <protection hidden="1"/>
    </xf>
    <xf numFmtId="0" fontId="2" fillId="9" borderId="0" xfId="0" applyFont="1" applyFill="1" applyProtection="1">
      <protection hidden="1"/>
    </xf>
    <xf numFmtId="0" fontId="2" fillId="17" borderId="0" xfId="0" applyFont="1" applyFill="1" applyProtection="1">
      <protection hidden="1"/>
    </xf>
    <xf numFmtId="0" fontId="10" fillId="16" borderId="55" xfId="0" applyFont="1" applyFill="1" applyBorder="1" applyAlignment="1" applyProtection="1">
      <alignment horizontal="center"/>
      <protection hidden="1"/>
    </xf>
    <xf numFmtId="0" fontId="2" fillId="10" borderId="0" xfId="0" applyFont="1" applyFill="1" applyProtection="1">
      <protection hidden="1"/>
    </xf>
    <xf numFmtId="0" fontId="0" fillId="2" borderId="0" xfId="0" applyFill="1" applyProtection="1">
      <protection hidden="1"/>
    </xf>
    <xf numFmtId="0" fontId="10" fillId="16" borderId="56" xfId="0" applyFont="1" applyFill="1" applyBorder="1" applyAlignment="1" applyProtection="1">
      <alignment horizontal="center"/>
      <protection hidden="1"/>
    </xf>
    <xf numFmtId="168" fontId="10" fillId="2" borderId="7" xfId="1" applyNumberFormat="1" applyFont="1" applyFill="1" applyBorder="1" applyAlignment="1" applyProtection="1">
      <alignment horizontal="center"/>
      <protection hidden="1"/>
    </xf>
    <xf numFmtId="168" fontId="10" fillId="9" borderId="8" xfId="1" applyNumberFormat="1" applyFont="1" applyFill="1" applyBorder="1" applyAlignment="1" applyProtection="1">
      <alignment horizontal="center"/>
      <protection hidden="1"/>
    </xf>
    <xf numFmtId="168" fontId="18" fillId="17" borderId="8" xfId="1" applyNumberFormat="1" applyFont="1" applyFill="1" applyBorder="1" applyAlignment="1" applyProtection="1">
      <alignment horizontal="center"/>
      <protection hidden="1"/>
    </xf>
    <xf numFmtId="168" fontId="10" fillId="16" borderId="9" xfId="1" applyNumberFormat="1" applyFont="1" applyFill="1" applyBorder="1" applyAlignment="1" applyProtection="1">
      <alignment horizontal="center"/>
      <protection hidden="1"/>
    </xf>
    <xf numFmtId="0" fontId="10" fillId="0" borderId="0" xfId="0" applyFont="1" applyFill="1" applyBorder="1" applyProtection="1">
      <protection hidden="1"/>
    </xf>
    <xf numFmtId="44" fontId="2" fillId="0" borderId="0" xfId="1" applyFont="1" applyFill="1" applyBorder="1" applyAlignment="1" applyProtection="1">
      <alignment horizontal="center"/>
      <protection hidden="1"/>
    </xf>
    <xf numFmtId="0" fontId="15" fillId="8" borderId="0" xfId="0" applyFont="1" applyFill="1" applyAlignment="1" applyProtection="1">
      <alignment horizontal="center"/>
      <protection hidden="1"/>
    </xf>
    <xf numFmtId="0" fontId="3" fillId="8" borderId="0" xfId="0" applyFont="1" applyFill="1" applyProtection="1">
      <protection hidden="1"/>
    </xf>
    <xf numFmtId="0" fontId="4" fillId="8" borderId="0" xfId="0" applyFont="1" applyFill="1" applyAlignment="1" applyProtection="1">
      <alignment horizontal="center"/>
      <protection hidden="1"/>
    </xf>
    <xf numFmtId="44" fontId="10" fillId="10" borderId="2" xfId="1" applyFont="1" applyFill="1" applyBorder="1" applyAlignment="1" applyProtection="1">
      <alignment horizontal="center"/>
      <protection hidden="1"/>
    </xf>
    <xf numFmtId="44" fontId="10" fillId="16" borderId="4" xfId="1" applyFont="1" applyFill="1" applyBorder="1" applyAlignment="1" applyProtection="1">
      <alignment horizontal="center"/>
      <protection hidden="1"/>
    </xf>
    <xf numFmtId="44" fontId="10" fillId="10" borderId="5" xfId="1" applyFont="1" applyFill="1" applyBorder="1" applyAlignment="1" applyProtection="1">
      <alignment horizontal="center"/>
      <protection hidden="1"/>
    </xf>
    <xf numFmtId="44" fontId="10" fillId="16" borderId="6" xfId="1" applyFont="1" applyFill="1" applyBorder="1" applyAlignment="1" applyProtection="1">
      <alignment horizontal="center"/>
      <protection hidden="1"/>
    </xf>
    <xf numFmtId="0" fontId="0" fillId="0" borderId="0" xfId="0" applyFill="1" applyProtection="1">
      <protection hidden="1"/>
    </xf>
    <xf numFmtId="44" fontId="10" fillId="10" borderId="7" xfId="1" applyFont="1" applyFill="1" applyBorder="1" applyAlignment="1" applyProtection="1">
      <alignment horizontal="center"/>
      <protection hidden="1"/>
    </xf>
    <xf numFmtId="44" fontId="10" fillId="16" borderId="9" xfId="1" applyFont="1" applyFill="1" applyBorder="1" applyAlignment="1" applyProtection="1">
      <alignment horizontal="center"/>
      <protection hidden="1"/>
    </xf>
    <xf numFmtId="0" fontId="10" fillId="0" borderId="10" xfId="0" applyFont="1" applyFill="1" applyBorder="1" applyProtection="1">
      <protection hidden="1"/>
    </xf>
    <xf numFmtId="0" fontId="20" fillId="8" borderId="2" xfId="0" applyFont="1" applyFill="1" applyBorder="1" applyAlignment="1" applyProtection="1">
      <alignment horizontal="center" wrapText="1"/>
      <protection hidden="1"/>
    </xf>
    <xf numFmtId="0" fontId="21" fillId="8" borderId="3" xfId="0" applyFont="1" applyFill="1" applyBorder="1" applyAlignment="1" applyProtection="1">
      <alignment horizontal="center" vertical="center" wrapText="1"/>
      <protection hidden="1"/>
    </xf>
    <xf numFmtId="0" fontId="21" fillId="8" borderId="60" xfId="0" applyFont="1" applyFill="1" applyBorder="1" applyAlignment="1" applyProtection="1">
      <alignment horizontal="center" vertical="center" wrapText="1"/>
      <protection hidden="1"/>
    </xf>
    <xf numFmtId="0" fontId="20" fillId="8" borderId="61" xfId="0" applyFont="1" applyFill="1" applyBorder="1" applyAlignment="1" applyProtection="1">
      <alignment horizontal="center" vertical="center" wrapText="1"/>
      <protection hidden="1"/>
    </xf>
    <xf numFmtId="0" fontId="20" fillId="8" borderId="61" xfId="0" applyFont="1" applyFill="1" applyBorder="1" applyAlignment="1" applyProtection="1">
      <alignment horizontal="center" vertical="center"/>
      <protection hidden="1"/>
    </xf>
    <xf numFmtId="0" fontId="20" fillId="8" borderId="62" xfId="0" applyFont="1" applyFill="1" applyBorder="1" applyAlignment="1" applyProtection="1">
      <alignment horizontal="center" vertical="center"/>
      <protection hidden="1"/>
    </xf>
    <xf numFmtId="0" fontId="0" fillId="12" borderId="0" xfId="0" applyFill="1" applyProtection="1">
      <protection hidden="1"/>
    </xf>
    <xf numFmtId="0" fontId="22" fillId="8" borderId="5" xfId="0" applyFont="1" applyFill="1" applyBorder="1" applyAlignment="1" applyProtection="1">
      <alignment horizontal="center"/>
      <protection hidden="1"/>
    </xf>
    <xf numFmtId="0" fontId="17" fillId="8" borderId="1" xfId="0" applyFont="1" applyFill="1" applyBorder="1" applyAlignment="1" applyProtection="1">
      <alignment horizontal="center" vertical="center" wrapText="1"/>
      <protection hidden="1"/>
    </xf>
    <xf numFmtId="165" fontId="21" fillId="8" borderId="1" xfId="2" applyNumberFormat="1" applyFont="1" applyFill="1" applyBorder="1" applyAlignment="1" applyProtection="1">
      <alignment horizontal="center" vertical="center" wrapText="1"/>
      <protection hidden="1"/>
    </xf>
    <xf numFmtId="165" fontId="21" fillId="8" borderId="63" xfId="2" applyNumberFormat="1" applyFont="1" applyFill="1" applyBorder="1" applyAlignment="1" applyProtection="1">
      <alignment horizontal="center" vertical="center" wrapText="1"/>
      <protection hidden="1"/>
    </xf>
    <xf numFmtId="0" fontId="16" fillId="8" borderId="64" xfId="0" applyFont="1" applyFill="1" applyBorder="1" applyAlignment="1" applyProtection="1">
      <alignment horizontal="center" vertical="center" wrapText="1"/>
      <protection hidden="1"/>
    </xf>
    <xf numFmtId="0" fontId="16" fillId="8" borderId="65" xfId="0" applyFont="1" applyFill="1" applyBorder="1" applyAlignment="1" applyProtection="1">
      <alignment horizontal="center" vertical="center" wrapText="1"/>
      <protection hidden="1"/>
    </xf>
    <xf numFmtId="0" fontId="10" fillId="18" borderId="5" xfId="0" applyFont="1" applyFill="1" applyBorder="1" applyAlignment="1" applyProtection="1">
      <alignment horizontal="center"/>
      <protection hidden="1"/>
    </xf>
    <xf numFmtId="9" fontId="2" fillId="19" borderId="1" xfId="2" applyFont="1" applyFill="1" applyBorder="1" applyAlignment="1" applyProtection="1">
      <alignment horizontal="center"/>
      <protection hidden="1"/>
    </xf>
    <xf numFmtId="0" fontId="2" fillId="19" borderId="1" xfId="1" applyNumberFormat="1" applyFont="1" applyFill="1" applyBorder="1" applyAlignment="1" applyProtection="1">
      <alignment horizontal="center"/>
      <protection hidden="1"/>
    </xf>
    <xf numFmtId="44" fontId="5" fillId="18" borderId="1" xfId="1" applyFont="1" applyFill="1" applyBorder="1" applyAlignment="1" applyProtection="1">
      <alignment horizontal="center"/>
      <protection hidden="1"/>
    </xf>
    <xf numFmtId="168" fontId="23" fillId="20" borderId="5" xfId="1" applyNumberFormat="1" applyFont="1" applyFill="1" applyBorder="1" applyAlignment="1" applyProtection="1">
      <alignment horizontal="center"/>
      <protection hidden="1"/>
    </xf>
    <xf numFmtId="168" fontId="5" fillId="11" borderId="1" xfId="1" applyNumberFormat="1" applyFont="1" applyFill="1" applyBorder="1" applyAlignment="1" applyProtection="1">
      <alignment horizontal="center"/>
      <protection hidden="1"/>
    </xf>
    <xf numFmtId="168" fontId="5" fillId="21" borderId="6" xfId="1" applyNumberFormat="1" applyFont="1" applyFill="1" applyBorder="1" applyAlignment="1" applyProtection="1">
      <alignment horizontal="center"/>
      <protection hidden="1"/>
    </xf>
    <xf numFmtId="0" fontId="0" fillId="20" borderId="0" xfId="0" applyFill="1" applyProtection="1">
      <protection hidden="1"/>
    </xf>
    <xf numFmtId="0" fontId="0" fillId="11" borderId="0" xfId="0" applyFill="1" applyProtection="1">
      <protection hidden="1"/>
    </xf>
    <xf numFmtId="0" fontId="0" fillId="21" borderId="0" xfId="0" applyFill="1" applyProtection="1">
      <protection hidden="1"/>
    </xf>
    <xf numFmtId="0" fontId="0" fillId="22" borderId="0" xfId="0" applyFill="1" applyProtection="1">
      <protection hidden="1"/>
    </xf>
    <xf numFmtId="0" fontId="3" fillId="8" borderId="7" xfId="0" applyFont="1" applyFill="1" applyBorder="1" applyAlignment="1" applyProtection="1">
      <alignment horizontal="center"/>
      <protection hidden="1"/>
    </xf>
    <xf numFmtId="9" fontId="3" fillId="8" borderId="8" xfId="2" applyFont="1" applyFill="1" applyBorder="1" applyAlignment="1" applyProtection="1">
      <alignment horizontal="center"/>
      <protection hidden="1"/>
    </xf>
    <xf numFmtId="0" fontId="3" fillId="8" borderId="8" xfId="1" applyNumberFormat="1" applyFont="1" applyFill="1" applyBorder="1" applyAlignment="1" applyProtection="1">
      <alignment horizontal="center"/>
      <protection hidden="1"/>
    </xf>
    <xf numFmtId="44" fontId="24" fillId="8" borderId="8" xfId="1" applyFont="1" applyFill="1" applyBorder="1" applyAlignment="1" applyProtection="1">
      <alignment horizontal="center"/>
      <protection hidden="1"/>
    </xf>
    <xf numFmtId="168" fontId="6" fillId="8" borderId="7" xfId="1" applyNumberFormat="1" applyFont="1" applyFill="1" applyBorder="1" applyAlignment="1" applyProtection="1">
      <alignment horizontal="center"/>
      <protection hidden="1"/>
    </xf>
    <xf numFmtId="0" fontId="0" fillId="11" borderId="10" xfId="0" applyFill="1" applyBorder="1" applyProtection="1">
      <protection hidden="1"/>
    </xf>
    <xf numFmtId="168" fontId="26" fillId="22" borderId="10" xfId="1" applyNumberFormat="1" applyFont="1" applyFill="1" applyBorder="1" applyAlignment="1" applyProtection="1">
      <alignment horizontal="center"/>
      <protection hidden="1"/>
    </xf>
    <xf numFmtId="0" fontId="0" fillId="5" borderId="0" xfId="0" applyFill="1" applyBorder="1" applyProtection="1">
      <protection hidden="1"/>
    </xf>
    <xf numFmtId="168" fontId="26" fillId="5" borderId="0" xfId="1" applyNumberFormat="1" applyFont="1" applyFill="1" applyBorder="1" applyAlignment="1" applyProtection="1">
      <alignment horizontal="center"/>
      <protection hidden="1"/>
    </xf>
    <xf numFmtId="168" fontId="5" fillId="20" borderId="5" xfId="1" applyNumberFormat="1" applyFont="1" applyFill="1" applyBorder="1" applyAlignment="1" applyProtection="1">
      <alignment horizontal="center"/>
      <protection hidden="1"/>
    </xf>
    <xf numFmtId="0" fontId="4" fillId="3" borderId="0" xfId="0" applyFont="1" applyFill="1" applyAlignment="1" applyProtection="1">
      <alignment horizontal="center" vertical="center"/>
      <protection locked="0"/>
    </xf>
    <xf numFmtId="0" fontId="7" fillId="3" borderId="0" xfId="0" applyFont="1" applyFill="1" applyAlignment="1" applyProtection="1">
      <alignment horizontal="center" vertical="center" textRotation="180"/>
      <protection locked="0"/>
    </xf>
    <xf numFmtId="0" fontId="7" fillId="3" borderId="0" xfId="0" applyFont="1" applyFill="1" applyAlignment="1" applyProtection="1">
      <alignment horizontal="center" vertical="center"/>
      <protection locked="0"/>
    </xf>
    <xf numFmtId="0" fontId="25" fillId="4" borderId="2" xfId="0" applyFont="1" applyFill="1" applyBorder="1" applyAlignment="1" applyProtection="1">
      <alignment horizontal="center"/>
      <protection locked="0"/>
    </xf>
    <xf numFmtId="9" fontId="10" fillId="0" borderId="3" xfId="2" applyFont="1" applyBorder="1" applyAlignment="1" applyProtection="1">
      <alignment horizontal="center"/>
      <protection locked="0"/>
    </xf>
    <xf numFmtId="9" fontId="10" fillId="0" borderId="4" xfId="2" applyFont="1" applyBorder="1" applyAlignment="1" applyProtection="1">
      <alignment horizontal="center"/>
      <protection locked="0"/>
    </xf>
    <xf numFmtId="0" fontId="5" fillId="7" borderId="2" xfId="0" applyFont="1" applyFill="1" applyBorder="1" applyAlignment="1" applyProtection="1">
      <alignment horizontal="center"/>
      <protection locked="0"/>
    </xf>
    <xf numFmtId="0" fontId="25" fillId="4" borderId="5" xfId="0" applyFont="1" applyFill="1" applyBorder="1" applyAlignment="1" applyProtection="1">
      <alignment horizontal="center"/>
      <protection locked="0"/>
    </xf>
    <xf numFmtId="9" fontId="10" fillId="0" borderId="1" xfId="2" applyFont="1" applyBorder="1" applyAlignment="1" applyProtection="1">
      <alignment horizontal="center"/>
      <protection locked="0"/>
    </xf>
    <xf numFmtId="9" fontId="10" fillId="0" borderId="6" xfId="2" applyFont="1" applyBorder="1" applyAlignment="1" applyProtection="1">
      <alignment horizontal="center"/>
      <protection locked="0"/>
    </xf>
    <xf numFmtId="0" fontId="5" fillId="7" borderId="5" xfId="0" applyFont="1" applyFill="1" applyBorder="1" applyAlignment="1" applyProtection="1">
      <alignment horizontal="center"/>
      <protection locked="0"/>
    </xf>
    <xf numFmtId="0" fontId="25" fillId="4" borderId="7" xfId="0" applyFont="1" applyFill="1" applyBorder="1" applyAlignment="1" applyProtection="1">
      <alignment horizontal="center"/>
      <protection locked="0"/>
    </xf>
    <xf numFmtId="0" fontId="5" fillId="7" borderId="7" xfId="0" applyFont="1" applyFill="1" applyBorder="1" applyAlignment="1" applyProtection="1">
      <alignment horizontal="center"/>
      <protection locked="0"/>
    </xf>
    <xf numFmtId="0" fontId="0" fillId="4" borderId="77" xfId="0" applyFill="1" applyBorder="1" applyProtection="1">
      <protection locked="0"/>
    </xf>
    <xf numFmtId="165" fontId="10" fillId="4" borderId="8" xfId="2" applyNumberFormat="1" applyFont="1" applyFill="1" applyBorder="1" applyAlignment="1" applyProtection="1">
      <alignment horizontal="center"/>
      <protection hidden="1"/>
    </xf>
    <xf numFmtId="165" fontId="10" fillId="4" borderId="9" xfId="2" applyNumberFormat="1" applyFont="1" applyFill="1" applyBorder="1" applyAlignment="1" applyProtection="1">
      <alignment horizontal="center"/>
      <protection hidden="1"/>
    </xf>
    <xf numFmtId="166" fontId="5" fillId="7" borderId="3" xfId="0" applyNumberFormat="1" applyFont="1" applyFill="1" applyBorder="1" applyAlignment="1" applyProtection="1">
      <alignment horizontal="center"/>
      <protection hidden="1"/>
    </xf>
    <xf numFmtId="166" fontId="5" fillId="7" borderId="4" xfId="0" applyNumberFormat="1" applyFont="1" applyFill="1" applyBorder="1" applyAlignment="1" applyProtection="1">
      <alignment horizontal="center"/>
      <protection hidden="1"/>
    </xf>
    <xf numFmtId="166" fontId="5" fillId="7" borderId="1" xfId="0" applyNumberFormat="1" applyFont="1" applyFill="1" applyBorder="1" applyAlignment="1" applyProtection="1">
      <alignment horizontal="center"/>
      <protection hidden="1"/>
    </xf>
    <xf numFmtId="166" fontId="5" fillId="7" borderId="6" xfId="0" applyNumberFormat="1" applyFont="1" applyFill="1" applyBorder="1" applyAlignment="1" applyProtection="1">
      <alignment horizontal="center"/>
      <protection hidden="1"/>
    </xf>
    <xf numFmtId="166" fontId="5" fillId="7" borderId="8" xfId="0" applyNumberFormat="1" applyFont="1" applyFill="1" applyBorder="1" applyAlignment="1" applyProtection="1">
      <alignment horizontal="center"/>
      <protection hidden="1"/>
    </xf>
    <xf numFmtId="166" fontId="5" fillId="7" borderId="9" xfId="0" applyNumberFormat="1" applyFont="1" applyFill="1" applyBorder="1" applyAlignment="1" applyProtection="1">
      <alignment horizontal="center"/>
      <protection hidden="1"/>
    </xf>
    <xf numFmtId="166" fontId="2" fillId="4" borderId="75" xfId="0" applyNumberFormat="1" applyFont="1" applyFill="1" applyBorder="1" applyAlignment="1" applyProtection="1">
      <alignment horizontal="center"/>
      <protection hidden="1"/>
    </xf>
    <xf numFmtId="166" fontId="2" fillId="4" borderId="78" xfId="0" applyNumberFormat="1" applyFont="1" applyFill="1" applyBorder="1" applyAlignment="1" applyProtection="1">
      <alignment horizontal="center"/>
      <protection hidden="1"/>
    </xf>
    <xf numFmtId="0" fontId="5" fillId="0" borderId="0" xfId="0" applyFont="1" applyProtection="1">
      <protection locked="0"/>
    </xf>
    <xf numFmtId="0" fontId="24" fillId="32" borderId="179" xfId="0" applyFont="1" applyFill="1" applyBorder="1" applyAlignment="1" applyProtection="1">
      <alignment vertical="center"/>
      <protection locked="0"/>
    </xf>
    <xf numFmtId="0" fontId="24" fillId="32" borderId="171" xfId="0" applyFont="1" applyFill="1" applyBorder="1" applyAlignment="1" applyProtection="1">
      <alignment vertical="center"/>
      <protection locked="0"/>
    </xf>
    <xf numFmtId="0" fontId="38" fillId="32" borderId="171" xfId="0" applyFont="1" applyFill="1" applyBorder="1" applyAlignment="1" applyProtection="1">
      <alignment vertical="center"/>
      <protection locked="0"/>
    </xf>
    <xf numFmtId="49" fontId="23" fillId="0" borderId="173" xfId="0" applyNumberFormat="1" applyFont="1" applyFill="1" applyBorder="1" applyAlignment="1" applyProtection="1">
      <alignment horizontal="center"/>
      <protection locked="0"/>
    </xf>
    <xf numFmtId="49" fontId="23" fillId="0" borderId="174" xfId="0" applyNumberFormat="1" applyFont="1" applyFill="1" applyBorder="1" applyAlignment="1" applyProtection="1">
      <alignment horizontal="center"/>
      <protection locked="0"/>
    </xf>
    <xf numFmtId="49" fontId="23" fillId="0" borderId="175" xfId="0" applyNumberFormat="1" applyFont="1" applyFill="1" applyBorder="1" applyAlignment="1" applyProtection="1">
      <alignment horizontal="center"/>
      <protection locked="0"/>
    </xf>
    <xf numFmtId="0" fontId="24" fillId="32" borderId="172" xfId="0" applyFont="1" applyFill="1" applyBorder="1" applyAlignment="1" applyProtection="1">
      <alignment vertical="center"/>
      <protection locked="0"/>
    </xf>
    <xf numFmtId="0" fontId="5" fillId="31" borderId="0" xfId="0" applyFont="1" applyFill="1" applyProtection="1">
      <protection locked="0"/>
    </xf>
    <xf numFmtId="0" fontId="5" fillId="33" borderId="0" xfId="0" applyFont="1" applyFill="1" applyProtection="1">
      <protection locked="0"/>
    </xf>
    <xf numFmtId="0" fontId="86" fillId="32" borderId="186" xfId="0" applyFont="1" applyFill="1" applyBorder="1" applyAlignment="1" applyProtection="1">
      <alignment horizontal="center" vertical="center" wrapText="1"/>
      <protection locked="0"/>
    </xf>
    <xf numFmtId="0" fontId="87" fillId="32" borderId="186" xfId="0" applyFont="1" applyFill="1" applyBorder="1" applyAlignment="1" applyProtection="1">
      <alignment horizontal="center" vertical="center" wrapText="1"/>
      <protection locked="0"/>
    </xf>
    <xf numFmtId="168" fontId="0" fillId="0" borderId="0" xfId="0" applyNumberFormat="1" applyProtection="1">
      <protection locked="0"/>
    </xf>
    <xf numFmtId="0" fontId="26" fillId="34" borderId="184" xfId="0" applyFont="1" applyFill="1" applyBorder="1" applyProtection="1">
      <protection locked="0"/>
    </xf>
    <xf numFmtId="0" fontId="26" fillId="34" borderId="192" xfId="0" applyFont="1" applyFill="1" applyBorder="1" applyProtection="1">
      <protection locked="0"/>
    </xf>
    <xf numFmtId="0" fontId="5" fillId="32" borderId="186" xfId="0" applyFont="1" applyFill="1" applyBorder="1" applyProtection="1">
      <protection locked="0"/>
    </xf>
    <xf numFmtId="0" fontId="5" fillId="32" borderId="0" xfId="0" applyFont="1" applyFill="1" applyBorder="1" applyProtection="1">
      <protection locked="0"/>
    </xf>
    <xf numFmtId="0" fontId="5" fillId="32" borderId="202" xfId="0" applyFont="1" applyFill="1" applyBorder="1" applyProtection="1">
      <protection locked="0"/>
    </xf>
    <xf numFmtId="0" fontId="24" fillId="32" borderId="185" xfId="0" applyFont="1" applyFill="1" applyBorder="1" applyProtection="1">
      <protection locked="0"/>
    </xf>
    <xf numFmtId="0" fontId="24" fillId="32" borderId="186" xfId="0" applyFont="1" applyFill="1" applyBorder="1" applyProtection="1">
      <protection locked="0"/>
    </xf>
    <xf numFmtId="0" fontId="24" fillId="32" borderId="187" xfId="0" applyFont="1" applyFill="1" applyBorder="1" applyProtection="1">
      <protection locked="0"/>
    </xf>
    <xf numFmtId="0" fontId="5" fillId="32" borderId="0" xfId="0" applyFont="1" applyFill="1" applyProtection="1">
      <protection locked="0"/>
    </xf>
    <xf numFmtId="0" fontId="96" fillId="0" borderId="0" xfId="0" applyFont="1" applyProtection="1">
      <protection locked="0"/>
    </xf>
    <xf numFmtId="0" fontId="97" fillId="0" borderId="0" xfId="0" applyFont="1" applyAlignment="1" applyProtection="1">
      <alignment vertical="center"/>
      <protection locked="0"/>
    </xf>
    <xf numFmtId="0" fontId="94" fillId="0" borderId="0" xfId="0" applyFont="1" applyProtection="1">
      <protection locked="0"/>
    </xf>
    <xf numFmtId="166" fontId="25" fillId="0" borderId="183" xfId="1" applyNumberFormat="1" applyFont="1" applyFill="1" applyBorder="1" applyAlignment="1" applyProtection="1">
      <alignment horizontal="center"/>
      <protection hidden="1"/>
    </xf>
    <xf numFmtId="166" fontId="25" fillId="0" borderId="183" xfId="0" applyNumberFormat="1" applyFont="1" applyFill="1" applyBorder="1" applyAlignment="1" applyProtection="1">
      <alignment horizontal="center"/>
      <protection hidden="1"/>
    </xf>
    <xf numFmtId="166" fontId="26" fillId="0" borderId="183" xfId="0" applyNumberFormat="1" applyFont="1" applyFill="1" applyBorder="1" applyAlignment="1" applyProtection="1">
      <alignment horizontal="center"/>
      <protection hidden="1"/>
    </xf>
    <xf numFmtId="5" fontId="26" fillId="0" borderId="183" xfId="0" applyNumberFormat="1" applyFont="1" applyFill="1" applyBorder="1" applyAlignment="1" applyProtection="1">
      <alignment horizontal="center"/>
      <protection hidden="1"/>
    </xf>
    <xf numFmtId="166" fontId="26" fillId="34" borderId="184" xfId="0" applyNumberFormat="1" applyFont="1" applyFill="1" applyBorder="1" applyAlignment="1" applyProtection="1">
      <alignment horizontal="center"/>
      <protection hidden="1"/>
    </xf>
    <xf numFmtId="166" fontId="26" fillId="34" borderId="192" xfId="0" applyNumberFormat="1" applyFont="1" applyFill="1" applyBorder="1" applyAlignment="1" applyProtection="1">
      <alignment horizontal="center"/>
      <protection hidden="1"/>
    </xf>
    <xf numFmtId="5" fontId="26" fillId="34" borderId="183" xfId="0" applyNumberFormat="1" applyFont="1" applyFill="1" applyBorder="1" applyAlignment="1" applyProtection="1">
      <alignment horizontal="center"/>
      <protection hidden="1"/>
    </xf>
    <xf numFmtId="166" fontId="26" fillId="34" borderId="183" xfId="0" applyNumberFormat="1" applyFont="1" applyFill="1" applyBorder="1" applyAlignment="1" applyProtection="1">
      <alignment horizontal="center"/>
      <protection hidden="1"/>
    </xf>
    <xf numFmtId="5" fontId="26" fillId="34" borderId="192" xfId="0" applyNumberFormat="1" applyFont="1" applyFill="1" applyBorder="1" applyAlignment="1" applyProtection="1">
      <alignment horizontal="center"/>
      <protection hidden="1"/>
    </xf>
    <xf numFmtId="0" fontId="37" fillId="6" borderId="0" xfId="0" applyFont="1" applyFill="1" applyAlignment="1" applyProtection="1">
      <alignment horizontal="center" vertical="center"/>
    </xf>
    <xf numFmtId="0" fontId="28" fillId="4" borderId="0" xfId="0" applyFont="1" applyFill="1" applyAlignment="1" applyProtection="1">
      <alignment horizontal="center"/>
    </xf>
    <xf numFmtId="0" fontId="2" fillId="4" borderId="0" xfId="0" applyFont="1" applyFill="1" applyProtection="1"/>
    <xf numFmtId="0" fontId="0" fillId="4" borderId="0" xfId="0" applyFill="1" applyProtection="1"/>
    <xf numFmtId="0" fontId="3" fillId="6" borderId="0" xfId="0" applyFont="1" applyFill="1" applyAlignment="1" applyProtection="1">
      <alignment horizontal="center" vertical="center" wrapText="1"/>
    </xf>
    <xf numFmtId="0" fontId="24" fillId="6" borderId="0" xfId="0" applyFont="1" applyFill="1" applyAlignment="1" applyProtection="1">
      <alignment horizontal="center" vertical="center" textRotation="180" wrapText="1"/>
    </xf>
    <xf numFmtId="0" fontId="24" fillId="3" borderId="0" xfId="0" applyFont="1" applyFill="1" applyAlignment="1" applyProtection="1">
      <alignment horizontal="center" vertical="center" textRotation="180" wrapText="1"/>
    </xf>
    <xf numFmtId="0" fontId="28" fillId="6" borderId="0" xfId="0" applyFont="1" applyFill="1" applyAlignment="1" applyProtection="1">
      <alignment horizontal="center" vertical="center" textRotation="180" wrapText="1"/>
    </xf>
    <xf numFmtId="0" fontId="14" fillId="4" borderId="0" xfId="0" applyFont="1" applyFill="1" applyAlignment="1" applyProtection="1">
      <alignment horizontal="center" vertical="center"/>
    </xf>
    <xf numFmtId="0" fontId="28" fillId="0" borderId="0" xfId="0" applyFont="1" applyFill="1" applyAlignment="1" applyProtection="1">
      <alignment horizontal="center" vertical="center" textRotation="180" wrapText="1"/>
    </xf>
    <xf numFmtId="0" fontId="10" fillId="0" borderId="97" xfId="0" applyFont="1" applyBorder="1" applyAlignment="1" applyProtection="1">
      <alignment horizontal="center"/>
    </xf>
    <xf numFmtId="0" fontId="5" fillId="0" borderId="0" xfId="0" applyFont="1" applyFill="1" applyAlignment="1" applyProtection="1">
      <alignment horizontal="center"/>
    </xf>
    <xf numFmtId="0" fontId="10" fillId="0" borderId="98" xfId="0" applyFont="1" applyBorder="1" applyAlignment="1" applyProtection="1">
      <alignment horizontal="center"/>
    </xf>
    <xf numFmtId="170" fontId="5" fillId="0" borderId="0" xfId="0" applyNumberFormat="1" applyFont="1" applyAlignment="1" applyProtection="1">
      <alignment horizontal="center"/>
    </xf>
    <xf numFmtId="170" fontId="5" fillId="0" borderId="1" xfId="0" applyNumberFormat="1" applyFont="1" applyBorder="1" applyAlignment="1" applyProtection="1">
      <alignment horizontal="center"/>
    </xf>
    <xf numFmtId="37" fontId="5" fillId="0" borderId="1" xfId="0" applyNumberFormat="1" applyFont="1" applyBorder="1" applyAlignment="1" applyProtection="1">
      <alignment horizontal="center"/>
    </xf>
    <xf numFmtId="0" fontId="0" fillId="0" borderId="0" xfId="0" applyAlignment="1" applyProtection="1">
      <alignment horizontal="center"/>
    </xf>
    <xf numFmtId="0" fontId="10" fillId="0" borderId="100" xfId="0" applyFont="1" applyBorder="1" applyAlignment="1" applyProtection="1">
      <alignment horizontal="center"/>
    </xf>
    <xf numFmtId="0" fontId="26" fillId="11" borderId="0" xfId="0" applyFont="1" applyFill="1" applyAlignment="1" applyProtection="1">
      <alignment horizontal="center" vertical="center" wrapText="1"/>
    </xf>
    <xf numFmtId="0" fontId="5" fillId="0" borderId="71" xfId="0" applyFont="1" applyBorder="1" applyAlignment="1" applyProtection="1">
      <alignment horizontal="center"/>
    </xf>
    <xf numFmtId="0" fontId="10" fillId="0" borderId="57" xfId="0" applyFont="1" applyBorder="1" applyAlignment="1" applyProtection="1">
      <alignment horizontal="center"/>
    </xf>
    <xf numFmtId="170" fontId="5" fillId="0" borderId="83" xfId="0" applyNumberFormat="1" applyFont="1" applyBorder="1" applyAlignment="1" applyProtection="1">
      <alignment horizontal="center"/>
    </xf>
    <xf numFmtId="0" fontId="26" fillId="0" borderId="0" xfId="0" applyFont="1" applyFill="1" applyAlignment="1" applyProtection="1">
      <alignment horizontal="center" vertical="center" wrapText="1"/>
    </xf>
    <xf numFmtId="0" fontId="35" fillId="11" borderId="99" xfId="0" applyFont="1" applyFill="1" applyBorder="1" applyAlignment="1" applyProtection="1">
      <alignment horizontal="center"/>
    </xf>
    <xf numFmtId="0" fontId="3" fillId="6" borderId="0" xfId="0" applyFont="1" applyFill="1" applyAlignment="1" applyProtection="1">
      <alignment horizontal="centerContinuous"/>
    </xf>
    <xf numFmtId="0" fontId="2" fillId="6" borderId="0" xfId="0" applyFont="1" applyFill="1" applyAlignment="1" applyProtection="1">
      <alignment horizontal="centerContinuous"/>
    </xf>
    <xf numFmtId="0" fontId="0" fillId="0" borderId="0" xfId="0" applyFill="1" applyProtection="1"/>
    <xf numFmtId="0" fontId="5" fillId="0" borderId="0" xfId="0" applyFont="1" applyAlignment="1" applyProtection="1">
      <alignment horizontal="center"/>
    </xf>
    <xf numFmtId="169" fontId="34" fillId="0" borderId="1" xfId="0" applyNumberFormat="1" applyFont="1" applyBorder="1" applyAlignment="1" applyProtection="1">
      <alignment horizontal="center" vertical="center" wrapText="1"/>
    </xf>
    <xf numFmtId="169" fontId="34" fillId="0" borderId="79" xfId="0" applyNumberFormat="1" applyFont="1" applyBorder="1" applyAlignment="1" applyProtection="1">
      <alignment horizontal="center" vertical="center" wrapText="1"/>
    </xf>
    <xf numFmtId="169" fontId="34" fillId="0" borderId="63" xfId="0" applyNumberFormat="1" applyFont="1" applyBorder="1" applyAlignment="1" applyProtection="1">
      <alignment horizontal="center" vertical="center" wrapText="1"/>
    </xf>
    <xf numFmtId="0" fontId="5" fillId="0" borderId="1" xfId="0" applyFont="1" applyFill="1" applyBorder="1" applyAlignment="1" applyProtection="1">
      <alignment horizontal="center"/>
      <protection locked="0"/>
    </xf>
    <xf numFmtId="0" fontId="5" fillId="0" borderId="1" xfId="0" applyFont="1" applyFill="1" applyBorder="1" applyAlignment="1" applyProtection="1">
      <alignment horizontal="center"/>
      <protection locked="0"/>
    </xf>
    <xf numFmtId="1" fontId="5" fillId="16" borderId="1" xfId="0" applyNumberFormat="1" applyFont="1" applyFill="1" applyBorder="1" applyAlignment="1" applyProtection="1">
      <alignment horizontal="center"/>
      <protection locked="0"/>
    </xf>
    <xf numFmtId="0" fontId="13" fillId="0" borderId="1" xfId="0" applyFont="1" applyFill="1" applyBorder="1" applyAlignment="1" applyProtection="1">
      <alignment horizontal="center" vertical="center" textRotation="180"/>
      <protection locked="0"/>
    </xf>
    <xf numFmtId="0" fontId="13" fillId="0" borderId="1" xfId="0" applyFont="1" applyFill="1" applyBorder="1" applyAlignment="1" applyProtection="1">
      <alignment horizontal="center" vertical="center"/>
      <protection locked="0"/>
    </xf>
    <xf numFmtId="0" fontId="13" fillId="0" borderId="1" xfId="0" applyFont="1" applyFill="1" applyBorder="1" applyAlignment="1" applyProtection="1">
      <alignment horizontal="center" vertical="center" textRotation="180" wrapText="1"/>
      <protection locked="0"/>
    </xf>
    <xf numFmtId="0" fontId="36" fillId="0" borderId="1" xfId="0" applyFont="1" applyFill="1" applyBorder="1" applyAlignment="1" applyProtection="1">
      <alignment horizontal="center" vertical="center" textRotation="180" wrapText="1"/>
      <protection locked="0"/>
    </xf>
    <xf numFmtId="0" fontId="26" fillId="0" borderId="1" xfId="0" applyFont="1" applyFill="1" applyBorder="1" applyAlignment="1" applyProtection="1">
      <alignment horizontal="center"/>
      <protection locked="0"/>
    </xf>
    <xf numFmtId="0" fontId="5" fillId="0" borderId="1" xfId="0" applyFont="1" applyFill="1" applyBorder="1" applyAlignment="1" applyProtection="1">
      <alignment horizontal="center"/>
      <protection locked="0"/>
    </xf>
    <xf numFmtId="0" fontId="5" fillId="0" borderId="1" xfId="0" applyFont="1" applyFill="1" applyBorder="1" applyAlignment="1" applyProtection="1">
      <alignment horizontal="center"/>
      <protection locked="0"/>
    </xf>
    <xf numFmtId="0" fontId="5" fillId="0" borderId="1" xfId="0" applyFont="1" applyFill="1" applyBorder="1" applyAlignment="1" applyProtection="1">
      <alignment horizontal="center"/>
      <protection locked="0"/>
    </xf>
    <xf numFmtId="0" fontId="13" fillId="4" borderId="90" xfId="0" applyFont="1" applyFill="1" applyBorder="1" applyAlignment="1" applyProtection="1">
      <alignment horizontal="center" vertical="center" textRotation="180" wrapText="1"/>
      <protection locked="0"/>
    </xf>
    <xf numFmtId="1" fontId="5" fillId="2" borderId="1" xfId="0" applyNumberFormat="1" applyFont="1" applyFill="1" applyBorder="1" applyAlignment="1" applyProtection="1">
      <alignment horizontal="center"/>
      <protection locked="0"/>
    </xf>
    <xf numFmtId="0" fontId="5" fillId="0" borderId="1" xfId="0" applyFont="1" applyFill="1" applyBorder="1" applyAlignment="1" applyProtection="1">
      <alignment horizontal="center"/>
      <protection locked="0"/>
    </xf>
    <xf numFmtId="0" fontId="37" fillId="6" borderId="0" xfId="0" applyFont="1" applyFill="1" applyAlignment="1" applyProtection="1">
      <alignment horizontal="center" vertical="center" wrapText="1"/>
      <protection locked="0"/>
    </xf>
    <xf numFmtId="0" fontId="74" fillId="24" borderId="0" xfId="0" applyFont="1" applyFill="1" applyAlignment="1" applyProtection="1">
      <alignment horizontal="center" vertical="center" wrapText="1"/>
      <protection locked="0"/>
    </xf>
    <xf numFmtId="0" fontId="5" fillId="0" borderId="1" xfId="0" applyFont="1" applyFill="1" applyBorder="1" applyAlignment="1" applyProtection="1">
      <alignment horizontal="center"/>
      <protection locked="0"/>
    </xf>
    <xf numFmtId="0" fontId="37" fillId="6" borderId="0" xfId="0" applyFont="1" applyFill="1" applyAlignment="1" applyProtection="1">
      <alignment horizontal="center" vertical="center" wrapText="1"/>
      <protection locked="0"/>
    </xf>
    <xf numFmtId="0" fontId="74" fillId="24" borderId="0" xfId="0" applyFont="1" applyFill="1" applyAlignment="1" applyProtection="1">
      <alignment horizontal="center" vertical="center" wrapText="1"/>
      <protection locked="0"/>
    </xf>
    <xf numFmtId="0" fontId="5" fillId="0" borderId="1" xfId="0" applyFont="1" applyFill="1" applyBorder="1" applyAlignment="1" applyProtection="1">
      <alignment horizontal="center"/>
      <protection locked="0"/>
    </xf>
    <xf numFmtId="169" fontId="34" fillId="2" borderId="1" xfId="0" applyNumberFormat="1" applyFont="1" applyFill="1" applyBorder="1" applyAlignment="1" applyProtection="1">
      <alignment horizontal="center"/>
      <protection locked="0"/>
    </xf>
    <xf numFmtId="0" fontId="5" fillId="0" borderId="1" xfId="0" applyFont="1" applyFill="1" applyBorder="1" applyAlignment="1" applyProtection="1">
      <alignment horizontal="center"/>
      <protection locked="0"/>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0" fillId="0" borderId="4" xfId="0" applyBorder="1" applyAlignment="1">
      <alignment horizontal="center" vertical="center" wrapText="1"/>
    </xf>
    <xf numFmtId="0" fontId="0" fillId="0" borderId="5" xfId="0" applyBorder="1" applyAlignment="1">
      <alignment horizontal="center"/>
    </xf>
    <xf numFmtId="0" fontId="0" fillId="0" borderId="6" xfId="0" applyBorder="1" applyAlignment="1">
      <alignment horizontal="center"/>
    </xf>
    <xf numFmtId="0" fontId="0" fillId="0" borderId="6" xfId="0" applyBorder="1"/>
    <xf numFmtId="16" fontId="0" fillId="0" borderId="1" xfId="0" applyNumberFormat="1"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0" borderId="3" xfId="0" applyBorder="1" applyAlignment="1">
      <alignment horizontal="center" vertical="center" textRotation="180" wrapText="1"/>
    </xf>
    <xf numFmtId="0" fontId="0" fillId="0" borderId="3" xfId="0" applyBorder="1"/>
    <xf numFmtId="0" fontId="0" fillId="0" borderId="4" xfId="0" applyBorder="1"/>
    <xf numFmtId="0" fontId="0" fillId="2" borderId="7" xfId="0" applyFill="1" applyBorder="1" applyAlignment="1">
      <alignment horizontal="center"/>
    </xf>
    <xf numFmtId="0" fontId="0" fillId="2" borderId="8" xfId="0" applyFill="1" applyBorder="1" applyAlignment="1">
      <alignment horizontal="center"/>
    </xf>
    <xf numFmtId="0" fontId="0" fillId="2" borderId="9" xfId="0" applyFill="1" applyBorder="1" applyAlignment="1">
      <alignment horizontal="center"/>
    </xf>
    <xf numFmtId="0" fontId="76" fillId="0" borderId="1" xfId="0" applyFont="1" applyFill="1" applyBorder="1" applyAlignment="1" applyProtection="1">
      <alignment horizontal="center" vertical="center" textRotation="180" wrapText="1"/>
      <protection locked="0"/>
    </xf>
    <xf numFmtId="0" fontId="0" fillId="0" borderId="2" xfId="0" applyBorder="1"/>
    <xf numFmtId="0" fontId="0" fillId="0" borderId="5" xfId="0" applyBorder="1"/>
    <xf numFmtId="0" fontId="0" fillId="0" borderId="7" xfId="0" applyBorder="1"/>
    <xf numFmtId="0" fontId="0" fillId="2" borderId="5" xfId="0" applyFill="1" applyBorder="1" applyAlignment="1">
      <alignment horizontal="center"/>
    </xf>
    <xf numFmtId="170" fontId="5" fillId="2" borderId="0" xfId="0" applyNumberFormat="1" applyFont="1" applyFill="1" applyAlignment="1" applyProtection="1">
      <alignment horizontal="center"/>
    </xf>
    <xf numFmtId="0" fontId="0" fillId="0" borderId="0" xfId="0" applyAlignment="1">
      <alignment wrapText="1"/>
    </xf>
    <xf numFmtId="0" fontId="10" fillId="0" borderId="100" xfId="0" applyFont="1" applyBorder="1" applyAlignment="1">
      <alignment horizontal="center"/>
    </xf>
    <xf numFmtId="0" fontId="5" fillId="0" borderId="0" xfId="0" applyFont="1" applyAlignment="1">
      <alignment horizontal="center"/>
    </xf>
    <xf numFmtId="0" fontId="103" fillId="0" borderId="0" xfId="0" applyFont="1" applyAlignment="1" applyProtection="1">
      <alignment horizontal="center"/>
      <protection locked="0"/>
    </xf>
    <xf numFmtId="0" fontId="93" fillId="0" borderId="0" xfId="0" applyFont="1" applyProtection="1">
      <protection locked="0"/>
    </xf>
    <xf numFmtId="166" fontId="0" fillId="0" borderId="0" xfId="0" applyNumberFormat="1" applyProtection="1">
      <protection locked="0"/>
    </xf>
    <xf numFmtId="0" fontId="105" fillId="32" borderId="0" xfId="0" applyFont="1" applyFill="1" applyBorder="1" applyProtection="1">
      <protection locked="0"/>
    </xf>
    <xf numFmtId="0" fontId="105" fillId="32" borderId="202" xfId="0" applyFont="1" applyFill="1" applyBorder="1" applyProtection="1">
      <protection locked="0"/>
    </xf>
    <xf numFmtId="0" fontId="27" fillId="6" borderId="0" xfId="0" applyFont="1" applyFill="1" applyAlignment="1">
      <alignment horizontal="center"/>
    </xf>
    <xf numFmtId="0" fontId="4" fillId="8" borderId="24" xfId="0" applyFont="1" applyFill="1" applyBorder="1" applyAlignment="1">
      <alignment horizontal="center"/>
    </xf>
    <xf numFmtId="0" fontId="4" fillId="8" borderId="0" xfId="0" applyFont="1" applyFill="1" applyAlignment="1">
      <alignment horizontal="center"/>
    </xf>
    <xf numFmtId="0" fontId="27" fillId="13" borderId="0" xfId="0" applyFont="1" applyFill="1" applyAlignment="1" applyProtection="1">
      <alignment horizontal="center"/>
      <protection locked="0"/>
    </xf>
    <xf numFmtId="0" fontId="13" fillId="14" borderId="32" xfId="0" applyFont="1" applyFill="1" applyBorder="1" applyAlignment="1" applyProtection="1">
      <alignment horizontal="center"/>
      <protection locked="0"/>
    </xf>
    <xf numFmtId="0" fontId="13" fillId="14" borderId="33" xfId="0" applyFont="1" applyFill="1" applyBorder="1" applyAlignment="1" applyProtection="1">
      <alignment horizontal="center"/>
      <protection locked="0"/>
    </xf>
    <xf numFmtId="0" fontId="13" fillId="14" borderId="34" xfId="0" applyFont="1" applyFill="1" applyBorder="1" applyAlignment="1" applyProtection="1">
      <alignment horizontal="center"/>
      <protection locked="0"/>
    </xf>
    <xf numFmtId="0" fontId="9" fillId="14" borderId="39" xfId="0" applyFont="1" applyFill="1" applyBorder="1" applyAlignment="1" applyProtection="1">
      <alignment horizontal="center"/>
      <protection locked="0"/>
    </xf>
    <xf numFmtId="0" fontId="9" fillId="14" borderId="0" xfId="0" applyFont="1" applyFill="1" applyBorder="1" applyAlignment="1" applyProtection="1">
      <alignment horizontal="center"/>
      <protection locked="0"/>
    </xf>
    <xf numFmtId="0" fontId="9" fillId="14" borderId="40" xfId="0" applyFont="1" applyFill="1" applyBorder="1" applyAlignment="1" applyProtection="1">
      <alignment horizontal="center"/>
      <protection locked="0"/>
    </xf>
    <xf numFmtId="0" fontId="13" fillId="24" borderId="163" xfId="0" applyFont="1" applyFill="1" applyBorder="1" applyAlignment="1" applyProtection="1">
      <alignment horizontal="center"/>
      <protection locked="0"/>
    </xf>
    <xf numFmtId="0" fontId="13" fillId="24" borderId="164" xfId="0" applyFont="1" applyFill="1" applyBorder="1" applyAlignment="1" applyProtection="1">
      <alignment horizontal="center"/>
      <protection locked="0"/>
    </xf>
    <xf numFmtId="0" fontId="13" fillId="24" borderId="165" xfId="0" applyFont="1" applyFill="1" applyBorder="1" applyAlignment="1" applyProtection="1">
      <alignment horizontal="center"/>
      <protection locked="0"/>
    </xf>
    <xf numFmtId="0" fontId="4" fillId="30" borderId="39" xfId="0" applyFont="1" applyFill="1" applyBorder="1" applyAlignment="1" applyProtection="1">
      <alignment horizontal="right" vertical="center"/>
      <protection locked="0"/>
    </xf>
    <xf numFmtId="0" fontId="4" fillId="30" borderId="0" xfId="0" applyFont="1" applyFill="1" applyBorder="1" applyAlignment="1" applyProtection="1">
      <alignment horizontal="right" vertical="center"/>
      <protection locked="0"/>
    </xf>
    <xf numFmtId="0" fontId="4" fillId="8" borderId="39" xfId="0" applyFont="1" applyFill="1" applyBorder="1" applyAlignment="1" applyProtection="1">
      <alignment horizontal="right" vertical="center"/>
      <protection locked="0"/>
    </xf>
    <xf numFmtId="0" fontId="4" fillId="8" borderId="0" xfId="0" applyFont="1" applyFill="1" applyBorder="1" applyAlignment="1" applyProtection="1">
      <alignment horizontal="right" vertical="center"/>
      <protection locked="0"/>
    </xf>
    <xf numFmtId="0" fontId="37" fillId="6" borderId="0" xfId="0" applyFont="1" applyFill="1" applyAlignment="1" applyProtection="1">
      <alignment horizontal="center" vertical="center" wrapText="1"/>
      <protection locked="0"/>
    </xf>
    <xf numFmtId="0" fontId="4" fillId="6" borderId="91" xfId="0" applyFont="1" applyFill="1" applyBorder="1" applyAlignment="1" applyProtection="1">
      <alignment horizontal="center" vertical="center"/>
      <protection locked="0"/>
    </xf>
    <xf numFmtId="0" fontId="4" fillId="6" borderId="92" xfId="0" applyFont="1" applyFill="1" applyBorder="1" applyAlignment="1" applyProtection="1">
      <alignment horizontal="center" vertical="center"/>
      <protection locked="0"/>
    </xf>
    <xf numFmtId="0" fontId="4" fillId="6" borderId="93" xfId="0" applyFont="1" applyFill="1" applyBorder="1" applyAlignment="1" applyProtection="1">
      <alignment horizontal="center" vertical="center"/>
      <protection locked="0"/>
    </xf>
    <xf numFmtId="0" fontId="4" fillId="6" borderId="91" xfId="0" applyFont="1" applyFill="1" applyBorder="1" applyAlignment="1" applyProtection="1">
      <alignment horizontal="center"/>
      <protection locked="0"/>
    </xf>
    <xf numFmtId="0" fontId="4" fillId="6" borderId="92" xfId="0" applyFont="1" applyFill="1" applyBorder="1" applyAlignment="1" applyProtection="1">
      <alignment horizontal="center"/>
      <protection locked="0"/>
    </xf>
    <xf numFmtId="0" fontId="4" fillId="6" borderId="93" xfId="0" applyFont="1" applyFill="1" applyBorder="1" applyAlignment="1" applyProtection="1">
      <alignment horizontal="center"/>
      <protection locked="0"/>
    </xf>
    <xf numFmtId="0" fontId="74" fillId="24" borderId="0" xfId="0" applyFont="1" applyFill="1" applyAlignment="1" applyProtection="1">
      <alignment horizontal="center" vertical="center" wrapText="1"/>
      <protection locked="0"/>
    </xf>
    <xf numFmtId="0" fontId="13" fillId="24" borderId="159" xfId="0" applyFont="1" applyFill="1" applyBorder="1" applyAlignment="1" applyProtection="1">
      <alignment horizontal="center" vertical="center"/>
      <protection locked="0"/>
    </xf>
    <xf numFmtId="0" fontId="13" fillId="24" borderId="160" xfId="0" applyFont="1" applyFill="1" applyBorder="1" applyAlignment="1" applyProtection="1">
      <alignment horizontal="center" vertical="center"/>
      <protection locked="0"/>
    </xf>
    <xf numFmtId="0" fontId="13" fillId="24" borderId="161" xfId="0" applyFont="1" applyFill="1" applyBorder="1" applyAlignment="1" applyProtection="1">
      <alignment horizontal="center" vertical="center"/>
      <protection locked="0"/>
    </xf>
    <xf numFmtId="0" fontId="3" fillId="6" borderId="71" xfId="0" applyFont="1" applyFill="1" applyBorder="1" applyAlignment="1" applyProtection="1">
      <alignment horizontal="center"/>
    </xf>
    <xf numFmtId="0" fontId="39" fillId="5" borderId="0" xfId="0" applyFont="1" applyFill="1" applyAlignment="1" applyProtection="1">
      <alignment horizontal="center" vertical="center" wrapText="1"/>
    </xf>
    <xf numFmtId="0" fontId="37" fillId="8" borderId="0" xfId="0" applyFont="1" applyFill="1" applyAlignment="1" applyProtection="1">
      <alignment horizontal="center" vertical="center"/>
    </xf>
    <xf numFmtId="0" fontId="79" fillId="0" borderId="12" xfId="0" applyFont="1" applyFill="1" applyBorder="1" applyAlignment="1">
      <alignment horizontal="center"/>
    </xf>
    <xf numFmtId="166" fontId="62" fillId="0" borderId="12" xfId="0" applyNumberFormat="1" applyFont="1" applyFill="1" applyBorder="1" applyAlignment="1">
      <alignment horizontal="center"/>
    </xf>
    <xf numFmtId="0" fontId="79" fillId="0" borderId="88" xfId="0" applyFont="1" applyFill="1" applyBorder="1" applyAlignment="1">
      <alignment horizontal="center"/>
    </xf>
    <xf numFmtId="0" fontId="79" fillId="0" borderId="15" xfId="0" applyFont="1" applyFill="1" applyBorder="1" applyAlignment="1">
      <alignment horizontal="center"/>
    </xf>
    <xf numFmtId="0" fontId="39" fillId="5" borderId="0" xfId="0" applyFont="1" applyFill="1" applyAlignment="1">
      <alignment horizontal="center" vertical="center" wrapText="1"/>
    </xf>
    <xf numFmtId="0" fontId="37" fillId="26" borderId="0" xfId="0" applyFont="1" applyFill="1" applyAlignment="1">
      <alignment horizontal="center" vertical="center"/>
    </xf>
    <xf numFmtId="0" fontId="3" fillId="6" borderId="71" xfId="0" applyFont="1" applyFill="1" applyBorder="1" applyAlignment="1">
      <alignment horizontal="center"/>
    </xf>
    <xf numFmtId="0" fontId="4" fillId="3" borderId="0" xfId="0" applyFont="1" applyFill="1" applyBorder="1" applyAlignment="1">
      <alignment horizontal="center" vertical="center" wrapText="1"/>
    </xf>
    <xf numFmtId="0" fontId="6" fillId="3" borderId="0" xfId="0" applyFont="1" applyFill="1" applyBorder="1" applyAlignment="1">
      <alignment horizontal="center" vertical="center" wrapText="1"/>
    </xf>
    <xf numFmtId="166" fontId="62" fillId="0" borderId="15" xfId="0" applyNumberFormat="1" applyFont="1" applyFill="1" applyBorder="1" applyAlignment="1">
      <alignment horizontal="center"/>
    </xf>
    <xf numFmtId="0" fontId="76" fillId="4" borderId="1" xfId="0" applyFont="1" applyFill="1" applyBorder="1" applyAlignment="1">
      <alignment horizontal="center" vertical="center"/>
    </xf>
    <xf numFmtId="169" fontId="6" fillId="3" borderId="0" xfId="0" applyNumberFormat="1" applyFont="1" applyFill="1" applyAlignment="1">
      <alignment horizontal="center"/>
    </xf>
    <xf numFmtId="0" fontId="4" fillId="26" borderId="0" xfId="0" applyFont="1" applyFill="1" applyBorder="1" applyAlignment="1">
      <alignment horizontal="center"/>
    </xf>
    <xf numFmtId="0" fontId="76" fillId="5" borderId="12" xfId="0" applyFont="1" applyFill="1" applyBorder="1" applyAlignment="1">
      <alignment horizontal="center"/>
    </xf>
    <xf numFmtId="0" fontId="35" fillId="4" borderId="1" xfId="0" applyFont="1" applyFill="1" applyBorder="1" applyAlignment="1">
      <alignment horizontal="center" vertical="center"/>
    </xf>
    <xf numFmtId="0" fontId="4" fillId="3" borderId="0" xfId="0" applyFont="1" applyFill="1" applyBorder="1" applyAlignment="1">
      <alignment horizontal="center" vertical="center"/>
    </xf>
    <xf numFmtId="169" fontId="6" fillId="3" borderId="0" xfId="0" applyNumberFormat="1" applyFont="1" applyFill="1" applyAlignment="1">
      <alignment horizontal="right"/>
    </xf>
    <xf numFmtId="0" fontId="24" fillId="8" borderId="24" xfId="0" applyFont="1" applyFill="1" applyBorder="1" applyAlignment="1" applyProtection="1">
      <alignment horizontal="center"/>
      <protection locked="0"/>
    </xf>
    <xf numFmtId="166" fontId="2" fillId="0" borderId="60" xfId="0" applyNumberFormat="1" applyFont="1" applyBorder="1" applyAlignment="1" applyProtection="1">
      <alignment horizontal="center"/>
      <protection locked="0"/>
    </xf>
    <xf numFmtId="166" fontId="2" fillId="0" borderId="86" xfId="0" applyNumberFormat="1" applyFont="1" applyBorder="1" applyAlignment="1" applyProtection="1">
      <alignment horizontal="center"/>
      <protection locked="0"/>
    </xf>
    <xf numFmtId="166" fontId="2" fillId="0" borderId="63" xfId="0" applyNumberFormat="1" applyFont="1" applyBorder="1" applyAlignment="1" applyProtection="1">
      <alignment horizontal="center"/>
      <protection locked="0"/>
    </xf>
    <xf numFmtId="166" fontId="2" fillId="0" borderId="79" xfId="0" applyNumberFormat="1" applyFont="1" applyBorder="1" applyAlignment="1" applyProtection="1">
      <alignment horizontal="center"/>
      <protection locked="0"/>
    </xf>
    <xf numFmtId="0" fontId="12" fillId="26" borderId="0" xfId="0" applyFont="1" applyFill="1" applyAlignment="1" applyProtection="1">
      <alignment horizontal="center"/>
      <protection locked="0"/>
    </xf>
    <xf numFmtId="166" fontId="28" fillId="3" borderId="10" xfId="0" applyNumberFormat="1" applyFont="1" applyFill="1" applyBorder="1" applyAlignment="1" applyProtection="1">
      <alignment horizontal="center"/>
    </xf>
    <xf numFmtId="0" fontId="4" fillId="3" borderId="10" xfId="0" applyFont="1" applyFill="1" applyBorder="1" applyAlignment="1" applyProtection="1">
      <alignment horizontal="center"/>
      <protection locked="0"/>
    </xf>
    <xf numFmtId="0" fontId="32" fillId="6" borderId="0" xfId="0" applyFont="1" applyFill="1" applyAlignment="1" applyProtection="1">
      <alignment horizontal="center"/>
      <protection locked="0"/>
    </xf>
    <xf numFmtId="166" fontId="2" fillId="0" borderId="17" xfId="0" applyNumberFormat="1" applyFont="1" applyBorder="1" applyAlignment="1" applyProtection="1">
      <alignment horizontal="center"/>
      <protection locked="0"/>
    </xf>
    <xf numFmtId="166" fontId="2" fillId="0" borderId="18" xfId="0" applyNumberFormat="1" applyFont="1" applyBorder="1" applyAlignment="1" applyProtection="1">
      <alignment horizontal="center"/>
      <protection locked="0"/>
    </xf>
    <xf numFmtId="0" fontId="24" fillId="8" borderId="24" xfId="0" applyFont="1" applyFill="1" applyBorder="1" applyAlignment="1" applyProtection="1">
      <alignment horizontal="center" vertical="center" wrapText="1"/>
      <protection locked="0"/>
    </xf>
    <xf numFmtId="166" fontId="28" fillId="3" borderId="50" xfId="0" applyNumberFormat="1" applyFont="1" applyFill="1" applyBorder="1" applyAlignment="1" applyProtection="1">
      <alignment horizontal="center"/>
    </xf>
    <xf numFmtId="166" fontId="28" fillId="3" borderId="51" xfId="0" applyNumberFormat="1" applyFont="1" applyFill="1" applyBorder="1" applyAlignment="1" applyProtection="1">
      <alignment horizontal="center"/>
    </xf>
    <xf numFmtId="166" fontId="28" fillId="3" borderId="54" xfId="0" applyNumberFormat="1" applyFont="1" applyFill="1" applyBorder="1" applyAlignment="1" applyProtection="1">
      <alignment horizontal="center"/>
    </xf>
    <xf numFmtId="166" fontId="28" fillId="3" borderId="27" xfId="0" applyNumberFormat="1" applyFont="1" applyFill="1" applyBorder="1" applyAlignment="1" applyProtection="1">
      <alignment horizontal="center"/>
    </xf>
    <xf numFmtId="166" fontId="28" fillId="3" borderId="58" xfId="0" applyNumberFormat="1" applyFont="1" applyFill="1" applyBorder="1" applyAlignment="1" applyProtection="1">
      <alignment horizontal="center"/>
    </xf>
    <xf numFmtId="166" fontId="28" fillId="3" borderId="59" xfId="0" applyNumberFormat="1" applyFont="1" applyFill="1" applyBorder="1" applyAlignment="1" applyProtection="1">
      <alignment horizontal="center"/>
    </xf>
    <xf numFmtId="0" fontId="9" fillId="5" borderId="0" xfId="0" applyFont="1" applyFill="1" applyAlignment="1" applyProtection="1">
      <alignment horizontal="center"/>
      <protection locked="0"/>
    </xf>
    <xf numFmtId="0" fontId="4" fillId="8" borderId="0" xfId="0" applyFont="1" applyFill="1" applyAlignment="1" applyProtection="1">
      <alignment horizontal="center"/>
      <protection locked="0"/>
    </xf>
    <xf numFmtId="0" fontId="3" fillId="8" borderId="73" xfId="0" applyFont="1" applyFill="1" applyBorder="1" applyAlignment="1" applyProtection="1">
      <alignment horizontal="center"/>
      <protection locked="0"/>
    </xf>
    <xf numFmtId="0" fontId="3" fillId="8" borderId="24" xfId="0" applyFont="1" applyFill="1" applyBorder="1" applyAlignment="1" applyProtection="1">
      <alignment horizontal="center"/>
      <protection locked="0"/>
    </xf>
    <xf numFmtId="0" fontId="3" fillId="8" borderId="74" xfId="0" applyFont="1" applyFill="1" applyBorder="1" applyAlignment="1" applyProtection="1">
      <alignment horizontal="center"/>
      <protection locked="0"/>
    </xf>
    <xf numFmtId="0" fontId="27" fillId="8" borderId="0" xfId="0" applyFont="1" applyFill="1" applyAlignment="1" applyProtection="1">
      <alignment horizontal="center"/>
      <protection locked="0"/>
    </xf>
    <xf numFmtId="0" fontId="3" fillId="8" borderId="17" xfId="0" applyFont="1" applyFill="1" applyBorder="1" applyAlignment="1" applyProtection="1">
      <alignment horizontal="center"/>
      <protection locked="0"/>
    </xf>
    <xf numFmtId="0" fontId="3" fillId="8" borderId="18" xfId="0" applyFont="1" applyFill="1" applyBorder="1" applyAlignment="1" applyProtection="1">
      <alignment horizontal="center"/>
      <protection locked="0"/>
    </xf>
    <xf numFmtId="0" fontId="4" fillId="3" borderId="0" xfId="0" applyFont="1" applyFill="1" applyAlignment="1" applyProtection="1">
      <alignment horizontal="center"/>
      <protection locked="0"/>
    </xf>
    <xf numFmtId="0" fontId="3" fillId="8" borderId="0" xfId="0" applyFont="1" applyFill="1" applyBorder="1" applyAlignment="1" applyProtection="1">
      <alignment horizontal="center"/>
      <protection locked="0"/>
    </xf>
    <xf numFmtId="166" fontId="3" fillId="8" borderId="77" xfId="1" applyNumberFormat="1" applyFont="1" applyFill="1" applyBorder="1" applyAlignment="1" applyProtection="1">
      <alignment horizontal="center"/>
    </xf>
    <xf numFmtId="166" fontId="3" fillId="8" borderId="78" xfId="1" applyNumberFormat="1" applyFont="1" applyFill="1" applyBorder="1" applyAlignment="1" applyProtection="1">
      <alignment horizontal="center"/>
    </xf>
    <xf numFmtId="0" fontId="4" fillId="8" borderId="75" xfId="0" applyFont="1" applyFill="1" applyBorder="1" applyAlignment="1" applyProtection="1">
      <alignment horizontal="center"/>
      <protection locked="0"/>
    </xf>
    <xf numFmtId="0" fontId="4" fillId="8" borderId="78" xfId="0" applyFont="1" applyFill="1" applyBorder="1" applyAlignment="1" applyProtection="1">
      <alignment horizontal="center"/>
      <protection locked="0"/>
    </xf>
    <xf numFmtId="0" fontId="4" fillId="6" borderId="24" xfId="0" applyFont="1" applyFill="1" applyBorder="1" applyAlignment="1" applyProtection="1">
      <alignment horizontal="center" vertical="center" wrapText="1"/>
      <protection locked="0"/>
    </xf>
    <xf numFmtId="166" fontId="5" fillId="0" borderId="50" xfId="1" applyNumberFormat="1" applyFont="1" applyFill="1" applyBorder="1" applyAlignment="1" applyProtection="1">
      <alignment horizontal="center"/>
      <protection locked="0"/>
    </xf>
    <xf numFmtId="166" fontId="5" fillId="0" borderId="54" xfId="1" applyNumberFormat="1" applyFont="1" applyFill="1" applyBorder="1" applyAlignment="1" applyProtection="1">
      <alignment horizontal="center"/>
      <protection locked="0"/>
    </xf>
    <xf numFmtId="166" fontId="5" fillId="0" borderId="58" xfId="1" applyNumberFormat="1" applyFont="1" applyFill="1" applyBorder="1" applyAlignment="1" applyProtection="1">
      <alignment horizontal="center"/>
      <protection locked="0"/>
    </xf>
    <xf numFmtId="166" fontId="5" fillId="4" borderId="50" xfId="1" applyNumberFormat="1" applyFont="1" applyFill="1" applyBorder="1" applyAlignment="1" applyProtection="1">
      <alignment horizontal="center"/>
    </xf>
    <xf numFmtId="166" fontId="5" fillId="4" borderId="51" xfId="1" applyNumberFormat="1" applyFont="1" applyFill="1" applyBorder="1" applyAlignment="1" applyProtection="1">
      <alignment horizontal="center"/>
    </xf>
    <xf numFmtId="166" fontId="5" fillId="4" borderId="54" xfId="1" applyNumberFormat="1" applyFont="1" applyFill="1" applyBorder="1" applyAlignment="1" applyProtection="1">
      <alignment horizontal="center"/>
    </xf>
    <xf numFmtId="166" fontId="5" fillId="4" borderId="27" xfId="1" applyNumberFormat="1" applyFont="1" applyFill="1" applyBorder="1" applyAlignment="1" applyProtection="1">
      <alignment horizontal="center"/>
    </xf>
    <xf numFmtId="166" fontId="5" fillId="4" borderId="58" xfId="1" applyNumberFormat="1" applyFont="1" applyFill="1" applyBorder="1" applyAlignment="1" applyProtection="1">
      <alignment horizontal="center"/>
    </xf>
    <xf numFmtId="166" fontId="5" fillId="4" borderId="59" xfId="1" applyNumberFormat="1" applyFont="1" applyFill="1" applyBorder="1" applyAlignment="1" applyProtection="1">
      <alignment horizontal="center"/>
    </xf>
    <xf numFmtId="0" fontId="5" fillId="0" borderId="48" xfId="0" applyFont="1" applyFill="1" applyBorder="1" applyAlignment="1" applyProtection="1">
      <alignment horizontal="center"/>
      <protection locked="0"/>
    </xf>
    <xf numFmtId="0" fontId="5" fillId="0" borderId="50" xfId="0" applyFont="1" applyFill="1" applyBorder="1" applyAlignment="1" applyProtection="1">
      <alignment horizontal="center"/>
      <protection locked="0"/>
    </xf>
    <xf numFmtId="0" fontId="5" fillId="0" borderId="52" xfId="0" applyFont="1" applyFill="1" applyBorder="1" applyAlignment="1" applyProtection="1">
      <alignment horizontal="center"/>
      <protection locked="0"/>
    </xf>
    <xf numFmtId="0" fontId="5" fillId="0" borderId="54" xfId="0" applyFont="1" applyFill="1" applyBorder="1" applyAlignment="1" applyProtection="1">
      <alignment horizontal="center"/>
      <protection locked="0"/>
    </xf>
    <xf numFmtId="166" fontId="5" fillId="0" borderId="50" xfId="2" applyNumberFormat="1" applyFont="1" applyFill="1" applyBorder="1" applyAlignment="1" applyProtection="1">
      <alignment horizontal="center"/>
      <protection locked="0"/>
    </xf>
    <xf numFmtId="166" fontId="5" fillId="0" borderId="54" xfId="2" applyNumberFormat="1" applyFont="1" applyFill="1" applyBorder="1" applyAlignment="1" applyProtection="1">
      <alignment horizontal="center"/>
      <protection locked="0"/>
    </xf>
    <xf numFmtId="166" fontId="5" fillId="0" borderId="58" xfId="2" applyNumberFormat="1" applyFont="1" applyFill="1" applyBorder="1" applyAlignment="1" applyProtection="1">
      <alignment horizontal="center"/>
      <protection locked="0"/>
    </xf>
    <xf numFmtId="0" fontId="5" fillId="0" borderId="56" xfId="0" applyFont="1" applyFill="1" applyBorder="1" applyAlignment="1" applyProtection="1">
      <alignment horizontal="center"/>
      <protection locked="0"/>
    </xf>
    <xf numFmtId="0" fontId="5" fillId="0" borderId="58" xfId="0" applyFont="1" applyFill="1" applyBorder="1" applyAlignment="1" applyProtection="1">
      <alignment horizontal="center"/>
      <protection locked="0"/>
    </xf>
    <xf numFmtId="0" fontId="4" fillId="6" borderId="24" xfId="0" applyFont="1" applyFill="1" applyBorder="1" applyAlignment="1" applyProtection="1">
      <alignment horizontal="center"/>
      <protection locked="0"/>
    </xf>
    <xf numFmtId="0" fontId="7" fillId="6" borderId="24" xfId="0" applyFont="1" applyFill="1" applyBorder="1" applyAlignment="1" applyProtection="1">
      <alignment horizontal="center" vertical="center" wrapText="1"/>
      <protection locked="0"/>
    </xf>
    <xf numFmtId="0" fontId="5" fillId="0" borderId="2" xfId="0" applyFont="1" applyFill="1" applyBorder="1" applyAlignment="1" applyProtection="1">
      <alignment horizontal="center"/>
      <protection locked="0"/>
    </xf>
    <xf numFmtId="0" fontId="5" fillId="0" borderId="3" xfId="0" applyFont="1" applyFill="1" applyBorder="1" applyAlignment="1" applyProtection="1">
      <alignment horizontal="center"/>
      <protection locked="0"/>
    </xf>
    <xf numFmtId="0" fontId="5" fillId="0" borderId="5" xfId="0" applyFont="1" applyFill="1" applyBorder="1" applyAlignment="1" applyProtection="1">
      <alignment horizontal="center"/>
      <protection locked="0"/>
    </xf>
    <xf numFmtId="0" fontId="5" fillId="0" borderId="1" xfId="0" applyFont="1" applyFill="1" applyBorder="1" applyAlignment="1" applyProtection="1">
      <alignment horizontal="center"/>
      <protection locked="0"/>
    </xf>
    <xf numFmtId="0" fontId="5" fillId="0" borderId="7" xfId="0" applyFont="1" applyFill="1" applyBorder="1" applyAlignment="1" applyProtection="1">
      <alignment horizontal="center"/>
      <protection locked="0"/>
    </xf>
    <xf numFmtId="0" fontId="5" fillId="0" borderId="8" xfId="0" applyFont="1" applyFill="1" applyBorder="1" applyAlignment="1" applyProtection="1">
      <alignment horizontal="center"/>
      <protection locked="0"/>
    </xf>
    <xf numFmtId="0" fontId="106" fillId="32" borderId="0" xfId="0" applyFont="1" applyFill="1" applyAlignment="1" applyProtection="1">
      <alignment horizontal="center"/>
      <protection locked="0"/>
    </xf>
    <xf numFmtId="0" fontId="82" fillId="0" borderId="207" xfId="0" applyFont="1" applyFill="1" applyBorder="1" applyAlignment="1" applyProtection="1">
      <alignment horizontal="center"/>
      <protection locked="0"/>
    </xf>
    <xf numFmtId="0" fontId="82" fillId="0" borderId="225" xfId="0" applyFont="1" applyFill="1" applyBorder="1" applyAlignment="1" applyProtection="1">
      <alignment horizontal="center"/>
      <protection locked="0"/>
    </xf>
    <xf numFmtId="49" fontId="82" fillId="0" borderId="222" xfId="0" applyNumberFormat="1" applyFont="1" applyFill="1" applyBorder="1" applyAlignment="1" applyProtection="1">
      <alignment horizontal="center"/>
      <protection locked="0"/>
    </xf>
    <xf numFmtId="49" fontId="82" fillId="0" borderId="207" xfId="0" applyNumberFormat="1" applyFont="1" applyFill="1" applyBorder="1" applyAlignment="1" applyProtection="1">
      <alignment horizontal="center"/>
      <protection locked="0"/>
    </xf>
    <xf numFmtId="49" fontId="82" fillId="0" borderId="221" xfId="0" applyNumberFormat="1" applyFont="1" applyFill="1" applyBorder="1" applyAlignment="1" applyProtection="1">
      <alignment horizontal="center"/>
      <protection locked="0"/>
    </xf>
    <xf numFmtId="49" fontId="82" fillId="0" borderId="219" xfId="0" applyNumberFormat="1" applyFont="1" applyFill="1" applyBorder="1" applyAlignment="1" applyProtection="1">
      <alignment horizontal="center"/>
      <protection locked="0"/>
    </xf>
    <xf numFmtId="0" fontId="101" fillId="34" borderId="196" xfId="0" applyFont="1" applyFill="1" applyBorder="1" applyAlignment="1" applyProtection="1">
      <alignment horizontal="center"/>
      <protection locked="0"/>
    </xf>
    <xf numFmtId="0" fontId="101" fillId="34" borderId="197" xfId="0" applyFont="1" applyFill="1" applyBorder="1" applyAlignment="1" applyProtection="1">
      <alignment horizontal="center"/>
      <protection locked="0"/>
    </xf>
    <xf numFmtId="0" fontId="101" fillId="34" borderId="198" xfId="0" applyFont="1" applyFill="1" applyBorder="1" applyAlignment="1" applyProtection="1">
      <alignment horizontal="center"/>
      <protection locked="0"/>
    </xf>
    <xf numFmtId="166" fontId="26" fillId="34" borderId="192" xfId="0" applyNumberFormat="1" applyFont="1" applyFill="1" applyBorder="1" applyAlignment="1" applyProtection="1">
      <alignment horizontal="center"/>
      <protection hidden="1"/>
    </xf>
    <xf numFmtId="0" fontId="2" fillId="0" borderId="0" xfId="0" applyFont="1" applyAlignment="1" applyProtection="1">
      <alignment horizontal="center" vertical="center" wrapText="1"/>
      <protection locked="0"/>
    </xf>
    <xf numFmtId="0" fontId="92" fillId="0" borderId="0" xfId="20" applyFont="1" applyAlignment="1" applyProtection="1">
      <alignment horizontal="center"/>
      <protection locked="0"/>
    </xf>
    <xf numFmtId="0" fontId="93" fillId="0" borderId="0" xfId="0" applyFont="1" applyAlignment="1" applyProtection="1">
      <alignment horizontal="center"/>
      <protection locked="0"/>
    </xf>
    <xf numFmtId="0" fontId="91" fillId="0" borderId="0" xfId="0" applyFont="1" applyAlignment="1" applyProtection="1">
      <alignment horizontal="center" vertical="center"/>
      <protection locked="0"/>
    </xf>
    <xf numFmtId="49" fontId="82" fillId="0" borderId="223" xfId="0" applyNumberFormat="1" applyFont="1" applyFill="1" applyBorder="1" applyAlignment="1" applyProtection="1">
      <alignment horizontal="center"/>
      <protection locked="0"/>
    </xf>
    <xf numFmtId="49" fontId="82" fillId="0" borderId="209" xfId="0" applyNumberFormat="1" applyFont="1" applyFill="1" applyBorder="1" applyAlignment="1" applyProtection="1">
      <alignment horizontal="center"/>
      <protection locked="0"/>
    </xf>
    <xf numFmtId="0" fontId="82" fillId="0" borderId="219" xfId="0" applyFont="1" applyFill="1" applyBorder="1" applyAlignment="1" applyProtection="1">
      <alignment horizontal="center"/>
      <protection locked="0"/>
    </xf>
    <xf numFmtId="0" fontId="82" fillId="0" borderId="220" xfId="0" applyFont="1" applyFill="1" applyBorder="1" applyAlignment="1" applyProtection="1">
      <alignment horizontal="center"/>
      <protection locked="0"/>
    </xf>
    <xf numFmtId="0" fontId="98" fillId="32" borderId="199" xfId="0" applyFont="1" applyFill="1" applyBorder="1" applyAlignment="1" applyProtection="1">
      <alignment horizontal="center" vertical="center" textRotation="90" shrinkToFit="1"/>
      <protection locked="0"/>
    </xf>
    <xf numFmtId="0" fontId="98" fillId="32" borderId="201" xfId="0" applyFont="1" applyFill="1" applyBorder="1" applyAlignment="1" applyProtection="1">
      <alignment horizontal="center" vertical="center" textRotation="90" shrinkToFit="1"/>
      <protection locked="0"/>
    </xf>
    <xf numFmtId="0" fontId="104" fillId="34" borderId="200" xfId="0" applyFont="1" applyFill="1" applyBorder="1" applyAlignment="1" applyProtection="1">
      <alignment horizontal="center" vertical="center" textRotation="180"/>
      <protection locked="0"/>
    </xf>
    <xf numFmtId="0" fontId="104" fillId="34" borderId="203" xfId="0" applyFont="1" applyFill="1" applyBorder="1" applyAlignment="1" applyProtection="1">
      <alignment horizontal="center" vertical="center" textRotation="180"/>
      <protection locked="0"/>
    </xf>
    <xf numFmtId="0" fontId="86" fillId="32" borderId="186" xfId="0" applyFont="1" applyFill="1" applyBorder="1" applyAlignment="1" applyProtection="1">
      <alignment horizontal="center" vertical="center" wrapText="1"/>
      <protection locked="0"/>
    </xf>
    <xf numFmtId="0" fontId="86" fillId="32" borderId="187" xfId="0" applyFont="1" applyFill="1" applyBorder="1" applyAlignment="1" applyProtection="1">
      <alignment horizontal="center" vertical="center" wrapText="1"/>
      <protection locked="0"/>
    </xf>
    <xf numFmtId="166" fontId="25" fillId="0" borderId="183" xfId="0" applyNumberFormat="1" applyFont="1" applyFill="1" applyBorder="1" applyAlignment="1" applyProtection="1">
      <alignment horizontal="center"/>
      <protection hidden="1"/>
    </xf>
    <xf numFmtId="0" fontId="25" fillId="0" borderId="189" xfId="0" applyFont="1" applyFill="1" applyBorder="1" applyAlignment="1" applyProtection="1">
      <alignment horizontal="center"/>
      <protection hidden="1"/>
    </xf>
    <xf numFmtId="166" fontId="25" fillId="34" borderId="192" xfId="0" applyNumberFormat="1" applyFont="1" applyFill="1" applyBorder="1" applyAlignment="1" applyProtection="1">
      <alignment horizontal="center"/>
      <protection hidden="1"/>
    </xf>
    <xf numFmtId="0" fontId="25" fillId="34" borderId="224" xfId="0" applyFont="1" applyFill="1" applyBorder="1" applyAlignment="1" applyProtection="1">
      <alignment horizontal="center"/>
      <protection hidden="1"/>
    </xf>
    <xf numFmtId="0" fontId="76" fillId="34" borderId="204" xfId="0" applyFont="1" applyFill="1" applyBorder="1" applyAlignment="1" applyProtection="1">
      <alignment horizontal="center" vertical="center" wrapText="1"/>
      <protection locked="0"/>
    </xf>
    <xf numFmtId="0" fontId="76" fillId="34" borderId="205" xfId="0" applyFont="1" applyFill="1" applyBorder="1" applyAlignment="1" applyProtection="1">
      <alignment horizontal="center" vertical="center" wrapText="1"/>
      <protection locked="0"/>
    </xf>
    <xf numFmtId="0" fontId="62" fillId="0" borderId="205" xfId="0" applyFont="1" applyBorder="1" applyAlignment="1" applyProtection="1">
      <alignment horizontal="center" vertical="center" wrapText="1"/>
      <protection locked="0"/>
    </xf>
    <xf numFmtId="0" fontId="62" fillId="0" borderId="210" xfId="0" applyFont="1" applyBorder="1" applyAlignment="1" applyProtection="1">
      <alignment horizontal="center" vertical="center" wrapText="1"/>
      <protection locked="0"/>
    </xf>
    <xf numFmtId="0" fontId="62" fillId="0" borderId="206" xfId="0" applyFont="1" applyBorder="1" applyAlignment="1" applyProtection="1">
      <alignment horizontal="center" vertical="center" wrapText="1"/>
      <protection locked="0"/>
    </xf>
    <xf numFmtId="0" fontId="62" fillId="0" borderId="207" xfId="0" applyFont="1" applyBorder="1" applyAlignment="1" applyProtection="1">
      <alignment horizontal="center" vertical="center" wrapText="1"/>
      <protection locked="0"/>
    </xf>
    <xf numFmtId="0" fontId="62" fillId="0" borderId="211" xfId="0" applyFont="1" applyBorder="1" applyAlignment="1" applyProtection="1">
      <alignment horizontal="center" vertical="center" wrapText="1"/>
      <protection locked="0"/>
    </xf>
    <xf numFmtId="0" fontId="89" fillId="32" borderId="0" xfId="0" applyFont="1" applyFill="1" applyAlignment="1" applyProtection="1">
      <alignment horizontal="center"/>
      <protection locked="0"/>
    </xf>
    <xf numFmtId="0" fontId="88" fillId="0" borderId="188" xfId="0" applyFont="1" applyFill="1" applyBorder="1" applyAlignment="1" applyProtection="1">
      <alignment horizontal="center"/>
      <protection hidden="1"/>
    </xf>
    <xf numFmtId="0" fontId="88" fillId="0" borderId="183" xfId="0" applyFont="1" applyFill="1" applyBorder="1" applyAlignment="1" applyProtection="1">
      <alignment horizontal="center"/>
      <protection hidden="1"/>
    </xf>
    <xf numFmtId="0" fontId="95" fillId="32" borderId="0" xfId="0" applyFont="1" applyFill="1" applyAlignment="1" applyProtection="1">
      <alignment horizontal="center"/>
      <protection locked="0"/>
    </xf>
    <xf numFmtId="0" fontId="101" fillId="34" borderId="194" xfId="0" applyFont="1" applyFill="1" applyBorder="1" applyAlignment="1" applyProtection="1">
      <alignment horizontal="center"/>
      <protection locked="0"/>
    </xf>
    <xf numFmtId="0" fontId="101" fillId="34" borderId="195" xfId="0" applyFont="1" applyFill="1" applyBorder="1" applyAlignment="1" applyProtection="1">
      <alignment horizontal="center"/>
      <protection locked="0"/>
    </xf>
    <xf numFmtId="0" fontId="101" fillId="34" borderId="193" xfId="0" applyFont="1" applyFill="1" applyBorder="1" applyAlignment="1" applyProtection="1">
      <alignment horizontal="center"/>
      <protection locked="0"/>
    </xf>
    <xf numFmtId="166" fontId="26" fillId="34" borderId="184" xfId="0" applyNumberFormat="1" applyFont="1" applyFill="1" applyBorder="1" applyAlignment="1" applyProtection="1">
      <alignment horizontal="center"/>
      <protection hidden="1"/>
    </xf>
    <xf numFmtId="166" fontId="25" fillId="34" borderId="184" xfId="0" applyNumberFormat="1" applyFont="1" applyFill="1" applyBorder="1" applyAlignment="1" applyProtection="1">
      <alignment horizontal="center"/>
      <protection hidden="1"/>
    </xf>
    <xf numFmtId="0" fontId="25" fillId="34" borderId="191" xfId="0" applyFont="1" applyFill="1" applyBorder="1" applyAlignment="1" applyProtection="1">
      <alignment horizontal="center"/>
      <protection hidden="1"/>
    </xf>
    <xf numFmtId="166" fontId="25" fillId="34" borderId="183" xfId="0" applyNumberFormat="1" applyFont="1" applyFill="1" applyBorder="1" applyAlignment="1" applyProtection="1">
      <alignment horizontal="center"/>
      <protection hidden="1"/>
    </xf>
    <xf numFmtId="0" fontId="25" fillId="34" borderId="189" xfId="0" applyFont="1" applyFill="1" applyBorder="1" applyAlignment="1" applyProtection="1">
      <alignment horizontal="center"/>
      <protection hidden="1"/>
    </xf>
    <xf numFmtId="0" fontId="62" fillId="0" borderId="208" xfId="0" applyFont="1" applyBorder="1" applyAlignment="1" applyProtection="1">
      <alignment horizontal="center" vertical="center" wrapText="1"/>
      <protection locked="0"/>
    </xf>
    <xf numFmtId="0" fontId="62" fillId="0" borderId="209" xfId="0" applyFont="1" applyBorder="1" applyAlignment="1" applyProtection="1">
      <alignment horizontal="center" vertical="center" wrapText="1"/>
      <protection locked="0"/>
    </xf>
    <xf numFmtId="0" fontId="62" fillId="0" borderId="212" xfId="0" applyFont="1" applyBorder="1" applyAlignment="1" applyProtection="1">
      <alignment horizontal="center" vertical="center" wrapText="1"/>
      <protection locked="0"/>
    </xf>
    <xf numFmtId="0" fontId="92" fillId="0" borderId="0" xfId="20" applyFont="1" applyAlignment="1" applyProtection="1">
      <alignment horizontal="center" vertical="center"/>
      <protection locked="0"/>
    </xf>
    <xf numFmtId="0" fontId="93" fillId="0" borderId="0" xfId="0" applyFont="1" applyAlignment="1" applyProtection="1">
      <alignment horizontal="center" vertical="center"/>
      <protection locked="0"/>
    </xf>
    <xf numFmtId="0" fontId="101" fillId="34" borderId="190" xfId="0" applyFont="1" applyFill="1" applyBorder="1" applyAlignment="1" applyProtection="1">
      <alignment horizontal="center"/>
      <protection locked="0"/>
    </xf>
    <xf numFmtId="0" fontId="101" fillId="34" borderId="184" xfId="0" applyFont="1" applyFill="1" applyBorder="1" applyAlignment="1" applyProtection="1">
      <alignment horizontal="center"/>
      <protection locked="0"/>
    </xf>
    <xf numFmtId="0" fontId="90" fillId="32" borderId="21" xfId="0" applyFont="1" applyFill="1" applyBorder="1" applyAlignment="1" applyProtection="1">
      <alignment horizontal="center"/>
      <protection locked="0"/>
    </xf>
    <xf numFmtId="0" fontId="90" fillId="32" borderId="0" xfId="0" applyFont="1" applyFill="1" applyBorder="1" applyAlignment="1" applyProtection="1">
      <alignment horizontal="center"/>
      <protection locked="0"/>
    </xf>
    <xf numFmtId="0" fontId="90" fillId="32" borderId="22" xfId="0" applyFont="1" applyFill="1" applyBorder="1" applyAlignment="1" applyProtection="1">
      <alignment horizontal="center"/>
      <protection locked="0"/>
    </xf>
    <xf numFmtId="171" fontId="25" fillId="0" borderId="0" xfId="0" applyNumberFormat="1" applyFont="1" applyAlignment="1" applyProtection="1">
      <alignment horizontal="left"/>
      <protection locked="0"/>
    </xf>
    <xf numFmtId="0" fontId="47" fillId="0" borderId="0" xfId="0" applyFont="1" applyAlignment="1" applyProtection="1">
      <alignment horizontal="center" vertical="center" wrapText="1"/>
      <protection locked="0"/>
    </xf>
    <xf numFmtId="0" fontId="24" fillId="32" borderId="21" xfId="0" applyFont="1" applyFill="1" applyBorder="1" applyAlignment="1" applyProtection="1">
      <alignment horizontal="center"/>
      <protection locked="0"/>
    </xf>
    <xf numFmtId="0" fontId="24" fillId="32" borderId="0" xfId="0" applyFont="1" applyFill="1" applyBorder="1" applyAlignment="1" applyProtection="1">
      <alignment horizontal="center"/>
      <protection locked="0"/>
    </xf>
    <xf numFmtId="0" fontId="24" fillId="32" borderId="22" xfId="0" applyFont="1" applyFill="1" applyBorder="1" applyAlignment="1" applyProtection="1">
      <alignment horizontal="center"/>
      <protection locked="0"/>
    </xf>
    <xf numFmtId="0" fontId="24" fillId="32" borderId="23" xfId="0" applyFont="1" applyFill="1" applyBorder="1" applyAlignment="1" applyProtection="1">
      <alignment horizontal="center"/>
      <protection locked="0"/>
    </xf>
    <xf numFmtId="0" fontId="24" fillId="32" borderId="24" xfId="0" applyFont="1" applyFill="1" applyBorder="1" applyAlignment="1" applyProtection="1">
      <alignment horizontal="center"/>
      <protection locked="0"/>
    </xf>
    <xf numFmtId="0" fontId="24" fillId="32" borderId="25" xfId="0" applyFont="1" applyFill="1" applyBorder="1" applyAlignment="1" applyProtection="1">
      <alignment horizontal="center"/>
      <protection locked="0"/>
    </xf>
    <xf numFmtId="0" fontId="6" fillId="32" borderId="180" xfId="0" applyFont="1" applyFill="1" applyBorder="1" applyAlignment="1" applyProtection="1">
      <alignment horizontal="center"/>
      <protection locked="0"/>
    </xf>
    <xf numFmtId="0" fontId="6" fillId="32" borderId="181" xfId="0" applyFont="1" applyFill="1" applyBorder="1" applyAlignment="1" applyProtection="1">
      <alignment horizontal="center"/>
      <protection locked="0"/>
    </xf>
    <xf numFmtId="0" fontId="6" fillId="32" borderId="182" xfId="0" applyFont="1" applyFill="1" applyBorder="1" applyAlignment="1" applyProtection="1">
      <alignment horizontal="center"/>
      <protection locked="0"/>
    </xf>
    <xf numFmtId="0" fontId="6" fillId="32" borderId="170" xfId="0" applyFont="1" applyFill="1" applyBorder="1" applyAlignment="1" applyProtection="1">
      <alignment horizontal="center"/>
      <protection locked="0"/>
    </xf>
    <xf numFmtId="0" fontId="6" fillId="32" borderId="168" xfId="0" applyFont="1" applyFill="1" applyBorder="1" applyAlignment="1" applyProtection="1">
      <alignment horizontal="center"/>
      <protection locked="0"/>
    </xf>
    <xf numFmtId="0" fontId="6" fillId="32" borderId="169" xfId="0" applyFont="1" applyFill="1" applyBorder="1" applyAlignment="1" applyProtection="1">
      <alignment horizontal="center"/>
      <protection locked="0"/>
    </xf>
    <xf numFmtId="0" fontId="23" fillId="0" borderId="176" xfId="0" applyFont="1" applyFill="1" applyBorder="1" applyAlignment="1" applyProtection="1">
      <alignment horizontal="center"/>
      <protection locked="0"/>
    </xf>
    <xf numFmtId="0" fontId="23" fillId="0" borderId="177" xfId="0" applyFont="1" applyFill="1" applyBorder="1" applyAlignment="1" applyProtection="1">
      <alignment horizontal="center"/>
      <protection locked="0"/>
    </xf>
    <xf numFmtId="0" fontId="23" fillId="0" borderId="178" xfId="0" applyFont="1" applyFill="1" applyBorder="1" applyAlignment="1" applyProtection="1">
      <alignment horizontal="center"/>
      <protection locked="0"/>
    </xf>
    <xf numFmtId="0" fontId="99" fillId="33" borderId="213" xfId="0" applyFont="1" applyFill="1" applyBorder="1" applyAlignment="1" applyProtection="1">
      <alignment horizontal="center" vertical="center"/>
      <protection locked="0"/>
    </xf>
    <xf numFmtId="0" fontId="99" fillId="33" borderId="214" xfId="0" applyFont="1" applyFill="1" applyBorder="1" applyAlignment="1" applyProtection="1">
      <alignment horizontal="center" vertical="center"/>
      <protection locked="0"/>
    </xf>
    <xf numFmtId="0" fontId="99" fillId="33" borderId="215" xfId="0" applyFont="1" applyFill="1" applyBorder="1" applyAlignment="1" applyProtection="1">
      <alignment horizontal="center" vertical="center"/>
      <protection locked="0"/>
    </xf>
    <xf numFmtId="0" fontId="99" fillId="33" borderId="216" xfId="0" applyFont="1" applyFill="1" applyBorder="1" applyAlignment="1" applyProtection="1">
      <alignment horizontal="center" vertical="center"/>
      <protection locked="0"/>
    </xf>
    <xf numFmtId="0" fontId="99" fillId="33" borderId="217" xfId="0" applyFont="1" applyFill="1" applyBorder="1" applyAlignment="1" applyProtection="1">
      <alignment horizontal="center" vertical="center"/>
      <protection locked="0"/>
    </xf>
    <xf numFmtId="0" fontId="99" fillId="33" borderId="218" xfId="0" applyFont="1" applyFill="1" applyBorder="1" applyAlignment="1" applyProtection="1">
      <alignment horizontal="center" vertical="center"/>
      <protection locked="0"/>
    </xf>
    <xf numFmtId="0" fontId="100" fillId="31" borderId="0" xfId="0" applyFont="1" applyFill="1" applyAlignment="1" applyProtection="1">
      <alignment horizontal="center"/>
      <protection locked="0"/>
    </xf>
    <xf numFmtId="0" fontId="86" fillId="32" borderId="185" xfId="0" applyFont="1" applyFill="1" applyBorder="1" applyAlignment="1" applyProtection="1">
      <alignment horizontal="center" vertical="center" wrapText="1"/>
      <protection locked="0"/>
    </xf>
    <xf numFmtId="171" fontId="10" fillId="0" borderId="24" xfId="0" applyNumberFormat="1" applyFont="1" applyBorder="1" applyAlignment="1">
      <alignment horizontal="center"/>
    </xf>
    <xf numFmtId="0" fontId="25" fillId="7" borderId="77" xfId="0" applyFont="1" applyFill="1" applyBorder="1" applyAlignment="1">
      <alignment horizontal="center" vertical="center" wrapText="1"/>
    </xf>
    <xf numFmtId="0" fontId="25" fillId="7" borderId="75" xfId="0" applyFont="1" applyFill="1" applyBorder="1" applyAlignment="1">
      <alignment horizontal="center" vertical="center" wrapText="1"/>
    </xf>
    <xf numFmtId="0" fontId="25" fillId="6" borderId="23" xfId="0" applyFont="1" applyFill="1" applyBorder="1" applyAlignment="1">
      <alignment horizontal="center" vertical="center" wrapText="1"/>
    </xf>
    <xf numFmtId="0" fontId="25" fillId="6" borderId="24" xfId="0" applyFont="1" applyFill="1" applyBorder="1" applyAlignment="1">
      <alignment horizontal="center" vertical="center" wrapText="1"/>
    </xf>
    <xf numFmtId="0" fontId="4" fillId="6" borderId="23" xfId="0" applyFont="1" applyFill="1" applyBorder="1" applyAlignment="1">
      <alignment horizontal="center" vertical="center"/>
    </xf>
    <xf numFmtId="0" fontId="4" fillId="6" borderId="24" xfId="0" applyFont="1" applyFill="1" applyBorder="1" applyAlignment="1">
      <alignment horizontal="center" vertical="center"/>
    </xf>
    <xf numFmtId="0" fontId="7" fillId="6" borderId="24" xfId="0" applyFont="1" applyFill="1" applyBorder="1" applyAlignment="1">
      <alignment horizontal="center" vertical="center"/>
    </xf>
    <xf numFmtId="166" fontId="5" fillId="7" borderId="116" xfId="0" applyNumberFormat="1" applyFont="1" applyFill="1" applyBorder="1" applyAlignment="1">
      <alignment horizontal="center" vertical="center" wrapText="1"/>
    </xf>
    <xf numFmtId="0" fontId="35" fillId="6" borderId="24" xfId="0" applyFont="1" applyFill="1" applyBorder="1" applyAlignment="1">
      <alignment horizontal="center" vertical="center" wrapText="1"/>
    </xf>
    <xf numFmtId="0" fontId="43" fillId="8" borderId="19" xfId="0" applyFont="1" applyFill="1" applyBorder="1" applyAlignment="1">
      <alignment horizontal="center"/>
    </xf>
    <xf numFmtId="0" fontId="43" fillId="8" borderId="10" xfId="0" applyFont="1" applyFill="1" applyBorder="1" applyAlignment="1">
      <alignment horizontal="center"/>
    </xf>
    <xf numFmtId="0" fontId="43" fillId="8" borderId="20" xfId="0" applyFont="1" applyFill="1" applyBorder="1" applyAlignment="1">
      <alignment horizontal="center"/>
    </xf>
    <xf numFmtId="0" fontId="2" fillId="7" borderId="19" xfId="0" applyFont="1" applyFill="1" applyBorder="1" applyAlignment="1">
      <alignment horizontal="center"/>
    </xf>
    <xf numFmtId="0" fontId="2" fillId="7" borderId="10" xfId="0" applyFont="1" applyFill="1" applyBorder="1" applyAlignment="1">
      <alignment horizontal="center"/>
    </xf>
    <xf numFmtId="0" fontId="2" fillId="7" borderId="20" xfId="0" applyFont="1" applyFill="1" applyBorder="1" applyAlignment="1">
      <alignment horizontal="center"/>
    </xf>
    <xf numFmtId="0" fontId="2" fillId="7" borderId="21" xfId="0" applyNumberFormat="1" applyFont="1" applyFill="1" applyBorder="1" applyAlignment="1">
      <alignment horizontal="center"/>
    </xf>
    <xf numFmtId="0" fontId="2" fillId="7" borderId="0" xfId="0" applyNumberFormat="1" applyFont="1" applyFill="1" applyBorder="1" applyAlignment="1">
      <alignment horizontal="center"/>
    </xf>
    <xf numFmtId="0" fontId="2" fillId="7" borderId="22" xfId="0" applyNumberFormat="1" applyFont="1" applyFill="1" applyBorder="1" applyAlignment="1">
      <alignment horizontal="center"/>
    </xf>
    <xf numFmtId="0" fontId="10" fillId="7" borderId="21" xfId="0" applyFont="1" applyFill="1" applyBorder="1" applyAlignment="1">
      <alignment horizontal="center"/>
    </xf>
    <xf numFmtId="0" fontId="10" fillId="7" borderId="0" xfId="0" applyFont="1" applyFill="1" applyBorder="1" applyAlignment="1">
      <alignment horizontal="center"/>
    </xf>
    <xf numFmtId="0" fontId="10" fillId="7" borderId="22" xfId="0" applyFont="1" applyFill="1" applyBorder="1" applyAlignment="1">
      <alignment horizontal="center"/>
    </xf>
    <xf numFmtId="0" fontId="10" fillId="7" borderId="23" xfId="0" applyFont="1" applyFill="1" applyBorder="1" applyAlignment="1">
      <alignment horizontal="center"/>
    </xf>
    <xf numFmtId="0" fontId="10" fillId="7" borderId="24" xfId="0" applyFont="1" applyFill="1" applyBorder="1" applyAlignment="1">
      <alignment horizontal="center"/>
    </xf>
    <xf numFmtId="0" fontId="10" fillId="7" borderId="25" xfId="0" applyFont="1" applyFill="1" applyBorder="1" applyAlignment="1">
      <alignment horizontal="center"/>
    </xf>
    <xf numFmtId="0" fontId="10" fillId="5" borderId="60" xfId="0" applyFont="1" applyFill="1" applyBorder="1" applyAlignment="1">
      <alignment horizontal="center"/>
    </xf>
    <xf numFmtId="0" fontId="10" fillId="5" borderId="50" xfId="0" applyFont="1" applyFill="1" applyBorder="1" applyAlignment="1">
      <alignment horizontal="center"/>
    </xf>
    <xf numFmtId="0" fontId="10" fillId="5" borderId="51" xfId="0" applyFont="1" applyFill="1" applyBorder="1" applyAlignment="1">
      <alignment horizontal="center"/>
    </xf>
    <xf numFmtId="0" fontId="10" fillId="5" borderId="63" xfId="0" applyFont="1" applyFill="1" applyBorder="1" applyAlignment="1">
      <alignment horizontal="center"/>
    </xf>
    <xf numFmtId="0" fontId="10" fillId="5" borderId="54" xfId="0" applyFont="1" applyFill="1" applyBorder="1" applyAlignment="1">
      <alignment horizontal="center"/>
    </xf>
    <xf numFmtId="0" fontId="10" fillId="5" borderId="27" xfId="0" applyFont="1" applyFill="1" applyBorder="1" applyAlignment="1">
      <alignment horizontal="center"/>
    </xf>
    <xf numFmtId="0" fontId="18" fillId="0" borderId="63" xfId="0" applyFont="1" applyFill="1" applyBorder="1" applyAlignment="1">
      <alignment horizontal="center"/>
    </xf>
    <xf numFmtId="0" fontId="18" fillId="0" borderId="79" xfId="0" applyFont="1" applyFill="1" applyBorder="1" applyAlignment="1">
      <alignment horizontal="center"/>
    </xf>
    <xf numFmtId="0" fontId="18" fillId="0" borderId="27" xfId="0" applyFont="1" applyFill="1" applyBorder="1" applyAlignment="1">
      <alignment horizontal="center"/>
    </xf>
    <xf numFmtId="0" fontId="10" fillId="0" borderId="10" xfId="0" applyFont="1" applyBorder="1" applyAlignment="1">
      <alignment horizontal="center"/>
    </xf>
    <xf numFmtId="0" fontId="85" fillId="0" borderId="0" xfId="0" applyFont="1" applyAlignment="1">
      <alignment horizontal="center"/>
    </xf>
    <xf numFmtId="0" fontId="45" fillId="0" borderId="0" xfId="20" applyFont="1" applyAlignment="1">
      <alignment horizontal="center"/>
    </xf>
    <xf numFmtId="0" fontId="4" fillId="8" borderId="77" xfId="0" applyFont="1" applyFill="1" applyBorder="1" applyAlignment="1">
      <alignment horizontal="center"/>
    </xf>
    <xf numFmtId="0" fontId="4" fillId="8" borderId="75" xfId="0" applyFont="1" applyFill="1" applyBorder="1" applyAlignment="1">
      <alignment horizontal="center"/>
    </xf>
    <xf numFmtId="0" fontId="4" fillId="8" borderId="78" xfId="0" applyFont="1" applyFill="1" applyBorder="1" applyAlignment="1">
      <alignment horizontal="center"/>
    </xf>
    <xf numFmtId="0" fontId="31" fillId="0" borderId="52" xfId="0" applyFont="1" applyBorder="1" applyAlignment="1">
      <alignment horizontal="center" vertical="center" wrapText="1"/>
    </xf>
    <xf numFmtId="0" fontId="31" fillId="0" borderId="54" xfId="0" applyFont="1" applyBorder="1" applyAlignment="1">
      <alignment horizontal="center" vertical="center" wrapText="1"/>
    </xf>
    <xf numFmtId="0" fontId="31" fillId="0" borderId="27" xfId="0" applyFont="1" applyBorder="1" applyAlignment="1">
      <alignment horizontal="center" vertical="center" wrapText="1"/>
    </xf>
    <xf numFmtId="0" fontId="34" fillId="0" borderId="54" xfId="0" applyFont="1" applyBorder="1" applyAlignment="1">
      <alignment horizontal="center" vertical="center" wrapText="1"/>
    </xf>
    <xf numFmtId="0" fontId="34" fillId="0" borderId="27" xfId="0" applyFont="1" applyBorder="1" applyAlignment="1">
      <alignment horizontal="center" vertical="center" wrapText="1"/>
    </xf>
    <xf numFmtId="0" fontId="71" fillId="0" borderId="0" xfId="0" applyFont="1" applyAlignment="1">
      <alignment horizontal="center"/>
    </xf>
    <xf numFmtId="0" fontId="7" fillId="6" borderId="24" xfId="0" applyFont="1" applyFill="1" applyBorder="1" applyAlignment="1">
      <alignment horizontal="center" vertical="center" wrapText="1"/>
    </xf>
    <xf numFmtId="0" fontId="7" fillId="6" borderId="25" xfId="0" applyFont="1" applyFill="1" applyBorder="1" applyAlignment="1">
      <alignment horizontal="center" vertical="center" wrapText="1"/>
    </xf>
    <xf numFmtId="0" fontId="2" fillId="0" borderId="56" xfId="0" applyFont="1" applyBorder="1" applyAlignment="1">
      <alignment horizontal="center"/>
    </xf>
    <xf numFmtId="0" fontId="2" fillId="0" borderId="58" xfId="0" applyFont="1" applyBorder="1" applyAlignment="1">
      <alignment horizontal="center"/>
    </xf>
    <xf numFmtId="0" fontId="2" fillId="0" borderId="59" xfId="0" applyFont="1" applyBorder="1" applyAlignment="1">
      <alignment horizontal="center"/>
    </xf>
    <xf numFmtId="166" fontId="9" fillId="7" borderId="75" xfId="0" applyNumberFormat="1" applyFont="1" applyFill="1" applyBorder="1" applyAlignment="1">
      <alignment horizontal="center" vertical="center"/>
    </xf>
    <xf numFmtId="166" fontId="9" fillId="7" borderId="78" xfId="0" applyNumberFormat="1" applyFont="1" applyFill="1" applyBorder="1" applyAlignment="1">
      <alignment horizontal="center" vertical="center"/>
    </xf>
    <xf numFmtId="5" fontId="9" fillId="7" borderId="75" xfId="0" applyNumberFormat="1" applyFont="1" applyFill="1" applyBorder="1" applyAlignment="1">
      <alignment horizontal="center" vertical="center"/>
    </xf>
    <xf numFmtId="5" fontId="9" fillId="7" borderId="78" xfId="0" applyNumberFormat="1" applyFont="1" applyFill="1" applyBorder="1" applyAlignment="1">
      <alignment horizontal="center" vertical="center"/>
    </xf>
    <xf numFmtId="0" fontId="6" fillId="6" borderId="24" xfId="0" applyFont="1" applyFill="1" applyBorder="1" applyAlignment="1">
      <alignment horizontal="center" vertical="center" wrapText="1"/>
    </xf>
    <xf numFmtId="166" fontId="10" fillId="6" borderId="24" xfId="0" applyNumberFormat="1" applyFont="1" applyFill="1" applyBorder="1" applyAlignment="1">
      <alignment horizontal="center" vertical="center" wrapText="1"/>
    </xf>
    <xf numFmtId="166" fontId="5" fillId="7" borderId="116" xfId="0" applyNumberFormat="1" applyFont="1" applyFill="1" applyBorder="1" applyAlignment="1">
      <alignment horizontal="center" vertical="center"/>
    </xf>
    <xf numFmtId="166" fontId="35" fillId="6" borderId="24" xfId="0" applyNumberFormat="1" applyFont="1" applyFill="1" applyBorder="1" applyAlignment="1">
      <alignment horizontal="center" vertical="center"/>
    </xf>
    <xf numFmtId="166" fontId="49" fillId="3" borderId="10" xfId="0" applyNumberFormat="1" applyFont="1" applyFill="1" applyBorder="1" applyAlignment="1">
      <alignment horizontal="center" vertical="center"/>
    </xf>
    <xf numFmtId="0" fontId="48" fillId="3" borderId="10" xfId="0" applyFont="1" applyFill="1" applyBorder="1" applyAlignment="1">
      <alignment horizontal="center" vertical="center" wrapText="1"/>
    </xf>
    <xf numFmtId="0" fontId="31" fillId="0" borderId="48" xfId="0" applyFont="1" applyBorder="1" applyAlignment="1">
      <alignment horizontal="center" vertical="center" wrapText="1"/>
    </xf>
    <xf numFmtId="0" fontId="31" fillId="0" borderId="50" xfId="0" applyFont="1" applyBorder="1" applyAlignment="1">
      <alignment horizontal="center" vertical="center" wrapText="1"/>
    </xf>
    <xf numFmtId="0" fontId="34" fillId="0" borderId="50" xfId="0" applyFont="1" applyBorder="1" applyAlignment="1">
      <alignment horizontal="center" vertical="center" wrapText="1"/>
    </xf>
    <xf numFmtId="0" fontId="34" fillId="0" borderId="51" xfId="0" applyFont="1" applyBorder="1" applyAlignment="1">
      <alignment horizontal="center" vertical="center" wrapText="1"/>
    </xf>
    <xf numFmtId="0" fontId="2" fillId="4" borderId="48" xfId="0" applyFont="1" applyFill="1" applyBorder="1" applyAlignment="1">
      <alignment horizontal="center"/>
    </xf>
    <xf numFmtId="0" fontId="2" fillId="4" borderId="50" xfId="0" applyFont="1" applyFill="1" applyBorder="1" applyAlignment="1">
      <alignment horizontal="center"/>
    </xf>
    <xf numFmtId="166" fontId="9" fillId="4" borderId="50" xfId="0" applyNumberFormat="1" applyFont="1" applyFill="1" applyBorder="1" applyAlignment="1">
      <alignment horizontal="center"/>
    </xf>
    <xf numFmtId="0" fontId="43" fillId="6" borderId="0" xfId="0" applyFont="1" applyFill="1" applyAlignment="1">
      <alignment horizontal="center"/>
    </xf>
    <xf numFmtId="0" fontId="9" fillId="4" borderId="63" xfId="0" applyFont="1" applyFill="1" applyBorder="1" applyAlignment="1">
      <alignment horizontal="center" vertical="center" wrapText="1"/>
    </xf>
    <xf numFmtId="0" fontId="9" fillId="4" borderId="54" xfId="0" applyFont="1" applyFill="1" applyBorder="1" applyAlignment="1">
      <alignment horizontal="center" vertical="center" wrapText="1"/>
    </xf>
    <xf numFmtId="0" fontId="9" fillId="4" borderId="79" xfId="0" applyFont="1" applyFill="1" applyBorder="1" applyAlignment="1">
      <alignment horizontal="center" vertical="center" wrapText="1"/>
    </xf>
    <xf numFmtId="0" fontId="2" fillId="5" borderId="63" xfId="0" applyFont="1" applyFill="1" applyBorder="1" applyAlignment="1">
      <alignment horizontal="center"/>
    </xf>
    <xf numFmtId="0" fontId="2" fillId="5" borderId="54" xfId="0" applyFont="1" applyFill="1" applyBorder="1" applyAlignment="1">
      <alignment horizontal="center"/>
    </xf>
    <xf numFmtId="0" fontId="27" fillId="6" borderId="71" xfId="0" applyFont="1" applyFill="1" applyBorder="1" applyAlignment="1">
      <alignment horizontal="center" vertical="center"/>
    </xf>
    <xf numFmtId="0" fontId="14" fillId="6" borderId="0" xfId="0" applyFont="1" applyFill="1" applyAlignment="1">
      <alignment horizontal="center" vertical="center"/>
    </xf>
    <xf numFmtId="0" fontId="14" fillId="30" borderId="0" xfId="0" applyFont="1" applyFill="1" applyAlignment="1">
      <alignment horizontal="center" vertical="center"/>
    </xf>
    <xf numFmtId="0" fontId="10" fillId="0" borderId="54" xfId="0" applyFont="1" applyFill="1" applyBorder="1" applyAlignment="1">
      <alignment horizontal="center"/>
    </xf>
    <xf numFmtId="0" fontId="10" fillId="0" borderId="27" xfId="0" applyFont="1" applyFill="1" applyBorder="1" applyAlignment="1">
      <alignment horizontal="center"/>
    </xf>
    <xf numFmtId="0" fontId="4" fillId="3" borderId="77" xfId="0" applyFont="1" applyFill="1" applyBorder="1" applyAlignment="1">
      <alignment horizontal="center" vertical="center"/>
    </xf>
    <xf numFmtId="0" fontId="4" fillId="3" borderId="75" xfId="0" applyFont="1" applyFill="1" applyBorder="1" applyAlignment="1">
      <alignment horizontal="center" vertical="center"/>
    </xf>
    <xf numFmtId="0" fontId="4" fillId="3" borderId="78" xfId="0" applyFont="1" applyFill="1" applyBorder="1" applyAlignment="1">
      <alignment horizontal="center" vertical="center"/>
    </xf>
    <xf numFmtId="0" fontId="4" fillId="3" borderId="0" xfId="0" applyFont="1" applyFill="1" applyAlignment="1">
      <alignment horizontal="center"/>
    </xf>
    <xf numFmtId="0" fontId="4" fillId="3" borderId="24" xfId="0" applyFont="1" applyFill="1" applyBorder="1" applyAlignment="1">
      <alignment horizontal="center"/>
    </xf>
    <xf numFmtId="0" fontId="10" fillId="0" borderId="50" xfId="0" applyFont="1" applyFill="1" applyBorder="1" applyAlignment="1">
      <alignment horizontal="center"/>
    </xf>
    <xf numFmtId="0" fontId="10" fillId="0" borderId="51" xfId="0" applyFont="1" applyFill="1" applyBorder="1" applyAlignment="1">
      <alignment horizontal="center"/>
    </xf>
    <xf numFmtId="0" fontId="29" fillId="0" borderId="54" xfId="20" applyFill="1" applyBorder="1" applyAlignment="1">
      <alignment horizontal="center"/>
    </xf>
    <xf numFmtId="0" fontId="10" fillId="0" borderId="71" xfId="0" applyFont="1" applyFill="1" applyBorder="1" applyAlignment="1">
      <alignment horizontal="center"/>
    </xf>
    <xf numFmtId="0" fontId="10" fillId="0" borderId="69" xfId="0" applyFont="1" applyFill="1" applyBorder="1" applyAlignment="1">
      <alignment horizontal="center"/>
    </xf>
    <xf numFmtId="0" fontId="10" fillId="0" borderId="58" xfId="0" applyFont="1" applyFill="1" applyBorder="1" applyAlignment="1">
      <alignment horizontal="center"/>
    </xf>
    <xf numFmtId="0" fontId="10" fillId="0" borderId="59" xfId="0" applyFont="1" applyFill="1" applyBorder="1" applyAlignment="1">
      <alignment horizontal="center"/>
    </xf>
    <xf numFmtId="0" fontId="50" fillId="0" borderId="77" xfId="0" applyFont="1" applyFill="1" applyBorder="1" applyAlignment="1">
      <alignment horizontal="center" vertical="center"/>
    </xf>
    <xf numFmtId="0" fontId="50" fillId="0" borderId="75" xfId="0" applyFont="1" applyFill="1" applyBorder="1" applyAlignment="1">
      <alignment horizontal="center" vertical="center"/>
    </xf>
    <xf numFmtId="0" fontId="50" fillId="0" borderId="78" xfId="0" applyFont="1" applyFill="1" applyBorder="1" applyAlignment="1">
      <alignment horizontal="center" vertical="center"/>
    </xf>
    <xf numFmtId="0" fontId="58" fillId="6" borderId="139" xfId="0" applyFont="1" applyFill="1" applyBorder="1" applyAlignment="1">
      <alignment horizontal="center" vertical="center" wrapText="1"/>
    </xf>
    <xf numFmtId="0" fontId="58" fillId="6" borderId="0" xfId="0" applyFont="1" applyFill="1" applyBorder="1" applyAlignment="1">
      <alignment horizontal="center" vertical="center" wrapText="1"/>
    </xf>
    <xf numFmtId="0" fontId="52" fillId="4" borderId="0" xfId="0" applyFont="1" applyFill="1" applyBorder="1" applyAlignment="1">
      <alignment horizontal="center" vertical="center"/>
    </xf>
    <xf numFmtId="0" fontId="52" fillId="5" borderId="0" xfId="0" applyFont="1" applyFill="1" applyBorder="1" applyAlignment="1">
      <alignment horizontal="center" vertical="center"/>
    </xf>
    <xf numFmtId="0" fontId="37" fillId="8" borderId="0" xfId="0" applyFont="1" applyFill="1" applyAlignment="1">
      <alignment horizontal="center" vertical="center"/>
    </xf>
    <xf numFmtId="0" fontId="27" fillId="8" borderId="23" xfId="0" applyFont="1" applyFill="1" applyBorder="1" applyAlignment="1">
      <alignment horizontal="center" vertical="center"/>
    </xf>
    <xf numFmtId="0" fontId="27" fillId="8" borderId="24" xfId="0" applyFont="1" applyFill="1" applyBorder="1" applyAlignment="1">
      <alignment horizontal="center" vertical="center"/>
    </xf>
    <xf numFmtId="0" fontId="27" fillId="8" borderId="25" xfId="0" applyFont="1" applyFill="1" applyBorder="1" applyAlignment="1">
      <alignment horizontal="center" vertical="center"/>
    </xf>
    <xf numFmtId="0" fontId="28" fillId="8" borderId="0" xfId="0" applyFont="1" applyFill="1" applyAlignment="1">
      <alignment horizontal="center" vertical="center"/>
    </xf>
    <xf numFmtId="0" fontId="12" fillId="0" borderId="0" xfId="0" applyFont="1" applyAlignment="1">
      <alignment horizontal="center"/>
    </xf>
    <xf numFmtId="0" fontId="24" fillId="6" borderId="77" xfId="0" applyFont="1" applyFill="1" applyBorder="1" applyAlignment="1">
      <alignment horizontal="center"/>
    </xf>
    <xf numFmtId="0" fontId="24" fillId="6" borderId="157" xfId="0" applyFont="1" applyFill="1" applyBorder="1" applyAlignment="1">
      <alignment horizontal="center"/>
    </xf>
    <xf numFmtId="0" fontId="18" fillId="0" borderId="75" xfId="0" applyFont="1" applyBorder="1" applyAlignment="1" applyProtection="1">
      <alignment horizontal="center"/>
      <protection locked="0"/>
    </xf>
    <xf numFmtId="0" fontId="18" fillId="0" borderId="78" xfId="0" applyFont="1" applyBorder="1" applyAlignment="1" applyProtection="1">
      <alignment horizontal="center"/>
      <protection locked="0"/>
    </xf>
    <xf numFmtId="0" fontId="65" fillId="0" borderId="0" xfId="0" applyFont="1" applyAlignment="1">
      <alignment horizontal="center"/>
    </xf>
    <xf numFmtId="0" fontId="28" fillId="3" borderId="68" xfId="0" applyFont="1" applyFill="1" applyBorder="1" applyAlignment="1">
      <alignment horizontal="center"/>
    </xf>
    <xf numFmtId="0" fontId="28" fillId="3" borderId="85" xfId="0" applyFont="1" applyFill="1" applyBorder="1" applyAlignment="1">
      <alignment horizontal="center"/>
    </xf>
    <xf numFmtId="0" fontId="6" fillId="3" borderId="1" xfId="0" applyFont="1" applyFill="1" applyBorder="1" applyAlignment="1">
      <alignment horizontal="center"/>
    </xf>
    <xf numFmtId="0" fontId="6" fillId="3" borderId="12" xfId="0" applyFont="1" applyFill="1" applyBorder="1" applyAlignment="1">
      <alignment horizontal="center"/>
    </xf>
    <xf numFmtId="0" fontId="2" fillId="5" borderId="80" xfId="0" applyFont="1" applyFill="1" applyBorder="1" applyAlignment="1">
      <alignment horizontal="center"/>
    </xf>
    <xf numFmtId="0" fontId="2" fillId="5" borderId="83" xfId="0" applyFont="1" applyFill="1" applyBorder="1" applyAlignment="1">
      <alignment horizontal="center"/>
    </xf>
    <xf numFmtId="0" fontId="10" fillId="5" borderId="1" xfId="0" applyFont="1" applyFill="1" applyBorder="1" applyAlignment="1">
      <alignment horizontal="center"/>
    </xf>
    <xf numFmtId="0" fontId="10" fillId="5" borderId="80" xfId="0" applyFont="1" applyFill="1" applyBorder="1" applyAlignment="1">
      <alignment horizontal="center"/>
    </xf>
    <xf numFmtId="0" fontId="10" fillId="5" borderId="71" xfId="0" applyFont="1" applyFill="1" applyBorder="1" applyAlignment="1">
      <alignment horizontal="center"/>
    </xf>
    <xf numFmtId="0" fontId="10" fillId="5" borderId="83" xfId="0" applyFont="1" applyFill="1" applyBorder="1" applyAlignment="1">
      <alignment horizontal="center"/>
    </xf>
    <xf numFmtId="0" fontId="5" fillId="0" borderId="0" xfId="0" applyFont="1" applyAlignment="1">
      <alignment horizontal="center"/>
    </xf>
    <xf numFmtId="0" fontId="59" fillId="0" borderId="0" xfId="0" applyFont="1" applyFill="1" applyBorder="1" applyAlignment="1">
      <alignment horizontal="center"/>
    </xf>
    <xf numFmtId="0" fontId="5" fillId="5" borderId="81" xfId="0" applyFont="1" applyFill="1" applyBorder="1" applyAlignment="1">
      <alignment horizontal="center"/>
    </xf>
    <xf numFmtId="0" fontId="5" fillId="5" borderId="0" xfId="0" applyFont="1" applyFill="1" applyBorder="1" applyAlignment="1">
      <alignment horizontal="center"/>
    </xf>
    <xf numFmtId="0" fontId="5" fillId="5" borderId="84" xfId="0" applyFont="1" applyFill="1" applyBorder="1" applyAlignment="1">
      <alignment horizontal="center"/>
    </xf>
    <xf numFmtId="0" fontId="27" fillId="8" borderId="0" xfId="0" applyFont="1" applyFill="1" applyAlignment="1">
      <alignment horizontal="center"/>
    </xf>
    <xf numFmtId="168" fontId="28" fillId="8" borderId="80" xfId="0" applyNumberFormat="1" applyFont="1" applyFill="1" applyBorder="1" applyAlignment="1">
      <alignment horizontal="center" vertical="center" wrapText="1"/>
    </xf>
    <xf numFmtId="168" fontId="28" fillId="8" borderId="83" xfId="0" applyNumberFormat="1" applyFont="1" applyFill="1" applyBorder="1" applyAlignment="1">
      <alignment horizontal="center" vertical="center" wrapText="1"/>
    </xf>
    <xf numFmtId="168" fontId="28" fillId="8" borderId="81" xfId="0" applyNumberFormat="1" applyFont="1" applyFill="1" applyBorder="1" applyAlignment="1">
      <alignment horizontal="center" vertical="center" wrapText="1"/>
    </xf>
    <xf numFmtId="168" fontId="28" fillId="8" borderId="84" xfId="0" applyNumberFormat="1" applyFont="1" applyFill="1" applyBorder="1" applyAlignment="1">
      <alignment horizontal="center" vertical="center" wrapText="1"/>
    </xf>
    <xf numFmtId="168" fontId="28" fillId="8" borderId="106" xfId="0" applyNumberFormat="1" applyFont="1" applyFill="1" applyBorder="1" applyAlignment="1">
      <alignment horizontal="center" vertical="center" wrapText="1"/>
    </xf>
    <xf numFmtId="168" fontId="28" fillId="8" borderId="107" xfId="0" applyNumberFormat="1" applyFont="1" applyFill="1" applyBorder="1" applyAlignment="1">
      <alignment horizontal="center" vertical="center" wrapText="1"/>
    </xf>
    <xf numFmtId="0" fontId="25" fillId="5" borderId="0" xfId="0" applyFont="1" applyFill="1" applyBorder="1" applyAlignment="1" applyProtection="1">
      <alignment horizontal="center"/>
      <protection hidden="1"/>
    </xf>
    <xf numFmtId="0" fontId="14" fillId="8" borderId="0" xfId="0" applyFont="1" applyFill="1" applyAlignment="1" applyProtection="1">
      <alignment horizontal="center"/>
      <protection hidden="1"/>
    </xf>
    <xf numFmtId="0" fontId="19" fillId="14" borderId="24" xfId="0" applyFont="1" applyFill="1" applyBorder="1" applyAlignment="1" applyProtection="1">
      <alignment horizontal="center" vertical="center"/>
      <protection hidden="1"/>
    </xf>
    <xf numFmtId="0" fontId="25" fillId="11" borderId="10" xfId="0" applyFont="1" applyFill="1" applyBorder="1" applyAlignment="1" applyProtection="1">
      <alignment horizontal="center"/>
      <protection hidden="1"/>
    </xf>
    <xf numFmtId="0" fontId="70" fillId="3" borderId="0" xfId="0" applyFont="1" applyFill="1" applyAlignment="1">
      <alignment horizontal="center" vertical="center"/>
    </xf>
    <xf numFmtId="0" fontId="2" fillId="0" borderId="0" xfId="0" applyFont="1" applyAlignment="1">
      <alignment horizontal="center"/>
    </xf>
    <xf numFmtId="0" fontId="30" fillId="3" borderId="0" xfId="0" applyFont="1" applyFill="1" applyAlignment="1">
      <alignment horizontal="center"/>
    </xf>
  </cellXfs>
  <cellStyles count="26">
    <cellStyle name="Currency" xfId="1" builtinId="4"/>
    <cellStyle name="Currency 2" xfId="21"/>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5" builtinId="9"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cellStyle name="Normal" xfId="0" builtinId="0"/>
    <cellStyle name="Normal 2" xfId="22"/>
    <cellStyle name="Normal 3" xfId="23"/>
    <cellStyle name="Percent" xfId="2" builtinId="5"/>
    <cellStyle name="Percent 2" xfId="24"/>
  </cellStyles>
  <dxfs count="0"/>
  <tableStyles count="0" defaultTableStyle="TableStyleMedium2" defaultPivotStyle="PivotStyleLight16"/>
  <colors>
    <mruColors>
      <color rgb="FFD1D147"/>
      <color rgb="FFDDC723"/>
      <color rgb="FFE8D966"/>
      <color rgb="FFEADC76"/>
      <color rgb="FFC7B31F"/>
      <color rgb="FFDEC92A"/>
      <color rgb="FFEBEB43"/>
      <color rgb="FF4D2403"/>
      <color rgb="FFA14D07"/>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0" Type="http://schemas.openxmlformats.org/officeDocument/2006/relationships/worksheet" Target="worksheets/sheet20.xml"/><Relationship Id="rId21" Type="http://schemas.openxmlformats.org/officeDocument/2006/relationships/worksheet" Target="worksheets/sheet21.xml"/><Relationship Id="rId22" Type="http://schemas.openxmlformats.org/officeDocument/2006/relationships/worksheet" Target="worksheets/sheet22.xml"/><Relationship Id="rId23" Type="http://schemas.openxmlformats.org/officeDocument/2006/relationships/worksheet" Target="worksheets/sheet23.xml"/><Relationship Id="rId24" Type="http://schemas.openxmlformats.org/officeDocument/2006/relationships/worksheet" Target="worksheets/sheet24.xml"/><Relationship Id="rId25" Type="http://schemas.openxmlformats.org/officeDocument/2006/relationships/worksheet" Target="worksheets/sheet25.xml"/><Relationship Id="rId26" Type="http://schemas.openxmlformats.org/officeDocument/2006/relationships/externalLink" Target="externalLinks/externalLink1.xml"/><Relationship Id="rId27" Type="http://schemas.openxmlformats.org/officeDocument/2006/relationships/externalLink" Target="externalLinks/externalLink2.xml"/><Relationship Id="rId28" Type="http://schemas.openxmlformats.org/officeDocument/2006/relationships/externalLink" Target="externalLinks/externalLink3.xml"/><Relationship Id="rId2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30" Type="http://schemas.openxmlformats.org/officeDocument/2006/relationships/styles" Target="styles.xml"/><Relationship Id="rId31" Type="http://schemas.openxmlformats.org/officeDocument/2006/relationships/sharedStrings" Target="sharedStrings.xml"/><Relationship Id="rId32" Type="http://schemas.openxmlformats.org/officeDocument/2006/relationships/calcChain" Target="calcChain.xml"/><Relationship Id="rId9" Type="http://schemas.openxmlformats.org/officeDocument/2006/relationships/worksheet" Target="worksheets/sheet9.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33"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33"/>
    </mc:Choice>
    <mc:Fallback>
      <c:style val="33"/>
    </mc:Fallback>
  </mc:AlternateContent>
  <c:chart>
    <c:title>
      <c:tx>
        <c:rich>
          <a:bodyPr/>
          <a:lstStyle/>
          <a:p>
            <a:pPr>
              <a:defRPr/>
            </a:pPr>
            <a:r>
              <a:rPr lang="en-US">
                <a:latin typeface="Arial Black" pitchFamily="34" charset="0"/>
              </a:rPr>
              <a:t>O/H</a:t>
            </a:r>
            <a:r>
              <a:rPr lang="en-US" baseline="0">
                <a:latin typeface="Arial Black" pitchFamily="34" charset="0"/>
              </a:rPr>
              <a:t> &amp; P Break-Down</a:t>
            </a:r>
            <a:endParaRPr lang="en-US">
              <a:latin typeface="Arial Black" pitchFamily="34" charset="0"/>
            </a:endParaRPr>
          </a:p>
        </c:rich>
      </c:tx>
      <c:overlay val="0"/>
    </c:title>
    <c:autoTitleDeleted val="0"/>
    <c:view3D>
      <c:rotX val="30"/>
      <c:rotY val="0"/>
      <c:depthPercent val="100"/>
      <c:rAngAx val="1"/>
    </c:view3D>
    <c:floor>
      <c:thickness val="0"/>
    </c:floor>
    <c:sideWall>
      <c:thickness val="0"/>
    </c:sideWall>
    <c:backWall>
      <c:thickness val="0"/>
    </c:backWall>
    <c:plotArea>
      <c:layout>
        <c:manualLayout>
          <c:layoutTarget val="inner"/>
          <c:xMode val="edge"/>
          <c:yMode val="edge"/>
          <c:x val="0.0863869296468235"/>
          <c:y val="0.219898512685914"/>
          <c:w val="0.827226140706353"/>
          <c:h val="0.707126186149808"/>
        </c:manualLayout>
      </c:layout>
      <c:pie3DChart>
        <c:varyColors val="1"/>
        <c:ser>
          <c:idx val="0"/>
          <c:order val="0"/>
          <c:explosion val="25"/>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'OH&amp;P'!$J$2:$L$2</c:f>
              <c:strCache>
                <c:ptCount val="3"/>
                <c:pt idx="0">
                  <c:v>Cost</c:v>
                </c:pt>
                <c:pt idx="1">
                  <c:v>Overhead</c:v>
                </c:pt>
                <c:pt idx="2">
                  <c:v>Profit</c:v>
                </c:pt>
              </c:strCache>
            </c:strRef>
          </c:cat>
          <c:val>
            <c:numRef>
              <c:f>'OH&amp;P'!$J$8:$L$8</c:f>
              <c:numCache>
                <c:formatCode>"$"#,##0</c:formatCode>
                <c:ptCount val="3"/>
                <c:pt idx="0">
                  <c:v>1.11120844751111E6</c:v>
                </c:pt>
                <c:pt idx="1">
                  <c:v>205398.7968446861</c:v>
                </c:pt>
                <c:pt idx="2">
                  <c:v>132940.6700379147</c:v>
                </c:pt>
              </c:numCache>
            </c:numRef>
          </c:val>
        </c:ser>
        <c:dLbls>
          <c:showLegendKey val="0"/>
          <c:showVal val="0"/>
          <c:showCatName val="1"/>
          <c:showSerName val="0"/>
          <c:showPercent val="1"/>
          <c:showBubbleSize val="0"/>
          <c:showLeaderLines val="1"/>
        </c:dLbls>
      </c:pie3DChart>
    </c:plotArea>
    <c:plotVisOnly val="1"/>
    <c:dispBlanksAs val="gap"/>
    <c:showDLblsOverMax val="0"/>
  </c:chart>
  <c:spPr>
    <a:solidFill>
      <a:schemeClr val="bg2">
        <a:lumMod val="50000"/>
      </a:schemeClr>
    </a:solidFill>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rich>
          <a:bodyPr/>
          <a:lstStyle/>
          <a:p>
            <a:pPr>
              <a:defRPr/>
            </a:pPr>
            <a:r>
              <a:rPr lang="en-US">
                <a:latin typeface="Arial Black" pitchFamily="34" charset="0"/>
              </a:rPr>
              <a:t>Bid</a:t>
            </a:r>
            <a:r>
              <a:rPr lang="en-US" baseline="0">
                <a:latin typeface="Arial Black" pitchFamily="34" charset="0"/>
              </a:rPr>
              <a:t> Break-Down</a:t>
            </a:r>
            <a:endParaRPr lang="en-US">
              <a:latin typeface="Arial Black" pitchFamily="34" charset="0"/>
            </a:endParaRPr>
          </a:p>
        </c:rich>
      </c:tx>
      <c:overlay val="0"/>
    </c:title>
    <c:autoTitleDeleted val="0"/>
    <c:view3D>
      <c:rotX val="30"/>
      <c:rotY val="0"/>
      <c:depthPercent val="100"/>
      <c:rAngAx val="1"/>
    </c:view3D>
    <c:floor>
      <c:thickness val="0"/>
    </c:floor>
    <c:sideWall>
      <c:thickness val="0"/>
    </c:sideWall>
    <c:backWall>
      <c:thickness val="0"/>
    </c:backWall>
    <c:plotArea>
      <c:layout/>
      <c:pie3DChart>
        <c:varyColors val="1"/>
        <c:ser>
          <c:idx val="0"/>
          <c:order val="0"/>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'OH&amp;P'!$H$3:$H$7</c:f>
              <c:strCache>
                <c:ptCount val="5"/>
                <c:pt idx="0">
                  <c:v>Labor</c:v>
                </c:pt>
                <c:pt idx="1">
                  <c:v>Material</c:v>
                </c:pt>
                <c:pt idx="2">
                  <c:v>Equipment</c:v>
                </c:pt>
                <c:pt idx="3">
                  <c:v>Support</c:v>
                </c:pt>
                <c:pt idx="4">
                  <c:v>Sub-Contractors</c:v>
                </c:pt>
              </c:strCache>
            </c:strRef>
          </c:cat>
          <c:val>
            <c:numRef>
              <c:f>'OH&amp;P'!$I$3:$I$7</c:f>
              <c:numCache>
                <c:formatCode>"$"#,##0</c:formatCode>
                <c:ptCount val="5"/>
                <c:pt idx="0">
                  <c:v>831670.5901206711</c:v>
                </c:pt>
                <c:pt idx="1">
                  <c:v>377594.896243907</c:v>
                </c:pt>
                <c:pt idx="2">
                  <c:v>23416.43582640812</c:v>
                </c:pt>
                <c:pt idx="3">
                  <c:v>216865.9922027291</c:v>
                </c:pt>
                <c:pt idx="4">
                  <c:v>0.0</c:v>
                </c:pt>
              </c:numCache>
            </c:numRef>
          </c:val>
        </c:ser>
        <c:dLbls>
          <c:showLegendKey val="0"/>
          <c:showVal val="0"/>
          <c:showCatName val="1"/>
          <c:showSerName val="0"/>
          <c:showPercent val="1"/>
          <c:showBubbleSize val="0"/>
          <c:showLeaderLines val="1"/>
        </c:dLbls>
      </c:pie3DChart>
    </c:plotArea>
    <c:plotVisOnly val="1"/>
    <c:dispBlanksAs val="gap"/>
    <c:showDLblsOverMax val="0"/>
  </c:chart>
  <c:spPr>
    <a:solidFill>
      <a:schemeClr val="bg2">
        <a:lumMod val="75000"/>
      </a:schemeClr>
    </a:solidFill>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41"/>
    </mc:Choice>
    <mc:Fallback>
      <c:style val="41"/>
    </mc:Fallback>
  </mc:AlternateContent>
  <c:chart>
    <c:title>
      <c:tx>
        <c:rich>
          <a:bodyPr/>
          <a:lstStyle/>
          <a:p>
            <a:pPr>
              <a:defRPr/>
            </a:pPr>
            <a:r>
              <a:rPr lang="en-US">
                <a:latin typeface="Arial Black" pitchFamily="34" charset="0"/>
              </a:rPr>
              <a:t>Cost</a:t>
            </a:r>
            <a:r>
              <a:rPr lang="en-US" baseline="0">
                <a:latin typeface="Arial Black" pitchFamily="34" charset="0"/>
              </a:rPr>
              <a:t> Analysis</a:t>
            </a:r>
            <a:endParaRPr lang="en-US">
              <a:latin typeface="Arial Black" pitchFamily="34" charset="0"/>
            </a:endParaRPr>
          </a:p>
        </c:rich>
      </c:tx>
      <c:overlay val="0"/>
    </c:title>
    <c:autoTitleDeleted val="0"/>
    <c:plotArea>
      <c:layout/>
      <c:barChart>
        <c:barDir val="bar"/>
        <c:grouping val="stacked"/>
        <c:varyColors val="0"/>
        <c:ser>
          <c:idx val="0"/>
          <c:order val="0"/>
          <c:tx>
            <c:v>Cost</c:v>
          </c:tx>
          <c:invertIfNegative val="0"/>
          <c:cat>
            <c:strRef>
              <c:f>'OH&amp;P'!$H$3:$H$7</c:f>
              <c:strCache>
                <c:ptCount val="5"/>
                <c:pt idx="0">
                  <c:v>Labor</c:v>
                </c:pt>
                <c:pt idx="1">
                  <c:v>Material</c:v>
                </c:pt>
                <c:pt idx="2">
                  <c:v>Equipment</c:v>
                </c:pt>
                <c:pt idx="3">
                  <c:v>Support</c:v>
                </c:pt>
                <c:pt idx="4">
                  <c:v>Sub-Contractors</c:v>
                </c:pt>
              </c:strCache>
            </c:strRef>
          </c:cat>
          <c:val>
            <c:numRef>
              <c:f>'OH&amp;P'!$J$3:$J$7</c:f>
              <c:numCache>
                <c:formatCode>"$"#,##0</c:formatCode>
                <c:ptCount val="5"/>
                <c:pt idx="0">
                  <c:v>598802.824886883</c:v>
                </c:pt>
                <c:pt idx="1">
                  <c:v>305851.8659575646</c:v>
                </c:pt>
                <c:pt idx="2">
                  <c:v>21133.33333333333</c:v>
                </c:pt>
                <c:pt idx="3">
                  <c:v>185420.4233333333</c:v>
                </c:pt>
                <c:pt idx="4">
                  <c:v>0.0</c:v>
                </c:pt>
              </c:numCache>
            </c:numRef>
          </c:val>
        </c:ser>
        <c:ser>
          <c:idx val="1"/>
          <c:order val="1"/>
          <c:tx>
            <c:v>Overhead</c:v>
          </c:tx>
          <c:invertIfNegative val="0"/>
          <c:val>
            <c:numRef>
              <c:f>'OH&amp;P'!$K$3:$K$7</c:f>
              <c:numCache>
                <c:formatCode>"$"#,##0</c:formatCode>
                <c:ptCount val="5"/>
                <c:pt idx="0">
                  <c:v>149700.7062217208</c:v>
                </c:pt>
                <c:pt idx="1">
                  <c:v>33983.54066195164</c:v>
                </c:pt>
                <c:pt idx="2">
                  <c:v>1112.280701754386</c:v>
                </c:pt>
                <c:pt idx="3">
                  <c:v>20602.26925925925</c:v>
                </c:pt>
                <c:pt idx="4">
                  <c:v>0.0</c:v>
                </c:pt>
              </c:numCache>
            </c:numRef>
          </c:val>
        </c:ser>
        <c:ser>
          <c:idx val="2"/>
          <c:order val="2"/>
          <c:tx>
            <c:v>Profit</c:v>
          </c:tx>
          <c:invertIfNegative val="0"/>
          <c:val>
            <c:numRef>
              <c:f>'OH&amp;P'!$L$3:$L$7</c:f>
              <c:numCache>
                <c:formatCode>"$"#,##0</c:formatCode>
                <c:ptCount val="5"/>
                <c:pt idx="0">
                  <c:v>83167.05901206715</c:v>
                </c:pt>
                <c:pt idx="1">
                  <c:v>37759.48962439067</c:v>
                </c:pt>
                <c:pt idx="2">
                  <c:v>1170.821791320406</c:v>
                </c:pt>
                <c:pt idx="3">
                  <c:v>10843.29961013648</c:v>
                </c:pt>
                <c:pt idx="4">
                  <c:v>0.0</c:v>
                </c:pt>
              </c:numCache>
            </c:numRef>
          </c:val>
        </c:ser>
        <c:dLbls>
          <c:showLegendKey val="0"/>
          <c:showVal val="0"/>
          <c:showCatName val="0"/>
          <c:showSerName val="0"/>
          <c:showPercent val="0"/>
          <c:showBubbleSize val="0"/>
        </c:dLbls>
        <c:gapWidth val="95"/>
        <c:overlap val="100"/>
        <c:axId val="1840308096"/>
        <c:axId val="1840978448"/>
      </c:barChart>
      <c:catAx>
        <c:axId val="1840308096"/>
        <c:scaling>
          <c:orientation val="minMax"/>
        </c:scaling>
        <c:delete val="0"/>
        <c:axPos val="l"/>
        <c:numFmt formatCode="General" sourceLinked="0"/>
        <c:majorTickMark val="none"/>
        <c:minorTickMark val="none"/>
        <c:tickLblPos val="nextTo"/>
        <c:crossAx val="1840978448"/>
        <c:crosses val="autoZero"/>
        <c:auto val="1"/>
        <c:lblAlgn val="ctr"/>
        <c:lblOffset val="100"/>
        <c:noMultiLvlLbl val="0"/>
      </c:catAx>
      <c:valAx>
        <c:axId val="1840978448"/>
        <c:scaling>
          <c:orientation val="minMax"/>
        </c:scaling>
        <c:delete val="0"/>
        <c:axPos val="b"/>
        <c:majorGridlines/>
        <c:numFmt formatCode="&quot;$&quot;#,##0" sourceLinked="1"/>
        <c:majorTickMark val="none"/>
        <c:minorTickMark val="none"/>
        <c:tickLblPos val="nextTo"/>
        <c:crossAx val="1840308096"/>
        <c:crosses val="autoZero"/>
        <c:crossBetween val="between"/>
      </c:valAx>
      <c:dTable>
        <c:showHorzBorder val="1"/>
        <c:showVertBorder val="1"/>
        <c:showOutline val="1"/>
        <c:showKeys val="1"/>
      </c:dTable>
      <c:spPr>
        <a:solidFill>
          <a:schemeClr val="bg2">
            <a:lumMod val="50000"/>
          </a:schemeClr>
        </a:solidFill>
      </c:spPr>
    </c:plotArea>
    <c:plotVisOnly val="1"/>
    <c:dispBlanksAs val="gap"/>
    <c:showDLblsOverMax val="0"/>
  </c:chart>
  <c:spPr>
    <a:solidFill>
      <a:schemeClr val="bg2">
        <a:lumMod val="10000"/>
      </a:schemeClr>
    </a:solidFill>
  </c:spPr>
  <c:printSettings>
    <c:headerFooter/>
    <c:pageMargins b="0.75" l="0.7" r="0.7" t="0.75" header="0.3" footer="0.3"/>
    <c:pageSetup/>
  </c:printSettings>
</c:chartSpace>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0.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chart" Target="../charts/chart2.xml"/><Relationship Id="rId3"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xdr:col>
      <xdr:colOff>0</xdr:colOff>
      <xdr:row>1285</xdr:row>
      <xdr:rowOff>95250</xdr:rowOff>
    </xdr:from>
    <xdr:to>
      <xdr:col>1</xdr:col>
      <xdr:colOff>781050</xdr:colOff>
      <xdr:row>1285</xdr:row>
      <xdr:rowOff>323850</xdr:rowOff>
    </xdr:to>
    <xdr:sp macro="" textlink="">
      <xdr:nvSpPr>
        <xdr:cNvPr id="2" name="Right Arrow 1"/>
        <xdr:cNvSpPr/>
      </xdr:nvSpPr>
      <xdr:spPr>
        <a:xfrm rot="10800000">
          <a:off x="590550" y="1428750"/>
          <a:ext cx="590550" cy="95250"/>
        </a:xfrm>
        <a:prstGeom prst="rightArrow">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1306</xdr:row>
      <xdr:rowOff>95250</xdr:rowOff>
    </xdr:from>
    <xdr:to>
      <xdr:col>1</xdr:col>
      <xdr:colOff>781050</xdr:colOff>
      <xdr:row>1306</xdr:row>
      <xdr:rowOff>323850</xdr:rowOff>
    </xdr:to>
    <xdr:sp macro="" textlink="">
      <xdr:nvSpPr>
        <xdr:cNvPr id="4" name="Right Arrow 3"/>
        <xdr:cNvSpPr/>
      </xdr:nvSpPr>
      <xdr:spPr>
        <a:xfrm rot="10800000">
          <a:off x="581025" y="2695575"/>
          <a:ext cx="781050" cy="228600"/>
        </a:xfrm>
        <a:prstGeom prst="rightArrow">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xdr:colOff>
      <xdr:row>10</xdr:row>
      <xdr:rowOff>76200</xdr:rowOff>
    </xdr:from>
    <xdr:to>
      <xdr:col>3</xdr:col>
      <xdr:colOff>228600</xdr:colOff>
      <xdr:row>10</xdr:row>
      <xdr:rowOff>129540</xdr:rowOff>
    </xdr:to>
    <xdr:sp macro="" textlink="">
      <xdr:nvSpPr>
        <xdr:cNvPr id="2" name="Right Arrow 1"/>
        <xdr:cNvSpPr/>
      </xdr:nvSpPr>
      <xdr:spPr>
        <a:xfrm rot="10800000">
          <a:off x="1533525" y="1714500"/>
          <a:ext cx="666750" cy="5334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38100</xdr:colOff>
      <xdr:row>35</xdr:row>
      <xdr:rowOff>76200</xdr:rowOff>
    </xdr:from>
    <xdr:to>
      <xdr:col>3</xdr:col>
      <xdr:colOff>228600</xdr:colOff>
      <xdr:row>35</xdr:row>
      <xdr:rowOff>129540</xdr:rowOff>
    </xdr:to>
    <xdr:sp macro="" textlink="">
      <xdr:nvSpPr>
        <xdr:cNvPr id="46" name="Right Arrow 45"/>
        <xdr:cNvSpPr/>
      </xdr:nvSpPr>
      <xdr:spPr>
        <a:xfrm rot="10800000">
          <a:off x="1531620" y="2049780"/>
          <a:ext cx="670560" cy="5334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38100</xdr:colOff>
      <xdr:row>43</xdr:row>
      <xdr:rowOff>76200</xdr:rowOff>
    </xdr:from>
    <xdr:to>
      <xdr:col>3</xdr:col>
      <xdr:colOff>228600</xdr:colOff>
      <xdr:row>43</xdr:row>
      <xdr:rowOff>129540</xdr:rowOff>
    </xdr:to>
    <xdr:sp macro="" textlink="">
      <xdr:nvSpPr>
        <xdr:cNvPr id="48" name="Right Arrow 47"/>
        <xdr:cNvSpPr/>
      </xdr:nvSpPr>
      <xdr:spPr>
        <a:xfrm rot="10800000">
          <a:off x="1531620" y="2049780"/>
          <a:ext cx="670560" cy="5334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38100</xdr:colOff>
      <xdr:row>51</xdr:row>
      <xdr:rowOff>76200</xdr:rowOff>
    </xdr:from>
    <xdr:to>
      <xdr:col>3</xdr:col>
      <xdr:colOff>228600</xdr:colOff>
      <xdr:row>51</xdr:row>
      <xdr:rowOff>129540</xdr:rowOff>
    </xdr:to>
    <xdr:sp macro="" textlink="">
      <xdr:nvSpPr>
        <xdr:cNvPr id="49" name="Right Arrow 48"/>
        <xdr:cNvSpPr/>
      </xdr:nvSpPr>
      <xdr:spPr>
        <a:xfrm rot="10800000">
          <a:off x="1531620" y="2049780"/>
          <a:ext cx="670560" cy="5334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38100</xdr:colOff>
      <xdr:row>57</xdr:row>
      <xdr:rowOff>76200</xdr:rowOff>
    </xdr:from>
    <xdr:to>
      <xdr:col>3</xdr:col>
      <xdr:colOff>228600</xdr:colOff>
      <xdr:row>57</xdr:row>
      <xdr:rowOff>129540</xdr:rowOff>
    </xdr:to>
    <xdr:sp macro="" textlink="">
      <xdr:nvSpPr>
        <xdr:cNvPr id="50" name="Right Arrow 49"/>
        <xdr:cNvSpPr/>
      </xdr:nvSpPr>
      <xdr:spPr>
        <a:xfrm rot="10800000">
          <a:off x="1531620" y="2049780"/>
          <a:ext cx="670560" cy="5334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38100</xdr:colOff>
      <xdr:row>65</xdr:row>
      <xdr:rowOff>76200</xdr:rowOff>
    </xdr:from>
    <xdr:to>
      <xdr:col>3</xdr:col>
      <xdr:colOff>228600</xdr:colOff>
      <xdr:row>65</xdr:row>
      <xdr:rowOff>129540</xdr:rowOff>
    </xdr:to>
    <xdr:sp macro="" textlink="">
      <xdr:nvSpPr>
        <xdr:cNvPr id="51" name="Right Arrow 50"/>
        <xdr:cNvSpPr/>
      </xdr:nvSpPr>
      <xdr:spPr>
        <a:xfrm rot="10800000">
          <a:off x="1531620" y="2049780"/>
          <a:ext cx="670560" cy="5334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38100</xdr:colOff>
      <xdr:row>73</xdr:row>
      <xdr:rowOff>76200</xdr:rowOff>
    </xdr:from>
    <xdr:to>
      <xdr:col>3</xdr:col>
      <xdr:colOff>228600</xdr:colOff>
      <xdr:row>73</xdr:row>
      <xdr:rowOff>129540</xdr:rowOff>
    </xdr:to>
    <xdr:sp macro="" textlink="">
      <xdr:nvSpPr>
        <xdr:cNvPr id="52" name="Right Arrow 51"/>
        <xdr:cNvSpPr/>
      </xdr:nvSpPr>
      <xdr:spPr>
        <a:xfrm rot="10800000">
          <a:off x="1531620" y="2049780"/>
          <a:ext cx="670560" cy="5334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38100</xdr:colOff>
      <xdr:row>79</xdr:row>
      <xdr:rowOff>76200</xdr:rowOff>
    </xdr:from>
    <xdr:to>
      <xdr:col>3</xdr:col>
      <xdr:colOff>228600</xdr:colOff>
      <xdr:row>79</xdr:row>
      <xdr:rowOff>129540</xdr:rowOff>
    </xdr:to>
    <xdr:sp macro="" textlink="">
      <xdr:nvSpPr>
        <xdr:cNvPr id="53" name="Right Arrow 52"/>
        <xdr:cNvSpPr/>
      </xdr:nvSpPr>
      <xdr:spPr>
        <a:xfrm rot="10800000">
          <a:off x="1531620" y="2049780"/>
          <a:ext cx="670560" cy="5334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38100</xdr:colOff>
      <xdr:row>86</xdr:row>
      <xdr:rowOff>76200</xdr:rowOff>
    </xdr:from>
    <xdr:to>
      <xdr:col>3</xdr:col>
      <xdr:colOff>228600</xdr:colOff>
      <xdr:row>86</xdr:row>
      <xdr:rowOff>129540</xdr:rowOff>
    </xdr:to>
    <xdr:sp macro="" textlink="">
      <xdr:nvSpPr>
        <xdr:cNvPr id="54" name="Right Arrow 53"/>
        <xdr:cNvSpPr/>
      </xdr:nvSpPr>
      <xdr:spPr>
        <a:xfrm rot="10800000">
          <a:off x="1531620" y="2049780"/>
          <a:ext cx="670560" cy="5334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38100</xdr:colOff>
      <xdr:row>94</xdr:row>
      <xdr:rowOff>76200</xdr:rowOff>
    </xdr:from>
    <xdr:to>
      <xdr:col>3</xdr:col>
      <xdr:colOff>228600</xdr:colOff>
      <xdr:row>94</xdr:row>
      <xdr:rowOff>129540</xdr:rowOff>
    </xdr:to>
    <xdr:sp macro="" textlink="">
      <xdr:nvSpPr>
        <xdr:cNvPr id="55" name="Right Arrow 54"/>
        <xdr:cNvSpPr/>
      </xdr:nvSpPr>
      <xdr:spPr>
        <a:xfrm rot="10800000">
          <a:off x="1531620" y="2049780"/>
          <a:ext cx="670560" cy="5334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38100</xdr:colOff>
      <xdr:row>102</xdr:row>
      <xdr:rowOff>76200</xdr:rowOff>
    </xdr:from>
    <xdr:to>
      <xdr:col>3</xdr:col>
      <xdr:colOff>228600</xdr:colOff>
      <xdr:row>102</xdr:row>
      <xdr:rowOff>129540</xdr:rowOff>
    </xdr:to>
    <xdr:sp macro="" textlink="">
      <xdr:nvSpPr>
        <xdr:cNvPr id="57" name="Right Arrow 56"/>
        <xdr:cNvSpPr/>
      </xdr:nvSpPr>
      <xdr:spPr>
        <a:xfrm rot="10800000">
          <a:off x="1531620" y="2049780"/>
          <a:ext cx="670560" cy="5334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38100</xdr:colOff>
      <xdr:row>111</xdr:row>
      <xdr:rowOff>76200</xdr:rowOff>
    </xdr:from>
    <xdr:to>
      <xdr:col>3</xdr:col>
      <xdr:colOff>228600</xdr:colOff>
      <xdr:row>111</xdr:row>
      <xdr:rowOff>129540</xdr:rowOff>
    </xdr:to>
    <xdr:sp macro="" textlink="">
      <xdr:nvSpPr>
        <xdr:cNvPr id="58" name="Right Arrow 57"/>
        <xdr:cNvSpPr/>
      </xdr:nvSpPr>
      <xdr:spPr>
        <a:xfrm rot="10800000">
          <a:off x="1531620" y="2049780"/>
          <a:ext cx="670560" cy="5334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38100</xdr:colOff>
      <xdr:row>119</xdr:row>
      <xdr:rowOff>76200</xdr:rowOff>
    </xdr:from>
    <xdr:to>
      <xdr:col>3</xdr:col>
      <xdr:colOff>228600</xdr:colOff>
      <xdr:row>119</xdr:row>
      <xdr:rowOff>129540</xdr:rowOff>
    </xdr:to>
    <xdr:sp macro="" textlink="">
      <xdr:nvSpPr>
        <xdr:cNvPr id="59" name="Right Arrow 58"/>
        <xdr:cNvSpPr/>
      </xdr:nvSpPr>
      <xdr:spPr>
        <a:xfrm rot="10800000">
          <a:off x="1531620" y="2049780"/>
          <a:ext cx="670560" cy="5334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38100</xdr:colOff>
      <xdr:row>127</xdr:row>
      <xdr:rowOff>76200</xdr:rowOff>
    </xdr:from>
    <xdr:to>
      <xdr:col>3</xdr:col>
      <xdr:colOff>228600</xdr:colOff>
      <xdr:row>127</xdr:row>
      <xdr:rowOff>129540</xdr:rowOff>
    </xdr:to>
    <xdr:sp macro="" textlink="">
      <xdr:nvSpPr>
        <xdr:cNvPr id="60" name="Right Arrow 59"/>
        <xdr:cNvSpPr/>
      </xdr:nvSpPr>
      <xdr:spPr>
        <a:xfrm rot="10800000">
          <a:off x="1531620" y="2049780"/>
          <a:ext cx="670560" cy="5334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38100</xdr:colOff>
      <xdr:row>135</xdr:row>
      <xdr:rowOff>76200</xdr:rowOff>
    </xdr:from>
    <xdr:to>
      <xdr:col>3</xdr:col>
      <xdr:colOff>228600</xdr:colOff>
      <xdr:row>135</xdr:row>
      <xdr:rowOff>129540</xdr:rowOff>
    </xdr:to>
    <xdr:sp macro="" textlink="">
      <xdr:nvSpPr>
        <xdr:cNvPr id="61" name="Right Arrow 60"/>
        <xdr:cNvSpPr/>
      </xdr:nvSpPr>
      <xdr:spPr>
        <a:xfrm rot="10800000">
          <a:off x="1531620" y="2049780"/>
          <a:ext cx="670560" cy="5334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38100</xdr:colOff>
      <xdr:row>144</xdr:row>
      <xdr:rowOff>76200</xdr:rowOff>
    </xdr:from>
    <xdr:to>
      <xdr:col>3</xdr:col>
      <xdr:colOff>228600</xdr:colOff>
      <xdr:row>144</xdr:row>
      <xdr:rowOff>129540</xdr:rowOff>
    </xdr:to>
    <xdr:sp macro="" textlink="">
      <xdr:nvSpPr>
        <xdr:cNvPr id="62" name="Right Arrow 61"/>
        <xdr:cNvSpPr/>
      </xdr:nvSpPr>
      <xdr:spPr>
        <a:xfrm rot="10800000">
          <a:off x="1531620" y="2049780"/>
          <a:ext cx="670560" cy="5334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38100</xdr:colOff>
      <xdr:row>154</xdr:row>
      <xdr:rowOff>76200</xdr:rowOff>
    </xdr:from>
    <xdr:to>
      <xdr:col>3</xdr:col>
      <xdr:colOff>228600</xdr:colOff>
      <xdr:row>154</xdr:row>
      <xdr:rowOff>129540</xdr:rowOff>
    </xdr:to>
    <xdr:sp macro="" textlink="">
      <xdr:nvSpPr>
        <xdr:cNvPr id="64" name="Right Arrow 63"/>
        <xdr:cNvSpPr/>
      </xdr:nvSpPr>
      <xdr:spPr>
        <a:xfrm rot="10800000">
          <a:off x="1531620" y="2049780"/>
          <a:ext cx="670560" cy="5334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38100</xdr:colOff>
      <xdr:row>162</xdr:row>
      <xdr:rowOff>76200</xdr:rowOff>
    </xdr:from>
    <xdr:to>
      <xdr:col>3</xdr:col>
      <xdr:colOff>228600</xdr:colOff>
      <xdr:row>162</xdr:row>
      <xdr:rowOff>129540</xdr:rowOff>
    </xdr:to>
    <xdr:sp macro="" textlink="">
      <xdr:nvSpPr>
        <xdr:cNvPr id="65" name="Right Arrow 64"/>
        <xdr:cNvSpPr/>
      </xdr:nvSpPr>
      <xdr:spPr>
        <a:xfrm rot="10800000">
          <a:off x="1531620" y="2049780"/>
          <a:ext cx="670560" cy="5334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38100</xdr:colOff>
      <xdr:row>171</xdr:row>
      <xdr:rowOff>76200</xdr:rowOff>
    </xdr:from>
    <xdr:to>
      <xdr:col>3</xdr:col>
      <xdr:colOff>228600</xdr:colOff>
      <xdr:row>171</xdr:row>
      <xdr:rowOff>129540</xdr:rowOff>
    </xdr:to>
    <xdr:sp macro="" textlink="">
      <xdr:nvSpPr>
        <xdr:cNvPr id="66" name="Right Arrow 65"/>
        <xdr:cNvSpPr/>
      </xdr:nvSpPr>
      <xdr:spPr>
        <a:xfrm rot="10800000">
          <a:off x="1531620" y="2049780"/>
          <a:ext cx="670560" cy="5334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38100</xdr:colOff>
      <xdr:row>179</xdr:row>
      <xdr:rowOff>76200</xdr:rowOff>
    </xdr:from>
    <xdr:to>
      <xdr:col>3</xdr:col>
      <xdr:colOff>228600</xdr:colOff>
      <xdr:row>179</xdr:row>
      <xdr:rowOff>129540</xdr:rowOff>
    </xdr:to>
    <xdr:sp macro="" textlink="">
      <xdr:nvSpPr>
        <xdr:cNvPr id="67" name="Right Arrow 66"/>
        <xdr:cNvSpPr/>
      </xdr:nvSpPr>
      <xdr:spPr>
        <a:xfrm rot="10800000">
          <a:off x="1531620" y="2049780"/>
          <a:ext cx="670560" cy="5334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38100</xdr:colOff>
      <xdr:row>187</xdr:row>
      <xdr:rowOff>76200</xdr:rowOff>
    </xdr:from>
    <xdr:to>
      <xdr:col>3</xdr:col>
      <xdr:colOff>228600</xdr:colOff>
      <xdr:row>187</xdr:row>
      <xdr:rowOff>129540</xdr:rowOff>
    </xdr:to>
    <xdr:sp macro="" textlink="">
      <xdr:nvSpPr>
        <xdr:cNvPr id="68" name="Right Arrow 67"/>
        <xdr:cNvSpPr/>
      </xdr:nvSpPr>
      <xdr:spPr>
        <a:xfrm rot="10800000">
          <a:off x="1531620" y="2049780"/>
          <a:ext cx="670560" cy="5334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38100</xdr:colOff>
      <xdr:row>195</xdr:row>
      <xdr:rowOff>76200</xdr:rowOff>
    </xdr:from>
    <xdr:to>
      <xdr:col>3</xdr:col>
      <xdr:colOff>228600</xdr:colOff>
      <xdr:row>195</xdr:row>
      <xdr:rowOff>129540</xdr:rowOff>
    </xdr:to>
    <xdr:sp macro="" textlink="">
      <xdr:nvSpPr>
        <xdr:cNvPr id="69" name="Right Arrow 68"/>
        <xdr:cNvSpPr/>
      </xdr:nvSpPr>
      <xdr:spPr>
        <a:xfrm rot="10800000">
          <a:off x="1531620" y="2049780"/>
          <a:ext cx="670560" cy="5334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38100</xdr:colOff>
      <xdr:row>204</xdr:row>
      <xdr:rowOff>76200</xdr:rowOff>
    </xdr:from>
    <xdr:to>
      <xdr:col>3</xdr:col>
      <xdr:colOff>228600</xdr:colOff>
      <xdr:row>204</xdr:row>
      <xdr:rowOff>129540</xdr:rowOff>
    </xdr:to>
    <xdr:sp macro="" textlink="">
      <xdr:nvSpPr>
        <xdr:cNvPr id="70" name="Right Arrow 69"/>
        <xdr:cNvSpPr/>
      </xdr:nvSpPr>
      <xdr:spPr>
        <a:xfrm rot="10800000">
          <a:off x="1531620" y="2049780"/>
          <a:ext cx="670560" cy="5334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38100</xdr:colOff>
      <xdr:row>212</xdr:row>
      <xdr:rowOff>76200</xdr:rowOff>
    </xdr:from>
    <xdr:to>
      <xdr:col>3</xdr:col>
      <xdr:colOff>228600</xdr:colOff>
      <xdr:row>212</xdr:row>
      <xdr:rowOff>129540</xdr:rowOff>
    </xdr:to>
    <xdr:sp macro="" textlink="">
      <xdr:nvSpPr>
        <xdr:cNvPr id="71" name="Right Arrow 70"/>
        <xdr:cNvSpPr/>
      </xdr:nvSpPr>
      <xdr:spPr>
        <a:xfrm rot="10800000">
          <a:off x="1531620" y="2049780"/>
          <a:ext cx="670560" cy="5334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38100</xdr:colOff>
      <xdr:row>220</xdr:row>
      <xdr:rowOff>76200</xdr:rowOff>
    </xdr:from>
    <xdr:to>
      <xdr:col>3</xdr:col>
      <xdr:colOff>228600</xdr:colOff>
      <xdr:row>220</xdr:row>
      <xdr:rowOff>129540</xdr:rowOff>
    </xdr:to>
    <xdr:sp macro="" textlink="">
      <xdr:nvSpPr>
        <xdr:cNvPr id="72" name="Right Arrow 71"/>
        <xdr:cNvSpPr/>
      </xdr:nvSpPr>
      <xdr:spPr>
        <a:xfrm rot="10800000">
          <a:off x="1531620" y="2049780"/>
          <a:ext cx="670560" cy="5334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38100</xdr:colOff>
      <xdr:row>228</xdr:row>
      <xdr:rowOff>76200</xdr:rowOff>
    </xdr:from>
    <xdr:to>
      <xdr:col>3</xdr:col>
      <xdr:colOff>228600</xdr:colOff>
      <xdr:row>228</xdr:row>
      <xdr:rowOff>129540</xdr:rowOff>
    </xdr:to>
    <xdr:sp macro="" textlink="">
      <xdr:nvSpPr>
        <xdr:cNvPr id="74" name="Right Arrow 73"/>
        <xdr:cNvSpPr/>
      </xdr:nvSpPr>
      <xdr:spPr>
        <a:xfrm rot="10800000">
          <a:off x="1531620" y="2049780"/>
          <a:ext cx="670560" cy="5334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38100</xdr:colOff>
      <xdr:row>236</xdr:row>
      <xdr:rowOff>76200</xdr:rowOff>
    </xdr:from>
    <xdr:to>
      <xdr:col>3</xdr:col>
      <xdr:colOff>228600</xdr:colOff>
      <xdr:row>236</xdr:row>
      <xdr:rowOff>129540</xdr:rowOff>
    </xdr:to>
    <xdr:sp macro="" textlink="">
      <xdr:nvSpPr>
        <xdr:cNvPr id="75" name="Right Arrow 74"/>
        <xdr:cNvSpPr/>
      </xdr:nvSpPr>
      <xdr:spPr>
        <a:xfrm rot="10800000">
          <a:off x="1531620" y="2049780"/>
          <a:ext cx="670560" cy="5334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38100</xdr:colOff>
      <xdr:row>243</xdr:row>
      <xdr:rowOff>76200</xdr:rowOff>
    </xdr:from>
    <xdr:to>
      <xdr:col>3</xdr:col>
      <xdr:colOff>228600</xdr:colOff>
      <xdr:row>243</xdr:row>
      <xdr:rowOff>129540</xdr:rowOff>
    </xdr:to>
    <xdr:sp macro="" textlink="">
      <xdr:nvSpPr>
        <xdr:cNvPr id="76" name="Right Arrow 75"/>
        <xdr:cNvSpPr/>
      </xdr:nvSpPr>
      <xdr:spPr>
        <a:xfrm rot="10800000">
          <a:off x="1531620" y="2049780"/>
          <a:ext cx="670560" cy="5334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38100</xdr:colOff>
      <xdr:row>253</xdr:row>
      <xdr:rowOff>76200</xdr:rowOff>
    </xdr:from>
    <xdr:to>
      <xdr:col>3</xdr:col>
      <xdr:colOff>228600</xdr:colOff>
      <xdr:row>253</xdr:row>
      <xdr:rowOff>129540</xdr:rowOff>
    </xdr:to>
    <xdr:sp macro="" textlink="">
      <xdr:nvSpPr>
        <xdr:cNvPr id="77" name="Right Arrow 76"/>
        <xdr:cNvSpPr/>
      </xdr:nvSpPr>
      <xdr:spPr>
        <a:xfrm rot="10800000">
          <a:off x="1531620" y="2049780"/>
          <a:ext cx="670560" cy="5334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38100</xdr:colOff>
      <xdr:row>262</xdr:row>
      <xdr:rowOff>76200</xdr:rowOff>
    </xdr:from>
    <xdr:to>
      <xdr:col>3</xdr:col>
      <xdr:colOff>228600</xdr:colOff>
      <xdr:row>262</xdr:row>
      <xdr:rowOff>129540</xdr:rowOff>
    </xdr:to>
    <xdr:sp macro="" textlink="">
      <xdr:nvSpPr>
        <xdr:cNvPr id="78" name="Right Arrow 77"/>
        <xdr:cNvSpPr/>
      </xdr:nvSpPr>
      <xdr:spPr>
        <a:xfrm rot="10800000">
          <a:off x="1531620" y="49827180"/>
          <a:ext cx="670560" cy="5334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38100</xdr:colOff>
      <xdr:row>268</xdr:row>
      <xdr:rowOff>76200</xdr:rowOff>
    </xdr:from>
    <xdr:to>
      <xdr:col>3</xdr:col>
      <xdr:colOff>228600</xdr:colOff>
      <xdr:row>268</xdr:row>
      <xdr:rowOff>129540</xdr:rowOff>
    </xdr:to>
    <xdr:sp macro="" textlink="">
      <xdr:nvSpPr>
        <xdr:cNvPr id="79" name="Right Arrow 78"/>
        <xdr:cNvSpPr/>
      </xdr:nvSpPr>
      <xdr:spPr>
        <a:xfrm rot="10800000">
          <a:off x="1531620" y="49827180"/>
          <a:ext cx="670560" cy="5334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38100</xdr:colOff>
      <xdr:row>274</xdr:row>
      <xdr:rowOff>76200</xdr:rowOff>
    </xdr:from>
    <xdr:to>
      <xdr:col>3</xdr:col>
      <xdr:colOff>228600</xdr:colOff>
      <xdr:row>274</xdr:row>
      <xdr:rowOff>129540</xdr:rowOff>
    </xdr:to>
    <xdr:sp macro="" textlink="">
      <xdr:nvSpPr>
        <xdr:cNvPr id="80" name="Right Arrow 79"/>
        <xdr:cNvSpPr/>
      </xdr:nvSpPr>
      <xdr:spPr>
        <a:xfrm rot="10800000">
          <a:off x="1531620" y="49827180"/>
          <a:ext cx="670560" cy="5334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38100</xdr:colOff>
      <xdr:row>280</xdr:row>
      <xdr:rowOff>76200</xdr:rowOff>
    </xdr:from>
    <xdr:to>
      <xdr:col>3</xdr:col>
      <xdr:colOff>228600</xdr:colOff>
      <xdr:row>280</xdr:row>
      <xdr:rowOff>129540</xdr:rowOff>
    </xdr:to>
    <xdr:sp macro="" textlink="">
      <xdr:nvSpPr>
        <xdr:cNvPr id="81" name="Right Arrow 80"/>
        <xdr:cNvSpPr/>
      </xdr:nvSpPr>
      <xdr:spPr>
        <a:xfrm rot="10800000">
          <a:off x="1531620" y="49827180"/>
          <a:ext cx="670560" cy="5334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38100</xdr:colOff>
      <xdr:row>286</xdr:row>
      <xdr:rowOff>76200</xdr:rowOff>
    </xdr:from>
    <xdr:to>
      <xdr:col>3</xdr:col>
      <xdr:colOff>228600</xdr:colOff>
      <xdr:row>286</xdr:row>
      <xdr:rowOff>129540</xdr:rowOff>
    </xdr:to>
    <xdr:sp macro="" textlink="">
      <xdr:nvSpPr>
        <xdr:cNvPr id="82" name="Right Arrow 81"/>
        <xdr:cNvSpPr/>
      </xdr:nvSpPr>
      <xdr:spPr>
        <a:xfrm rot="10800000">
          <a:off x="1531620" y="49827180"/>
          <a:ext cx="670560" cy="5334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38100</xdr:colOff>
      <xdr:row>292</xdr:row>
      <xdr:rowOff>76200</xdr:rowOff>
    </xdr:from>
    <xdr:to>
      <xdr:col>3</xdr:col>
      <xdr:colOff>228600</xdr:colOff>
      <xdr:row>292</xdr:row>
      <xdr:rowOff>129540</xdr:rowOff>
    </xdr:to>
    <xdr:sp macro="" textlink="">
      <xdr:nvSpPr>
        <xdr:cNvPr id="84" name="Right Arrow 83"/>
        <xdr:cNvSpPr/>
      </xdr:nvSpPr>
      <xdr:spPr>
        <a:xfrm rot="10800000">
          <a:off x="1531620" y="49827180"/>
          <a:ext cx="670560" cy="5334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38100</xdr:colOff>
      <xdr:row>298</xdr:row>
      <xdr:rowOff>76200</xdr:rowOff>
    </xdr:from>
    <xdr:to>
      <xdr:col>3</xdr:col>
      <xdr:colOff>228600</xdr:colOff>
      <xdr:row>298</xdr:row>
      <xdr:rowOff>129540</xdr:rowOff>
    </xdr:to>
    <xdr:sp macro="" textlink="">
      <xdr:nvSpPr>
        <xdr:cNvPr id="85" name="Right Arrow 84"/>
        <xdr:cNvSpPr/>
      </xdr:nvSpPr>
      <xdr:spPr>
        <a:xfrm rot="10800000">
          <a:off x="1531620" y="49827180"/>
          <a:ext cx="670560" cy="5334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38100</xdr:colOff>
      <xdr:row>304</xdr:row>
      <xdr:rowOff>76200</xdr:rowOff>
    </xdr:from>
    <xdr:to>
      <xdr:col>3</xdr:col>
      <xdr:colOff>228600</xdr:colOff>
      <xdr:row>304</xdr:row>
      <xdr:rowOff>129540</xdr:rowOff>
    </xdr:to>
    <xdr:sp macro="" textlink="">
      <xdr:nvSpPr>
        <xdr:cNvPr id="86" name="Right Arrow 85"/>
        <xdr:cNvSpPr/>
      </xdr:nvSpPr>
      <xdr:spPr>
        <a:xfrm rot="10800000">
          <a:off x="1531620" y="49827180"/>
          <a:ext cx="670560" cy="5334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38100</xdr:colOff>
      <xdr:row>310</xdr:row>
      <xdr:rowOff>76200</xdr:rowOff>
    </xdr:from>
    <xdr:to>
      <xdr:col>3</xdr:col>
      <xdr:colOff>228600</xdr:colOff>
      <xdr:row>310</xdr:row>
      <xdr:rowOff>129540</xdr:rowOff>
    </xdr:to>
    <xdr:sp macro="" textlink="">
      <xdr:nvSpPr>
        <xdr:cNvPr id="87" name="Right Arrow 86"/>
        <xdr:cNvSpPr/>
      </xdr:nvSpPr>
      <xdr:spPr>
        <a:xfrm rot="10800000">
          <a:off x="1531620" y="49827180"/>
          <a:ext cx="670560" cy="5334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30480</xdr:colOff>
      <xdr:row>18</xdr:row>
      <xdr:rowOff>83820</xdr:rowOff>
    </xdr:from>
    <xdr:to>
      <xdr:col>3</xdr:col>
      <xdr:colOff>220980</xdr:colOff>
      <xdr:row>18</xdr:row>
      <xdr:rowOff>137160</xdr:rowOff>
    </xdr:to>
    <xdr:sp macro="" textlink="">
      <xdr:nvSpPr>
        <xdr:cNvPr id="40" name="Right Arrow 39"/>
        <xdr:cNvSpPr/>
      </xdr:nvSpPr>
      <xdr:spPr>
        <a:xfrm rot="10800000">
          <a:off x="762000" y="3162300"/>
          <a:ext cx="670560" cy="5334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22860</xdr:colOff>
      <xdr:row>26</xdr:row>
      <xdr:rowOff>68580</xdr:rowOff>
    </xdr:from>
    <xdr:to>
      <xdr:col>3</xdr:col>
      <xdr:colOff>213360</xdr:colOff>
      <xdr:row>26</xdr:row>
      <xdr:rowOff>121920</xdr:rowOff>
    </xdr:to>
    <xdr:sp macro="" textlink="">
      <xdr:nvSpPr>
        <xdr:cNvPr id="43" name="Right Arrow 42"/>
        <xdr:cNvSpPr/>
      </xdr:nvSpPr>
      <xdr:spPr>
        <a:xfrm rot="10800000">
          <a:off x="754380" y="4541520"/>
          <a:ext cx="670560" cy="5334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xdr:colOff>
      <xdr:row>9</xdr:row>
      <xdr:rowOff>76200</xdr:rowOff>
    </xdr:from>
    <xdr:to>
      <xdr:col>3</xdr:col>
      <xdr:colOff>228600</xdr:colOff>
      <xdr:row>9</xdr:row>
      <xdr:rowOff>129540</xdr:rowOff>
    </xdr:to>
    <xdr:sp macro="" textlink="">
      <xdr:nvSpPr>
        <xdr:cNvPr id="2" name="Right Arrow 1"/>
        <xdr:cNvSpPr/>
      </xdr:nvSpPr>
      <xdr:spPr>
        <a:xfrm rot="10800000">
          <a:off x="771525" y="1762125"/>
          <a:ext cx="666750" cy="5334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38100</xdr:colOff>
      <xdr:row>68</xdr:row>
      <xdr:rowOff>76200</xdr:rowOff>
    </xdr:from>
    <xdr:to>
      <xdr:col>3</xdr:col>
      <xdr:colOff>228600</xdr:colOff>
      <xdr:row>68</xdr:row>
      <xdr:rowOff>129540</xdr:rowOff>
    </xdr:to>
    <xdr:sp macro="" textlink="">
      <xdr:nvSpPr>
        <xdr:cNvPr id="3" name="Right Arrow 2"/>
        <xdr:cNvSpPr/>
      </xdr:nvSpPr>
      <xdr:spPr>
        <a:xfrm rot="10800000">
          <a:off x="771525" y="6134100"/>
          <a:ext cx="666750" cy="5334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38100</xdr:colOff>
      <xdr:row>90</xdr:row>
      <xdr:rowOff>76200</xdr:rowOff>
    </xdr:from>
    <xdr:to>
      <xdr:col>3</xdr:col>
      <xdr:colOff>228600</xdr:colOff>
      <xdr:row>90</xdr:row>
      <xdr:rowOff>129540</xdr:rowOff>
    </xdr:to>
    <xdr:sp macro="" textlink="">
      <xdr:nvSpPr>
        <xdr:cNvPr id="4" name="Right Arrow 3"/>
        <xdr:cNvSpPr/>
      </xdr:nvSpPr>
      <xdr:spPr>
        <a:xfrm rot="10800000">
          <a:off x="771525" y="7591425"/>
          <a:ext cx="666750" cy="5334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38100</xdr:colOff>
      <xdr:row>108</xdr:row>
      <xdr:rowOff>76200</xdr:rowOff>
    </xdr:from>
    <xdr:to>
      <xdr:col>3</xdr:col>
      <xdr:colOff>228600</xdr:colOff>
      <xdr:row>108</xdr:row>
      <xdr:rowOff>129540</xdr:rowOff>
    </xdr:to>
    <xdr:sp macro="" textlink="">
      <xdr:nvSpPr>
        <xdr:cNvPr id="5" name="Right Arrow 4"/>
        <xdr:cNvSpPr/>
      </xdr:nvSpPr>
      <xdr:spPr>
        <a:xfrm rot="10800000">
          <a:off x="771525" y="9048750"/>
          <a:ext cx="666750" cy="5334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38100</xdr:colOff>
      <xdr:row>126</xdr:row>
      <xdr:rowOff>76200</xdr:rowOff>
    </xdr:from>
    <xdr:to>
      <xdr:col>3</xdr:col>
      <xdr:colOff>228600</xdr:colOff>
      <xdr:row>126</xdr:row>
      <xdr:rowOff>129540</xdr:rowOff>
    </xdr:to>
    <xdr:sp macro="" textlink="">
      <xdr:nvSpPr>
        <xdr:cNvPr id="6" name="Right Arrow 5"/>
        <xdr:cNvSpPr/>
      </xdr:nvSpPr>
      <xdr:spPr>
        <a:xfrm rot="10800000">
          <a:off x="771525" y="10506075"/>
          <a:ext cx="666750" cy="5334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38100</xdr:colOff>
      <xdr:row>144</xdr:row>
      <xdr:rowOff>76200</xdr:rowOff>
    </xdr:from>
    <xdr:to>
      <xdr:col>3</xdr:col>
      <xdr:colOff>228600</xdr:colOff>
      <xdr:row>144</xdr:row>
      <xdr:rowOff>129540</xdr:rowOff>
    </xdr:to>
    <xdr:sp macro="" textlink="">
      <xdr:nvSpPr>
        <xdr:cNvPr id="7" name="Right Arrow 6"/>
        <xdr:cNvSpPr/>
      </xdr:nvSpPr>
      <xdr:spPr>
        <a:xfrm rot="10800000">
          <a:off x="771525" y="11963400"/>
          <a:ext cx="666750" cy="5334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38100</xdr:colOff>
      <xdr:row>162</xdr:row>
      <xdr:rowOff>76200</xdr:rowOff>
    </xdr:from>
    <xdr:to>
      <xdr:col>3</xdr:col>
      <xdr:colOff>228600</xdr:colOff>
      <xdr:row>162</xdr:row>
      <xdr:rowOff>129540</xdr:rowOff>
    </xdr:to>
    <xdr:sp macro="" textlink="">
      <xdr:nvSpPr>
        <xdr:cNvPr id="8" name="Right Arrow 7"/>
        <xdr:cNvSpPr/>
      </xdr:nvSpPr>
      <xdr:spPr>
        <a:xfrm rot="10800000">
          <a:off x="771525" y="13420725"/>
          <a:ext cx="666750" cy="5334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38100</xdr:colOff>
      <xdr:row>180</xdr:row>
      <xdr:rowOff>76200</xdr:rowOff>
    </xdr:from>
    <xdr:to>
      <xdr:col>3</xdr:col>
      <xdr:colOff>228600</xdr:colOff>
      <xdr:row>180</xdr:row>
      <xdr:rowOff>129540</xdr:rowOff>
    </xdr:to>
    <xdr:sp macro="" textlink="">
      <xdr:nvSpPr>
        <xdr:cNvPr id="9" name="Right Arrow 8"/>
        <xdr:cNvSpPr/>
      </xdr:nvSpPr>
      <xdr:spPr>
        <a:xfrm rot="10800000">
          <a:off x="771525" y="14878050"/>
          <a:ext cx="666750" cy="5334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30480</xdr:colOff>
      <xdr:row>29</xdr:row>
      <xdr:rowOff>83820</xdr:rowOff>
    </xdr:from>
    <xdr:to>
      <xdr:col>3</xdr:col>
      <xdr:colOff>220980</xdr:colOff>
      <xdr:row>29</xdr:row>
      <xdr:rowOff>137160</xdr:rowOff>
    </xdr:to>
    <xdr:sp macro="" textlink="">
      <xdr:nvSpPr>
        <xdr:cNvPr id="40" name="Right Arrow 39"/>
        <xdr:cNvSpPr/>
      </xdr:nvSpPr>
      <xdr:spPr>
        <a:xfrm rot="10800000">
          <a:off x="763905" y="3227070"/>
          <a:ext cx="666750" cy="5334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22860</xdr:colOff>
      <xdr:row>49</xdr:row>
      <xdr:rowOff>68580</xdr:rowOff>
    </xdr:from>
    <xdr:to>
      <xdr:col>3</xdr:col>
      <xdr:colOff>213360</xdr:colOff>
      <xdr:row>49</xdr:row>
      <xdr:rowOff>121920</xdr:rowOff>
    </xdr:to>
    <xdr:sp macro="" textlink="">
      <xdr:nvSpPr>
        <xdr:cNvPr id="41" name="Right Arrow 40"/>
        <xdr:cNvSpPr/>
      </xdr:nvSpPr>
      <xdr:spPr>
        <a:xfrm rot="10800000">
          <a:off x="756285" y="4669155"/>
          <a:ext cx="666750" cy="5334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55417</xdr:colOff>
      <xdr:row>14</xdr:row>
      <xdr:rowOff>65116</xdr:rowOff>
    </xdr:from>
    <xdr:to>
      <xdr:col>3</xdr:col>
      <xdr:colOff>690562</xdr:colOff>
      <xdr:row>14</xdr:row>
      <xdr:rowOff>110835</xdr:rowOff>
    </xdr:to>
    <xdr:sp macro="" textlink="">
      <xdr:nvSpPr>
        <xdr:cNvPr id="23" name="Right Arrow 22"/>
        <xdr:cNvSpPr/>
      </xdr:nvSpPr>
      <xdr:spPr>
        <a:xfrm rot="10800000" flipV="1">
          <a:off x="2023917" y="2493991"/>
          <a:ext cx="635145" cy="45719"/>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39687</xdr:colOff>
      <xdr:row>20</xdr:row>
      <xdr:rowOff>71438</xdr:rowOff>
    </xdr:from>
    <xdr:to>
      <xdr:col>3</xdr:col>
      <xdr:colOff>619124</xdr:colOff>
      <xdr:row>20</xdr:row>
      <xdr:rowOff>117157</xdr:rowOff>
    </xdr:to>
    <xdr:sp macro="" textlink="">
      <xdr:nvSpPr>
        <xdr:cNvPr id="25" name="Right Arrow 24"/>
        <xdr:cNvSpPr/>
      </xdr:nvSpPr>
      <xdr:spPr>
        <a:xfrm rot="10800000" flipV="1">
          <a:off x="2008187" y="3222626"/>
          <a:ext cx="579437" cy="45719"/>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55417</xdr:colOff>
      <xdr:row>54</xdr:row>
      <xdr:rowOff>65116</xdr:rowOff>
    </xdr:from>
    <xdr:to>
      <xdr:col>3</xdr:col>
      <xdr:colOff>690562</xdr:colOff>
      <xdr:row>54</xdr:row>
      <xdr:rowOff>110835</xdr:rowOff>
    </xdr:to>
    <xdr:sp macro="" textlink="">
      <xdr:nvSpPr>
        <xdr:cNvPr id="26" name="Right Arrow 25"/>
        <xdr:cNvSpPr/>
      </xdr:nvSpPr>
      <xdr:spPr>
        <a:xfrm rot="10800000" flipV="1">
          <a:off x="2023917" y="2668616"/>
          <a:ext cx="635145" cy="45719"/>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39687</xdr:colOff>
      <xdr:row>60</xdr:row>
      <xdr:rowOff>71438</xdr:rowOff>
    </xdr:from>
    <xdr:to>
      <xdr:col>3</xdr:col>
      <xdr:colOff>619124</xdr:colOff>
      <xdr:row>60</xdr:row>
      <xdr:rowOff>117157</xdr:rowOff>
    </xdr:to>
    <xdr:sp macro="" textlink="">
      <xdr:nvSpPr>
        <xdr:cNvPr id="27" name="Right Arrow 26"/>
        <xdr:cNvSpPr/>
      </xdr:nvSpPr>
      <xdr:spPr>
        <a:xfrm rot="10800000" flipV="1">
          <a:off x="2008187" y="3563938"/>
          <a:ext cx="579437" cy="45719"/>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55417</xdr:colOff>
      <xdr:row>73</xdr:row>
      <xdr:rowOff>65116</xdr:rowOff>
    </xdr:from>
    <xdr:to>
      <xdr:col>3</xdr:col>
      <xdr:colOff>690562</xdr:colOff>
      <xdr:row>73</xdr:row>
      <xdr:rowOff>110835</xdr:rowOff>
    </xdr:to>
    <xdr:sp macro="" textlink="">
      <xdr:nvSpPr>
        <xdr:cNvPr id="42" name="Right Arrow 41"/>
        <xdr:cNvSpPr/>
      </xdr:nvSpPr>
      <xdr:spPr>
        <a:xfrm rot="10800000" flipV="1">
          <a:off x="2023917" y="9494866"/>
          <a:ext cx="635145" cy="45719"/>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39687</xdr:colOff>
      <xdr:row>79</xdr:row>
      <xdr:rowOff>71438</xdr:rowOff>
    </xdr:from>
    <xdr:to>
      <xdr:col>3</xdr:col>
      <xdr:colOff>619124</xdr:colOff>
      <xdr:row>79</xdr:row>
      <xdr:rowOff>117157</xdr:rowOff>
    </xdr:to>
    <xdr:sp macro="" textlink="">
      <xdr:nvSpPr>
        <xdr:cNvPr id="43" name="Right Arrow 42"/>
        <xdr:cNvSpPr/>
      </xdr:nvSpPr>
      <xdr:spPr>
        <a:xfrm rot="10800000" flipV="1">
          <a:off x="2008187" y="10390188"/>
          <a:ext cx="579437" cy="45719"/>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55417</xdr:colOff>
      <xdr:row>95</xdr:row>
      <xdr:rowOff>65116</xdr:rowOff>
    </xdr:from>
    <xdr:to>
      <xdr:col>3</xdr:col>
      <xdr:colOff>690562</xdr:colOff>
      <xdr:row>95</xdr:row>
      <xdr:rowOff>110835</xdr:rowOff>
    </xdr:to>
    <xdr:sp macro="" textlink="">
      <xdr:nvSpPr>
        <xdr:cNvPr id="44" name="Right Arrow 43"/>
        <xdr:cNvSpPr/>
      </xdr:nvSpPr>
      <xdr:spPr>
        <a:xfrm rot="10800000" flipV="1">
          <a:off x="2023917" y="12900054"/>
          <a:ext cx="635145" cy="45719"/>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39687</xdr:colOff>
      <xdr:row>101</xdr:row>
      <xdr:rowOff>71438</xdr:rowOff>
    </xdr:from>
    <xdr:to>
      <xdr:col>3</xdr:col>
      <xdr:colOff>619124</xdr:colOff>
      <xdr:row>101</xdr:row>
      <xdr:rowOff>117157</xdr:rowOff>
    </xdr:to>
    <xdr:sp macro="" textlink="">
      <xdr:nvSpPr>
        <xdr:cNvPr id="45" name="Right Arrow 44"/>
        <xdr:cNvSpPr/>
      </xdr:nvSpPr>
      <xdr:spPr>
        <a:xfrm rot="10800000" flipV="1">
          <a:off x="2008187" y="13795376"/>
          <a:ext cx="579437" cy="45719"/>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55417</xdr:colOff>
      <xdr:row>113</xdr:row>
      <xdr:rowOff>65116</xdr:rowOff>
    </xdr:from>
    <xdr:to>
      <xdr:col>3</xdr:col>
      <xdr:colOff>690562</xdr:colOff>
      <xdr:row>113</xdr:row>
      <xdr:rowOff>110835</xdr:rowOff>
    </xdr:to>
    <xdr:sp macro="" textlink="">
      <xdr:nvSpPr>
        <xdr:cNvPr id="46" name="Right Arrow 45"/>
        <xdr:cNvSpPr/>
      </xdr:nvSpPr>
      <xdr:spPr>
        <a:xfrm rot="10800000" flipV="1">
          <a:off x="2023917" y="16241741"/>
          <a:ext cx="635145" cy="45719"/>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39687</xdr:colOff>
      <xdr:row>119</xdr:row>
      <xdr:rowOff>71438</xdr:rowOff>
    </xdr:from>
    <xdr:to>
      <xdr:col>3</xdr:col>
      <xdr:colOff>619124</xdr:colOff>
      <xdr:row>119</xdr:row>
      <xdr:rowOff>117157</xdr:rowOff>
    </xdr:to>
    <xdr:sp macro="" textlink="">
      <xdr:nvSpPr>
        <xdr:cNvPr id="47" name="Right Arrow 46"/>
        <xdr:cNvSpPr/>
      </xdr:nvSpPr>
      <xdr:spPr>
        <a:xfrm rot="10800000" flipV="1">
          <a:off x="2008187" y="17137063"/>
          <a:ext cx="579437" cy="45719"/>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55417</xdr:colOff>
      <xdr:row>131</xdr:row>
      <xdr:rowOff>65116</xdr:rowOff>
    </xdr:from>
    <xdr:to>
      <xdr:col>3</xdr:col>
      <xdr:colOff>690562</xdr:colOff>
      <xdr:row>131</xdr:row>
      <xdr:rowOff>110835</xdr:rowOff>
    </xdr:to>
    <xdr:sp macro="" textlink="">
      <xdr:nvSpPr>
        <xdr:cNvPr id="50" name="Right Arrow 49"/>
        <xdr:cNvSpPr/>
      </xdr:nvSpPr>
      <xdr:spPr>
        <a:xfrm rot="10800000" flipV="1">
          <a:off x="2023917" y="19583429"/>
          <a:ext cx="635145" cy="45719"/>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39687</xdr:colOff>
      <xdr:row>137</xdr:row>
      <xdr:rowOff>71438</xdr:rowOff>
    </xdr:from>
    <xdr:to>
      <xdr:col>3</xdr:col>
      <xdr:colOff>619124</xdr:colOff>
      <xdr:row>137</xdr:row>
      <xdr:rowOff>117157</xdr:rowOff>
    </xdr:to>
    <xdr:sp macro="" textlink="">
      <xdr:nvSpPr>
        <xdr:cNvPr id="51" name="Right Arrow 50"/>
        <xdr:cNvSpPr/>
      </xdr:nvSpPr>
      <xdr:spPr>
        <a:xfrm rot="10800000" flipV="1">
          <a:off x="2008187" y="20478751"/>
          <a:ext cx="579437" cy="45719"/>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55417</xdr:colOff>
      <xdr:row>149</xdr:row>
      <xdr:rowOff>65116</xdr:rowOff>
    </xdr:from>
    <xdr:to>
      <xdr:col>3</xdr:col>
      <xdr:colOff>690562</xdr:colOff>
      <xdr:row>149</xdr:row>
      <xdr:rowOff>110835</xdr:rowOff>
    </xdr:to>
    <xdr:sp macro="" textlink="">
      <xdr:nvSpPr>
        <xdr:cNvPr id="54" name="Right Arrow 53"/>
        <xdr:cNvSpPr/>
      </xdr:nvSpPr>
      <xdr:spPr>
        <a:xfrm rot="10800000" flipV="1">
          <a:off x="2023917" y="22988616"/>
          <a:ext cx="635145" cy="45719"/>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39687</xdr:colOff>
      <xdr:row>155</xdr:row>
      <xdr:rowOff>71438</xdr:rowOff>
    </xdr:from>
    <xdr:to>
      <xdr:col>3</xdr:col>
      <xdr:colOff>619124</xdr:colOff>
      <xdr:row>155</xdr:row>
      <xdr:rowOff>117157</xdr:rowOff>
    </xdr:to>
    <xdr:sp macro="" textlink="">
      <xdr:nvSpPr>
        <xdr:cNvPr id="55" name="Right Arrow 54"/>
        <xdr:cNvSpPr/>
      </xdr:nvSpPr>
      <xdr:spPr>
        <a:xfrm rot="10800000" flipV="1">
          <a:off x="2008187" y="23883938"/>
          <a:ext cx="579437" cy="45719"/>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55417</xdr:colOff>
      <xdr:row>167</xdr:row>
      <xdr:rowOff>65116</xdr:rowOff>
    </xdr:from>
    <xdr:to>
      <xdr:col>3</xdr:col>
      <xdr:colOff>690562</xdr:colOff>
      <xdr:row>167</xdr:row>
      <xdr:rowOff>110835</xdr:rowOff>
    </xdr:to>
    <xdr:sp macro="" textlink="">
      <xdr:nvSpPr>
        <xdr:cNvPr id="56" name="Right Arrow 55"/>
        <xdr:cNvSpPr/>
      </xdr:nvSpPr>
      <xdr:spPr>
        <a:xfrm rot="10800000" flipV="1">
          <a:off x="2023917" y="26393804"/>
          <a:ext cx="635145" cy="45719"/>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39687</xdr:colOff>
      <xdr:row>173</xdr:row>
      <xdr:rowOff>71438</xdr:rowOff>
    </xdr:from>
    <xdr:to>
      <xdr:col>3</xdr:col>
      <xdr:colOff>619124</xdr:colOff>
      <xdr:row>173</xdr:row>
      <xdr:rowOff>117157</xdr:rowOff>
    </xdr:to>
    <xdr:sp macro="" textlink="">
      <xdr:nvSpPr>
        <xdr:cNvPr id="57" name="Right Arrow 56"/>
        <xdr:cNvSpPr/>
      </xdr:nvSpPr>
      <xdr:spPr>
        <a:xfrm rot="10800000" flipV="1">
          <a:off x="2008187" y="27289126"/>
          <a:ext cx="579437" cy="45719"/>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55417</xdr:colOff>
      <xdr:row>185</xdr:row>
      <xdr:rowOff>65116</xdr:rowOff>
    </xdr:from>
    <xdr:to>
      <xdr:col>3</xdr:col>
      <xdr:colOff>690562</xdr:colOff>
      <xdr:row>185</xdr:row>
      <xdr:rowOff>110835</xdr:rowOff>
    </xdr:to>
    <xdr:sp macro="" textlink="">
      <xdr:nvSpPr>
        <xdr:cNvPr id="60" name="Right Arrow 59"/>
        <xdr:cNvSpPr/>
      </xdr:nvSpPr>
      <xdr:spPr>
        <a:xfrm rot="10800000" flipV="1">
          <a:off x="2023917" y="29798991"/>
          <a:ext cx="635145" cy="45719"/>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39687</xdr:colOff>
      <xdr:row>191</xdr:row>
      <xdr:rowOff>71438</xdr:rowOff>
    </xdr:from>
    <xdr:to>
      <xdr:col>3</xdr:col>
      <xdr:colOff>619124</xdr:colOff>
      <xdr:row>191</xdr:row>
      <xdr:rowOff>117157</xdr:rowOff>
    </xdr:to>
    <xdr:sp macro="" textlink="">
      <xdr:nvSpPr>
        <xdr:cNvPr id="61" name="Right Arrow 60"/>
        <xdr:cNvSpPr/>
      </xdr:nvSpPr>
      <xdr:spPr>
        <a:xfrm rot="10800000" flipV="1">
          <a:off x="2008187" y="30694313"/>
          <a:ext cx="579437" cy="45719"/>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9</xdr:col>
      <xdr:colOff>333375</xdr:colOff>
      <xdr:row>0</xdr:row>
      <xdr:rowOff>57150</xdr:rowOff>
    </xdr:from>
    <xdr:to>
      <xdr:col>13</xdr:col>
      <xdr:colOff>283611</xdr:colOff>
      <xdr:row>4</xdr:row>
      <xdr:rowOff>142875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05575" y="57150"/>
          <a:ext cx="2083836" cy="71437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9</xdr:col>
      <xdr:colOff>47625</xdr:colOff>
      <xdr:row>0</xdr:row>
      <xdr:rowOff>38100</xdr:rowOff>
    </xdr:from>
    <xdr:to>
      <xdr:col>12</xdr:col>
      <xdr:colOff>952</xdr:colOff>
      <xdr:row>3</xdr:row>
      <xdr:rowOff>127661</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676775" y="38100"/>
          <a:ext cx="2008129" cy="67058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4</xdr:col>
      <xdr:colOff>295276</xdr:colOff>
      <xdr:row>1</xdr:row>
      <xdr:rowOff>171451</xdr:rowOff>
    </xdr:from>
    <xdr:to>
      <xdr:col>6</xdr:col>
      <xdr:colOff>390526</xdr:colOff>
      <xdr:row>1</xdr:row>
      <xdr:rowOff>314325</xdr:rowOff>
    </xdr:to>
    <xdr:sp macro="" textlink="">
      <xdr:nvSpPr>
        <xdr:cNvPr id="2" name="Right Arrow 1"/>
        <xdr:cNvSpPr/>
      </xdr:nvSpPr>
      <xdr:spPr>
        <a:xfrm>
          <a:off x="3219451" y="466726"/>
          <a:ext cx="1085850" cy="142874"/>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30480</xdr:colOff>
      <xdr:row>9</xdr:row>
      <xdr:rowOff>38100</xdr:rowOff>
    </xdr:from>
    <xdr:to>
      <xdr:col>1</xdr:col>
      <xdr:colOff>411480</xdr:colOff>
      <xdr:row>9</xdr:row>
      <xdr:rowOff>114300</xdr:rowOff>
    </xdr:to>
    <xdr:sp macro="" textlink="">
      <xdr:nvSpPr>
        <xdr:cNvPr id="2" name="Right Arrow 1"/>
        <xdr:cNvSpPr/>
      </xdr:nvSpPr>
      <xdr:spPr>
        <a:xfrm rot="10800000">
          <a:off x="609600" y="1927860"/>
          <a:ext cx="381000" cy="7620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30480</xdr:colOff>
      <xdr:row>14</xdr:row>
      <xdr:rowOff>45720</xdr:rowOff>
    </xdr:from>
    <xdr:to>
      <xdr:col>1</xdr:col>
      <xdr:colOff>411480</xdr:colOff>
      <xdr:row>14</xdr:row>
      <xdr:rowOff>121920</xdr:rowOff>
    </xdr:to>
    <xdr:sp macro="" textlink="">
      <xdr:nvSpPr>
        <xdr:cNvPr id="40" name="Right Arrow 39"/>
        <xdr:cNvSpPr/>
      </xdr:nvSpPr>
      <xdr:spPr>
        <a:xfrm rot="10800000">
          <a:off x="609600" y="2575560"/>
          <a:ext cx="381000" cy="7620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350520</xdr:colOff>
      <xdr:row>17</xdr:row>
      <xdr:rowOff>68580</xdr:rowOff>
    </xdr:from>
    <xdr:to>
      <xdr:col>13</xdr:col>
      <xdr:colOff>373380</xdr:colOff>
      <xdr:row>17</xdr:row>
      <xdr:rowOff>144780</xdr:rowOff>
    </xdr:to>
    <xdr:sp macro="" textlink="">
      <xdr:nvSpPr>
        <xdr:cNvPr id="41" name="Right Arrow 40"/>
        <xdr:cNvSpPr/>
      </xdr:nvSpPr>
      <xdr:spPr>
        <a:xfrm>
          <a:off x="4411980" y="3192780"/>
          <a:ext cx="1036320" cy="76200"/>
        </a:xfrm>
        <a:prstGeom prst="rightArrow">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30480</xdr:colOff>
      <xdr:row>24</xdr:row>
      <xdr:rowOff>38100</xdr:rowOff>
    </xdr:from>
    <xdr:to>
      <xdr:col>1</xdr:col>
      <xdr:colOff>411480</xdr:colOff>
      <xdr:row>24</xdr:row>
      <xdr:rowOff>114300</xdr:rowOff>
    </xdr:to>
    <xdr:sp macro="" textlink="">
      <xdr:nvSpPr>
        <xdr:cNvPr id="48" name="Right Arrow 47"/>
        <xdr:cNvSpPr/>
      </xdr:nvSpPr>
      <xdr:spPr>
        <a:xfrm rot="10800000">
          <a:off x="609600" y="2522220"/>
          <a:ext cx="381000" cy="7620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30480</xdr:colOff>
      <xdr:row>29</xdr:row>
      <xdr:rowOff>45720</xdr:rowOff>
    </xdr:from>
    <xdr:to>
      <xdr:col>1</xdr:col>
      <xdr:colOff>411480</xdr:colOff>
      <xdr:row>29</xdr:row>
      <xdr:rowOff>121920</xdr:rowOff>
    </xdr:to>
    <xdr:sp macro="" textlink="">
      <xdr:nvSpPr>
        <xdr:cNvPr id="49" name="Right Arrow 48"/>
        <xdr:cNvSpPr/>
      </xdr:nvSpPr>
      <xdr:spPr>
        <a:xfrm rot="10800000">
          <a:off x="609600" y="3169920"/>
          <a:ext cx="381000" cy="7620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350520</xdr:colOff>
      <xdr:row>32</xdr:row>
      <xdr:rowOff>68580</xdr:rowOff>
    </xdr:from>
    <xdr:to>
      <xdr:col>13</xdr:col>
      <xdr:colOff>373380</xdr:colOff>
      <xdr:row>32</xdr:row>
      <xdr:rowOff>144780</xdr:rowOff>
    </xdr:to>
    <xdr:sp macro="" textlink="">
      <xdr:nvSpPr>
        <xdr:cNvPr id="50" name="Right Arrow 49"/>
        <xdr:cNvSpPr/>
      </xdr:nvSpPr>
      <xdr:spPr>
        <a:xfrm>
          <a:off x="6240780" y="3634740"/>
          <a:ext cx="1036320" cy="76200"/>
        </a:xfrm>
        <a:prstGeom prst="rightArrow">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30480</xdr:colOff>
      <xdr:row>39</xdr:row>
      <xdr:rowOff>38100</xdr:rowOff>
    </xdr:from>
    <xdr:to>
      <xdr:col>1</xdr:col>
      <xdr:colOff>411480</xdr:colOff>
      <xdr:row>39</xdr:row>
      <xdr:rowOff>114300</xdr:rowOff>
    </xdr:to>
    <xdr:sp macro="" textlink="">
      <xdr:nvSpPr>
        <xdr:cNvPr id="51" name="Right Arrow 50"/>
        <xdr:cNvSpPr/>
      </xdr:nvSpPr>
      <xdr:spPr>
        <a:xfrm rot="10800000">
          <a:off x="609600" y="2522220"/>
          <a:ext cx="381000" cy="7620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30480</xdr:colOff>
      <xdr:row>44</xdr:row>
      <xdr:rowOff>45720</xdr:rowOff>
    </xdr:from>
    <xdr:to>
      <xdr:col>1</xdr:col>
      <xdr:colOff>411480</xdr:colOff>
      <xdr:row>44</xdr:row>
      <xdr:rowOff>121920</xdr:rowOff>
    </xdr:to>
    <xdr:sp macro="" textlink="">
      <xdr:nvSpPr>
        <xdr:cNvPr id="52" name="Right Arrow 51"/>
        <xdr:cNvSpPr/>
      </xdr:nvSpPr>
      <xdr:spPr>
        <a:xfrm rot="10800000">
          <a:off x="609600" y="3169920"/>
          <a:ext cx="381000" cy="7620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350520</xdr:colOff>
      <xdr:row>47</xdr:row>
      <xdr:rowOff>68580</xdr:rowOff>
    </xdr:from>
    <xdr:to>
      <xdr:col>13</xdr:col>
      <xdr:colOff>373380</xdr:colOff>
      <xdr:row>47</xdr:row>
      <xdr:rowOff>144780</xdr:rowOff>
    </xdr:to>
    <xdr:sp macro="" textlink="">
      <xdr:nvSpPr>
        <xdr:cNvPr id="53" name="Right Arrow 52"/>
        <xdr:cNvSpPr/>
      </xdr:nvSpPr>
      <xdr:spPr>
        <a:xfrm>
          <a:off x="6240780" y="3634740"/>
          <a:ext cx="1036320" cy="76200"/>
        </a:xfrm>
        <a:prstGeom prst="rightArrow">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30480</xdr:colOff>
      <xdr:row>54</xdr:row>
      <xdr:rowOff>38100</xdr:rowOff>
    </xdr:from>
    <xdr:to>
      <xdr:col>1</xdr:col>
      <xdr:colOff>411480</xdr:colOff>
      <xdr:row>54</xdr:row>
      <xdr:rowOff>114300</xdr:rowOff>
    </xdr:to>
    <xdr:sp macro="" textlink="">
      <xdr:nvSpPr>
        <xdr:cNvPr id="54" name="Right Arrow 53"/>
        <xdr:cNvSpPr/>
      </xdr:nvSpPr>
      <xdr:spPr>
        <a:xfrm rot="10800000">
          <a:off x="609600" y="2522220"/>
          <a:ext cx="381000" cy="7620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30480</xdr:colOff>
      <xdr:row>59</xdr:row>
      <xdr:rowOff>45720</xdr:rowOff>
    </xdr:from>
    <xdr:to>
      <xdr:col>1</xdr:col>
      <xdr:colOff>411480</xdr:colOff>
      <xdr:row>59</xdr:row>
      <xdr:rowOff>121920</xdr:rowOff>
    </xdr:to>
    <xdr:sp macro="" textlink="">
      <xdr:nvSpPr>
        <xdr:cNvPr id="55" name="Right Arrow 54"/>
        <xdr:cNvSpPr/>
      </xdr:nvSpPr>
      <xdr:spPr>
        <a:xfrm rot="10800000">
          <a:off x="609600" y="3169920"/>
          <a:ext cx="381000" cy="7620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350520</xdr:colOff>
      <xdr:row>62</xdr:row>
      <xdr:rowOff>68580</xdr:rowOff>
    </xdr:from>
    <xdr:to>
      <xdr:col>13</xdr:col>
      <xdr:colOff>373380</xdr:colOff>
      <xdr:row>62</xdr:row>
      <xdr:rowOff>144780</xdr:rowOff>
    </xdr:to>
    <xdr:sp macro="" textlink="">
      <xdr:nvSpPr>
        <xdr:cNvPr id="56" name="Right Arrow 55"/>
        <xdr:cNvSpPr/>
      </xdr:nvSpPr>
      <xdr:spPr>
        <a:xfrm>
          <a:off x="6240780" y="3634740"/>
          <a:ext cx="1036320" cy="76200"/>
        </a:xfrm>
        <a:prstGeom prst="rightArrow">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30480</xdr:colOff>
      <xdr:row>69</xdr:row>
      <xdr:rowOff>38100</xdr:rowOff>
    </xdr:from>
    <xdr:to>
      <xdr:col>1</xdr:col>
      <xdr:colOff>411480</xdr:colOff>
      <xdr:row>69</xdr:row>
      <xdr:rowOff>114300</xdr:rowOff>
    </xdr:to>
    <xdr:sp macro="" textlink="">
      <xdr:nvSpPr>
        <xdr:cNvPr id="57" name="Right Arrow 56"/>
        <xdr:cNvSpPr/>
      </xdr:nvSpPr>
      <xdr:spPr>
        <a:xfrm rot="10800000">
          <a:off x="609600" y="2522220"/>
          <a:ext cx="381000" cy="7620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30480</xdr:colOff>
      <xdr:row>74</xdr:row>
      <xdr:rowOff>45720</xdr:rowOff>
    </xdr:from>
    <xdr:to>
      <xdr:col>1</xdr:col>
      <xdr:colOff>411480</xdr:colOff>
      <xdr:row>74</xdr:row>
      <xdr:rowOff>121920</xdr:rowOff>
    </xdr:to>
    <xdr:sp macro="" textlink="">
      <xdr:nvSpPr>
        <xdr:cNvPr id="58" name="Right Arrow 57"/>
        <xdr:cNvSpPr/>
      </xdr:nvSpPr>
      <xdr:spPr>
        <a:xfrm rot="10800000">
          <a:off x="609600" y="3169920"/>
          <a:ext cx="381000" cy="7620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350520</xdr:colOff>
      <xdr:row>77</xdr:row>
      <xdr:rowOff>68580</xdr:rowOff>
    </xdr:from>
    <xdr:to>
      <xdr:col>13</xdr:col>
      <xdr:colOff>373380</xdr:colOff>
      <xdr:row>77</xdr:row>
      <xdr:rowOff>144780</xdr:rowOff>
    </xdr:to>
    <xdr:sp macro="" textlink="">
      <xdr:nvSpPr>
        <xdr:cNvPr id="59" name="Right Arrow 58"/>
        <xdr:cNvSpPr/>
      </xdr:nvSpPr>
      <xdr:spPr>
        <a:xfrm>
          <a:off x="6240780" y="3634740"/>
          <a:ext cx="1036320" cy="76200"/>
        </a:xfrm>
        <a:prstGeom prst="rightArrow">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30480</xdr:colOff>
      <xdr:row>84</xdr:row>
      <xdr:rowOff>38100</xdr:rowOff>
    </xdr:from>
    <xdr:to>
      <xdr:col>1</xdr:col>
      <xdr:colOff>411480</xdr:colOff>
      <xdr:row>84</xdr:row>
      <xdr:rowOff>114300</xdr:rowOff>
    </xdr:to>
    <xdr:sp macro="" textlink="">
      <xdr:nvSpPr>
        <xdr:cNvPr id="60" name="Right Arrow 59"/>
        <xdr:cNvSpPr/>
      </xdr:nvSpPr>
      <xdr:spPr>
        <a:xfrm rot="10800000">
          <a:off x="609600" y="2522220"/>
          <a:ext cx="381000" cy="7620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30480</xdr:colOff>
      <xdr:row>89</xdr:row>
      <xdr:rowOff>45720</xdr:rowOff>
    </xdr:from>
    <xdr:to>
      <xdr:col>1</xdr:col>
      <xdr:colOff>411480</xdr:colOff>
      <xdr:row>89</xdr:row>
      <xdr:rowOff>121920</xdr:rowOff>
    </xdr:to>
    <xdr:sp macro="" textlink="">
      <xdr:nvSpPr>
        <xdr:cNvPr id="61" name="Right Arrow 60"/>
        <xdr:cNvSpPr/>
      </xdr:nvSpPr>
      <xdr:spPr>
        <a:xfrm rot="10800000">
          <a:off x="609600" y="3169920"/>
          <a:ext cx="381000" cy="7620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350520</xdr:colOff>
      <xdr:row>92</xdr:row>
      <xdr:rowOff>68580</xdr:rowOff>
    </xdr:from>
    <xdr:to>
      <xdr:col>13</xdr:col>
      <xdr:colOff>373380</xdr:colOff>
      <xdr:row>92</xdr:row>
      <xdr:rowOff>144780</xdr:rowOff>
    </xdr:to>
    <xdr:sp macro="" textlink="">
      <xdr:nvSpPr>
        <xdr:cNvPr id="62" name="Right Arrow 61"/>
        <xdr:cNvSpPr/>
      </xdr:nvSpPr>
      <xdr:spPr>
        <a:xfrm>
          <a:off x="6240780" y="3634740"/>
          <a:ext cx="1036320" cy="76200"/>
        </a:xfrm>
        <a:prstGeom prst="rightArrow">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30480</xdr:colOff>
      <xdr:row>99</xdr:row>
      <xdr:rowOff>38100</xdr:rowOff>
    </xdr:from>
    <xdr:to>
      <xdr:col>1</xdr:col>
      <xdr:colOff>411480</xdr:colOff>
      <xdr:row>99</xdr:row>
      <xdr:rowOff>114300</xdr:rowOff>
    </xdr:to>
    <xdr:sp macro="" textlink="">
      <xdr:nvSpPr>
        <xdr:cNvPr id="63" name="Right Arrow 62"/>
        <xdr:cNvSpPr/>
      </xdr:nvSpPr>
      <xdr:spPr>
        <a:xfrm rot="10800000">
          <a:off x="609600" y="2522220"/>
          <a:ext cx="381000" cy="7620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30480</xdr:colOff>
      <xdr:row>104</xdr:row>
      <xdr:rowOff>45720</xdr:rowOff>
    </xdr:from>
    <xdr:to>
      <xdr:col>1</xdr:col>
      <xdr:colOff>411480</xdr:colOff>
      <xdr:row>104</xdr:row>
      <xdr:rowOff>121920</xdr:rowOff>
    </xdr:to>
    <xdr:sp macro="" textlink="">
      <xdr:nvSpPr>
        <xdr:cNvPr id="64" name="Right Arrow 63"/>
        <xdr:cNvSpPr/>
      </xdr:nvSpPr>
      <xdr:spPr>
        <a:xfrm rot="10800000">
          <a:off x="609600" y="3169920"/>
          <a:ext cx="381000" cy="7620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350520</xdr:colOff>
      <xdr:row>107</xdr:row>
      <xdr:rowOff>68580</xdr:rowOff>
    </xdr:from>
    <xdr:to>
      <xdr:col>13</xdr:col>
      <xdr:colOff>373380</xdr:colOff>
      <xdr:row>107</xdr:row>
      <xdr:rowOff>144780</xdr:rowOff>
    </xdr:to>
    <xdr:sp macro="" textlink="">
      <xdr:nvSpPr>
        <xdr:cNvPr id="65" name="Right Arrow 64"/>
        <xdr:cNvSpPr/>
      </xdr:nvSpPr>
      <xdr:spPr>
        <a:xfrm>
          <a:off x="6240780" y="3634740"/>
          <a:ext cx="1036320" cy="76200"/>
        </a:xfrm>
        <a:prstGeom prst="rightArrow">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30480</xdr:colOff>
      <xdr:row>114</xdr:row>
      <xdr:rowOff>38100</xdr:rowOff>
    </xdr:from>
    <xdr:to>
      <xdr:col>1</xdr:col>
      <xdr:colOff>411480</xdr:colOff>
      <xdr:row>114</xdr:row>
      <xdr:rowOff>114300</xdr:rowOff>
    </xdr:to>
    <xdr:sp macro="" textlink="">
      <xdr:nvSpPr>
        <xdr:cNvPr id="66" name="Right Arrow 65"/>
        <xdr:cNvSpPr/>
      </xdr:nvSpPr>
      <xdr:spPr>
        <a:xfrm rot="10800000">
          <a:off x="609600" y="2522220"/>
          <a:ext cx="381000" cy="7620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30480</xdr:colOff>
      <xdr:row>119</xdr:row>
      <xdr:rowOff>45720</xdr:rowOff>
    </xdr:from>
    <xdr:to>
      <xdr:col>1</xdr:col>
      <xdr:colOff>411480</xdr:colOff>
      <xdr:row>119</xdr:row>
      <xdr:rowOff>121920</xdr:rowOff>
    </xdr:to>
    <xdr:sp macro="" textlink="">
      <xdr:nvSpPr>
        <xdr:cNvPr id="67" name="Right Arrow 66"/>
        <xdr:cNvSpPr/>
      </xdr:nvSpPr>
      <xdr:spPr>
        <a:xfrm rot="10800000">
          <a:off x="609600" y="3169920"/>
          <a:ext cx="381000" cy="7620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350520</xdr:colOff>
      <xdr:row>122</xdr:row>
      <xdr:rowOff>68580</xdr:rowOff>
    </xdr:from>
    <xdr:to>
      <xdr:col>13</xdr:col>
      <xdr:colOff>373380</xdr:colOff>
      <xdr:row>122</xdr:row>
      <xdr:rowOff>144780</xdr:rowOff>
    </xdr:to>
    <xdr:sp macro="" textlink="">
      <xdr:nvSpPr>
        <xdr:cNvPr id="68" name="Right Arrow 67"/>
        <xdr:cNvSpPr/>
      </xdr:nvSpPr>
      <xdr:spPr>
        <a:xfrm>
          <a:off x="6240780" y="3634740"/>
          <a:ext cx="1036320" cy="76200"/>
        </a:xfrm>
        <a:prstGeom prst="rightArrow">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30480</xdr:colOff>
      <xdr:row>129</xdr:row>
      <xdr:rowOff>38100</xdr:rowOff>
    </xdr:from>
    <xdr:to>
      <xdr:col>1</xdr:col>
      <xdr:colOff>411480</xdr:colOff>
      <xdr:row>129</xdr:row>
      <xdr:rowOff>114300</xdr:rowOff>
    </xdr:to>
    <xdr:sp macro="" textlink="">
      <xdr:nvSpPr>
        <xdr:cNvPr id="69" name="Right Arrow 68"/>
        <xdr:cNvSpPr/>
      </xdr:nvSpPr>
      <xdr:spPr>
        <a:xfrm rot="10800000">
          <a:off x="609600" y="2522220"/>
          <a:ext cx="381000" cy="7620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30480</xdr:colOff>
      <xdr:row>134</xdr:row>
      <xdr:rowOff>45720</xdr:rowOff>
    </xdr:from>
    <xdr:to>
      <xdr:col>1</xdr:col>
      <xdr:colOff>411480</xdr:colOff>
      <xdr:row>134</xdr:row>
      <xdr:rowOff>121920</xdr:rowOff>
    </xdr:to>
    <xdr:sp macro="" textlink="">
      <xdr:nvSpPr>
        <xdr:cNvPr id="70" name="Right Arrow 69"/>
        <xdr:cNvSpPr/>
      </xdr:nvSpPr>
      <xdr:spPr>
        <a:xfrm rot="10800000">
          <a:off x="609600" y="3169920"/>
          <a:ext cx="381000" cy="7620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350520</xdr:colOff>
      <xdr:row>137</xdr:row>
      <xdr:rowOff>68580</xdr:rowOff>
    </xdr:from>
    <xdr:to>
      <xdr:col>13</xdr:col>
      <xdr:colOff>373380</xdr:colOff>
      <xdr:row>137</xdr:row>
      <xdr:rowOff>144780</xdr:rowOff>
    </xdr:to>
    <xdr:sp macro="" textlink="">
      <xdr:nvSpPr>
        <xdr:cNvPr id="71" name="Right Arrow 70"/>
        <xdr:cNvSpPr/>
      </xdr:nvSpPr>
      <xdr:spPr>
        <a:xfrm>
          <a:off x="6240780" y="3634740"/>
          <a:ext cx="1036320" cy="76200"/>
        </a:xfrm>
        <a:prstGeom prst="rightArrow">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30480</xdr:colOff>
      <xdr:row>144</xdr:row>
      <xdr:rowOff>38100</xdr:rowOff>
    </xdr:from>
    <xdr:to>
      <xdr:col>1</xdr:col>
      <xdr:colOff>411480</xdr:colOff>
      <xdr:row>144</xdr:row>
      <xdr:rowOff>114300</xdr:rowOff>
    </xdr:to>
    <xdr:sp macro="" textlink="">
      <xdr:nvSpPr>
        <xdr:cNvPr id="72" name="Right Arrow 71"/>
        <xdr:cNvSpPr/>
      </xdr:nvSpPr>
      <xdr:spPr>
        <a:xfrm rot="10800000">
          <a:off x="609600" y="2522220"/>
          <a:ext cx="381000" cy="7620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30480</xdr:colOff>
      <xdr:row>149</xdr:row>
      <xdr:rowOff>45720</xdr:rowOff>
    </xdr:from>
    <xdr:to>
      <xdr:col>1</xdr:col>
      <xdr:colOff>411480</xdr:colOff>
      <xdr:row>149</xdr:row>
      <xdr:rowOff>121920</xdr:rowOff>
    </xdr:to>
    <xdr:sp macro="" textlink="">
      <xdr:nvSpPr>
        <xdr:cNvPr id="73" name="Right Arrow 72"/>
        <xdr:cNvSpPr/>
      </xdr:nvSpPr>
      <xdr:spPr>
        <a:xfrm rot="10800000">
          <a:off x="609600" y="3169920"/>
          <a:ext cx="381000" cy="7620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350520</xdr:colOff>
      <xdr:row>152</xdr:row>
      <xdr:rowOff>68580</xdr:rowOff>
    </xdr:from>
    <xdr:to>
      <xdr:col>13</xdr:col>
      <xdr:colOff>373380</xdr:colOff>
      <xdr:row>152</xdr:row>
      <xdr:rowOff>144780</xdr:rowOff>
    </xdr:to>
    <xdr:sp macro="" textlink="">
      <xdr:nvSpPr>
        <xdr:cNvPr id="74" name="Right Arrow 73"/>
        <xdr:cNvSpPr/>
      </xdr:nvSpPr>
      <xdr:spPr>
        <a:xfrm>
          <a:off x="6240780" y="3634740"/>
          <a:ext cx="1036320" cy="76200"/>
        </a:xfrm>
        <a:prstGeom prst="rightArrow">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30480</xdr:colOff>
      <xdr:row>159</xdr:row>
      <xdr:rowOff>38100</xdr:rowOff>
    </xdr:from>
    <xdr:to>
      <xdr:col>1</xdr:col>
      <xdr:colOff>411480</xdr:colOff>
      <xdr:row>159</xdr:row>
      <xdr:rowOff>114300</xdr:rowOff>
    </xdr:to>
    <xdr:sp macro="" textlink="">
      <xdr:nvSpPr>
        <xdr:cNvPr id="78" name="Right Arrow 77"/>
        <xdr:cNvSpPr/>
      </xdr:nvSpPr>
      <xdr:spPr>
        <a:xfrm rot="10800000">
          <a:off x="609600" y="2522220"/>
          <a:ext cx="381000" cy="7620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30480</xdr:colOff>
      <xdr:row>164</xdr:row>
      <xdr:rowOff>45720</xdr:rowOff>
    </xdr:from>
    <xdr:to>
      <xdr:col>1</xdr:col>
      <xdr:colOff>411480</xdr:colOff>
      <xdr:row>164</xdr:row>
      <xdr:rowOff>121920</xdr:rowOff>
    </xdr:to>
    <xdr:sp macro="" textlink="">
      <xdr:nvSpPr>
        <xdr:cNvPr id="79" name="Right Arrow 78"/>
        <xdr:cNvSpPr/>
      </xdr:nvSpPr>
      <xdr:spPr>
        <a:xfrm rot="10800000">
          <a:off x="609600" y="3169920"/>
          <a:ext cx="381000" cy="7620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350520</xdr:colOff>
      <xdr:row>167</xdr:row>
      <xdr:rowOff>68580</xdr:rowOff>
    </xdr:from>
    <xdr:to>
      <xdr:col>13</xdr:col>
      <xdr:colOff>373380</xdr:colOff>
      <xdr:row>167</xdr:row>
      <xdr:rowOff>144780</xdr:rowOff>
    </xdr:to>
    <xdr:sp macro="" textlink="">
      <xdr:nvSpPr>
        <xdr:cNvPr id="80" name="Right Arrow 79"/>
        <xdr:cNvSpPr/>
      </xdr:nvSpPr>
      <xdr:spPr>
        <a:xfrm>
          <a:off x="6240780" y="3634740"/>
          <a:ext cx="1036320" cy="76200"/>
        </a:xfrm>
        <a:prstGeom prst="rightArrow">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30480</xdr:colOff>
      <xdr:row>174</xdr:row>
      <xdr:rowOff>38100</xdr:rowOff>
    </xdr:from>
    <xdr:to>
      <xdr:col>1</xdr:col>
      <xdr:colOff>411480</xdr:colOff>
      <xdr:row>174</xdr:row>
      <xdr:rowOff>114300</xdr:rowOff>
    </xdr:to>
    <xdr:sp macro="" textlink="">
      <xdr:nvSpPr>
        <xdr:cNvPr id="81" name="Right Arrow 80"/>
        <xdr:cNvSpPr/>
      </xdr:nvSpPr>
      <xdr:spPr>
        <a:xfrm rot="10800000">
          <a:off x="609600" y="2522220"/>
          <a:ext cx="381000" cy="7620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30480</xdr:colOff>
      <xdr:row>179</xdr:row>
      <xdr:rowOff>45720</xdr:rowOff>
    </xdr:from>
    <xdr:to>
      <xdr:col>1</xdr:col>
      <xdr:colOff>411480</xdr:colOff>
      <xdr:row>179</xdr:row>
      <xdr:rowOff>121920</xdr:rowOff>
    </xdr:to>
    <xdr:sp macro="" textlink="">
      <xdr:nvSpPr>
        <xdr:cNvPr id="82" name="Right Arrow 81"/>
        <xdr:cNvSpPr/>
      </xdr:nvSpPr>
      <xdr:spPr>
        <a:xfrm rot="10800000">
          <a:off x="609600" y="3169920"/>
          <a:ext cx="381000" cy="7620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350520</xdr:colOff>
      <xdr:row>182</xdr:row>
      <xdr:rowOff>68580</xdr:rowOff>
    </xdr:from>
    <xdr:to>
      <xdr:col>13</xdr:col>
      <xdr:colOff>373380</xdr:colOff>
      <xdr:row>182</xdr:row>
      <xdr:rowOff>144780</xdr:rowOff>
    </xdr:to>
    <xdr:sp macro="" textlink="">
      <xdr:nvSpPr>
        <xdr:cNvPr id="83" name="Right Arrow 82"/>
        <xdr:cNvSpPr/>
      </xdr:nvSpPr>
      <xdr:spPr>
        <a:xfrm>
          <a:off x="6240780" y="3634740"/>
          <a:ext cx="1036320" cy="76200"/>
        </a:xfrm>
        <a:prstGeom prst="rightArrow">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30480</xdr:colOff>
      <xdr:row>189</xdr:row>
      <xdr:rowOff>38100</xdr:rowOff>
    </xdr:from>
    <xdr:to>
      <xdr:col>1</xdr:col>
      <xdr:colOff>411480</xdr:colOff>
      <xdr:row>189</xdr:row>
      <xdr:rowOff>114300</xdr:rowOff>
    </xdr:to>
    <xdr:sp macro="" textlink="">
      <xdr:nvSpPr>
        <xdr:cNvPr id="84" name="Right Arrow 83"/>
        <xdr:cNvSpPr/>
      </xdr:nvSpPr>
      <xdr:spPr>
        <a:xfrm rot="10800000">
          <a:off x="609600" y="2522220"/>
          <a:ext cx="381000" cy="7620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30480</xdr:colOff>
      <xdr:row>194</xdr:row>
      <xdr:rowOff>45720</xdr:rowOff>
    </xdr:from>
    <xdr:to>
      <xdr:col>1</xdr:col>
      <xdr:colOff>411480</xdr:colOff>
      <xdr:row>194</xdr:row>
      <xdr:rowOff>121920</xdr:rowOff>
    </xdr:to>
    <xdr:sp macro="" textlink="">
      <xdr:nvSpPr>
        <xdr:cNvPr id="85" name="Right Arrow 84"/>
        <xdr:cNvSpPr/>
      </xdr:nvSpPr>
      <xdr:spPr>
        <a:xfrm rot="10800000">
          <a:off x="609600" y="3169920"/>
          <a:ext cx="381000" cy="7620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350520</xdr:colOff>
      <xdr:row>197</xdr:row>
      <xdr:rowOff>68580</xdr:rowOff>
    </xdr:from>
    <xdr:to>
      <xdr:col>13</xdr:col>
      <xdr:colOff>373380</xdr:colOff>
      <xdr:row>197</xdr:row>
      <xdr:rowOff>144780</xdr:rowOff>
    </xdr:to>
    <xdr:sp macro="" textlink="">
      <xdr:nvSpPr>
        <xdr:cNvPr id="86" name="Right Arrow 85"/>
        <xdr:cNvSpPr/>
      </xdr:nvSpPr>
      <xdr:spPr>
        <a:xfrm>
          <a:off x="6240780" y="3634740"/>
          <a:ext cx="1036320" cy="76200"/>
        </a:xfrm>
        <a:prstGeom prst="rightArrow">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30480</xdr:colOff>
      <xdr:row>204</xdr:row>
      <xdr:rowOff>38100</xdr:rowOff>
    </xdr:from>
    <xdr:to>
      <xdr:col>1</xdr:col>
      <xdr:colOff>411480</xdr:colOff>
      <xdr:row>204</xdr:row>
      <xdr:rowOff>114300</xdr:rowOff>
    </xdr:to>
    <xdr:sp macro="" textlink="">
      <xdr:nvSpPr>
        <xdr:cNvPr id="90" name="Right Arrow 89"/>
        <xdr:cNvSpPr/>
      </xdr:nvSpPr>
      <xdr:spPr>
        <a:xfrm rot="10800000">
          <a:off x="609600" y="2522220"/>
          <a:ext cx="381000" cy="7620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30480</xdr:colOff>
      <xdr:row>209</xdr:row>
      <xdr:rowOff>45720</xdr:rowOff>
    </xdr:from>
    <xdr:to>
      <xdr:col>1</xdr:col>
      <xdr:colOff>411480</xdr:colOff>
      <xdr:row>209</xdr:row>
      <xdr:rowOff>121920</xdr:rowOff>
    </xdr:to>
    <xdr:sp macro="" textlink="">
      <xdr:nvSpPr>
        <xdr:cNvPr id="91" name="Right Arrow 90"/>
        <xdr:cNvSpPr/>
      </xdr:nvSpPr>
      <xdr:spPr>
        <a:xfrm rot="10800000">
          <a:off x="609600" y="3169920"/>
          <a:ext cx="381000" cy="7620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350520</xdr:colOff>
      <xdr:row>212</xdr:row>
      <xdr:rowOff>68580</xdr:rowOff>
    </xdr:from>
    <xdr:to>
      <xdr:col>13</xdr:col>
      <xdr:colOff>373380</xdr:colOff>
      <xdr:row>212</xdr:row>
      <xdr:rowOff>144780</xdr:rowOff>
    </xdr:to>
    <xdr:sp macro="" textlink="">
      <xdr:nvSpPr>
        <xdr:cNvPr id="92" name="Right Arrow 91"/>
        <xdr:cNvSpPr/>
      </xdr:nvSpPr>
      <xdr:spPr>
        <a:xfrm>
          <a:off x="6240780" y="3634740"/>
          <a:ext cx="1036320" cy="76200"/>
        </a:xfrm>
        <a:prstGeom prst="rightArrow">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30480</xdr:colOff>
      <xdr:row>219</xdr:row>
      <xdr:rowOff>38100</xdr:rowOff>
    </xdr:from>
    <xdr:to>
      <xdr:col>1</xdr:col>
      <xdr:colOff>411480</xdr:colOff>
      <xdr:row>219</xdr:row>
      <xdr:rowOff>114300</xdr:rowOff>
    </xdr:to>
    <xdr:sp macro="" textlink="">
      <xdr:nvSpPr>
        <xdr:cNvPr id="96" name="Right Arrow 95"/>
        <xdr:cNvSpPr/>
      </xdr:nvSpPr>
      <xdr:spPr>
        <a:xfrm rot="10800000">
          <a:off x="609600" y="2522220"/>
          <a:ext cx="381000" cy="7620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30480</xdr:colOff>
      <xdr:row>224</xdr:row>
      <xdr:rowOff>45720</xdr:rowOff>
    </xdr:from>
    <xdr:to>
      <xdr:col>1</xdr:col>
      <xdr:colOff>411480</xdr:colOff>
      <xdr:row>224</xdr:row>
      <xdr:rowOff>121920</xdr:rowOff>
    </xdr:to>
    <xdr:sp macro="" textlink="">
      <xdr:nvSpPr>
        <xdr:cNvPr id="97" name="Right Arrow 96"/>
        <xdr:cNvSpPr/>
      </xdr:nvSpPr>
      <xdr:spPr>
        <a:xfrm rot="10800000">
          <a:off x="609600" y="3169920"/>
          <a:ext cx="381000" cy="7620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350520</xdr:colOff>
      <xdr:row>227</xdr:row>
      <xdr:rowOff>68580</xdr:rowOff>
    </xdr:from>
    <xdr:to>
      <xdr:col>13</xdr:col>
      <xdr:colOff>373380</xdr:colOff>
      <xdr:row>227</xdr:row>
      <xdr:rowOff>144780</xdr:rowOff>
    </xdr:to>
    <xdr:sp macro="" textlink="">
      <xdr:nvSpPr>
        <xdr:cNvPr id="98" name="Right Arrow 97"/>
        <xdr:cNvSpPr/>
      </xdr:nvSpPr>
      <xdr:spPr>
        <a:xfrm>
          <a:off x="6240780" y="3634740"/>
          <a:ext cx="1036320" cy="76200"/>
        </a:xfrm>
        <a:prstGeom prst="rightArrow">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30480</xdr:colOff>
      <xdr:row>234</xdr:row>
      <xdr:rowOff>38100</xdr:rowOff>
    </xdr:from>
    <xdr:to>
      <xdr:col>1</xdr:col>
      <xdr:colOff>411480</xdr:colOff>
      <xdr:row>234</xdr:row>
      <xdr:rowOff>114300</xdr:rowOff>
    </xdr:to>
    <xdr:sp macro="" textlink="">
      <xdr:nvSpPr>
        <xdr:cNvPr id="99" name="Right Arrow 98"/>
        <xdr:cNvSpPr/>
      </xdr:nvSpPr>
      <xdr:spPr>
        <a:xfrm rot="10800000">
          <a:off x="609600" y="2522220"/>
          <a:ext cx="381000" cy="7620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30480</xdr:colOff>
      <xdr:row>239</xdr:row>
      <xdr:rowOff>45720</xdr:rowOff>
    </xdr:from>
    <xdr:to>
      <xdr:col>1</xdr:col>
      <xdr:colOff>411480</xdr:colOff>
      <xdr:row>239</xdr:row>
      <xdr:rowOff>121920</xdr:rowOff>
    </xdr:to>
    <xdr:sp macro="" textlink="">
      <xdr:nvSpPr>
        <xdr:cNvPr id="100" name="Right Arrow 99"/>
        <xdr:cNvSpPr/>
      </xdr:nvSpPr>
      <xdr:spPr>
        <a:xfrm rot="10800000">
          <a:off x="609600" y="3169920"/>
          <a:ext cx="381000" cy="7620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350520</xdr:colOff>
      <xdr:row>242</xdr:row>
      <xdr:rowOff>68580</xdr:rowOff>
    </xdr:from>
    <xdr:to>
      <xdr:col>13</xdr:col>
      <xdr:colOff>373380</xdr:colOff>
      <xdr:row>242</xdr:row>
      <xdr:rowOff>144780</xdr:rowOff>
    </xdr:to>
    <xdr:sp macro="" textlink="">
      <xdr:nvSpPr>
        <xdr:cNvPr id="101" name="Right Arrow 100"/>
        <xdr:cNvSpPr/>
      </xdr:nvSpPr>
      <xdr:spPr>
        <a:xfrm>
          <a:off x="6240780" y="3634740"/>
          <a:ext cx="1036320" cy="76200"/>
        </a:xfrm>
        <a:prstGeom prst="rightArrow">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30480</xdr:colOff>
      <xdr:row>249</xdr:row>
      <xdr:rowOff>38100</xdr:rowOff>
    </xdr:from>
    <xdr:to>
      <xdr:col>1</xdr:col>
      <xdr:colOff>411480</xdr:colOff>
      <xdr:row>249</xdr:row>
      <xdr:rowOff>114300</xdr:rowOff>
    </xdr:to>
    <xdr:sp macro="" textlink="">
      <xdr:nvSpPr>
        <xdr:cNvPr id="102" name="Right Arrow 101"/>
        <xdr:cNvSpPr/>
      </xdr:nvSpPr>
      <xdr:spPr>
        <a:xfrm rot="10800000">
          <a:off x="609600" y="2522220"/>
          <a:ext cx="381000" cy="7620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30480</xdr:colOff>
      <xdr:row>254</xdr:row>
      <xdr:rowOff>45720</xdr:rowOff>
    </xdr:from>
    <xdr:to>
      <xdr:col>1</xdr:col>
      <xdr:colOff>411480</xdr:colOff>
      <xdr:row>254</xdr:row>
      <xdr:rowOff>121920</xdr:rowOff>
    </xdr:to>
    <xdr:sp macro="" textlink="">
      <xdr:nvSpPr>
        <xdr:cNvPr id="103" name="Right Arrow 102"/>
        <xdr:cNvSpPr/>
      </xdr:nvSpPr>
      <xdr:spPr>
        <a:xfrm rot="10800000">
          <a:off x="609600" y="3169920"/>
          <a:ext cx="381000" cy="7620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350520</xdr:colOff>
      <xdr:row>257</xdr:row>
      <xdr:rowOff>68580</xdr:rowOff>
    </xdr:from>
    <xdr:to>
      <xdr:col>13</xdr:col>
      <xdr:colOff>373380</xdr:colOff>
      <xdr:row>257</xdr:row>
      <xdr:rowOff>144780</xdr:rowOff>
    </xdr:to>
    <xdr:sp macro="" textlink="">
      <xdr:nvSpPr>
        <xdr:cNvPr id="104" name="Right Arrow 103"/>
        <xdr:cNvSpPr/>
      </xdr:nvSpPr>
      <xdr:spPr>
        <a:xfrm>
          <a:off x="6240780" y="3634740"/>
          <a:ext cx="1036320" cy="76200"/>
        </a:xfrm>
        <a:prstGeom prst="rightArrow">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30480</xdr:colOff>
      <xdr:row>264</xdr:row>
      <xdr:rowOff>38100</xdr:rowOff>
    </xdr:from>
    <xdr:to>
      <xdr:col>1</xdr:col>
      <xdr:colOff>411480</xdr:colOff>
      <xdr:row>264</xdr:row>
      <xdr:rowOff>114300</xdr:rowOff>
    </xdr:to>
    <xdr:sp macro="" textlink="">
      <xdr:nvSpPr>
        <xdr:cNvPr id="105" name="Right Arrow 104"/>
        <xdr:cNvSpPr/>
      </xdr:nvSpPr>
      <xdr:spPr>
        <a:xfrm rot="10800000">
          <a:off x="609600" y="2522220"/>
          <a:ext cx="381000" cy="7620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30480</xdr:colOff>
      <xdr:row>269</xdr:row>
      <xdr:rowOff>45720</xdr:rowOff>
    </xdr:from>
    <xdr:to>
      <xdr:col>1</xdr:col>
      <xdr:colOff>411480</xdr:colOff>
      <xdr:row>269</xdr:row>
      <xdr:rowOff>121920</xdr:rowOff>
    </xdr:to>
    <xdr:sp macro="" textlink="">
      <xdr:nvSpPr>
        <xdr:cNvPr id="106" name="Right Arrow 105"/>
        <xdr:cNvSpPr/>
      </xdr:nvSpPr>
      <xdr:spPr>
        <a:xfrm rot="10800000">
          <a:off x="609600" y="3169920"/>
          <a:ext cx="381000" cy="7620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350520</xdr:colOff>
      <xdr:row>272</xdr:row>
      <xdr:rowOff>68580</xdr:rowOff>
    </xdr:from>
    <xdr:to>
      <xdr:col>13</xdr:col>
      <xdr:colOff>373380</xdr:colOff>
      <xdr:row>272</xdr:row>
      <xdr:rowOff>144780</xdr:rowOff>
    </xdr:to>
    <xdr:sp macro="" textlink="">
      <xdr:nvSpPr>
        <xdr:cNvPr id="107" name="Right Arrow 106"/>
        <xdr:cNvSpPr/>
      </xdr:nvSpPr>
      <xdr:spPr>
        <a:xfrm>
          <a:off x="6240780" y="3634740"/>
          <a:ext cx="1036320" cy="76200"/>
        </a:xfrm>
        <a:prstGeom prst="rightArrow">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30480</xdr:colOff>
      <xdr:row>279</xdr:row>
      <xdr:rowOff>38100</xdr:rowOff>
    </xdr:from>
    <xdr:to>
      <xdr:col>1</xdr:col>
      <xdr:colOff>411480</xdr:colOff>
      <xdr:row>279</xdr:row>
      <xdr:rowOff>114300</xdr:rowOff>
    </xdr:to>
    <xdr:sp macro="" textlink="">
      <xdr:nvSpPr>
        <xdr:cNvPr id="108" name="Right Arrow 107"/>
        <xdr:cNvSpPr/>
      </xdr:nvSpPr>
      <xdr:spPr>
        <a:xfrm rot="10800000">
          <a:off x="609600" y="2522220"/>
          <a:ext cx="381000" cy="7620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30480</xdr:colOff>
      <xdr:row>284</xdr:row>
      <xdr:rowOff>45720</xdr:rowOff>
    </xdr:from>
    <xdr:to>
      <xdr:col>1</xdr:col>
      <xdr:colOff>411480</xdr:colOff>
      <xdr:row>284</xdr:row>
      <xdr:rowOff>121920</xdr:rowOff>
    </xdr:to>
    <xdr:sp macro="" textlink="">
      <xdr:nvSpPr>
        <xdr:cNvPr id="109" name="Right Arrow 108"/>
        <xdr:cNvSpPr/>
      </xdr:nvSpPr>
      <xdr:spPr>
        <a:xfrm rot="10800000">
          <a:off x="609600" y="3169920"/>
          <a:ext cx="381000" cy="7620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350520</xdr:colOff>
      <xdr:row>287</xdr:row>
      <xdr:rowOff>68580</xdr:rowOff>
    </xdr:from>
    <xdr:to>
      <xdr:col>13</xdr:col>
      <xdr:colOff>373380</xdr:colOff>
      <xdr:row>287</xdr:row>
      <xdr:rowOff>144780</xdr:rowOff>
    </xdr:to>
    <xdr:sp macro="" textlink="">
      <xdr:nvSpPr>
        <xdr:cNvPr id="110" name="Right Arrow 109"/>
        <xdr:cNvSpPr/>
      </xdr:nvSpPr>
      <xdr:spPr>
        <a:xfrm>
          <a:off x="6240780" y="3634740"/>
          <a:ext cx="1036320" cy="76200"/>
        </a:xfrm>
        <a:prstGeom prst="rightArrow">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30480</xdr:colOff>
      <xdr:row>294</xdr:row>
      <xdr:rowOff>38100</xdr:rowOff>
    </xdr:from>
    <xdr:to>
      <xdr:col>1</xdr:col>
      <xdr:colOff>411480</xdr:colOff>
      <xdr:row>294</xdr:row>
      <xdr:rowOff>114300</xdr:rowOff>
    </xdr:to>
    <xdr:sp macro="" textlink="">
      <xdr:nvSpPr>
        <xdr:cNvPr id="114" name="Right Arrow 113"/>
        <xdr:cNvSpPr/>
      </xdr:nvSpPr>
      <xdr:spPr>
        <a:xfrm rot="10800000">
          <a:off x="609600" y="2522220"/>
          <a:ext cx="381000" cy="7620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30480</xdr:colOff>
      <xdr:row>299</xdr:row>
      <xdr:rowOff>45720</xdr:rowOff>
    </xdr:from>
    <xdr:to>
      <xdr:col>1</xdr:col>
      <xdr:colOff>411480</xdr:colOff>
      <xdr:row>299</xdr:row>
      <xdr:rowOff>121920</xdr:rowOff>
    </xdr:to>
    <xdr:sp macro="" textlink="">
      <xdr:nvSpPr>
        <xdr:cNvPr id="115" name="Right Arrow 114"/>
        <xdr:cNvSpPr/>
      </xdr:nvSpPr>
      <xdr:spPr>
        <a:xfrm rot="10800000">
          <a:off x="609600" y="3169920"/>
          <a:ext cx="381000" cy="76200"/>
        </a:xfrm>
        <a:prstGeom prst="rightArrow">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350520</xdr:colOff>
      <xdr:row>302</xdr:row>
      <xdr:rowOff>68580</xdr:rowOff>
    </xdr:from>
    <xdr:to>
      <xdr:col>13</xdr:col>
      <xdr:colOff>373380</xdr:colOff>
      <xdr:row>302</xdr:row>
      <xdr:rowOff>144780</xdr:rowOff>
    </xdr:to>
    <xdr:sp macro="" textlink="">
      <xdr:nvSpPr>
        <xdr:cNvPr id="116" name="Right Arrow 115"/>
        <xdr:cNvSpPr/>
      </xdr:nvSpPr>
      <xdr:spPr>
        <a:xfrm>
          <a:off x="6240780" y="3634740"/>
          <a:ext cx="1036320" cy="76200"/>
        </a:xfrm>
        <a:prstGeom prst="rightArrow">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495300</xdr:colOff>
      <xdr:row>0</xdr:row>
      <xdr:rowOff>0</xdr:rowOff>
    </xdr:from>
    <xdr:to>
      <xdr:col>6</xdr:col>
      <xdr:colOff>665104</xdr:colOff>
      <xdr:row>3</xdr:row>
      <xdr:rowOff>19654</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483100" y="0"/>
          <a:ext cx="2138304" cy="578454"/>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8</xdr:col>
      <xdr:colOff>380999</xdr:colOff>
      <xdr:row>0</xdr:row>
      <xdr:rowOff>0</xdr:rowOff>
    </xdr:from>
    <xdr:to>
      <xdr:col>11</xdr:col>
      <xdr:colOff>522228</xdr:colOff>
      <xdr:row>2</xdr:row>
      <xdr:rowOff>162529</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867399" y="0"/>
          <a:ext cx="1912879" cy="638779"/>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1</xdr:row>
      <xdr:rowOff>0</xdr:rowOff>
    </xdr:from>
    <xdr:to>
      <xdr:col>9</xdr:col>
      <xdr:colOff>361950</xdr:colOff>
      <xdr:row>20</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285750</xdr:colOff>
      <xdr:row>1</xdr:row>
      <xdr:rowOff>0</xdr:rowOff>
    </xdr:from>
    <xdr:to>
      <xdr:col>19</xdr:col>
      <xdr:colOff>0</xdr:colOff>
      <xdr:row>20</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20</xdr:row>
      <xdr:rowOff>76200</xdr:rowOff>
    </xdr:from>
    <xdr:to>
      <xdr:col>19</xdr:col>
      <xdr:colOff>0</xdr:colOff>
      <xdr:row>37</xdr:row>
      <xdr:rowOff>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justinogilby/Desktop/Reports/D:\Users\patkichler\Documents\PPC\Job%20File%20Update\4-14-14%20Job%20Files\13010\Estimate\13010%20Working%20Estimate.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justinogilby/Desktop/Reports/D:\D\AZ%20small%20job%20template%20R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justinogilby/Desktop/Reports/D:\D\Consulting\Templates\Estimating\paint%20bidder%201%20Re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Product"/>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s>
    <sheetDataSet>
      <sheetData sheetId="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Company Data"/>
      <sheetName val="Systems"/>
    </sheetNames>
    <sheetDataSet>
      <sheetData sheetId="0" refreshError="1"/>
      <sheetData sheetId="1" refreshError="1"/>
      <sheetData sheetId="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mailto:patk@teamppc.om" TargetMode="External"/><Relationship Id="rId2"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 Id="rId2"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comments" Target="../comments1.xml"/><Relationship Id="rId1" Type="http://schemas.openxmlformats.org/officeDocument/2006/relationships/printerSettings" Target="../printerSettings/printerSettings4.bin"/><Relationship Id="rId2"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5.bin"/><Relationship Id="rId4" Type="http://schemas.openxmlformats.org/officeDocument/2006/relationships/drawing" Target="../drawings/drawing4.xml"/><Relationship Id="rId1" Type="http://schemas.openxmlformats.org/officeDocument/2006/relationships/hyperlink" Target="http://www.teamppc.com/" TargetMode="External"/><Relationship Id="rId2" Type="http://schemas.openxmlformats.org/officeDocument/2006/relationships/hyperlink" Target="http://www.teamppc.com/" TargetMode="External"/></Relationships>
</file>

<file path=xl/worksheets/_rels/sheet11.xml.rels><?xml version="1.0" encoding="UTF-8" standalone="yes"?>
<Relationships xmlns="http://schemas.openxmlformats.org/package/2006/relationships"><Relationship Id="rId1" Type="http://schemas.openxmlformats.org/officeDocument/2006/relationships/hyperlink" Target="http://www.peningtonpainting.com/" TargetMode="External"/><Relationship Id="rId2"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FF0000"/>
  </sheetPr>
  <dimension ref="A1:M45"/>
  <sheetViews>
    <sheetView topLeftCell="A25" workbookViewId="0">
      <selection activeCell="B43" sqref="B43"/>
    </sheetView>
  </sheetViews>
  <sheetFormatPr baseColWidth="10" defaultColWidth="8.83203125" defaultRowHeight="15" x14ac:dyDescent="0.2"/>
  <cols>
    <col min="1" max="1" width="27" customWidth="1"/>
    <col min="2" max="2" width="28.1640625" customWidth="1"/>
    <col min="3" max="3" width="31.1640625" customWidth="1"/>
    <col min="4" max="4" width="33.5" customWidth="1"/>
    <col min="5" max="5" width="24.1640625" customWidth="1"/>
    <col min="6" max="7" width="13.1640625" customWidth="1"/>
    <col min="8" max="8" width="16.33203125" customWidth="1"/>
  </cols>
  <sheetData>
    <row r="1" spans="1:13" ht="17" x14ac:dyDescent="0.25">
      <c r="A1" s="1064" t="s">
        <v>33</v>
      </c>
      <c r="B1" s="1064"/>
      <c r="C1" s="1"/>
      <c r="D1" s="1"/>
      <c r="E1" s="1"/>
      <c r="F1" s="1"/>
      <c r="G1" s="1"/>
      <c r="H1" s="1"/>
      <c r="I1" s="1"/>
      <c r="J1" s="1"/>
      <c r="K1" s="1"/>
      <c r="L1" s="1"/>
      <c r="M1" s="1"/>
    </row>
    <row r="2" spans="1:13" x14ac:dyDescent="0.2">
      <c r="A2" s="1"/>
      <c r="B2" s="1"/>
      <c r="C2" s="1"/>
      <c r="D2" s="1"/>
      <c r="E2" s="1"/>
      <c r="F2" s="1"/>
      <c r="G2" s="1"/>
      <c r="H2" s="1"/>
      <c r="I2" s="1"/>
      <c r="J2" s="1"/>
      <c r="K2" s="1"/>
      <c r="L2" s="1"/>
      <c r="M2" s="1"/>
    </row>
    <row r="3" spans="1:13" ht="16" thickBot="1" x14ac:dyDescent="0.25">
      <c r="A3" s="1065" t="s">
        <v>34</v>
      </c>
      <c r="B3" s="1065"/>
      <c r="C3" s="1"/>
      <c r="D3" s="1"/>
      <c r="E3" s="1"/>
      <c r="F3" s="1"/>
      <c r="G3" s="1"/>
      <c r="H3" s="1"/>
      <c r="I3" s="1"/>
      <c r="J3" s="1"/>
      <c r="K3" s="1"/>
      <c r="L3" s="1"/>
      <c r="M3" s="1"/>
    </row>
    <row r="4" spans="1:13" ht="26" x14ac:dyDescent="0.2">
      <c r="A4" s="156" t="s">
        <v>35</v>
      </c>
      <c r="B4" s="63" t="s">
        <v>445</v>
      </c>
      <c r="C4" s="1"/>
      <c r="D4" s="1"/>
      <c r="E4" s="1"/>
      <c r="F4" s="1"/>
      <c r="G4" s="1"/>
      <c r="H4" s="1"/>
      <c r="I4" s="1"/>
      <c r="J4" s="1"/>
      <c r="K4" s="1"/>
      <c r="L4" s="1"/>
      <c r="M4" s="1"/>
    </row>
    <row r="5" spans="1:13" s="10" customFormat="1" x14ac:dyDescent="0.2">
      <c r="A5" s="160" t="s">
        <v>274</v>
      </c>
      <c r="B5" s="161" t="s">
        <v>446</v>
      </c>
      <c r="C5" s="11"/>
      <c r="D5" s="11"/>
      <c r="E5" s="11"/>
      <c r="F5" s="11"/>
      <c r="G5" s="11"/>
      <c r="H5" s="11"/>
      <c r="I5" s="11"/>
      <c r="J5" s="11"/>
      <c r="K5" s="11"/>
      <c r="L5" s="11"/>
      <c r="M5" s="11"/>
    </row>
    <row r="6" spans="1:13" x14ac:dyDescent="0.2">
      <c r="A6" s="157" t="s">
        <v>275</v>
      </c>
      <c r="B6" s="64" t="s">
        <v>447</v>
      </c>
      <c r="C6" s="1"/>
      <c r="D6" s="1"/>
      <c r="E6" s="1"/>
      <c r="F6" s="1"/>
      <c r="G6" s="1"/>
      <c r="H6" s="1"/>
      <c r="I6" s="1"/>
      <c r="J6" s="1"/>
      <c r="K6" s="1"/>
      <c r="L6" s="1"/>
      <c r="M6" s="1"/>
    </row>
    <row r="7" spans="1:13" x14ac:dyDescent="0.2">
      <c r="A7" s="19" t="s">
        <v>36</v>
      </c>
      <c r="B7" s="65"/>
      <c r="C7" s="1"/>
      <c r="D7" s="1"/>
      <c r="E7" s="1"/>
      <c r="F7" s="1"/>
      <c r="G7" s="1"/>
      <c r="H7" s="1"/>
      <c r="I7" s="1"/>
      <c r="J7" s="1"/>
      <c r="K7" s="1"/>
      <c r="L7" s="1"/>
      <c r="M7" s="1"/>
    </row>
    <row r="8" spans="1:13" x14ac:dyDescent="0.2">
      <c r="A8" s="20" t="s">
        <v>57</v>
      </c>
      <c r="B8" s="66"/>
      <c r="C8" s="1"/>
      <c r="D8" s="1"/>
      <c r="E8" s="1"/>
      <c r="F8" s="1"/>
      <c r="G8" s="1"/>
      <c r="H8" s="1"/>
      <c r="I8" s="1"/>
      <c r="J8" s="1"/>
      <c r="K8" s="1"/>
      <c r="L8" s="1"/>
      <c r="M8" s="1"/>
    </row>
    <row r="9" spans="1:13" x14ac:dyDescent="0.2">
      <c r="A9" s="155" t="s">
        <v>55</v>
      </c>
      <c r="B9" s="66">
        <v>42439</v>
      </c>
      <c r="C9" s="1"/>
      <c r="D9" s="1"/>
      <c r="E9" s="1"/>
      <c r="F9" s="1"/>
      <c r="G9" s="1"/>
      <c r="H9" s="1"/>
      <c r="I9" s="1"/>
      <c r="J9" s="1"/>
      <c r="K9" s="1"/>
      <c r="L9" s="1"/>
      <c r="M9" s="1"/>
    </row>
    <row r="10" spans="1:13" s="10" customFormat="1" x14ac:dyDescent="0.2">
      <c r="A10" s="20" t="s">
        <v>56</v>
      </c>
      <c r="B10" s="18"/>
      <c r="C10" s="11"/>
      <c r="D10" s="11"/>
      <c r="E10" s="11"/>
      <c r="F10" s="11"/>
      <c r="G10" s="11"/>
      <c r="H10" s="11"/>
      <c r="I10" s="11"/>
      <c r="J10" s="11"/>
      <c r="K10" s="11"/>
      <c r="L10" s="11"/>
      <c r="M10" s="11"/>
    </row>
    <row r="11" spans="1:13" s="10" customFormat="1" x14ac:dyDescent="0.2">
      <c r="A11" s="155" t="s">
        <v>271</v>
      </c>
      <c r="B11" s="66">
        <v>42750</v>
      </c>
      <c r="C11" s="11"/>
      <c r="D11" s="11"/>
      <c r="E11" s="11"/>
      <c r="F11" s="11"/>
      <c r="G11" s="11"/>
      <c r="H11" s="11"/>
      <c r="I11" s="11"/>
      <c r="J11" s="11"/>
      <c r="K11" s="11"/>
      <c r="L11" s="11"/>
      <c r="M11" s="11"/>
    </row>
    <row r="12" spans="1:13" s="10" customFormat="1" x14ac:dyDescent="0.2">
      <c r="A12" s="155" t="s">
        <v>272</v>
      </c>
      <c r="B12" s="66">
        <v>43189</v>
      </c>
      <c r="C12" s="11"/>
      <c r="D12" s="11"/>
      <c r="E12" s="11"/>
      <c r="F12" s="11"/>
      <c r="G12" s="11"/>
      <c r="H12" s="11"/>
      <c r="I12" s="11"/>
      <c r="J12" s="11"/>
      <c r="K12" s="11"/>
      <c r="L12" s="11"/>
      <c r="M12" s="11"/>
    </row>
    <row r="13" spans="1:13" s="10" customFormat="1" x14ac:dyDescent="0.2">
      <c r="A13" s="20" t="s">
        <v>80</v>
      </c>
      <c r="B13" s="25">
        <f>+(B12-B11)/30</f>
        <v>14.633333333333333</v>
      </c>
      <c r="C13" s="11" t="s">
        <v>175</v>
      </c>
      <c r="D13" s="11"/>
      <c r="E13" s="11"/>
      <c r="F13" s="11"/>
      <c r="G13" s="11"/>
      <c r="H13" s="11"/>
      <c r="I13" s="11"/>
      <c r="J13" s="11"/>
      <c r="K13" s="11"/>
      <c r="L13" s="11"/>
      <c r="M13" s="11"/>
    </row>
    <row r="14" spans="1:13" s="10" customFormat="1" x14ac:dyDescent="0.2">
      <c r="A14" s="67" t="s">
        <v>176</v>
      </c>
      <c r="B14" s="18" t="s">
        <v>1</v>
      </c>
      <c r="C14" s="11"/>
      <c r="D14" s="11"/>
      <c r="E14" s="11"/>
      <c r="F14" s="11"/>
      <c r="G14" s="11"/>
      <c r="H14" s="11"/>
      <c r="I14" s="11"/>
      <c r="J14" s="11"/>
      <c r="K14" s="11"/>
      <c r="L14" s="11"/>
      <c r="M14" s="11"/>
    </row>
    <row r="15" spans="1:13" ht="16" thickBot="1" x14ac:dyDescent="0.25">
      <c r="A15" s="21" t="s">
        <v>81</v>
      </c>
      <c r="B15" s="68">
        <v>0.33</v>
      </c>
      <c r="C15" s="1"/>
      <c r="D15" s="1"/>
      <c r="E15" s="1"/>
      <c r="F15" s="1"/>
      <c r="G15" s="1"/>
      <c r="H15" s="1"/>
      <c r="I15" s="1"/>
      <c r="J15" s="1"/>
      <c r="K15" s="1"/>
      <c r="L15" s="1"/>
      <c r="M15" s="1"/>
    </row>
    <row r="16" spans="1:13" x14ac:dyDescent="0.2">
      <c r="A16" s="12"/>
      <c r="B16" s="12"/>
      <c r="C16" s="1"/>
      <c r="D16" s="1"/>
      <c r="E16" s="1"/>
      <c r="F16" s="1"/>
      <c r="G16" s="1"/>
      <c r="H16" s="1"/>
      <c r="I16" s="1"/>
      <c r="J16" s="1"/>
      <c r="K16" s="1"/>
      <c r="L16" s="1"/>
      <c r="M16" s="1"/>
    </row>
    <row r="17" spans="1:13" s="10" customFormat="1" x14ac:dyDescent="0.2">
      <c r="A17" s="12"/>
      <c r="B17" s="12"/>
      <c r="C17" s="11"/>
      <c r="D17" s="11"/>
      <c r="E17" s="11"/>
      <c r="F17" s="11"/>
      <c r="G17" s="11"/>
      <c r="H17" s="11"/>
      <c r="I17" s="11"/>
      <c r="J17" s="11"/>
      <c r="K17" s="11"/>
      <c r="L17" s="11"/>
      <c r="M17" s="11"/>
    </row>
    <row r="18" spans="1:13" s="10" customFormat="1" x14ac:dyDescent="0.2">
      <c r="A18" s="1066" t="s">
        <v>37</v>
      </c>
      <c r="B18" s="1066"/>
      <c r="C18" s="152"/>
      <c r="D18" s="153"/>
      <c r="E18" s="153"/>
      <c r="F18" s="153"/>
      <c r="G18" s="153"/>
      <c r="H18" s="154"/>
      <c r="I18" s="11"/>
      <c r="J18" s="11"/>
      <c r="K18" s="11"/>
      <c r="L18" s="11"/>
      <c r="M18" s="11"/>
    </row>
    <row r="19" spans="1:13" s="10" customFormat="1" x14ac:dyDescent="0.2">
      <c r="A19" s="23" t="s">
        <v>69</v>
      </c>
      <c r="B19" s="23" t="s">
        <v>42</v>
      </c>
      <c r="C19" s="23" t="s">
        <v>43</v>
      </c>
      <c r="D19" s="23" t="s">
        <v>70</v>
      </c>
      <c r="E19" s="23" t="s">
        <v>40</v>
      </c>
      <c r="F19" s="23" t="s">
        <v>38</v>
      </c>
      <c r="G19" s="23" t="s">
        <v>39</v>
      </c>
      <c r="H19" s="23" t="s">
        <v>71</v>
      </c>
      <c r="I19" s="11"/>
      <c r="J19" s="11"/>
      <c r="K19" s="11"/>
      <c r="L19" s="11"/>
      <c r="M19" s="11"/>
    </row>
    <row r="20" spans="1:13" s="10" customFormat="1" x14ac:dyDescent="0.2">
      <c r="A20" s="566" t="s">
        <v>448</v>
      </c>
      <c r="B20" s="159" t="s">
        <v>449</v>
      </c>
      <c r="C20" s="159" t="s">
        <v>450</v>
      </c>
      <c r="D20" s="159" t="s">
        <v>451</v>
      </c>
      <c r="E20" s="462"/>
      <c r="F20" s="159"/>
      <c r="G20" s="159"/>
      <c r="H20" s="158"/>
      <c r="I20" s="11"/>
      <c r="J20" s="11"/>
      <c r="K20" s="11"/>
      <c r="L20" s="11"/>
      <c r="M20" s="11"/>
    </row>
    <row r="21" spans="1:13" s="10" customFormat="1" hidden="1" x14ac:dyDescent="0.2">
      <c r="A21" s="246"/>
      <c r="B21" s="247"/>
      <c r="C21" s="247"/>
      <c r="D21" s="247"/>
      <c r="E21" s="247"/>
      <c r="F21" s="247"/>
      <c r="G21" s="158"/>
      <c r="H21" s="158"/>
      <c r="I21" s="11"/>
      <c r="J21" s="11"/>
      <c r="K21" s="11"/>
      <c r="L21" s="11"/>
      <c r="M21" s="11"/>
    </row>
    <row r="22" spans="1:13" s="10" customFormat="1" x14ac:dyDescent="0.2">
      <c r="A22" s="248"/>
      <c r="B22" s="248"/>
      <c r="C22" s="249"/>
      <c r="D22" s="249"/>
      <c r="E22" s="249"/>
      <c r="F22" s="249"/>
      <c r="G22" s="249"/>
      <c r="H22" s="249"/>
      <c r="I22" s="11"/>
      <c r="J22" s="11"/>
      <c r="K22" s="11"/>
      <c r="L22" s="11"/>
      <c r="M22" s="11"/>
    </row>
    <row r="23" spans="1:13" x14ac:dyDescent="0.2">
      <c r="A23" s="12"/>
      <c r="B23" s="12"/>
      <c r="C23" s="1"/>
      <c r="D23" s="1"/>
      <c r="E23" s="1"/>
      <c r="F23" s="1"/>
      <c r="G23" s="1"/>
      <c r="H23" s="1"/>
      <c r="I23" s="1"/>
      <c r="J23" s="1"/>
      <c r="K23" s="1"/>
      <c r="L23" s="1"/>
      <c r="M23" s="1"/>
    </row>
    <row r="24" spans="1:13" ht="16" thickBot="1" x14ac:dyDescent="0.25">
      <c r="A24" s="1065" t="s">
        <v>58</v>
      </c>
      <c r="B24" s="1065"/>
      <c r="C24" s="1"/>
      <c r="D24" s="1"/>
      <c r="E24" s="1"/>
      <c r="F24" s="1"/>
      <c r="G24" s="1"/>
      <c r="H24" s="1"/>
      <c r="I24" s="1"/>
      <c r="J24" s="1"/>
      <c r="K24" s="1"/>
      <c r="L24" s="1"/>
      <c r="M24" s="1"/>
    </row>
    <row r="25" spans="1:13" x14ac:dyDescent="0.2">
      <c r="A25" s="22" t="s">
        <v>41</v>
      </c>
      <c r="B25" s="16"/>
      <c r="C25" s="1"/>
      <c r="D25" s="1"/>
      <c r="E25" s="1"/>
      <c r="F25" s="1"/>
      <c r="G25" s="1"/>
      <c r="H25" s="1"/>
      <c r="I25" s="1"/>
      <c r="J25" s="1"/>
      <c r="K25" s="1"/>
      <c r="L25" s="1"/>
      <c r="M25" s="1"/>
    </row>
    <row r="26" spans="1:13" x14ac:dyDescent="0.2">
      <c r="A26" s="19" t="s">
        <v>42</v>
      </c>
      <c r="B26" s="14"/>
      <c r="C26" s="1"/>
      <c r="D26" s="1"/>
      <c r="E26" s="1"/>
      <c r="F26" s="1"/>
      <c r="G26" s="1"/>
      <c r="H26" s="1"/>
      <c r="I26" s="1"/>
      <c r="J26" s="1"/>
      <c r="K26" s="1"/>
      <c r="L26" s="1"/>
      <c r="M26" s="1"/>
    </row>
    <row r="27" spans="1:13" x14ac:dyDescent="0.2">
      <c r="A27" s="19" t="s">
        <v>43</v>
      </c>
      <c r="B27" s="14"/>
      <c r="C27" s="1"/>
      <c r="D27" s="1"/>
      <c r="E27" s="1"/>
      <c r="F27" s="1"/>
      <c r="G27" s="1"/>
      <c r="H27" s="1"/>
      <c r="I27" s="1"/>
      <c r="J27" s="1"/>
      <c r="K27" s="1"/>
      <c r="L27" s="1"/>
      <c r="M27" s="1"/>
    </row>
    <row r="28" spans="1:13" x14ac:dyDescent="0.2">
      <c r="A28" s="19" t="s">
        <v>44</v>
      </c>
      <c r="B28" s="14"/>
      <c r="C28" s="1"/>
      <c r="D28" s="1"/>
      <c r="E28" s="1"/>
      <c r="F28" s="1"/>
      <c r="G28" s="1"/>
      <c r="H28" s="1"/>
      <c r="I28" s="1"/>
      <c r="J28" s="1"/>
      <c r="K28" s="1"/>
      <c r="L28" s="1"/>
      <c r="M28" s="1"/>
    </row>
    <row r="29" spans="1:13" x14ac:dyDescent="0.2">
      <c r="A29" s="19" t="s">
        <v>45</v>
      </c>
      <c r="B29" s="14"/>
      <c r="C29" s="1"/>
      <c r="D29" s="1"/>
      <c r="E29" s="1"/>
      <c r="F29" s="1"/>
      <c r="G29" s="1"/>
      <c r="H29" s="1"/>
      <c r="I29" s="1"/>
      <c r="J29" s="1"/>
      <c r="K29" s="1"/>
      <c r="L29" s="1"/>
      <c r="M29" s="1"/>
    </row>
    <row r="30" spans="1:13" x14ac:dyDescent="0.2">
      <c r="A30" s="19" t="s">
        <v>38</v>
      </c>
      <c r="B30" s="14"/>
      <c r="C30" s="1"/>
      <c r="D30" s="1"/>
      <c r="E30" s="1"/>
      <c r="F30" s="1"/>
      <c r="G30" s="1"/>
      <c r="H30" s="1"/>
      <c r="I30" s="1"/>
      <c r="J30" s="1"/>
      <c r="K30" s="1"/>
      <c r="L30" s="1"/>
      <c r="M30" s="1"/>
    </row>
    <row r="31" spans="1:13" x14ac:dyDescent="0.2">
      <c r="A31" s="19" t="s">
        <v>39</v>
      </c>
      <c r="B31" s="14"/>
      <c r="C31" s="1"/>
      <c r="D31" s="1"/>
      <c r="E31" s="1"/>
      <c r="F31" s="1"/>
      <c r="G31" s="1"/>
      <c r="H31" s="1"/>
      <c r="I31" s="1"/>
      <c r="J31" s="1"/>
      <c r="K31" s="1"/>
      <c r="L31" s="1"/>
      <c r="M31" s="1"/>
    </row>
    <row r="32" spans="1:13" ht="16" thickBot="1" x14ac:dyDescent="0.25">
      <c r="A32" s="21" t="s">
        <v>40</v>
      </c>
      <c r="B32" s="15"/>
      <c r="C32" s="1"/>
      <c r="D32" s="1"/>
      <c r="E32" s="1"/>
      <c r="F32" s="1"/>
      <c r="G32" s="1"/>
      <c r="H32" s="1"/>
      <c r="I32" s="1"/>
      <c r="J32" s="1"/>
      <c r="K32" s="1"/>
      <c r="L32" s="1"/>
      <c r="M32" s="1"/>
    </row>
    <row r="33" spans="1:13" x14ac:dyDescent="0.2">
      <c r="A33" s="12"/>
      <c r="B33" s="12"/>
      <c r="C33" s="1"/>
      <c r="D33" s="1"/>
      <c r="E33" s="1"/>
      <c r="F33" s="1"/>
      <c r="G33" s="1"/>
      <c r="H33" s="1"/>
      <c r="I33" s="1"/>
      <c r="J33" s="1"/>
      <c r="K33" s="1"/>
      <c r="L33" s="1"/>
      <c r="M33" s="1"/>
    </row>
    <row r="34" spans="1:13" ht="16" thickBot="1" x14ac:dyDescent="0.25">
      <c r="A34" s="1065" t="s">
        <v>46</v>
      </c>
      <c r="B34" s="1065"/>
      <c r="C34" s="1"/>
      <c r="D34" s="1"/>
      <c r="E34" s="1"/>
      <c r="F34" s="1"/>
      <c r="G34" s="1"/>
      <c r="H34" s="1"/>
      <c r="I34" s="1"/>
      <c r="J34" s="1"/>
      <c r="K34" s="1"/>
      <c r="L34" s="1"/>
      <c r="M34" s="1"/>
    </row>
    <row r="35" spans="1:13" x14ac:dyDescent="0.2">
      <c r="A35" s="22" t="s">
        <v>47</v>
      </c>
      <c r="B35" s="16"/>
      <c r="C35" s="1"/>
      <c r="D35" s="1"/>
      <c r="E35" s="1"/>
      <c r="F35" s="1"/>
      <c r="G35" s="1"/>
      <c r="H35" s="1"/>
      <c r="I35" s="1"/>
      <c r="J35" s="1"/>
      <c r="K35" s="1"/>
      <c r="L35" s="1"/>
      <c r="M35" s="1"/>
    </row>
    <row r="36" spans="1:13" x14ac:dyDescent="0.2">
      <c r="A36" s="19" t="s">
        <v>48</v>
      </c>
      <c r="B36" s="14"/>
      <c r="C36" s="1"/>
      <c r="D36" s="1"/>
      <c r="E36" s="1"/>
      <c r="F36" s="1"/>
      <c r="G36" s="1"/>
      <c r="H36" s="1"/>
      <c r="I36" s="1"/>
      <c r="J36" s="1"/>
      <c r="K36" s="1"/>
      <c r="L36" s="1"/>
      <c r="M36" s="1"/>
    </row>
    <row r="37" spans="1:13" ht="16" thickBot="1" x14ac:dyDescent="0.25">
      <c r="A37" s="21" t="s">
        <v>49</v>
      </c>
      <c r="B37" s="15"/>
      <c r="C37" s="1"/>
      <c r="D37" s="1"/>
      <c r="E37" s="1"/>
      <c r="F37" s="1"/>
      <c r="G37" s="1"/>
      <c r="H37" s="1"/>
      <c r="I37" s="1"/>
      <c r="J37" s="1"/>
      <c r="K37" s="1"/>
      <c r="L37" s="1"/>
      <c r="M37" s="1"/>
    </row>
    <row r="38" spans="1:13" x14ac:dyDescent="0.2">
      <c r="A38" s="12"/>
      <c r="B38" s="12"/>
      <c r="C38" s="1"/>
      <c r="D38" s="1"/>
      <c r="E38" s="1"/>
      <c r="F38" s="1"/>
      <c r="G38" s="1"/>
      <c r="H38" s="1"/>
      <c r="I38" s="1"/>
      <c r="J38" s="1"/>
      <c r="K38" s="1"/>
      <c r="L38" s="1"/>
      <c r="M38" s="1"/>
    </row>
    <row r="39" spans="1:13" ht="16" thickBot="1" x14ac:dyDescent="0.25">
      <c r="A39" s="1065" t="s">
        <v>50</v>
      </c>
      <c r="B39" s="1065"/>
      <c r="C39" s="1"/>
      <c r="D39" s="1"/>
      <c r="E39" s="1"/>
      <c r="F39" s="1"/>
      <c r="G39" s="1"/>
      <c r="H39" s="1"/>
      <c r="I39" s="1"/>
      <c r="J39" s="1"/>
      <c r="K39" s="1"/>
      <c r="L39" s="1"/>
      <c r="M39" s="1"/>
    </row>
    <row r="40" spans="1:13" x14ac:dyDescent="0.2">
      <c r="A40" s="22" t="s">
        <v>51</v>
      </c>
      <c r="B40" s="16" t="s">
        <v>1125</v>
      </c>
      <c r="C40" s="1"/>
      <c r="D40" s="1"/>
      <c r="E40" s="1"/>
      <c r="F40" s="1"/>
      <c r="G40" s="1"/>
      <c r="H40" s="1"/>
      <c r="I40" s="1"/>
      <c r="J40" s="1"/>
      <c r="K40" s="1"/>
      <c r="L40" s="1"/>
      <c r="M40" s="1"/>
    </row>
    <row r="41" spans="1:13" x14ac:dyDescent="0.2">
      <c r="A41" s="19" t="s">
        <v>52</v>
      </c>
      <c r="B41" s="14"/>
      <c r="C41" s="1"/>
      <c r="D41" s="1"/>
      <c r="E41" s="1"/>
      <c r="F41" s="1"/>
      <c r="G41" s="1"/>
      <c r="H41" s="1"/>
      <c r="I41" s="1"/>
      <c r="J41" s="1"/>
      <c r="K41" s="1"/>
      <c r="L41" s="1"/>
      <c r="M41" s="1"/>
    </row>
    <row r="42" spans="1:13" x14ac:dyDescent="0.2">
      <c r="A42" s="19" t="s">
        <v>53</v>
      </c>
      <c r="B42" s="564" t="s">
        <v>1126</v>
      </c>
      <c r="C42" s="1"/>
      <c r="D42" s="1"/>
      <c r="E42" s="1"/>
      <c r="F42" s="1"/>
      <c r="G42" s="1"/>
      <c r="H42" s="1"/>
      <c r="I42" s="1"/>
      <c r="J42" s="1"/>
      <c r="K42" s="1"/>
      <c r="L42" s="1"/>
      <c r="M42" s="1"/>
    </row>
    <row r="43" spans="1:13" ht="16" thickBot="1" x14ac:dyDescent="0.25">
      <c r="A43" s="21" t="s">
        <v>54</v>
      </c>
      <c r="B43" s="15" t="s">
        <v>452</v>
      </c>
      <c r="C43" s="1"/>
      <c r="D43" s="1"/>
      <c r="E43" s="1"/>
      <c r="F43" s="1"/>
      <c r="G43" s="1"/>
      <c r="H43" s="1"/>
      <c r="I43" s="1"/>
      <c r="J43" s="1"/>
      <c r="K43" s="1"/>
      <c r="L43" s="1"/>
      <c r="M43" s="1"/>
    </row>
    <row r="44" spans="1:13" x14ac:dyDescent="0.2">
      <c r="A44" s="1"/>
      <c r="B44" s="1"/>
      <c r="C44" s="1"/>
      <c r="D44" s="1"/>
      <c r="E44" s="1"/>
      <c r="F44" s="1"/>
      <c r="G44" s="1"/>
      <c r="H44" s="1"/>
      <c r="I44" s="1"/>
      <c r="J44" s="1"/>
      <c r="K44" s="1"/>
      <c r="L44" s="1"/>
      <c r="M44" s="1"/>
    </row>
    <row r="45" spans="1:13" x14ac:dyDescent="0.2">
      <c r="A45" s="1"/>
      <c r="B45" s="1"/>
      <c r="C45" s="1"/>
      <c r="D45" s="1"/>
      <c r="E45" s="1"/>
      <c r="F45" s="1"/>
      <c r="G45" s="1"/>
      <c r="H45" s="1"/>
      <c r="I45" s="1"/>
      <c r="J45" s="1"/>
      <c r="K45" s="1"/>
      <c r="L45" s="1"/>
      <c r="M45" s="1"/>
    </row>
  </sheetData>
  <mergeCells count="6">
    <mergeCell ref="A1:B1"/>
    <mergeCell ref="A3:B3"/>
    <mergeCell ref="A24:B24"/>
    <mergeCell ref="A34:B34"/>
    <mergeCell ref="A39:B39"/>
    <mergeCell ref="A18:B18"/>
  </mergeCells>
  <dataValidations count="2">
    <dataValidation type="list" allowBlank="1" showInputMessage="1" showErrorMessage="1" sqref="B14">
      <formula1>logic</formula1>
    </dataValidation>
    <dataValidation type="list" allowBlank="1" showInputMessage="1" showErrorMessage="1" sqref="H20:H21">
      <formula1>cs</formula1>
    </dataValidation>
  </dataValidations>
  <hyperlinks>
    <hyperlink ref="B42" r:id="rId1"/>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I30"/>
  <sheetViews>
    <sheetView workbookViewId="0">
      <selection activeCell="F12" sqref="F12"/>
    </sheetView>
  </sheetViews>
  <sheetFormatPr baseColWidth="10" defaultColWidth="8.83203125" defaultRowHeight="15" x14ac:dyDescent="0.2"/>
  <cols>
    <col min="1" max="1" width="27.33203125" style="571" customWidth="1"/>
    <col min="2" max="16384" width="8.83203125" style="571"/>
  </cols>
  <sheetData>
    <row r="2" spans="1:9" ht="17" x14ac:dyDescent="0.25">
      <c r="A2" s="1067" t="s">
        <v>91</v>
      </c>
      <c r="B2" s="1067"/>
      <c r="C2" s="1067"/>
      <c r="D2" s="1067"/>
      <c r="E2" s="570"/>
      <c r="F2" s="570"/>
      <c r="G2" s="570"/>
      <c r="H2" s="570"/>
      <c r="I2" s="570"/>
    </row>
    <row r="3" spans="1:9" ht="17" x14ac:dyDescent="0.25">
      <c r="A3" s="572" t="s">
        <v>238</v>
      </c>
      <c r="B3" s="573" t="s">
        <v>236</v>
      </c>
      <c r="C3" s="574"/>
      <c r="D3" s="574"/>
      <c r="E3" s="570"/>
      <c r="F3" s="570"/>
      <c r="G3" s="570"/>
      <c r="H3" s="570"/>
      <c r="I3" s="570"/>
    </row>
    <row r="4" spans="1:9" ht="63.75" customHeight="1" thickBot="1" x14ac:dyDescent="0.25">
      <c r="A4" s="575"/>
      <c r="B4" s="576" t="s">
        <v>92</v>
      </c>
      <c r="C4" s="577" t="s">
        <v>93</v>
      </c>
      <c r="D4" s="578" t="s">
        <v>94</v>
      </c>
      <c r="E4" s="579"/>
      <c r="F4" s="579"/>
      <c r="G4" s="579"/>
      <c r="H4" s="570"/>
      <c r="I4" s="570"/>
    </row>
    <row r="5" spans="1:9" ht="16" thickTop="1" x14ac:dyDescent="0.2">
      <c r="A5" s="1068" t="s">
        <v>95</v>
      </c>
      <c r="B5" s="1069"/>
      <c r="C5" s="1069"/>
      <c r="D5" s="1070"/>
      <c r="E5" s="570"/>
      <c r="F5" s="570"/>
      <c r="G5" s="570"/>
      <c r="H5" s="570"/>
      <c r="I5" s="570"/>
    </row>
    <row r="6" spans="1:9" x14ac:dyDescent="0.2">
      <c r="A6" s="580" t="s">
        <v>96</v>
      </c>
      <c r="B6" s="581">
        <v>1</v>
      </c>
      <c r="C6" s="582">
        <v>0.1</v>
      </c>
      <c r="D6" s="604">
        <f>+D7+'Labor Rates'!F3</f>
        <v>44</v>
      </c>
      <c r="E6" s="570"/>
      <c r="F6" s="570"/>
      <c r="G6" s="570"/>
      <c r="H6" s="570"/>
      <c r="I6" s="570"/>
    </row>
    <row r="7" spans="1:9" x14ac:dyDescent="0.2">
      <c r="A7" s="580" t="s">
        <v>1123</v>
      </c>
      <c r="B7" s="581">
        <v>1</v>
      </c>
      <c r="C7" s="582">
        <v>1</v>
      </c>
      <c r="D7" s="604">
        <f>+D8+'Labor Rates'!E3</f>
        <v>32</v>
      </c>
      <c r="E7" s="570"/>
      <c r="F7" s="570"/>
      <c r="G7" s="570"/>
      <c r="H7" s="570"/>
      <c r="I7" s="570"/>
    </row>
    <row r="8" spans="1:9" x14ac:dyDescent="0.2">
      <c r="A8" s="580" t="s">
        <v>1121</v>
      </c>
      <c r="B8" s="581">
        <v>1</v>
      </c>
      <c r="C8" s="582">
        <v>1</v>
      </c>
      <c r="D8" s="604">
        <f>IF($B$3="az",'Labor Rates'!B3,0)+IF($B$3="or",'Labor Rates'!B4,0)+IF($B$3="ut",'Labor Rates'!B5,0)+IF($B$3="wa",'Labor Rates'!B6,0)</f>
        <v>30</v>
      </c>
      <c r="E8" s="570"/>
      <c r="F8" s="570"/>
      <c r="G8" s="570"/>
      <c r="H8" s="570"/>
      <c r="I8" s="570"/>
    </row>
    <row r="9" spans="1:9" x14ac:dyDescent="0.2">
      <c r="A9" s="580" t="s">
        <v>1122</v>
      </c>
      <c r="B9" s="581">
        <v>3</v>
      </c>
      <c r="C9" s="582">
        <v>1</v>
      </c>
      <c r="D9" s="604">
        <f>IF($B$3="az",'Labor Rates'!C3,0)+IF($B$3="or",'Labor Rates'!C4,0)+IF($B$3="ut",'Labor Rates'!C5,0)+IF($B$3="wa",'Labor Rates'!C6,0)</f>
        <v>23</v>
      </c>
      <c r="E9" s="570"/>
      <c r="F9" s="570"/>
      <c r="G9" s="570"/>
      <c r="H9" s="570"/>
      <c r="I9" s="570"/>
    </row>
    <row r="10" spans="1:9" x14ac:dyDescent="0.2">
      <c r="A10" s="580" t="s">
        <v>100</v>
      </c>
      <c r="B10" s="581">
        <v>1</v>
      </c>
      <c r="C10" s="582">
        <v>1</v>
      </c>
      <c r="D10" s="604">
        <f>IF($B$3="az",'Labor Rates'!D3,0)+IF($B$3="or",'Labor Rates'!D4,0)+IF($B$3="ut",'Labor Rates'!D5,0)+IF($B$3="wa",'Labor Rates'!D6,0)</f>
        <v>19</v>
      </c>
      <c r="E10" s="570"/>
      <c r="F10" s="570"/>
      <c r="G10" s="570"/>
      <c r="H10" s="570"/>
      <c r="I10" s="570"/>
    </row>
    <row r="11" spans="1:9" x14ac:dyDescent="0.2">
      <c r="A11" s="580" t="s">
        <v>101</v>
      </c>
      <c r="B11" s="602">
        <f>+(B6*C6)+(B7*C7)+(B8*C8)+(B9*C9)+(B10*C10)</f>
        <v>6.1</v>
      </c>
      <c r="C11" s="584"/>
      <c r="D11" s="583"/>
      <c r="E11" s="570"/>
      <c r="F11" s="570"/>
      <c r="G11" s="570"/>
      <c r="H11" s="570"/>
      <c r="I11" s="570"/>
    </row>
    <row r="12" spans="1:9" x14ac:dyDescent="0.2">
      <c r="A12" s="585"/>
      <c r="B12" s="586"/>
      <c r="C12" s="586"/>
      <c r="D12" s="587"/>
      <c r="E12" s="570"/>
      <c r="F12" s="570"/>
      <c r="G12" s="570"/>
      <c r="H12" s="570"/>
      <c r="I12" s="570"/>
    </row>
    <row r="13" spans="1:9" x14ac:dyDescent="0.2">
      <c r="A13" s="1071" t="s">
        <v>102</v>
      </c>
      <c r="B13" s="1072"/>
      <c r="C13" s="1072"/>
      <c r="D13" s="1073"/>
      <c r="E13" s="570"/>
      <c r="F13" s="570"/>
      <c r="G13" s="570"/>
      <c r="H13" s="570"/>
      <c r="I13" s="570"/>
    </row>
    <row r="14" spans="1:9" x14ac:dyDescent="0.2">
      <c r="A14" s="588" t="s">
        <v>96</v>
      </c>
      <c r="B14" s="581">
        <v>1</v>
      </c>
      <c r="C14" s="582">
        <v>0.5</v>
      </c>
      <c r="D14" s="589"/>
      <c r="E14" s="570"/>
      <c r="F14" s="570"/>
      <c r="G14" s="570"/>
      <c r="H14" s="570"/>
      <c r="I14" s="570"/>
    </row>
    <row r="15" spans="1:9" x14ac:dyDescent="0.2">
      <c r="A15" s="588" t="s">
        <v>97</v>
      </c>
      <c r="B15" s="581">
        <v>1</v>
      </c>
      <c r="C15" s="582">
        <v>0.5</v>
      </c>
      <c r="D15" s="589"/>
      <c r="E15" s="570"/>
      <c r="F15" s="570"/>
      <c r="G15" s="570"/>
      <c r="H15" s="570"/>
      <c r="I15" s="570"/>
    </row>
    <row r="16" spans="1:9" x14ac:dyDescent="0.2">
      <c r="A16" s="588" t="s">
        <v>98</v>
      </c>
      <c r="B16" s="581">
        <v>1</v>
      </c>
      <c r="C16" s="582">
        <v>1</v>
      </c>
      <c r="D16" s="589"/>
      <c r="E16" s="570"/>
      <c r="F16" s="570"/>
      <c r="G16" s="570"/>
      <c r="H16" s="570"/>
      <c r="I16" s="570"/>
    </row>
    <row r="17" spans="1:9" x14ac:dyDescent="0.2">
      <c r="A17" s="588" t="s">
        <v>99</v>
      </c>
      <c r="B17" s="581">
        <v>1</v>
      </c>
      <c r="C17" s="582">
        <v>1</v>
      </c>
      <c r="D17" s="589"/>
      <c r="E17" s="570"/>
      <c r="F17" s="570"/>
      <c r="G17" s="570"/>
      <c r="H17" s="570"/>
      <c r="I17" s="570"/>
    </row>
    <row r="18" spans="1:9" x14ac:dyDescent="0.2">
      <c r="A18" s="590" t="s">
        <v>100</v>
      </c>
      <c r="B18" s="591">
        <v>0</v>
      </c>
      <c r="C18" s="592">
        <v>1</v>
      </c>
      <c r="D18" s="589"/>
      <c r="E18" s="570"/>
      <c r="F18" s="570"/>
      <c r="G18" s="570"/>
      <c r="H18" s="570"/>
      <c r="I18" s="570"/>
    </row>
    <row r="19" spans="1:9" ht="16" thickBot="1" x14ac:dyDescent="0.25">
      <c r="A19" s="593" t="s">
        <v>101</v>
      </c>
      <c r="B19" s="603">
        <f>SUM(B14:B18)</f>
        <v>4</v>
      </c>
      <c r="C19" s="594"/>
      <c r="D19" s="595"/>
      <c r="E19" s="570"/>
      <c r="F19" s="570"/>
      <c r="G19" s="570"/>
      <c r="H19" s="570"/>
      <c r="I19" s="570"/>
    </row>
    <row r="20" spans="1:9" ht="16" thickTop="1" x14ac:dyDescent="0.2">
      <c r="A20" s="596" t="s">
        <v>247</v>
      </c>
      <c r="B20" s="605">
        <f>IF($B$3="az",'Labor Rates'!G3,0)+IF($B$3="or",'Labor Rates'!G4,0)+IF($B$3="ut",'Labor Rates'!G5,0)+IF($B$3="wa",'Labor Rates'!G6,0)</f>
        <v>0.22</v>
      </c>
      <c r="C20" s="597"/>
      <c r="D20" s="597"/>
      <c r="E20" s="570"/>
      <c r="F20" s="570"/>
      <c r="G20" s="570"/>
      <c r="H20" s="570"/>
      <c r="I20" s="570"/>
    </row>
    <row r="21" spans="1:9" ht="16" thickBot="1" x14ac:dyDescent="0.25">
      <c r="A21" s="593" t="s">
        <v>250</v>
      </c>
      <c r="B21" s="606">
        <f>IF($B$3="az",'Labor Rates'!K3,0)+IF($B$3="or",'Labor Rates'!K4,0)+IF($B$3="ut",'Labor Rates'!K5,0)+IF($B$3="wa",'Labor Rates'!K6,0)</f>
        <v>10.93</v>
      </c>
      <c r="C21" s="597"/>
      <c r="D21" s="597"/>
      <c r="E21" s="570"/>
      <c r="F21" s="570"/>
      <c r="G21" s="570"/>
      <c r="H21" s="570"/>
      <c r="I21" s="570"/>
    </row>
    <row r="22" spans="1:9" ht="17" thickTop="1" thickBot="1" x14ac:dyDescent="0.25">
      <c r="A22" s="570"/>
      <c r="B22" s="570"/>
      <c r="C22" s="570"/>
      <c r="D22" s="570"/>
      <c r="E22" s="570"/>
      <c r="F22" s="570"/>
      <c r="G22" s="570"/>
      <c r="H22" s="570"/>
      <c r="I22" s="570"/>
    </row>
    <row r="23" spans="1:9" x14ac:dyDescent="0.2">
      <c r="A23" s="598" t="s">
        <v>124</v>
      </c>
      <c r="B23" s="599" t="s">
        <v>118</v>
      </c>
      <c r="C23" s="599" t="s">
        <v>119</v>
      </c>
      <c r="D23" s="600" t="s">
        <v>120</v>
      </c>
      <c r="E23" s="570"/>
      <c r="F23" s="570"/>
      <c r="G23" s="570"/>
      <c r="H23" s="570"/>
      <c r="I23" s="570"/>
    </row>
    <row r="24" spans="1:9" ht="16" thickBot="1" x14ac:dyDescent="0.25">
      <c r="A24" s="601" t="s">
        <v>363</v>
      </c>
      <c r="B24" s="607">
        <f>IF(Summary!$E$46=0,0,Summary!$E$46/'Job Info'!$B$13/160)</f>
        <v>6.1170273847735395</v>
      </c>
      <c r="C24" s="607">
        <f>IF(Summary!$E$46=0,0,Summary!$E$46/'Job Info'!$B$13/200)</f>
        <v>4.8936219078188312</v>
      </c>
      <c r="D24" s="608">
        <f>IF(Summary!$E$46=0,0,Summary!$E$46/'Job Info'!$B$13/230)</f>
        <v>4.2553233981033314</v>
      </c>
      <c r="E24" s="570"/>
      <c r="F24" s="570"/>
      <c r="G24" s="570"/>
      <c r="H24" s="570"/>
      <c r="I24" s="570"/>
    </row>
    <row r="25" spans="1:9" x14ac:dyDescent="0.2">
      <c r="A25" s="570"/>
      <c r="B25" s="570"/>
      <c r="C25" s="570"/>
      <c r="D25" s="570"/>
      <c r="E25" s="570"/>
      <c r="F25" s="570"/>
      <c r="G25" s="570"/>
      <c r="H25" s="570"/>
      <c r="I25" s="570"/>
    </row>
    <row r="26" spans="1:9" x14ac:dyDescent="0.2">
      <c r="A26" s="570"/>
      <c r="B26" s="570"/>
      <c r="C26" s="570"/>
      <c r="D26" s="570"/>
      <c r="E26" s="570"/>
      <c r="F26" s="570"/>
      <c r="G26" s="570"/>
      <c r="H26" s="570"/>
      <c r="I26" s="570"/>
    </row>
    <row r="27" spans="1:9" x14ac:dyDescent="0.2">
      <c r="A27" s="570"/>
      <c r="B27" s="570"/>
      <c r="C27" s="570"/>
      <c r="D27" s="570"/>
      <c r="E27" s="570"/>
      <c r="F27" s="570"/>
      <c r="G27" s="570"/>
      <c r="H27" s="570"/>
      <c r="I27" s="570"/>
    </row>
    <row r="28" spans="1:9" x14ac:dyDescent="0.2">
      <c r="A28" s="570"/>
      <c r="B28" s="570"/>
      <c r="C28" s="570"/>
      <c r="D28" s="570"/>
      <c r="E28" s="570"/>
      <c r="F28" s="570"/>
      <c r="G28" s="570"/>
      <c r="H28" s="570"/>
      <c r="I28" s="570"/>
    </row>
    <row r="29" spans="1:9" x14ac:dyDescent="0.2">
      <c r="A29" s="570"/>
      <c r="B29" s="570"/>
      <c r="C29" s="570"/>
      <c r="D29" s="570"/>
      <c r="E29" s="570"/>
      <c r="F29" s="570"/>
      <c r="G29" s="570"/>
      <c r="H29" s="570"/>
      <c r="I29" s="570"/>
    </row>
    <row r="30" spans="1:9" x14ac:dyDescent="0.2">
      <c r="A30" s="570"/>
      <c r="B30" s="570"/>
      <c r="C30" s="570"/>
      <c r="D30" s="570"/>
      <c r="E30" s="570"/>
      <c r="F30" s="570"/>
      <c r="G30" s="570"/>
      <c r="H30" s="570"/>
      <c r="I30" s="570"/>
    </row>
  </sheetData>
  <mergeCells count="3">
    <mergeCell ref="A2:D2"/>
    <mergeCell ref="A5:D5"/>
    <mergeCell ref="A13:D13"/>
  </mergeCells>
  <dataValidations count="1">
    <dataValidation type="list" allowBlank="1" showInputMessage="1" showErrorMessage="1" promptTitle="Location" prompt="Select state work is to be performed" sqref="B3">
      <formula1>location</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FFFF00"/>
  </sheetPr>
  <dimension ref="A1:I31"/>
  <sheetViews>
    <sheetView workbookViewId="0">
      <selection activeCell="C33" sqref="C33"/>
    </sheetView>
  </sheetViews>
  <sheetFormatPr baseColWidth="10" defaultColWidth="8.83203125" defaultRowHeight="15" x14ac:dyDescent="0.2"/>
  <cols>
    <col min="1" max="1" width="29.83203125" style="571" customWidth="1"/>
    <col min="2" max="2" width="11.83203125" style="571" customWidth="1"/>
    <col min="3" max="3" width="11.5" style="571" bestFit="1" customWidth="1"/>
    <col min="4" max="4" width="12.33203125" style="571" customWidth="1"/>
    <col min="5" max="16384" width="8.83203125" style="571"/>
  </cols>
  <sheetData>
    <row r="1" spans="1:9" ht="17" x14ac:dyDescent="0.25">
      <c r="A1" s="609" t="s">
        <v>28</v>
      </c>
      <c r="B1" s="570"/>
      <c r="C1" s="570"/>
      <c r="D1" s="570"/>
      <c r="E1" s="570"/>
      <c r="F1" s="570"/>
      <c r="G1" s="570"/>
      <c r="H1" s="570"/>
      <c r="I1" s="570"/>
    </row>
    <row r="2" spans="1:9" ht="42.75" customHeight="1" thickBot="1" x14ac:dyDescent="0.25">
      <c r="A2" s="610" t="s">
        <v>22</v>
      </c>
      <c r="B2" s="611" t="s">
        <v>29</v>
      </c>
      <c r="C2" s="611" t="s">
        <v>30</v>
      </c>
      <c r="D2" s="611" t="s">
        <v>31</v>
      </c>
      <c r="E2" s="612"/>
      <c r="F2" s="613"/>
      <c r="G2" s="614"/>
      <c r="H2" s="614"/>
      <c r="I2" s="570"/>
    </row>
    <row r="3" spans="1:9" x14ac:dyDescent="0.2">
      <c r="A3" s="615" t="s">
        <v>23</v>
      </c>
      <c r="B3" s="616">
        <v>6000</v>
      </c>
      <c r="C3" s="645">
        <f>+B3*'Labor Burden'!$B$14</f>
        <v>1717.2</v>
      </c>
      <c r="D3" s="646">
        <f>+B3+C3</f>
        <v>7717.2</v>
      </c>
      <c r="E3" s="570"/>
      <c r="F3" s="617"/>
      <c r="G3" s="570"/>
      <c r="H3" s="570"/>
      <c r="I3" s="570"/>
    </row>
    <row r="4" spans="1:9" x14ac:dyDescent="0.2">
      <c r="A4" s="618" t="s">
        <v>24</v>
      </c>
      <c r="B4" s="619">
        <v>4000</v>
      </c>
      <c r="C4" s="647">
        <f>+B4*'Labor Burden'!$B$14</f>
        <v>1144.8</v>
      </c>
      <c r="D4" s="648">
        <f t="shared" ref="D4:D7" si="0">+B4+C4</f>
        <v>5144.8</v>
      </c>
      <c r="E4" s="570"/>
      <c r="F4" s="570"/>
      <c r="G4" s="570"/>
      <c r="H4" s="570"/>
      <c r="I4" s="570"/>
    </row>
    <row r="5" spans="1:9" x14ac:dyDescent="0.2">
      <c r="A5" s="618" t="s">
        <v>25</v>
      </c>
      <c r="B5" s="619">
        <v>4000</v>
      </c>
      <c r="C5" s="647">
        <f>+B5*'Labor Burden'!$B$14</f>
        <v>1144.8</v>
      </c>
      <c r="D5" s="648">
        <f t="shared" si="0"/>
        <v>5144.8</v>
      </c>
      <c r="E5" s="570"/>
      <c r="F5" s="570"/>
      <c r="G5" s="570"/>
      <c r="H5" s="570"/>
      <c r="I5" s="570"/>
    </row>
    <row r="6" spans="1:9" x14ac:dyDescent="0.2">
      <c r="A6" s="618" t="s">
        <v>26</v>
      </c>
      <c r="B6" s="619">
        <v>4500</v>
      </c>
      <c r="C6" s="647">
        <f>+B6*'Labor Burden'!$B$14</f>
        <v>1287.9000000000001</v>
      </c>
      <c r="D6" s="648">
        <f t="shared" si="0"/>
        <v>5787.9</v>
      </c>
      <c r="E6" s="570"/>
      <c r="F6" s="570"/>
      <c r="G6" s="570"/>
      <c r="H6" s="570"/>
      <c r="I6" s="570"/>
    </row>
    <row r="7" spans="1:9" ht="16" thickBot="1" x14ac:dyDescent="0.25">
      <c r="A7" s="620" t="s">
        <v>32</v>
      </c>
      <c r="B7" s="621">
        <v>3500</v>
      </c>
      <c r="C7" s="649">
        <f>+B7*'Labor Burden'!$B$14</f>
        <v>1001.7</v>
      </c>
      <c r="D7" s="650">
        <f t="shared" si="0"/>
        <v>4501.7</v>
      </c>
      <c r="E7" s="570"/>
      <c r="F7" s="570"/>
      <c r="G7" s="570"/>
      <c r="H7" s="570"/>
      <c r="I7" s="570"/>
    </row>
    <row r="8" spans="1:9" x14ac:dyDescent="0.2">
      <c r="A8" s="570"/>
      <c r="B8" s="570"/>
      <c r="C8" s="570"/>
      <c r="D8" s="570"/>
      <c r="E8" s="570"/>
      <c r="F8" s="570"/>
      <c r="G8" s="570"/>
      <c r="H8" s="570"/>
      <c r="I8" s="570"/>
    </row>
    <row r="9" spans="1:9" x14ac:dyDescent="0.2">
      <c r="A9" s="570"/>
      <c r="B9" s="570"/>
      <c r="C9" s="570"/>
      <c r="D9" s="570"/>
      <c r="E9" s="570"/>
      <c r="F9" s="570"/>
      <c r="G9" s="570"/>
      <c r="H9" s="570"/>
      <c r="I9" s="570"/>
    </row>
    <row r="10" spans="1:9" ht="16" thickBot="1" x14ac:dyDescent="0.25">
      <c r="A10" s="622" t="s">
        <v>59</v>
      </c>
      <c r="B10" s="623"/>
      <c r="C10" s="623"/>
      <c r="D10" s="624" t="s">
        <v>296</v>
      </c>
      <c r="E10" s="570"/>
      <c r="F10" s="570"/>
      <c r="G10" s="570"/>
      <c r="H10" s="570"/>
      <c r="I10" s="570"/>
    </row>
    <row r="11" spans="1:9" x14ac:dyDescent="0.2">
      <c r="A11" s="615" t="s">
        <v>60</v>
      </c>
      <c r="B11" s="625">
        <v>9.5000000000000001E-2</v>
      </c>
      <c r="C11" s="626" t="s">
        <v>62</v>
      </c>
      <c r="D11" s="627" t="s">
        <v>2</v>
      </c>
      <c r="E11" s="570"/>
      <c r="F11" s="570"/>
      <c r="G11" s="570"/>
      <c r="H11" s="570"/>
      <c r="I11" s="570"/>
    </row>
    <row r="12" spans="1:9" x14ac:dyDescent="0.2">
      <c r="A12" s="628" t="s">
        <v>61</v>
      </c>
      <c r="B12" s="629">
        <v>0.02</v>
      </c>
      <c r="C12" s="630" t="s">
        <v>62</v>
      </c>
      <c r="D12" s="631" t="s">
        <v>2</v>
      </c>
      <c r="E12" s="570"/>
      <c r="F12" s="570"/>
      <c r="G12" s="570"/>
      <c r="H12" s="570"/>
      <c r="I12" s="570"/>
    </row>
    <row r="13" spans="1:9" ht="16" thickBot="1" x14ac:dyDescent="0.25">
      <c r="A13" s="618" t="s">
        <v>64</v>
      </c>
      <c r="B13" s="632">
        <v>1.5</v>
      </c>
      <c r="C13" s="630" t="s">
        <v>63</v>
      </c>
      <c r="D13" s="633" t="s">
        <v>2</v>
      </c>
      <c r="E13" s="570"/>
      <c r="F13" s="570"/>
      <c r="G13" s="570"/>
      <c r="H13" s="570"/>
      <c r="I13" s="570"/>
    </row>
    <row r="14" spans="1:9" x14ac:dyDescent="0.2">
      <c r="A14" s="618" t="s">
        <v>83</v>
      </c>
      <c r="B14" s="619">
        <v>500</v>
      </c>
      <c r="C14" s="630" t="s">
        <v>86</v>
      </c>
      <c r="D14" s="634"/>
      <c r="E14" s="570"/>
      <c r="F14" s="570"/>
      <c r="G14" s="570"/>
      <c r="H14" s="570"/>
      <c r="I14" s="570"/>
    </row>
    <row r="15" spans="1:9" x14ac:dyDescent="0.2">
      <c r="A15" s="618" t="s">
        <v>88</v>
      </c>
      <c r="B15" s="635">
        <v>4</v>
      </c>
      <c r="C15" s="630" t="s">
        <v>87</v>
      </c>
      <c r="D15" s="634"/>
      <c r="E15" s="570"/>
      <c r="F15" s="570"/>
      <c r="G15" s="570"/>
      <c r="H15" s="570"/>
      <c r="I15" s="570"/>
    </row>
    <row r="16" spans="1:9" x14ac:dyDescent="0.2">
      <c r="A16" s="618" t="s">
        <v>89</v>
      </c>
      <c r="B16" s="619">
        <v>35</v>
      </c>
      <c r="C16" s="630" t="s">
        <v>86</v>
      </c>
      <c r="D16" s="634"/>
      <c r="E16" s="570"/>
      <c r="F16" s="570"/>
      <c r="G16" s="570"/>
      <c r="H16" s="570"/>
      <c r="I16" s="570"/>
    </row>
    <row r="17" spans="1:9" x14ac:dyDescent="0.2">
      <c r="A17" s="618" t="s">
        <v>232</v>
      </c>
      <c r="B17" s="632">
        <v>2</v>
      </c>
      <c r="C17" s="630" t="s">
        <v>63</v>
      </c>
      <c r="D17" s="634"/>
      <c r="E17" s="570"/>
      <c r="F17" s="570"/>
      <c r="G17" s="570"/>
      <c r="H17" s="570"/>
      <c r="I17" s="570"/>
    </row>
    <row r="18" spans="1:9" ht="16" thickBot="1" x14ac:dyDescent="0.25">
      <c r="A18" s="636"/>
      <c r="B18" s="637"/>
      <c r="C18" s="638"/>
      <c r="D18" s="634"/>
      <c r="E18" s="570"/>
      <c r="F18" s="570"/>
      <c r="G18" s="570"/>
      <c r="H18" s="570"/>
      <c r="I18" s="570"/>
    </row>
    <row r="19" spans="1:9" x14ac:dyDescent="0.2">
      <c r="A19" s="570"/>
      <c r="B19" s="570"/>
      <c r="C19" s="570"/>
      <c r="D19" s="570"/>
      <c r="E19" s="570"/>
      <c r="F19" s="570"/>
      <c r="G19" s="570"/>
      <c r="H19" s="570"/>
      <c r="I19" s="570"/>
    </row>
    <row r="20" spans="1:9" x14ac:dyDescent="0.2">
      <c r="A20" s="570"/>
      <c r="B20" s="570"/>
      <c r="C20" s="570"/>
      <c r="D20" s="570"/>
      <c r="E20" s="570"/>
      <c r="F20" s="570"/>
      <c r="G20" s="570"/>
      <c r="H20" s="570"/>
      <c r="I20" s="570"/>
    </row>
    <row r="21" spans="1:9" ht="16" thickBot="1" x14ac:dyDescent="0.25">
      <c r="A21" s="610" t="s">
        <v>65</v>
      </c>
      <c r="B21" s="611"/>
      <c r="C21" s="611"/>
      <c r="D21" s="570"/>
      <c r="E21" s="570"/>
      <c r="F21" s="570"/>
      <c r="G21" s="570"/>
      <c r="H21" s="570"/>
      <c r="I21" s="570"/>
    </row>
    <row r="22" spans="1:9" x14ac:dyDescent="0.2">
      <c r="A22" s="615" t="s">
        <v>66</v>
      </c>
      <c r="B22" s="616">
        <v>500</v>
      </c>
      <c r="C22" s="639" t="s">
        <v>68</v>
      </c>
      <c r="D22" s="570"/>
      <c r="E22" s="570"/>
      <c r="F22" s="570"/>
      <c r="G22" s="570"/>
      <c r="H22" s="570"/>
      <c r="I22" s="570"/>
    </row>
    <row r="23" spans="1:9" x14ac:dyDescent="0.2">
      <c r="A23" s="618" t="s">
        <v>167</v>
      </c>
      <c r="B23" s="619">
        <v>60</v>
      </c>
      <c r="C23" s="640" t="s">
        <v>164</v>
      </c>
      <c r="D23" s="570"/>
      <c r="E23" s="570"/>
      <c r="F23" s="570"/>
      <c r="G23" s="570"/>
      <c r="H23" s="570"/>
      <c r="I23" s="570"/>
    </row>
    <row r="24" spans="1:9" x14ac:dyDescent="0.2">
      <c r="A24" s="618" t="s">
        <v>166</v>
      </c>
      <c r="B24" s="619">
        <v>60</v>
      </c>
      <c r="C24" s="640" t="s">
        <v>164</v>
      </c>
      <c r="D24" s="570"/>
      <c r="E24" s="570"/>
      <c r="F24" s="570"/>
      <c r="G24" s="570"/>
      <c r="H24" s="570"/>
      <c r="I24" s="570"/>
    </row>
    <row r="25" spans="1:9" x14ac:dyDescent="0.2">
      <c r="A25" s="618" t="s">
        <v>67</v>
      </c>
      <c r="B25" s="619">
        <v>35</v>
      </c>
      <c r="C25" s="640" t="s">
        <v>164</v>
      </c>
      <c r="D25" s="570"/>
      <c r="E25" s="570"/>
      <c r="F25" s="570"/>
      <c r="G25" s="570"/>
      <c r="H25" s="570"/>
      <c r="I25" s="570"/>
    </row>
    <row r="26" spans="1:9" x14ac:dyDescent="0.2">
      <c r="A26" s="618" t="s">
        <v>78</v>
      </c>
      <c r="B26" s="619">
        <v>4</v>
      </c>
      <c r="C26" s="640" t="s">
        <v>79</v>
      </c>
      <c r="D26" s="570"/>
      <c r="E26" s="570"/>
      <c r="F26" s="570"/>
      <c r="G26" s="570"/>
      <c r="H26" s="570"/>
      <c r="I26" s="570"/>
    </row>
    <row r="27" spans="1:9" ht="16" thickBot="1" x14ac:dyDescent="0.25">
      <c r="A27" s="636"/>
      <c r="B27" s="621"/>
      <c r="C27" s="641"/>
      <c r="D27" s="570"/>
      <c r="E27" s="570"/>
      <c r="F27" s="570"/>
      <c r="G27" s="570"/>
      <c r="H27" s="570"/>
      <c r="I27" s="570"/>
    </row>
    <row r="28" spans="1:9" x14ac:dyDescent="0.2">
      <c r="A28" s="570"/>
      <c r="B28" s="570"/>
      <c r="C28" s="570"/>
      <c r="D28" s="570"/>
      <c r="E28" s="570"/>
      <c r="F28" s="570"/>
      <c r="G28" s="570"/>
      <c r="H28" s="570"/>
      <c r="I28" s="570"/>
    </row>
    <row r="29" spans="1:9" x14ac:dyDescent="0.2">
      <c r="A29" s="570"/>
      <c r="B29" s="570"/>
      <c r="C29" s="570"/>
      <c r="D29" s="570"/>
      <c r="E29" s="570"/>
      <c r="F29" s="570"/>
      <c r="G29" s="570"/>
      <c r="H29" s="570"/>
      <c r="I29" s="570"/>
    </row>
    <row r="30" spans="1:9" ht="32.25" customHeight="1" thickBot="1" x14ac:dyDescent="0.25">
      <c r="A30" s="610" t="s">
        <v>290</v>
      </c>
      <c r="B30" s="611" t="s">
        <v>253</v>
      </c>
      <c r="C30" s="611" t="s">
        <v>288</v>
      </c>
      <c r="D30" s="570"/>
      <c r="E30" s="570"/>
      <c r="F30" s="570"/>
      <c r="G30" s="570"/>
      <c r="H30" s="570"/>
      <c r="I30" s="570"/>
    </row>
    <row r="31" spans="1:9" ht="16" thickBot="1" x14ac:dyDescent="0.25">
      <c r="A31" s="642" t="s">
        <v>289</v>
      </c>
      <c r="B31" s="643">
        <v>1</v>
      </c>
      <c r="C31" s="644">
        <v>1</v>
      </c>
    </row>
  </sheetData>
  <sheetProtection password="CC70" sheet="1" objects="1" scenarios="1"/>
  <dataValidations xWindow="510" yWindow="475" count="3">
    <dataValidation type="list" allowBlank="1" showInputMessage="1" showErrorMessage="1" prompt="Add Sales Tax on Material Y/N" sqref="D11">
      <formula1>logic</formula1>
    </dataValidation>
    <dataValidation type="list" allowBlank="1" showInputMessage="1" showErrorMessage="1" prompt="Include P/P Bond Y/N" sqref="D12">
      <formula1>logic</formula1>
    </dataValidation>
    <dataValidation type="list" allowBlank="1" showInputMessage="1" showErrorMessage="1" prompt="OCIP Y/N" sqref="D13">
      <formula1>logic</formula1>
    </dataValidation>
  </dataValidations>
  <pageMargins left="0.7" right="0.7" top="0.75" bottom="0.75" header="0.3" footer="0.3"/>
  <pageSetup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tabColor rgb="FFC29F0A"/>
  </sheetPr>
  <dimension ref="A1:BQ1308"/>
  <sheetViews>
    <sheetView zoomScale="120" zoomScaleNormal="120" zoomScalePageLayoutView="120" workbookViewId="0">
      <pane xSplit="2" ySplit="4" topLeftCell="P1230" activePane="bottomRight" state="frozen"/>
      <selection pane="topRight" activeCell="C1" sqref="C1"/>
      <selection pane="bottomLeft" activeCell="A5" sqref="A5"/>
      <selection pane="bottomRight" activeCell="W1262" sqref="W1262"/>
    </sheetView>
  </sheetViews>
  <sheetFormatPr baseColWidth="10" defaultColWidth="8.83203125" defaultRowHeight="15" x14ac:dyDescent="0.2"/>
  <cols>
    <col min="1" max="1" width="8.6640625" style="571" customWidth="1"/>
    <col min="2" max="2" width="20.83203125" style="571" customWidth="1"/>
    <col min="3" max="61" width="7.6640625" style="571" customWidth="1"/>
    <col min="62" max="16384" width="8.83203125" style="571"/>
  </cols>
  <sheetData>
    <row r="1" spans="1:69" ht="79.5" customHeight="1" thickBot="1" x14ac:dyDescent="0.25">
      <c r="A1" s="1081" t="s">
        <v>377</v>
      </c>
      <c r="B1" s="1081"/>
      <c r="C1" s="1081"/>
      <c r="D1" s="1081"/>
      <c r="E1" s="1026"/>
      <c r="F1" s="1029"/>
      <c r="G1" s="651"/>
      <c r="H1" s="651"/>
      <c r="I1" s="651"/>
      <c r="J1" s="651"/>
      <c r="K1" s="651"/>
      <c r="L1" s="651"/>
      <c r="M1" s="651"/>
      <c r="N1" s="651"/>
      <c r="O1" s="651"/>
      <c r="P1" s="652"/>
      <c r="Q1" s="1082" t="s">
        <v>205</v>
      </c>
      <c r="R1" s="1083"/>
      <c r="S1" s="1083"/>
      <c r="T1" s="1083"/>
      <c r="U1" s="1084"/>
      <c r="V1" s="653" t="s">
        <v>911</v>
      </c>
      <c r="W1" s="653" t="s">
        <v>912</v>
      </c>
      <c r="X1" s="653" t="s">
        <v>913</v>
      </c>
      <c r="Y1" s="653" t="s">
        <v>915</v>
      </c>
      <c r="Z1" s="653" t="s">
        <v>960</v>
      </c>
      <c r="AA1" s="653" t="s">
        <v>916</v>
      </c>
      <c r="AB1" s="653" t="s">
        <v>917</v>
      </c>
      <c r="AC1" s="653" t="s">
        <v>920</v>
      </c>
      <c r="AD1" s="653" t="s">
        <v>921</v>
      </c>
      <c r="AE1" s="653" t="s">
        <v>925</v>
      </c>
      <c r="AF1" s="653" t="s">
        <v>928</v>
      </c>
      <c r="AG1" s="653" t="s">
        <v>930</v>
      </c>
      <c r="AH1" s="653" t="s">
        <v>931</v>
      </c>
      <c r="AI1" s="653" t="s">
        <v>952</v>
      </c>
      <c r="AJ1" s="653" t="s">
        <v>953</v>
      </c>
      <c r="AK1" s="653" t="s">
        <v>959</v>
      </c>
      <c r="AL1" s="653" t="s">
        <v>954</v>
      </c>
      <c r="AM1" s="653" t="s">
        <v>982</v>
      </c>
      <c r="AN1" s="653" t="s">
        <v>986</v>
      </c>
      <c r="AO1" s="653" t="s">
        <v>989</v>
      </c>
      <c r="AP1" s="653" t="s">
        <v>990</v>
      </c>
      <c r="AQ1" s="653" t="s">
        <v>995</v>
      </c>
      <c r="AR1" s="653" t="s">
        <v>996</v>
      </c>
      <c r="AS1" s="653" t="s">
        <v>1006</v>
      </c>
      <c r="AT1" s="653" t="s">
        <v>1007</v>
      </c>
      <c r="AU1" s="653" t="s">
        <v>1008</v>
      </c>
      <c r="AV1" s="653" t="s">
        <v>1027</v>
      </c>
      <c r="AW1" s="653" t="s">
        <v>1068</v>
      </c>
      <c r="AX1" s="653" t="s">
        <v>1076</v>
      </c>
      <c r="AY1" s="653" t="s">
        <v>1074</v>
      </c>
      <c r="AZ1" s="653" t="s">
        <v>1083</v>
      </c>
      <c r="BA1" s="653" t="s">
        <v>1096</v>
      </c>
      <c r="BB1" s="653" t="s">
        <v>1102</v>
      </c>
      <c r="BC1" s="654">
        <v>34</v>
      </c>
      <c r="BD1" s="654">
        <v>35</v>
      </c>
      <c r="BE1" s="654">
        <v>36</v>
      </c>
      <c r="BF1" s="654">
        <v>37</v>
      </c>
      <c r="BG1" s="654">
        <v>38</v>
      </c>
      <c r="BH1" s="654">
        <v>39</v>
      </c>
      <c r="BI1" s="654">
        <v>40</v>
      </c>
    </row>
    <row r="2" spans="1:69" ht="12" hidden="1" customHeight="1" thickBot="1" x14ac:dyDescent="0.25">
      <c r="A2" s="655"/>
      <c r="B2" s="655"/>
      <c r="C2" s="655"/>
      <c r="D2" s="655"/>
      <c r="E2" s="655"/>
      <c r="F2" s="655"/>
      <c r="G2" s="655"/>
      <c r="H2" s="655"/>
      <c r="I2" s="655"/>
      <c r="J2" s="655"/>
      <c r="K2" s="655"/>
      <c r="L2" s="655"/>
      <c r="M2" s="655"/>
      <c r="N2" s="655"/>
      <c r="O2" s="655"/>
      <c r="P2" s="652"/>
      <c r="Q2" s="656"/>
      <c r="R2" s="657"/>
      <c r="S2" s="657"/>
      <c r="T2" s="657"/>
      <c r="U2" s="658"/>
      <c r="V2" s="1009">
        <f t="shared" ref="V2:AX2" si="0">+V1287</f>
        <v>912106.5</v>
      </c>
      <c r="W2" s="1009">
        <f t="shared" si="0"/>
        <v>19514</v>
      </c>
      <c r="X2" s="1009">
        <f t="shared" si="0"/>
        <v>24548</v>
      </c>
      <c r="Y2" s="1009">
        <f t="shared" si="0"/>
        <v>67395</v>
      </c>
      <c r="Z2" s="1009">
        <f t="shared" si="0"/>
        <v>206126</v>
      </c>
      <c r="AA2" s="1009">
        <f t="shared" si="0"/>
        <v>128690</v>
      </c>
      <c r="AB2" s="1009">
        <f t="shared" si="0"/>
        <v>344094</v>
      </c>
      <c r="AC2" s="1009">
        <f t="shared" si="0"/>
        <v>28139</v>
      </c>
      <c r="AD2" s="1009">
        <f t="shared" si="0"/>
        <v>72453</v>
      </c>
      <c r="AE2" s="1009">
        <f t="shared" si="0"/>
        <v>6042</v>
      </c>
      <c r="AF2" s="1009">
        <f t="shared" si="0"/>
        <v>6919</v>
      </c>
      <c r="AG2" s="1009">
        <f t="shared" si="0"/>
        <v>2736</v>
      </c>
      <c r="AH2" s="1009">
        <f t="shared" si="0"/>
        <v>14</v>
      </c>
      <c r="AI2" s="1009">
        <f t="shared" si="0"/>
        <v>5463</v>
      </c>
      <c r="AJ2" s="1009">
        <f t="shared" si="0"/>
        <v>6866</v>
      </c>
      <c r="AK2" s="1009">
        <f t="shared" si="0"/>
        <v>13389</v>
      </c>
      <c r="AL2" s="1009">
        <f t="shared" si="0"/>
        <v>6000</v>
      </c>
      <c r="AM2" s="1009">
        <f t="shared" si="0"/>
        <v>10602</v>
      </c>
      <c r="AN2" s="1009">
        <f t="shared" si="0"/>
        <v>7449</v>
      </c>
      <c r="AO2" s="1009">
        <f t="shared" si="0"/>
        <v>2889</v>
      </c>
      <c r="AP2" s="1009">
        <f t="shared" si="0"/>
        <v>122476</v>
      </c>
      <c r="AQ2" s="1009">
        <f t="shared" si="0"/>
        <v>41362</v>
      </c>
      <c r="AR2" s="1009">
        <f t="shared" si="0"/>
        <v>6848</v>
      </c>
      <c r="AS2" s="1009">
        <f t="shared" si="0"/>
        <v>162</v>
      </c>
      <c r="AT2" s="1009">
        <f t="shared" si="0"/>
        <v>118</v>
      </c>
      <c r="AU2" s="1009">
        <f t="shared" si="0"/>
        <v>9</v>
      </c>
      <c r="AV2" s="1009">
        <f t="shared" si="0"/>
        <v>8499.0600000000013</v>
      </c>
      <c r="AW2" s="1009">
        <f t="shared" si="0"/>
        <v>3908.1000000000004</v>
      </c>
      <c r="AX2" s="1009">
        <f t="shared" si="0"/>
        <v>27250</v>
      </c>
      <c r="AY2" s="1009">
        <f t="shared" ref="AY2:BI2" si="1">+AY1287</f>
        <v>1816.6666666666667</v>
      </c>
      <c r="AZ2" s="1009">
        <f t="shared" si="1"/>
        <v>15872</v>
      </c>
      <c r="BA2" s="1009">
        <f t="shared" si="1"/>
        <v>1049.4000000000001</v>
      </c>
      <c r="BB2" s="1009">
        <f t="shared" si="1"/>
        <v>5079.8</v>
      </c>
      <c r="BC2" s="1009">
        <f t="shared" si="1"/>
        <v>0</v>
      </c>
      <c r="BD2" s="1009">
        <f t="shared" si="1"/>
        <v>0</v>
      </c>
      <c r="BE2" s="1009">
        <f t="shared" si="1"/>
        <v>0</v>
      </c>
      <c r="BF2" s="1009">
        <f t="shared" si="1"/>
        <v>0</v>
      </c>
      <c r="BG2" s="1009">
        <f t="shared" si="1"/>
        <v>0</v>
      </c>
      <c r="BH2" s="1009">
        <f t="shared" si="1"/>
        <v>0</v>
      </c>
      <c r="BI2" s="1009">
        <f t="shared" si="1"/>
        <v>0</v>
      </c>
    </row>
    <row r="3" spans="1:69" ht="15" customHeight="1" thickBot="1" x14ac:dyDescent="0.25">
      <c r="A3" s="655"/>
      <c r="B3" s="655"/>
      <c r="C3" s="655"/>
      <c r="D3" s="655"/>
      <c r="E3" s="655"/>
      <c r="F3" s="655"/>
      <c r="G3" s="655"/>
      <c r="H3" s="655"/>
      <c r="I3" s="655"/>
      <c r="J3" s="655"/>
      <c r="K3" s="655"/>
      <c r="L3" s="655"/>
      <c r="M3" s="655"/>
      <c r="N3" s="655"/>
      <c r="O3" s="655"/>
      <c r="P3" s="652"/>
      <c r="Q3" s="1085" t="s">
        <v>206</v>
      </c>
      <c r="R3" s="1086"/>
      <c r="S3" s="1086"/>
      <c r="T3" s="1086"/>
      <c r="U3" s="1087"/>
      <c r="V3" s="581" t="s">
        <v>207</v>
      </c>
      <c r="W3" s="581" t="s">
        <v>207</v>
      </c>
      <c r="X3" s="581" t="s">
        <v>207</v>
      </c>
      <c r="Y3" s="581" t="s">
        <v>207</v>
      </c>
      <c r="Z3" s="581" t="s">
        <v>207</v>
      </c>
      <c r="AA3" s="581" t="s">
        <v>207</v>
      </c>
      <c r="AB3" s="581" t="s">
        <v>207</v>
      </c>
      <c r="AC3" s="581" t="s">
        <v>207</v>
      </c>
      <c r="AD3" s="581" t="s">
        <v>207</v>
      </c>
      <c r="AE3" s="581" t="s">
        <v>207</v>
      </c>
      <c r="AF3" s="581" t="s">
        <v>208</v>
      </c>
      <c r="AG3" s="581" t="s">
        <v>208</v>
      </c>
      <c r="AH3" s="581" t="s">
        <v>68</v>
      </c>
      <c r="AI3" s="581" t="s">
        <v>207</v>
      </c>
      <c r="AJ3" s="581" t="s">
        <v>207</v>
      </c>
      <c r="AK3" s="581" t="s">
        <v>207</v>
      </c>
      <c r="AL3" s="581" t="s">
        <v>207</v>
      </c>
      <c r="AM3" s="581" t="s">
        <v>208</v>
      </c>
      <c r="AN3" s="581" t="s">
        <v>207</v>
      </c>
      <c r="AO3" s="581" t="s">
        <v>207</v>
      </c>
      <c r="AP3" s="581" t="s">
        <v>207</v>
      </c>
      <c r="AQ3" s="581" t="s">
        <v>207</v>
      </c>
      <c r="AR3" s="581" t="s">
        <v>208</v>
      </c>
      <c r="AS3" s="581" t="s">
        <v>68</v>
      </c>
      <c r="AT3" s="581" t="s">
        <v>68</v>
      </c>
      <c r="AU3" s="581" t="s">
        <v>68</v>
      </c>
      <c r="AV3" s="581" t="s">
        <v>207</v>
      </c>
      <c r="AW3" s="581" t="s">
        <v>207</v>
      </c>
      <c r="AX3" s="581"/>
      <c r="AY3" s="581"/>
      <c r="AZ3" s="581" t="s">
        <v>207</v>
      </c>
      <c r="BA3" s="581" t="s">
        <v>207</v>
      </c>
      <c r="BB3" s="581"/>
      <c r="BC3" s="581"/>
      <c r="BD3" s="581"/>
      <c r="BE3" s="581"/>
      <c r="BF3" s="581"/>
      <c r="BG3" s="581"/>
      <c r="BH3" s="581"/>
      <c r="BI3" s="581"/>
    </row>
    <row r="4" spans="1:69" ht="68.25" customHeight="1" x14ac:dyDescent="0.2">
      <c r="A4" s="659" t="s">
        <v>204</v>
      </c>
      <c r="B4" s="660" t="s">
        <v>203</v>
      </c>
      <c r="C4" s="661" t="s">
        <v>960</v>
      </c>
      <c r="D4" s="661" t="s">
        <v>507</v>
      </c>
      <c r="E4" s="661" t="s">
        <v>987</v>
      </c>
      <c r="F4" s="661" t="s">
        <v>990</v>
      </c>
      <c r="G4" s="661" t="s">
        <v>508</v>
      </c>
      <c r="H4" s="661" t="s">
        <v>509</v>
      </c>
      <c r="I4" s="661" t="s">
        <v>981</v>
      </c>
      <c r="J4" s="661" t="s">
        <v>914</v>
      </c>
      <c r="K4" s="661" t="s">
        <v>994</v>
      </c>
      <c r="L4" s="661" t="s">
        <v>927</v>
      </c>
      <c r="M4" s="661" t="s">
        <v>926</v>
      </c>
      <c r="N4" s="661" t="s">
        <v>929</v>
      </c>
      <c r="O4" s="661" t="s">
        <v>988</v>
      </c>
      <c r="P4" s="661" t="s">
        <v>922</v>
      </c>
      <c r="Q4" s="662" t="s">
        <v>453</v>
      </c>
      <c r="R4" s="662"/>
      <c r="S4" s="1023" t="s">
        <v>918</v>
      </c>
      <c r="T4" s="1023" t="s">
        <v>919</v>
      </c>
      <c r="U4" s="662" t="s">
        <v>199</v>
      </c>
      <c r="V4" s="663"/>
      <c r="W4" s="664"/>
      <c r="X4" s="664"/>
      <c r="Y4" s="664"/>
      <c r="Z4" s="664"/>
      <c r="AA4" s="664"/>
      <c r="AB4" s="664"/>
      <c r="AC4" s="664"/>
      <c r="AD4" s="664"/>
      <c r="AE4" s="664"/>
      <c r="AF4" s="664"/>
      <c r="AG4" s="664">
        <v>9</v>
      </c>
      <c r="AH4" s="664"/>
      <c r="AI4" s="664"/>
      <c r="AJ4" s="664"/>
      <c r="AK4" s="664"/>
      <c r="AL4" s="664"/>
      <c r="AM4" s="664"/>
      <c r="AN4" s="664"/>
      <c r="AO4" s="664">
        <v>3</v>
      </c>
      <c r="AP4" s="664"/>
      <c r="AQ4" s="664">
        <v>12.5</v>
      </c>
      <c r="AR4" s="664">
        <v>2</v>
      </c>
      <c r="AS4" s="664"/>
      <c r="AT4" s="664"/>
      <c r="AU4" s="664"/>
      <c r="AV4" s="664"/>
      <c r="AW4" s="664"/>
      <c r="AX4" s="664">
        <v>1.25</v>
      </c>
      <c r="AY4" s="664">
        <v>15</v>
      </c>
      <c r="AZ4" s="664"/>
      <c r="BA4" s="664"/>
      <c r="BB4" s="664">
        <v>0.1</v>
      </c>
      <c r="BC4" s="664"/>
      <c r="BD4" s="664"/>
      <c r="BE4" s="664"/>
      <c r="BF4" s="664"/>
      <c r="BG4" s="664"/>
      <c r="BH4" s="664"/>
      <c r="BI4" s="665"/>
      <c r="BJ4" s="570"/>
      <c r="BK4" s="570"/>
      <c r="BL4" s="570"/>
      <c r="BM4" s="570"/>
      <c r="BN4" s="570"/>
      <c r="BO4" s="570"/>
      <c r="BP4" s="570"/>
      <c r="BQ4" s="570"/>
    </row>
    <row r="5" spans="1:69" ht="12" customHeight="1" x14ac:dyDescent="0.2">
      <c r="A5" s="1015"/>
      <c r="B5" s="1016"/>
      <c r="C5" s="1017"/>
      <c r="D5" s="1017"/>
      <c r="E5" s="1017"/>
      <c r="F5" s="1017"/>
      <c r="G5" s="1017"/>
      <c r="H5" s="1017"/>
      <c r="I5" s="1017"/>
      <c r="J5" s="1017"/>
      <c r="K5" s="1017"/>
      <c r="L5" s="1017"/>
      <c r="M5" s="1017"/>
      <c r="N5" s="1017"/>
      <c r="O5" s="1017"/>
      <c r="P5" s="1017"/>
      <c r="Q5" s="1015"/>
      <c r="R5" s="1015"/>
      <c r="S5" s="1015"/>
      <c r="T5" s="1015"/>
      <c r="U5" s="1015"/>
      <c r="V5" s="1018"/>
      <c r="W5" s="1018"/>
      <c r="X5" s="1018"/>
      <c r="Y5" s="1018"/>
      <c r="Z5" s="1018"/>
      <c r="AA5" s="1018"/>
      <c r="AB5" s="1018"/>
      <c r="AC5" s="1018"/>
      <c r="AD5" s="1018"/>
      <c r="AE5" s="1018"/>
      <c r="AF5" s="1018"/>
      <c r="AG5" s="1018"/>
      <c r="AH5" s="1018"/>
      <c r="AI5" s="1018"/>
      <c r="AJ5" s="1018"/>
      <c r="AK5" s="1018"/>
      <c r="AL5" s="1018"/>
      <c r="AM5" s="1018"/>
      <c r="AN5" s="1018"/>
      <c r="AO5" s="1018"/>
      <c r="AP5" s="1018"/>
      <c r="AQ5" s="1018"/>
      <c r="AR5" s="1018"/>
      <c r="AS5" s="1018"/>
      <c r="AT5" s="1018"/>
      <c r="AU5" s="1018"/>
      <c r="AV5" s="1018"/>
      <c r="AW5" s="1018"/>
      <c r="AX5" s="1018"/>
      <c r="AY5" s="1018"/>
      <c r="AZ5" s="1018"/>
      <c r="BA5" s="1018"/>
      <c r="BB5" s="1018"/>
      <c r="BC5" s="1018"/>
      <c r="BD5" s="1018"/>
      <c r="BE5" s="1018"/>
      <c r="BF5" s="1018"/>
      <c r="BG5" s="1018"/>
      <c r="BH5" s="1018"/>
      <c r="BI5" s="1018"/>
      <c r="BJ5" s="570"/>
      <c r="BK5" s="570"/>
      <c r="BL5" s="570"/>
      <c r="BM5" s="570"/>
      <c r="BN5" s="570"/>
      <c r="BO5" s="570"/>
      <c r="BP5" s="570"/>
      <c r="BQ5" s="570"/>
    </row>
    <row r="6" spans="1:69" ht="15.75" customHeight="1" x14ac:dyDescent="0.2">
      <c r="A6" s="1015"/>
      <c r="B6" s="1016" t="s">
        <v>489</v>
      </c>
      <c r="C6" s="1017"/>
      <c r="D6" s="1017"/>
      <c r="E6" s="1017"/>
      <c r="F6" s="1017"/>
      <c r="G6" s="1017"/>
      <c r="H6" s="1017"/>
      <c r="I6" s="1017"/>
      <c r="J6" s="1017"/>
      <c r="K6" s="1017"/>
      <c r="L6" s="1017"/>
      <c r="M6" s="1017"/>
      <c r="N6" s="1017"/>
      <c r="O6" s="1017"/>
      <c r="P6" s="1017"/>
      <c r="Q6" s="1015"/>
      <c r="R6" s="1015"/>
      <c r="S6" s="1015"/>
      <c r="T6" s="1015"/>
      <c r="U6" s="1015"/>
      <c r="V6" s="1018"/>
      <c r="W6" s="1018"/>
      <c r="X6" s="1018"/>
      <c r="Y6" s="1018"/>
      <c r="Z6" s="1018"/>
      <c r="AA6" s="1018"/>
      <c r="AB6" s="1018"/>
      <c r="AC6" s="1018"/>
      <c r="AD6" s="1018"/>
      <c r="AE6" s="1018"/>
      <c r="AF6" s="1018"/>
      <c r="AG6" s="1018"/>
      <c r="AH6" s="1018"/>
      <c r="AI6" s="1018"/>
      <c r="AJ6" s="1018"/>
      <c r="AK6" s="1018"/>
      <c r="AL6" s="1018"/>
      <c r="AM6" s="1018"/>
      <c r="AN6" s="1018"/>
      <c r="AO6" s="1018"/>
      <c r="AP6" s="1018"/>
      <c r="AQ6" s="1018"/>
      <c r="AR6" s="1018"/>
      <c r="AS6" s="1050"/>
      <c r="AT6" s="1050"/>
      <c r="AU6" s="1018"/>
      <c r="AV6" s="1018"/>
      <c r="AW6" s="1018"/>
      <c r="AX6" s="1018"/>
      <c r="AY6" s="1018"/>
      <c r="AZ6" s="1018"/>
      <c r="BA6" s="1018"/>
      <c r="BB6" s="1018"/>
      <c r="BC6" s="1018"/>
      <c r="BD6" s="1018"/>
      <c r="BE6" s="1018"/>
      <c r="BF6" s="1018"/>
      <c r="BG6" s="1018"/>
      <c r="BH6" s="1018"/>
      <c r="BI6" s="1018"/>
      <c r="BJ6" s="570"/>
      <c r="BK6" s="570"/>
      <c r="BL6" s="570"/>
      <c r="BM6" s="570"/>
      <c r="BN6" s="570"/>
      <c r="BO6" s="570"/>
      <c r="BP6" s="570"/>
      <c r="BQ6" s="570"/>
    </row>
    <row r="7" spans="1:69" x14ac:dyDescent="0.2">
      <c r="A7" s="666">
        <v>6</v>
      </c>
      <c r="B7" s="666" t="s">
        <v>454</v>
      </c>
      <c r="C7" s="666"/>
      <c r="D7" s="667"/>
      <c r="E7" s="667"/>
      <c r="F7" s="667"/>
      <c r="G7" s="667"/>
      <c r="H7" s="667">
        <v>35</v>
      </c>
      <c r="I7" s="667"/>
      <c r="J7" s="667"/>
      <c r="K7" s="667"/>
      <c r="L7" s="667"/>
      <c r="M7" s="667"/>
      <c r="N7" s="667"/>
      <c r="O7" s="667"/>
      <c r="P7" s="667"/>
      <c r="Q7" s="1014">
        <v>76</v>
      </c>
      <c r="R7" s="667"/>
      <c r="S7" s="667"/>
      <c r="T7" s="667"/>
      <c r="U7" s="666">
        <v>12</v>
      </c>
      <c r="V7" s="668">
        <f t="shared" ref="V7:V70" si="2">+U7*D7</f>
        <v>0</v>
      </c>
      <c r="W7" s="668">
        <f t="shared" ref="W7:W70" si="3">+U7*G7</f>
        <v>0</v>
      </c>
      <c r="X7" s="668">
        <f t="shared" ref="X7:X70" si="4">+U7*H7</f>
        <v>420</v>
      </c>
      <c r="Y7" s="668">
        <f t="shared" ref="Y7:Y70" si="5">+U7*J7</f>
        <v>0</v>
      </c>
      <c r="Z7" s="668">
        <f>IF(C7="y",V7+W7+X7+Y7,0)</f>
        <v>0</v>
      </c>
      <c r="AA7" s="668">
        <f>+S7</f>
        <v>0</v>
      </c>
      <c r="AB7" s="668">
        <f>+T7</f>
        <v>0</v>
      </c>
      <c r="AC7" s="668">
        <f>+U7*P7</f>
        <v>0</v>
      </c>
      <c r="AD7" s="668">
        <f>+Q7</f>
        <v>76</v>
      </c>
      <c r="AE7" s="668">
        <f>+U7*M7</f>
        <v>0</v>
      </c>
      <c r="AF7" s="668">
        <f t="shared" ref="AF7:AF70" si="6">+L7*U7</f>
        <v>0</v>
      </c>
      <c r="AG7" s="668">
        <f>+$AG$4*N7</f>
        <v>0</v>
      </c>
      <c r="AH7" s="668"/>
      <c r="AI7" s="668"/>
      <c r="AJ7" s="668"/>
      <c r="AK7" s="668"/>
      <c r="AL7" s="668"/>
      <c r="AM7" s="668">
        <f>+I7</f>
        <v>0</v>
      </c>
      <c r="AN7" s="668">
        <f>+U7*E7</f>
        <v>0</v>
      </c>
      <c r="AO7" s="668">
        <f>+U7*O7</f>
        <v>0</v>
      </c>
      <c r="AP7" s="668">
        <f>+U7*F7</f>
        <v>0</v>
      </c>
      <c r="AQ7" s="668">
        <f>+$AQ$4*K7</f>
        <v>0</v>
      </c>
      <c r="AR7" s="668">
        <f>+$AR$4*K7</f>
        <v>0</v>
      </c>
      <c r="AS7" s="668">
        <v>51</v>
      </c>
      <c r="AT7" s="668">
        <v>33</v>
      </c>
      <c r="AU7" s="668">
        <v>9</v>
      </c>
      <c r="AV7" s="668"/>
      <c r="AW7" s="668"/>
      <c r="AX7" s="668"/>
      <c r="AY7" s="668"/>
      <c r="AZ7" s="668">
        <f>+'Misc Take Off'!B100</f>
        <v>15872</v>
      </c>
      <c r="BA7" s="668">
        <f>+'Misc Take Off'!B109</f>
        <v>1049.4000000000001</v>
      </c>
      <c r="BB7" s="668"/>
      <c r="BC7" s="668"/>
      <c r="BD7" s="668"/>
      <c r="BE7" s="668"/>
      <c r="BF7" s="668"/>
      <c r="BG7" s="668"/>
      <c r="BH7" s="668"/>
      <c r="BI7" s="668"/>
    </row>
    <row r="8" spans="1:69" x14ac:dyDescent="0.2">
      <c r="A8" s="808">
        <v>20</v>
      </c>
      <c r="B8" s="808" t="s">
        <v>455</v>
      </c>
      <c r="C8" s="808"/>
      <c r="D8" s="667">
        <v>390</v>
      </c>
      <c r="E8" s="667"/>
      <c r="F8" s="667"/>
      <c r="G8" s="667"/>
      <c r="H8" s="667"/>
      <c r="I8" s="667"/>
      <c r="J8" s="667"/>
      <c r="K8" s="667"/>
      <c r="L8" s="667"/>
      <c r="M8" s="667"/>
      <c r="N8" s="667"/>
      <c r="O8" s="667"/>
      <c r="P8" s="667"/>
      <c r="Q8" s="667"/>
      <c r="R8" s="667"/>
      <c r="S8" s="667"/>
      <c r="T8" s="667"/>
      <c r="U8" s="808">
        <v>7</v>
      </c>
      <c r="V8" s="668">
        <f t="shared" si="2"/>
        <v>2730</v>
      </c>
      <c r="W8" s="668">
        <f t="shared" si="3"/>
        <v>0</v>
      </c>
      <c r="X8" s="668">
        <f t="shared" si="4"/>
        <v>0</v>
      </c>
      <c r="Y8" s="668">
        <f t="shared" si="5"/>
        <v>0</v>
      </c>
      <c r="Z8" s="668">
        <f t="shared" ref="Z8:Z71" si="7">IF(C8="y",V8+W8+X8+Y8,0)</f>
        <v>0</v>
      </c>
      <c r="AA8" s="668">
        <f t="shared" ref="AA8:AA71" si="8">+S8</f>
        <v>0</v>
      </c>
      <c r="AB8" s="668">
        <f t="shared" ref="AB8:AB71" si="9">+T8</f>
        <v>0</v>
      </c>
      <c r="AC8" s="668">
        <f>+U8*P8</f>
        <v>0</v>
      </c>
      <c r="AD8" s="668">
        <f t="shared" ref="AD8:AD71" si="10">+Q8</f>
        <v>0</v>
      </c>
      <c r="AE8" s="668">
        <f t="shared" ref="AE8:AE71" si="11">+U8*M8</f>
        <v>0</v>
      </c>
      <c r="AF8" s="668">
        <f t="shared" si="6"/>
        <v>0</v>
      </c>
      <c r="AG8" s="668">
        <f t="shared" ref="AG8:AG71" si="12">+$AG$4*N8</f>
        <v>0</v>
      </c>
      <c r="AH8" s="668"/>
      <c r="AI8" s="668"/>
      <c r="AJ8" s="668"/>
      <c r="AK8" s="668"/>
      <c r="AL8" s="668"/>
      <c r="AM8" s="668">
        <f t="shared" ref="AM8:AM71" si="13">+I8</f>
        <v>0</v>
      </c>
      <c r="AN8" s="668">
        <f t="shared" ref="AN8:AN71" si="14">+U8*E8</f>
        <v>0</v>
      </c>
      <c r="AO8" s="668">
        <f t="shared" ref="AO8:AO71" si="15">+U8*O8</f>
        <v>0</v>
      </c>
      <c r="AP8" s="668">
        <f t="shared" ref="AP8:AP71" si="16">+U8*F8</f>
        <v>0</v>
      </c>
      <c r="AQ8" s="668">
        <f t="shared" ref="AQ8:AQ71" si="17">+$AQ$4*K8</f>
        <v>0</v>
      </c>
      <c r="AR8" s="668">
        <f t="shared" ref="AR8:AR71" si="18">+$AR$4*K8</f>
        <v>0</v>
      </c>
      <c r="AS8" s="668"/>
      <c r="AT8" s="668"/>
      <c r="AU8" s="668"/>
      <c r="AV8" s="668"/>
      <c r="AW8" s="668"/>
      <c r="AX8" s="668"/>
      <c r="AY8" s="668"/>
      <c r="AZ8" s="668"/>
      <c r="BA8" s="668"/>
      <c r="BB8" s="668"/>
      <c r="BC8" s="668"/>
      <c r="BD8" s="668"/>
      <c r="BE8" s="668"/>
      <c r="BF8" s="668"/>
      <c r="BG8" s="668"/>
      <c r="BH8" s="668"/>
      <c r="BI8" s="668"/>
    </row>
    <row r="9" spans="1:69" x14ac:dyDescent="0.2">
      <c r="A9" s="1012">
        <v>30</v>
      </c>
      <c r="B9" s="1012" t="s">
        <v>456</v>
      </c>
      <c r="C9" s="1012"/>
      <c r="D9" s="667"/>
      <c r="E9" s="667"/>
      <c r="F9" s="667"/>
      <c r="G9" s="667"/>
      <c r="H9" s="667"/>
      <c r="I9" s="667"/>
      <c r="J9" s="667"/>
      <c r="K9" s="667"/>
      <c r="L9" s="667"/>
      <c r="M9" s="667"/>
      <c r="N9" s="667"/>
      <c r="O9" s="667"/>
      <c r="P9" s="667">
        <v>441</v>
      </c>
      <c r="Q9" s="1014">
        <v>4302</v>
      </c>
      <c r="R9" s="667"/>
      <c r="S9" s="667"/>
      <c r="T9" s="667"/>
      <c r="U9" s="1012">
        <v>16</v>
      </c>
      <c r="V9" s="668">
        <f t="shared" si="2"/>
        <v>0</v>
      </c>
      <c r="W9" s="668">
        <f t="shared" si="3"/>
        <v>0</v>
      </c>
      <c r="X9" s="668">
        <f t="shared" si="4"/>
        <v>0</v>
      </c>
      <c r="Y9" s="668">
        <f t="shared" si="5"/>
        <v>0</v>
      </c>
      <c r="Z9" s="668">
        <f t="shared" si="7"/>
        <v>0</v>
      </c>
      <c r="AA9" s="668">
        <f t="shared" si="8"/>
        <v>0</v>
      </c>
      <c r="AB9" s="668">
        <f t="shared" si="9"/>
        <v>0</v>
      </c>
      <c r="AC9" s="668">
        <f>+U9*P9</f>
        <v>7056</v>
      </c>
      <c r="AD9" s="668">
        <f t="shared" si="10"/>
        <v>4302</v>
      </c>
      <c r="AE9" s="668">
        <f t="shared" si="11"/>
        <v>0</v>
      </c>
      <c r="AF9" s="668">
        <f t="shared" si="6"/>
        <v>0</v>
      </c>
      <c r="AG9" s="668">
        <f t="shared" si="12"/>
        <v>0</v>
      </c>
      <c r="AH9" s="668"/>
      <c r="AI9" s="668"/>
      <c r="AJ9" s="668"/>
      <c r="AK9" s="668"/>
      <c r="AL9" s="668"/>
      <c r="AM9" s="668">
        <f t="shared" si="13"/>
        <v>0</v>
      </c>
      <c r="AN9" s="668">
        <f t="shared" si="14"/>
        <v>0</v>
      </c>
      <c r="AO9" s="668">
        <f t="shared" si="15"/>
        <v>0</v>
      </c>
      <c r="AP9" s="668">
        <f t="shared" si="16"/>
        <v>0</v>
      </c>
      <c r="AQ9" s="668">
        <f t="shared" si="17"/>
        <v>0</v>
      </c>
      <c r="AR9" s="668">
        <f t="shared" si="18"/>
        <v>0</v>
      </c>
      <c r="AS9" s="668"/>
      <c r="AT9" s="668"/>
      <c r="AU9" s="668"/>
      <c r="AV9" s="668"/>
      <c r="AW9" s="668"/>
      <c r="AX9" s="668"/>
      <c r="AY9" s="668"/>
      <c r="AZ9" s="668"/>
      <c r="BA9" s="668"/>
      <c r="BB9" s="668"/>
      <c r="BC9" s="668"/>
      <c r="BD9" s="668"/>
      <c r="BE9" s="668"/>
      <c r="BF9" s="668"/>
      <c r="BG9" s="668"/>
      <c r="BH9" s="668"/>
      <c r="BI9" s="668"/>
    </row>
    <row r="10" spans="1:69" x14ac:dyDescent="0.2">
      <c r="A10" s="1012">
        <v>30</v>
      </c>
      <c r="B10" s="1012" t="s">
        <v>457</v>
      </c>
      <c r="C10" s="1012"/>
      <c r="D10" s="667">
        <v>534</v>
      </c>
      <c r="E10" s="667"/>
      <c r="F10" s="667"/>
      <c r="G10" s="667">
        <v>70</v>
      </c>
      <c r="H10" s="667">
        <v>86</v>
      </c>
      <c r="I10" s="667"/>
      <c r="J10" s="667"/>
      <c r="K10" s="667"/>
      <c r="L10" s="667">
        <v>6</v>
      </c>
      <c r="M10" s="667"/>
      <c r="N10" s="667">
        <v>14</v>
      </c>
      <c r="O10" s="667"/>
      <c r="P10" s="667"/>
      <c r="Q10" s="1014">
        <v>4544</v>
      </c>
      <c r="R10" s="667"/>
      <c r="S10" s="667"/>
      <c r="T10" s="667"/>
      <c r="U10" s="1012">
        <v>12</v>
      </c>
      <c r="V10" s="668">
        <f t="shared" si="2"/>
        <v>6408</v>
      </c>
      <c r="W10" s="668">
        <f t="shared" si="3"/>
        <v>840</v>
      </c>
      <c r="X10" s="668">
        <f t="shared" si="4"/>
        <v>1032</v>
      </c>
      <c r="Y10" s="668">
        <f t="shared" si="5"/>
        <v>0</v>
      </c>
      <c r="Z10" s="668">
        <f t="shared" si="7"/>
        <v>0</v>
      </c>
      <c r="AA10" s="668">
        <f t="shared" si="8"/>
        <v>0</v>
      </c>
      <c r="AB10" s="668">
        <f t="shared" si="9"/>
        <v>0</v>
      </c>
      <c r="AC10" s="668">
        <f t="shared" ref="AC10:AC73" si="19">+U10*P10</f>
        <v>0</v>
      </c>
      <c r="AD10" s="668">
        <f t="shared" si="10"/>
        <v>4544</v>
      </c>
      <c r="AE10" s="668">
        <f t="shared" si="11"/>
        <v>0</v>
      </c>
      <c r="AF10" s="668">
        <f t="shared" si="6"/>
        <v>72</v>
      </c>
      <c r="AG10" s="668">
        <f t="shared" si="12"/>
        <v>126</v>
      </c>
      <c r="AH10" s="668"/>
      <c r="AI10" s="668"/>
      <c r="AJ10" s="668"/>
      <c r="AK10" s="668"/>
      <c r="AL10" s="668"/>
      <c r="AM10" s="668">
        <f t="shared" si="13"/>
        <v>0</v>
      </c>
      <c r="AN10" s="668">
        <f t="shared" si="14"/>
        <v>0</v>
      </c>
      <c r="AO10" s="668">
        <f t="shared" si="15"/>
        <v>0</v>
      </c>
      <c r="AP10" s="668">
        <f t="shared" si="16"/>
        <v>0</v>
      </c>
      <c r="AQ10" s="668">
        <f t="shared" si="17"/>
        <v>0</v>
      </c>
      <c r="AR10" s="668">
        <f t="shared" si="18"/>
        <v>0</v>
      </c>
      <c r="AS10" s="668"/>
      <c r="AT10" s="668"/>
      <c r="AU10" s="668"/>
      <c r="AV10" s="668"/>
      <c r="AW10" s="668"/>
      <c r="AX10" s="668"/>
      <c r="AY10" s="668"/>
      <c r="AZ10" s="668"/>
      <c r="BA10" s="668"/>
      <c r="BB10" s="668"/>
      <c r="BC10" s="668"/>
      <c r="BD10" s="668"/>
      <c r="BE10" s="668"/>
      <c r="BF10" s="668"/>
      <c r="BG10" s="668"/>
      <c r="BH10" s="668"/>
      <c r="BI10" s="668"/>
    </row>
    <row r="11" spans="1:69" x14ac:dyDescent="0.2">
      <c r="A11" s="1012" t="s">
        <v>458</v>
      </c>
      <c r="B11" s="1012" t="s">
        <v>459</v>
      </c>
      <c r="C11" s="1012"/>
      <c r="D11" s="667"/>
      <c r="E11" s="667"/>
      <c r="F11" s="667"/>
      <c r="G11" s="667"/>
      <c r="H11" s="667"/>
      <c r="I11" s="667"/>
      <c r="J11" s="667"/>
      <c r="K11" s="667"/>
      <c r="L11" s="667"/>
      <c r="M11" s="667">
        <v>34</v>
      </c>
      <c r="N11" s="667"/>
      <c r="O11" s="667"/>
      <c r="P11" s="667"/>
      <c r="Q11" s="1014">
        <v>70</v>
      </c>
      <c r="R11" s="667"/>
      <c r="S11" s="667"/>
      <c r="T11" s="667"/>
      <c r="U11" s="1012">
        <v>12</v>
      </c>
      <c r="V11" s="668">
        <f t="shared" si="2"/>
        <v>0</v>
      </c>
      <c r="W11" s="668">
        <f t="shared" si="3"/>
        <v>0</v>
      </c>
      <c r="X11" s="668">
        <f t="shared" si="4"/>
        <v>0</v>
      </c>
      <c r="Y11" s="668">
        <f t="shared" si="5"/>
        <v>0</v>
      </c>
      <c r="Z11" s="668">
        <f t="shared" si="7"/>
        <v>0</v>
      </c>
      <c r="AA11" s="668">
        <f t="shared" si="8"/>
        <v>0</v>
      </c>
      <c r="AB11" s="668">
        <f t="shared" si="9"/>
        <v>0</v>
      </c>
      <c r="AC11" s="668">
        <f t="shared" si="19"/>
        <v>0</v>
      </c>
      <c r="AD11" s="668">
        <f t="shared" si="10"/>
        <v>70</v>
      </c>
      <c r="AE11" s="668">
        <f t="shared" si="11"/>
        <v>408</v>
      </c>
      <c r="AF11" s="668">
        <f t="shared" si="6"/>
        <v>0</v>
      </c>
      <c r="AG11" s="668">
        <f t="shared" si="12"/>
        <v>0</v>
      </c>
      <c r="AH11" s="668"/>
      <c r="AI11" s="668"/>
      <c r="AJ11" s="668"/>
      <c r="AK11" s="668"/>
      <c r="AL11" s="668"/>
      <c r="AM11" s="668">
        <f t="shared" si="13"/>
        <v>0</v>
      </c>
      <c r="AN11" s="668">
        <f t="shared" si="14"/>
        <v>0</v>
      </c>
      <c r="AO11" s="668">
        <f t="shared" si="15"/>
        <v>0</v>
      </c>
      <c r="AP11" s="668">
        <f t="shared" si="16"/>
        <v>0</v>
      </c>
      <c r="AQ11" s="668">
        <f t="shared" si="17"/>
        <v>0</v>
      </c>
      <c r="AR11" s="668">
        <f t="shared" si="18"/>
        <v>0</v>
      </c>
      <c r="AS11" s="668"/>
      <c r="AT11" s="668"/>
      <c r="AU11" s="668"/>
      <c r="AV11" s="668"/>
      <c r="AW11" s="668"/>
      <c r="AX11" s="668"/>
      <c r="AY11" s="668"/>
      <c r="AZ11" s="668"/>
      <c r="BA11" s="668"/>
      <c r="BB11" s="668"/>
      <c r="BC11" s="668"/>
      <c r="BD11" s="668"/>
      <c r="BE11" s="668"/>
      <c r="BF11" s="668"/>
      <c r="BG11" s="668"/>
      <c r="BH11" s="668"/>
      <c r="BI11" s="668"/>
    </row>
    <row r="12" spans="1:69" x14ac:dyDescent="0.2">
      <c r="A12" s="1012">
        <v>31</v>
      </c>
      <c r="B12" s="1012" t="s">
        <v>461</v>
      </c>
      <c r="C12" s="1012"/>
      <c r="D12" s="667">
        <v>27</v>
      </c>
      <c r="E12" s="667"/>
      <c r="F12" s="667"/>
      <c r="G12" s="667">
        <v>13</v>
      </c>
      <c r="H12" s="667">
        <v>10</v>
      </c>
      <c r="I12" s="667"/>
      <c r="J12" s="667"/>
      <c r="K12" s="667"/>
      <c r="L12" s="667"/>
      <c r="M12" s="667"/>
      <c r="N12" s="667"/>
      <c r="O12" s="667"/>
      <c r="P12" s="667"/>
      <c r="Q12" s="1014">
        <v>153</v>
      </c>
      <c r="R12" s="667"/>
      <c r="S12" s="667"/>
      <c r="T12" s="667"/>
      <c r="U12" s="1012">
        <v>12</v>
      </c>
      <c r="V12" s="668">
        <f t="shared" si="2"/>
        <v>324</v>
      </c>
      <c r="W12" s="668">
        <f t="shared" si="3"/>
        <v>156</v>
      </c>
      <c r="X12" s="668">
        <f t="shared" si="4"/>
        <v>120</v>
      </c>
      <c r="Y12" s="668">
        <f t="shared" si="5"/>
        <v>0</v>
      </c>
      <c r="Z12" s="668">
        <f t="shared" si="7"/>
        <v>0</v>
      </c>
      <c r="AA12" s="668">
        <f t="shared" si="8"/>
        <v>0</v>
      </c>
      <c r="AB12" s="668">
        <f t="shared" si="9"/>
        <v>0</v>
      </c>
      <c r="AC12" s="668">
        <f t="shared" si="19"/>
        <v>0</v>
      </c>
      <c r="AD12" s="668">
        <f t="shared" si="10"/>
        <v>153</v>
      </c>
      <c r="AE12" s="668">
        <f t="shared" si="11"/>
        <v>0</v>
      </c>
      <c r="AF12" s="668">
        <f t="shared" si="6"/>
        <v>0</v>
      </c>
      <c r="AG12" s="668">
        <f t="shared" si="12"/>
        <v>0</v>
      </c>
      <c r="AH12" s="668"/>
      <c r="AI12" s="668"/>
      <c r="AJ12" s="668"/>
      <c r="AK12" s="668"/>
      <c r="AL12" s="668"/>
      <c r="AM12" s="668">
        <f t="shared" si="13"/>
        <v>0</v>
      </c>
      <c r="AN12" s="668">
        <f t="shared" si="14"/>
        <v>0</v>
      </c>
      <c r="AO12" s="668">
        <f t="shared" si="15"/>
        <v>0</v>
      </c>
      <c r="AP12" s="668">
        <f t="shared" si="16"/>
        <v>0</v>
      </c>
      <c r="AQ12" s="668">
        <f t="shared" si="17"/>
        <v>0</v>
      </c>
      <c r="AR12" s="668">
        <f t="shared" si="18"/>
        <v>0</v>
      </c>
      <c r="AS12" s="668"/>
      <c r="AT12" s="668"/>
      <c r="AU12" s="668"/>
      <c r="AV12" s="668"/>
      <c r="AW12" s="668"/>
      <c r="AX12" s="668"/>
      <c r="AY12" s="668"/>
      <c r="AZ12" s="668"/>
      <c r="BA12" s="668"/>
      <c r="BB12" s="668"/>
      <c r="BC12" s="668"/>
      <c r="BD12" s="668"/>
      <c r="BE12" s="668"/>
      <c r="BF12" s="668"/>
      <c r="BG12" s="668"/>
      <c r="BH12" s="668"/>
      <c r="BI12" s="668"/>
    </row>
    <row r="13" spans="1:69" x14ac:dyDescent="0.2">
      <c r="A13" s="1012">
        <v>32</v>
      </c>
      <c r="B13" s="1012" t="s">
        <v>462</v>
      </c>
      <c r="C13" s="1012"/>
      <c r="D13" s="667">
        <v>134</v>
      </c>
      <c r="E13" s="667"/>
      <c r="F13" s="667"/>
      <c r="G13" s="667">
        <v>305</v>
      </c>
      <c r="H13" s="667"/>
      <c r="I13" s="667"/>
      <c r="J13" s="667"/>
      <c r="K13" s="667"/>
      <c r="L13" s="667">
        <v>5</v>
      </c>
      <c r="M13" s="667"/>
      <c r="N13" s="667"/>
      <c r="O13" s="667"/>
      <c r="P13" s="667"/>
      <c r="Q13" s="1014">
        <v>5258</v>
      </c>
      <c r="R13" s="667"/>
      <c r="S13" s="667"/>
      <c r="T13" s="667"/>
      <c r="U13" s="1012">
        <v>12</v>
      </c>
      <c r="V13" s="668">
        <f t="shared" si="2"/>
        <v>1608</v>
      </c>
      <c r="W13" s="668">
        <f t="shared" si="3"/>
        <v>3660</v>
      </c>
      <c r="X13" s="668">
        <f t="shared" si="4"/>
        <v>0</v>
      </c>
      <c r="Y13" s="668">
        <f t="shared" si="5"/>
        <v>0</v>
      </c>
      <c r="Z13" s="668">
        <f t="shared" si="7"/>
        <v>0</v>
      </c>
      <c r="AA13" s="668">
        <f t="shared" si="8"/>
        <v>0</v>
      </c>
      <c r="AB13" s="668">
        <f t="shared" si="9"/>
        <v>0</v>
      </c>
      <c r="AC13" s="668">
        <f t="shared" si="19"/>
        <v>0</v>
      </c>
      <c r="AD13" s="668">
        <f t="shared" si="10"/>
        <v>5258</v>
      </c>
      <c r="AE13" s="668">
        <f t="shared" si="11"/>
        <v>0</v>
      </c>
      <c r="AF13" s="668">
        <f t="shared" si="6"/>
        <v>60</v>
      </c>
      <c r="AG13" s="668">
        <f t="shared" si="12"/>
        <v>0</v>
      </c>
      <c r="AH13" s="668"/>
      <c r="AI13" s="668"/>
      <c r="AJ13" s="668"/>
      <c r="AK13" s="668"/>
      <c r="AL13" s="668"/>
      <c r="AM13" s="668">
        <f t="shared" si="13"/>
        <v>0</v>
      </c>
      <c r="AN13" s="668">
        <f t="shared" si="14"/>
        <v>0</v>
      </c>
      <c r="AO13" s="668">
        <f t="shared" si="15"/>
        <v>0</v>
      </c>
      <c r="AP13" s="668">
        <f t="shared" si="16"/>
        <v>0</v>
      </c>
      <c r="AQ13" s="668">
        <f t="shared" si="17"/>
        <v>0</v>
      </c>
      <c r="AR13" s="668">
        <f t="shared" si="18"/>
        <v>0</v>
      </c>
      <c r="AS13" s="668"/>
      <c r="AT13" s="668"/>
      <c r="AU13" s="668"/>
      <c r="AV13" s="668"/>
      <c r="AW13" s="668"/>
      <c r="AX13" s="668"/>
      <c r="AY13" s="668"/>
      <c r="AZ13" s="668"/>
      <c r="BA13" s="668"/>
      <c r="BB13" s="668"/>
      <c r="BC13" s="668"/>
      <c r="BD13" s="668"/>
      <c r="BE13" s="668"/>
      <c r="BF13" s="668"/>
      <c r="BG13" s="668"/>
      <c r="BH13" s="668"/>
      <c r="BI13" s="668"/>
    </row>
    <row r="14" spans="1:69" x14ac:dyDescent="0.2">
      <c r="A14" s="1012">
        <v>33</v>
      </c>
      <c r="B14" s="1012" t="s">
        <v>463</v>
      </c>
      <c r="C14" s="1012"/>
      <c r="D14" s="667">
        <v>61</v>
      </c>
      <c r="E14" s="667"/>
      <c r="F14" s="667"/>
      <c r="G14" s="667">
        <v>16</v>
      </c>
      <c r="H14" s="667">
        <v>95</v>
      </c>
      <c r="I14" s="667"/>
      <c r="J14" s="667"/>
      <c r="K14" s="667"/>
      <c r="L14" s="667">
        <v>4</v>
      </c>
      <c r="M14" s="667"/>
      <c r="N14" s="667"/>
      <c r="O14" s="667"/>
      <c r="P14" s="667"/>
      <c r="Q14" s="1014">
        <v>1412</v>
      </c>
      <c r="R14" s="667"/>
      <c r="S14" s="667"/>
      <c r="T14" s="667"/>
      <c r="U14" s="1012">
        <v>12</v>
      </c>
      <c r="V14" s="668">
        <f t="shared" si="2"/>
        <v>732</v>
      </c>
      <c r="W14" s="668">
        <f t="shared" si="3"/>
        <v>192</v>
      </c>
      <c r="X14" s="668">
        <f t="shared" si="4"/>
        <v>1140</v>
      </c>
      <c r="Y14" s="668">
        <f t="shared" si="5"/>
        <v>0</v>
      </c>
      <c r="Z14" s="668">
        <f t="shared" si="7"/>
        <v>0</v>
      </c>
      <c r="AA14" s="668">
        <f t="shared" si="8"/>
        <v>0</v>
      </c>
      <c r="AB14" s="668">
        <f t="shared" si="9"/>
        <v>0</v>
      </c>
      <c r="AC14" s="668">
        <f t="shared" si="19"/>
        <v>0</v>
      </c>
      <c r="AD14" s="668">
        <f t="shared" si="10"/>
        <v>1412</v>
      </c>
      <c r="AE14" s="668">
        <f t="shared" si="11"/>
        <v>0</v>
      </c>
      <c r="AF14" s="668">
        <f t="shared" si="6"/>
        <v>48</v>
      </c>
      <c r="AG14" s="668">
        <f t="shared" si="12"/>
        <v>0</v>
      </c>
      <c r="AH14" s="668"/>
      <c r="AI14" s="668"/>
      <c r="AJ14" s="668"/>
      <c r="AK14" s="668"/>
      <c r="AL14" s="668"/>
      <c r="AM14" s="668">
        <f t="shared" si="13"/>
        <v>0</v>
      </c>
      <c r="AN14" s="668">
        <f t="shared" si="14"/>
        <v>0</v>
      </c>
      <c r="AO14" s="668">
        <f t="shared" si="15"/>
        <v>0</v>
      </c>
      <c r="AP14" s="668">
        <f t="shared" si="16"/>
        <v>0</v>
      </c>
      <c r="AQ14" s="668">
        <f t="shared" si="17"/>
        <v>0</v>
      </c>
      <c r="AR14" s="668">
        <f t="shared" si="18"/>
        <v>0</v>
      </c>
      <c r="AS14" s="668"/>
      <c r="AT14" s="668"/>
      <c r="AU14" s="668"/>
      <c r="AV14" s="668"/>
      <c r="AW14" s="668"/>
      <c r="AX14" s="668"/>
      <c r="AY14" s="668"/>
      <c r="AZ14" s="668"/>
      <c r="BA14" s="668"/>
      <c r="BB14" s="668"/>
      <c r="BC14" s="668"/>
      <c r="BD14" s="668"/>
      <c r="BE14" s="668"/>
      <c r="BF14" s="668"/>
      <c r="BG14" s="668"/>
      <c r="BH14" s="668"/>
      <c r="BI14" s="668"/>
    </row>
    <row r="15" spans="1:69" x14ac:dyDescent="0.2">
      <c r="A15" s="1012">
        <v>34</v>
      </c>
      <c r="B15" s="1012" t="s">
        <v>464</v>
      </c>
      <c r="C15" s="1012"/>
      <c r="D15" s="667">
        <v>86</v>
      </c>
      <c r="E15" s="667"/>
      <c r="F15" s="667"/>
      <c r="G15" s="667"/>
      <c r="H15" s="667"/>
      <c r="I15" s="667"/>
      <c r="J15" s="667"/>
      <c r="K15" s="667"/>
      <c r="L15" s="667"/>
      <c r="M15" s="667"/>
      <c r="N15" s="667"/>
      <c r="O15" s="667"/>
      <c r="P15" s="667"/>
      <c r="Q15" s="1014">
        <v>465</v>
      </c>
      <c r="R15" s="667"/>
      <c r="S15" s="667"/>
      <c r="T15" s="667"/>
      <c r="U15" s="1012">
        <v>12</v>
      </c>
      <c r="V15" s="668">
        <f t="shared" si="2"/>
        <v>1032</v>
      </c>
      <c r="W15" s="668">
        <f t="shared" si="3"/>
        <v>0</v>
      </c>
      <c r="X15" s="668">
        <f t="shared" si="4"/>
        <v>0</v>
      </c>
      <c r="Y15" s="668">
        <f t="shared" si="5"/>
        <v>0</v>
      </c>
      <c r="Z15" s="668">
        <f t="shared" si="7"/>
        <v>0</v>
      </c>
      <c r="AA15" s="668">
        <f t="shared" si="8"/>
        <v>0</v>
      </c>
      <c r="AB15" s="668">
        <f t="shared" si="9"/>
        <v>0</v>
      </c>
      <c r="AC15" s="668">
        <f t="shared" si="19"/>
        <v>0</v>
      </c>
      <c r="AD15" s="668">
        <f t="shared" si="10"/>
        <v>465</v>
      </c>
      <c r="AE15" s="668">
        <f t="shared" si="11"/>
        <v>0</v>
      </c>
      <c r="AF15" s="668">
        <f t="shared" si="6"/>
        <v>0</v>
      </c>
      <c r="AG15" s="668">
        <f t="shared" si="12"/>
        <v>0</v>
      </c>
      <c r="AH15" s="668"/>
      <c r="AI15" s="668"/>
      <c r="AJ15" s="668"/>
      <c r="AK15" s="668"/>
      <c r="AL15" s="668"/>
      <c r="AM15" s="668">
        <f t="shared" si="13"/>
        <v>0</v>
      </c>
      <c r="AN15" s="668">
        <f t="shared" si="14"/>
        <v>0</v>
      </c>
      <c r="AO15" s="668">
        <f t="shared" si="15"/>
        <v>0</v>
      </c>
      <c r="AP15" s="668">
        <f t="shared" si="16"/>
        <v>0</v>
      </c>
      <c r="AQ15" s="668">
        <f t="shared" si="17"/>
        <v>0</v>
      </c>
      <c r="AR15" s="668">
        <f t="shared" si="18"/>
        <v>0</v>
      </c>
      <c r="AS15" s="668"/>
      <c r="AT15" s="668"/>
      <c r="AU15" s="668"/>
      <c r="AV15" s="668"/>
      <c r="AW15" s="668"/>
      <c r="AX15" s="668"/>
      <c r="AY15" s="668"/>
      <c r="AZ15" s="668"/>
      <c r="BA15" s="668"/>
      <c r="BB15" s="668"/>
      <c r="BC15" s="668"/>
      <c r="BD15" s="668"/>
      <c r="BE15" s="668"/>
      <c r="BF15" s="668"/>
      <c r="BG15" s="668"/>
      <c r="BH15" s="668"/>
      <c r="BI15" s="668"/>
    </row>
    <row r="16" spans="1:69" x14ac:dyDescent="0.2">
      <c r="A16" s="1012">
        <v>35</v>
      </c>
      <c r="B16" s="1012" t="s">
        <v>923</v>
      </c>
      <c r="C16" s="1012"/>
      <c r="D16" s="667"/>
      <c r="E16" s="667"/>
      <c r="F16" s="667"/>
      <c r="G16" s="667"/>
      <c r="H16" s="667"/>
      <c r="I16" s="667"/>
      <c r="J16" s="667"/>
      <c r="K16" s="667"/>
      <c r="L16" s="667"/>
      <c r="M16" s="667"/>
      <c r="N16" s="667"/>
      <c r="O16" s="667"/>
      <c r="P16" s="667"/>
      <c r="Q16" s="1014"/>
      <c r="R16" s="667"/>
      <c r="S16" s="667"/>
      <c r="T16" s="667"/>
      <c r="U16" s="1012"/>
      <c r="V16" s="668">
        <f t="shared" si="2"/>
        <v>0</v>
      </c>
      <c r="W16" s="668">
        <f t="shared" si="3"/>
        <v>0</v>
      </c>
      <c r="X16" s="668">
        <f t="shared" si="4"/>
        <v>0</v>
      </c>
      <c r="Y16" s="668">
        <f t="shared" si="5"/>
        <v>0</v>
      </c>
      <c r="Z16" s="668">
        <f t="shared" si="7"/>
        <v>0</v>
      </c>
      <c r="AA16" s="668">
        <f t="shared" si="8"/>
        <v>0</v>
      </c>
      <c r="AB16" s="668">
        <f t="shared" si="9"/>
        <v>0</v>
      </c>
      <c r="AC16" s="668">
        <f t="shared" si="19"/>
        <v>0</v>
      </c>
      <c r="AD16" s="668">
        <f t="shared" si="10"/>
        <v>0</v>
      </c>
      <c r="AE16" s="668">
        <f t="shared" si="11"/>
        <v>0</v>
      </c>
      <c r="AF16" s="668">
        <f t="shared" si="6"/>
        <v>0</v>
      </c>
      <c r="AG16" s="668">
        <f t="shared" si="12"/>
        <v>0</v>
      </c>
      <c r="AH16" s="668"/>
      <c r="AI16" s="668"/>
      <c r="AJ16" s="668"/>
      <c r="AK16" s="668"/>
      <c r="AL16" s="668"/>
      <c r="AM16" s="668">
        <f t="shared" si="13"/>
        <v>0</v>
      </c>
      <c r="AN16" s="668">
        <f t="shared" si="14"/>
        <v>0</v>
      </c>
      <c r="AO16" s="668">
        <f t="shared" si="15"/>
        <v>0</v>
      </c>
      <c r="AP16" s="668">
        <f t="shared" si="16"/>
        <v>0</v>
      </c>
      <c r="AQ16" s="668">
        <f t="shared" si="17"/>
        <v>0</v>
      </c>
      <c r="AR16" s="668">
        <f t="shared" si="18"/>
        <v>0</v>
      </c>
      <c r="AS16" s="668"/>
      <c r="AT16" s="668"/>
      <c r="AU16" s="668"/>
      <c r="AV16" s="668"/>
      <c r="AW16" s="668"/>
      <c r="AX16" s="668"/>
      <c r="AY16" s="668"/>
      <c r="AZ16" s="668"/>
      <c r="BA16" s="668"/>
      <c r="BB16" s="668"/>
      <c r="BC16" s="668"/>
      <c r="BD16" s="668"/>
      <c r="BE16" s="668"/>
      <c r="BF16" s="668"/>
      <c r="BG16" s="668"/>
      <c r="BH16" s="668"/>
      <c r="BI16" s="668"/>
    </row>
    <row r="17" spans="1:61" x14ac:dyDescent="0.2">
      <c r="A17" s="1012" t="s">
        <v>460</v>
      </c>
      <c r="B17" s="1012" t="s">
        <v>924</v>
      </c>
      <c r="C17" s="1012"/>
      <c r="D17" s="667"/>
      <c r="E17" s="667"/>
      <c r="F17" s="667"/>
      <c r="G17" s="667"/>
      <c r="H17" s="667"/>
      <c r="I17" s="667"/>
      <c r="J17" s="667"/>
      <c r="K17" s="667"/>
      <c r="L17" s="667"/>
      <c r="M17" s="667"/>
      <c r="N17" s="667"/>
      <c r="O17" s="667"/>
      <c r="P17" s="667"/>
      <c r="Q17" s="1014"/>
      <c r="R17" s="667"/>
      <c r="S17" s="667">
        <v>144</v>
      </c>
      <c r="T17" s="667"/>
      <c r="U17" s="1012"/>
      <c r="V17" s="668">
        <f t="shared" si="2"/>
        <v>0</v>
      </c>
      <c r="W17" s="668">
        <f t="shared" si="3"/>
        <v>0</v>
      </c>
      <c r="X17" s="668">
        <f t="shared" si="4"/>
        <v>0</v>
      </c>
      <c r="Y17" s="668">
        <f t="shared" si="5"/>
        <v>0</v>
      </c>
      <c r="Z17" s="668">
        <f t="shared" si="7"/>
        <v>0</v>
      </c>
      <c r="AA17" s="668">
        <f t="shared" si="8"/>
        <v>144</v>
      </c>
      <c r="AB17" s="668">
        <f t="shared" si="9"/>
        <v>0</v>
      </c>
      <c r="AC17" s="668">
        <f t="shared" si="19"/>
        <v>0</v>
      </c>
      <c r="AD17" s="668">
        <f t="shared" si="10"/>
        <v>0</v>
      </c>
      <c r="AE17" s="668">
        <f t="shared" si="11"/>
        <v>0</v>
      </c>
      <c r="AF17" s="668">
        <f t="shared" si="6"/>
        <v>0</v>
      </c>
      <c r="AG17" s="668">
        <f t="shared" si="12"/>
        <v>0</v>
      </c>
      <c r="AH17" s="668"/>
      <c r="AI17" s="668"/>
      <c r="AJ17" s="668"/>
      <c r="AK17" s="668"/>
      <c r="AL17" s="668"/>
      <c r="AM17" s="668">
        <f t="shared" si="13"/>
        <v>0</v>
      </c>
      <c r="AN17" s="668">
        <f t="shared" si="14"/>
        <v>0</v>
      </c>
      <c r="AO17" s="668">
        <f t="shared" si="15"/>
        <v>0</v>
      </c>
      <c r="AP17" s="668">
        <f t="shared" si="16"/>
        <v>0</v>
      </c>
      <c r="AQ17" s="668">
        <f t="shared" si="17"/>
        <v>0</v>
      </c>
      <c r="AR17" s="668">
        <f t="shared" si="18"/>
        <v>0</v>
      </c>
      <c r="AS17" s="668"/>
      <c r="AT17" s="668"/>
      <c r="AU17" s="668"/>
      <c r="AV17" s="668"/>
      <c r="AW17" s="668"/>
      <c r="AX17" s="668"/>
      <c r="AY17" s="668"/>
      <c r="AZ17" s="668"/>
      <c r="BA17" s="668"/>
      <c r="BB17" s="668"/>
      <c r="BC17" s="668"/>
      <c r="BD17" s="668"/>
      <c r="BE17" s="668"/>
      <c r="BF17" s="668"/>
      <c r="BG17" s="668"/>
      <c r="BH17" s="668"/>
      <c r="BI17" s="668"/>
    </row>
    <row r="18" spans="1:61" x14ac:dyDescent="0.2">
      <c r="A18" s="1012">
        <v>36</v>
      </c>
      <c r="B18" s="1012" t="s">
        <v>466</v>
      </c>
      <c r="C18" s="1012"/>
      <c r="D18" s="667">
        <v>72</v>
      </c>
      <c r="E18" s="667"/>
      <c r="F18" s="667"/>
      <c r="G18" s="667"/>
      <c r="H18" s="667"/>
      <c r="I18" s="667"/>
      <c r="J18" s="667"/>
      <c r="K18" s="667"/>
      <c r="L18" s="667"/>
      <c r="M18" s="667"/>
      <c r="N18" s="667"/>
      <c r="O18" s="667"/>
      <c r="P18" s="667"/>
      <c r="Q18" s="1014">
        <v>185</v>
      </c>
      <c r="R18" s="667"/>
      <c r="S18" s="1024">
        <f>+Q18</f>
        <v>185</v>
      </c>
      <c r="T18" s="667"/>
      <c r="U18" s="1012">
        <v>6</v>
      </c>
      <c r="V18" s="668">
        <f t="shared" si="2"/>
        <v>432</v>
      </c>
      <c r="W18" s="668">
        <f t="shared" si="3"/>
        <v>0</v>
      </c>
      <c r="X18" s="668">
        <f t="shared" si="4"/>
        <v>0</v>
      </c>
      <c r="Y18" s="668">
        <f t="shared" si="5"/>
        <v>0</v>
      </c>
      <c r="Z18" s="668">
        <f t="shared" si="7"/>
        <v>0</v>
      </c>
      <c r="AA18" s="668">
        <f t="shared" si="8"/>
        <v>185</v>
      </c>
      <c r="AB18" s="668">
        <f t="shared" si="9"/>
        <v>0</v>
      </c>
      <c r="AC18" s="668">
        <f t="shared" si="19"/>
        <v>0</v>
      </c>
      <c r="AD18" s="668">
        <f t="shared" si="10"/>
        <v>185</v>
      </c>
      <c r="AE18" s="668">
        <f t="shared" si="11"/>
        <v>0</v>
      </c>
      <c r="AF18" s="668">
        <f t="shared" si="6"/>
        <v>0</v>
      </c>
      <c r="AG18" s="668">
        <f t="shared" si="12"/>
        <v>0</v>
      </c>
      <c r="AH18" s="668"/>
      <c r="AI18" s="668"/>
      <c r="AJ18" s="668"/>
      <c r="AK18" s="668"/>
      <c r="AL18" s="668"/>
      <c r="AM18" s="668">
        <f t="shared" si="13"/>
        <v>0</v>
      </c>
      <c r="AN18" s="668">
        <f t="shared" si="14"/>
        <v>0</v>
      </c>
      <c r="AO18" s="668">
        <f t="shared" si="15"/>
        <v>0</v>
      </c>
      <c r="AP18" s="668">
        <f t="shared" si="16"/>
        <v>0</v>
      </c>
      <c r="AQ18" s="668">
        <f t="shared" si="17"/>
        <v>0</v>
      </c>
      <c r="AR18" s="668">
        <f t="shared" si="18"/>
        <v>0</v>
      </c>
      <c r="AS18" s="668"/>
      <c r="AT18" s="668"/>
      <c r="AU18" s="668"/>
      <c r="AV18" s="668"/>
      <c r="AW18" s="668"/>
      <c r="AX18" s="668"/>
      <c r="AY18" s="668"/>
      <c r="AZ18" s="668"/>
      <c r="BA18" s="668"/>
      <c r="BB18" s="668"/>
      <c r="BC18" s="668"/>
      <c r="BD18" s="668"/>
      <c r="BE18" s="668"/>
      <c r="BF18" s="668"/>
      <c r="BG18" s="668"/>
      <c r="BH18" s="668"/>
      <c r="BI18" s="668"/>
    </row>
    <row r="19" spans="1:61" x14ac:dyDescent="0.2">
      <c r="A19" s="1012">
        <v>37</v>
      </c>
      <c r="B19" s="1012" t="s">
        <v>467</v>
      </c>
      <c r="C19" s="1012"/>
      <c r="D19" s="667">
        <v>72</v>
      </c>
      <c r="E19" s="667"/>
      <c r="F19" s="667"/>
      <c r="G19" s="667"/>
      <c r="H19" s="667"/>
      <c r="I19" s="667"/>
      <c r="J19" s="667"/>
      <c r="K19" s="667"/>
      <c r="L19" s="667"/>
      <c r="M19" s="667"/>
      <c r="N19" s="667"/>
      <c r="O19" s="667"/>
      <c r="P19" s="667"/>
      <c r="Q19" s="1014">
        <v>185</v>
      </c>
      <c r="R19" s="667"/>
      <c r="S19" s="1024">
        <f>+Q19</f>
        <v>185</v>
      </c>
      <c r="T19" s="667"/>
      <c r="U19" s="1012">
        <v>6</v>
      </c>
      <c r="V19" s="668">
        <f t="shared" si="2"/>
        <v>432</v>
      </c>
      <c r="W19" s="668">
        <f t="shared" si="3"/>
        <v>0</v>
      </c>
      <c r="X19" s="668">
        <f t="shared" si="4"/>
        <v>0</v>
      </c>
      <c r="Y19" s="668">
        <f t="shared" si="5"/>
        <v>0</v>
      </c>
      <c r="Z19" s="668">
        <f t="shared" si="7"/>
        <v>0</v>
      </c>
      <c r="AA19" s="668">
        <f t="shared" si="8"/>
        <v>185</v>
      </c>
      <c r="AB19" s="668">
        <f t="shared" si="9"/>
        <v>0</v>
      </c>
      <c r="AC19" s="668">
        <f t="shared" si="19"/>
        <v>0</v>
      </c>
      <c r="AD19" s="668">
        <f t="shared" si="10"/>
        <v>185</v>
      </c>
      <c r="AE19" s="668">
        <f t="shared" si="11"/>
        <v>0</v>
      </c>
      <c r="AF19" s="668">
        <f t="shared" si="6"/>
        <v>0</v>
      </c>
      <c r="AG19" s="668">
        <f t="shared" si="12"/>
        <v>0</v>
      </c>
      <c r="AH19" s="668"/>
      <c r="AI19" s="668"/>
      <c r="AJ19" s="668"/>
      <c r="AK19" s="668"/>
      <c r="AL19" s="668"/>
      <c r="AM19" s="668">
        <f t="shared" si="13"/>
        <v>0</v>
      </c>
      <c r="AN19" s="668">
        <f t="shared" si="14"/>
        <v>0</v>
      </c>
      <c r="AO19" s="668">
        <f t="shared" si="15"/>
        <v>0</v>
      </c>
      <c r="AP19" s="668">
        <f t="shared" si="16"/>
        <v>0</v>
      </c>
      <c r="AQ19" s="668">
        <f t="shared" si="17"/>
        <v>0</v>
      </c>
      <c r="AR19" s="668">
        <f t="shared" si="18"/>
        <v>0</v>
      </c>
      <c r="AS19" s="668"/>
      <c r="AT19" s="668"/>
      <c r="AU19" s="668"/>
      <c r="AV19" s="668"/>
      <c r="AW19" s="668"/>
      <c r="AX19" s="668"/>
      <c r="AY19" s="668"/>
      <c r="AZ19" s="668"/>
      <c r="BA19" s="668"/>
      <c r="BB19" s="668"/>
      <c r="BC19" s="668"/>
      <c r="BD19" s="668"/>
      <c r="BE19" s="668"/>
      <c r="BF19" s="668"/>
      <c r="BG19" s="668"/>
      <c r="BH19" s="668"/>
      <c r="BI19" s="668"/>
    </row>
    <row r="20" spans="1:61" x14ac:dyDescent="0.2">
      <c r="A20" s="1012">
        <v>38</v>
      </c>
      <c r="B20" s="1012" t="s">
        <v>468</v>
      </c>
      <c r="C20" s="1012"/>
      <c r="D20" s="667">
        <v>40</v>
      </c>
      <c r="E20" s="667"/>
      <c r="F20" s="667"/>
      <c r="G20" s="667"/>
      <c r="H20" s="667">
        <v>8</v>
      </c>
      <c r="I20" s="667"/>
      <c r="J20" s="667"/>
      <c r="K20" s="667"/>
      <c r="L20" s="667">
        <v>2</v>
      </c>
      <c r="M20" s="667"/>
      <c r="N20" s="667"/>
      <c r="O20" s="667"/>
      <c r="P20" s="667"/>
      <c r="Q20" s="1014">
        <v>121</v>
      </c>
      <c r="R20" s="667"/>
      <c r="S20" s="667"/>
      <c r="T20" s="667"/>
      <c r="U20" s="1012">
        <v>12</v>
      </c>
      <c r="V20" s="668">
        <f t="shared" si="2"/>
        <v>480</v>
      </c>
      <c r="W20" s="668">
        <f t="shared" si="3"/>
        <v>0</v>
      </c>
      <c r="X20" s="668">
        <f t="shared" si="4"/>
        <v>96</v>
      </c>
      <c r="Y20" s="668">
        <f t="shared" si="5"/>
        <v>0</v>
      </c>
      <c r="Z20" s="668">
        <f t="shared" si="7"/>
        <v>0</v>
      </c>
      <c r="AA20" s="668">
        <f t="shared" si="8"/>
        <v>0</v>
      </c>
      <c r="AB20" s="668">
        <f t="shared" si="9"/>
        <v>0</v>
      </c>
      <c r="AC20" s="668">
        <f t="shared" si="19"/>
        <v>0</v>
      </c>
      <c r="AD20" s="668">
        <f t="shared" si="10"/>
        <v>121</v>
      </c>
      <c r="AE20" s="668">
        <f t="shared" si="11"/>
        <v>0</v>
      </c>
      <c r="AF20" s="668">
        <f t="shared" si="6"/>
        <v>24</v>
      </c>
      <c r="AG20" s="668">
        <f t="shared" si="12"/>
        <v>0</v>
      </c>
      <c r="AH20" s="668"/>
      <c r="AI20" s="668"/>
      <c r="AJ20" s="668"/>
      <c r="AK20" s="668"/>
      <c r="AL20" s="668"/>
      <c r="AM20" s="668">
        <f t="shared" si="13"/>
        <v>0</v>
      </c>
      <c r="AN20" s="668">
        <f t="shared" si="14"/>
        <v>0</v>
      </c>
      <c r="AO20" s="668">
        <f t="shared" si="15"/>
        <v>0</v>
      </c>
      <c r="AP20" s="668">
        <f t="shared" si="16"/>
        <v>0</v>
      </c>
      <c r="AQ20" s="668">
        <f t="shared" si="17"/>
        <v>0</v>
      </c>
      <c r="AR20" s="668">
        <f t="shared" si="18"/>
        <v>0</v>
      </c>
      <c r="AS20" s="668"/>
      <c r="AT20" s="668"/>
      <c r="AU20" s="668"/>
      <c r="AV20" s="668"/>
      <c r="AW20" s="668"/>
      <c r="AX20" s="668"/>
      <c r="AY20" s="668"/>
      <c r="AZ20" s="668"/>
      <c r="BA20" s="668"/>
      <c r="BB20" s="668"/>
      <c r="BC20" s="668"/>
      <c r="BD20" s="668"/>
      <c r="BE20" s="668"/>
      <c r="BF20" s="668"/>
      <c r="BG20" s="668"/>
      <c r="BH20" s="668"/>
      <c r="BI20" s="668"/>
    </row>
    <row r="21" spans="1:61" x14ac:dyDescent="0.2">
      <c r="A21" s="1012">
        <v>39</v>
      </c>
      <c r="B21" s="1012" t="s">
        <v>454</v>
      </c>
      <c r="C21" s="1012"/>
      <c r="D21" s="667">
        <v>43</v>
      </c>
      <c r="E21" s="667"/>
      <c r="F21" s="667"/>
      <c r="G21" s="667"/>
      <c r="H21" s="667">
        <v>8</v>
      </c>
      <c r="I21" s="667"/>
      <c r="J21" s="667"/>
      <c r="K21" s="667"/>
      <c r="L21" s="667"/>
      <c r="M21" s="667"/>
      <c r="N21" s="667"/>
      <c r="O21" s="667"/>
      <c r="P21" s="667"/>
      <c r="Q21" s="1014">
        <v>140</v>
      </c>
      <c r="R21" s="667"/>
      <c r="S21" s="667"/>
      <c r="T21" s="667"/>
      <c r="U21" s="1012">
        <v>12</v>
      </c>
      <c r="V21" s="668">
        <f t="shared" si="2"/>
        <v>516</v>
      </c>
      <c r="W21" s="668">
        <f t="shared" si="3"/>
        <v>0</v>
      </c>
      <c r="X21" s="668">
        <f t="shared" si="4"/>
        <v>96</v>
      </c>
      <c r="Y21" s="668">
        <f t="shared" si="5"/>
        <v>0</v>
      </c>
      <c r="Z21" s="668">
        <f t="shared" si="7"/>
        <v>0</v>
      </c>
      <c r="AA21" s="668">
        <f t="shared" si="8"/>
        <v>0</v>
      </c>
      <c r="AB21" s="668">
        <f t="shared" si="9"/>
        <v>0</v>
      </c>
      <c r="AC21" s="668">
        <f t="shared" si="19"/>
        <v>0</v>
      </c>
      <c r="AD21" s="668">
        <f t="shared" si="10"/>
        <v>140</v>
      </c>
      <c r="AE21" s="668">
        <f t="shared" si="11"/>
        <v>0</v>
      </c>
      <c r="AF21" s="668">
        <f t="shared" si="6"/>
        <v>0</v>
      </c>
      <c r="AG21" s="668">
        <f t="shared" si="12"/>
        <v>0</v>
      </c>
      <c r="AH21" s="668"/>
      <c r="AI21" s="668"/>
      <c r="AJ21" s="668"/>
      <c r="AK21" s="668"/>
      <c r="AL21" s="668"/>
      <c r="AM21" s="668">
        <f t="shared" si="13"/>
        <v>0</v>
      </c>
      <c r="AN21" s="668">
        <f t="shared" si="14"/>
        <v>0</v>
      </c>
      <c r="AO21" s="668">
        <f t="shared" si="15"/>
        <v>0</v>
      </c>
      <c r="AP21" s="668">
        <f t="shared" si="16"/>
        <v>0</v>
      </c>
      <c r="AQ21" s="668">
        <f t="shared" si="17"/>
        <v>0</v>
      </c>
      <c r="AR21" s="668">
        <f t="shared" si="18"/>
        <v>0</v>
      </c>
      <c r="AS21" s="668"/>
      <c r="AT21" s="668"/>
      <c r="AU21" s="668"/>
      <c r="AV21" s="668"/>
      <c r="AW21" s="668"/>
      <c r="AX21" s="668"/>
      <c r="AY21" s="668"/>
      <c r="AZ21" s="668"/>
      <c r="BA21" s="668"/>
      <c r="BB21" s="668"/>
      <c r="BC21" s="668"/>
      <c r="BD21" s="668"/>
      <c r="BE21" s="668"/>
      <c r="BF21" s="668"/>
      <c r="BG21" s="668"/>
      <c r="BH21" s="668"/>
      <c r="BI21" s="668"/>
    </row>
    <row r="22" spans="1:61" x14ac:dyDescent="0.2">
      <c r="A22" s="1012">
        <v>40</v>
      </c>
      <c r="B22" s="1012" t="s">
        <v>469</v>
      </c>
      <c r="C22" s="1012"/>
      <c r="D22" s="667"/>
      <c r="E22" s="667"/>
      <c r="F22" s="667"/>
      <c r="G22" s="667"/>
      <c r="H22" s="667"/>
      <c r="I22" s="667"/>
      <c r="J22" s="667"/>
      <c r="K22" s="667"/>
      <c r="L22" s="667"/>
      <c r="M22" s="667"/>
      <c r="N22" s="667"/>
      <c r="O22" s="667"/>
      <c r="P22" s="667"/>
      <c r="Q22" s="667"/>
      <c r="R22" s="667"/>
      <c r="S22" s="667"/>
      <c r="T22" s="667"/>
      <c r="U22" s="1012"/>
      <c r="V22" s="668">
        <f t="shared" si="2"/>
        <v>0</v>
      </c>
      <c r="W22" s="668">
        <f t="shared" si="3"/>
        <v>0</v>
      </c>
      <c r="X22" s="668">
        <f t="shared" si="4"/>
        <v>0</v>
      </c>
      <c r="Y22" s="668">
        <f t="shared" si="5"/>
        <v>0</v>
      </c>
      <c r="Z22" s="668">
        <f t="shared" si="7"/>
        <v>0</v>
      </c>
      <c r="AA22" s="668">
        <f t="shared" si="8"/>
        <v>0</v>
      </c>
      <c r="AB22" s="668">
        <f t="shared" si="9"/>
        <v>0</v>
      </c>
      <c r="AC22" s="668">
        <f t="shared" si="19"/>
        <v>0</v>
      </c>
      <c r="AD22" s="668">
        <f t="shared" si="10"/>
        <v>0</v>
      </c>
      <c r="AE22" s="668">
        <f t="shared" si="11"/>
        <v>0</v>
      </c>
      <c r="AF22" s="668">
        <f t="shared" si="6"/>
        <v>0</v>
      </c>
      <c r="AG22" s="668">
        <f t="shared" si="12"/>
        <v>0</v>
      </c>
      <c r="AH22" s="668"/>
      <c r="AI22" s="668"/>
      <c r="AJ22" s="668"/>
      <c r="AK22" s="668"/>
      <c r="AL22" s="668"/>
      <c r="AM22" s="668">
        <f t="shared" si="13"/>
        <v>0</v>
      </c>
      <c r="AN22" s="668">
        <f t="shared" si="14"/>
        <v>0</v>
      </c>
      <c r="AO22" s="668">
        <f t="shared" si="15"/>
        <v>0</v>
      </c>
      <c r="AP22" s="668">
        <f t="shared" si="16"/>
        <v>0</v>
      </c>
      <c r="AQ22" s="668">
        <f t="shared" si="17"/>
        <v>0</v>
      </c>
      <c r="AR22" s="668">
        <f t="shared" si="18"/>
        <v>0</v>
      </c>
      <c r="AS22" s="668"/>
      <c r="AT22" s="668"/>
      <c r="AU22" s="668"/>
      <c r="AV22" s="668"/>
      <c r="AW22" s="668"/>
      <c r="AX22" s="668"/>
      <c r="AY22" s="668"/>
      <c r="AZ22" s="668"/>
      <c r="BA22" s="668"/>
      <c r="BB22" s="668"/>
      <c r="BC22" s="668"/>
      <c r="BD22" s="668"/>
      <c r="BE22" s="668"/>
      <c r="BF22" s="668"/>
      <c r="BG22" s="668"/>
      <c r="BH22" s="668"/>
      <c r="BI22" s="668"/>
    </row>
    <row r="23" spans="1:61" x14ac:dyDescent="0.2">
      <c r="A23" s="1012">
        <v>41</v>
      </c>
      <c r="B23" s="1012" t="s">
        <v>470</v>
      </c>
      <c r="C23" s="1012"/>
      <c r="D23" s="667"/>
      <c r="E23" s="667"/>
      <c r="F23" s="667"/>
      <c r="G23" s="667"/>
      <c r="H23" s="667"/>
      <c r="I23" s="667"/>
      <c r="J23" s="667"/>
      <c r="K23" s="667"/>
      <c r="L23" s="667"/>
      <c r="M23" s="667"/>
      <c r="N23" s="667"/>
      <c r="O23" s="667"/>
      <c r="P23" s="667"/>
      <c r="Q23" s="667"/>
      <c r="R23" s="667"/>
      <c r="S23" s="667"/>
      <c r="T23" s="667"/>
      <c r="U23" s="1012"/>
      <c r="V23" s="668">
        <f t="shared" si="2"/>
        <v>0</v>
      </c>
      <c r="W23" s="668">
        <f t="shared" si="3"/>
        <v>0</v>
      </c>
      <c r="X23" s="668">
        <f t="shared" si="4"/>
        <v>0</v>
      </c>
      <c r="Y23" s="668">
        <f t="shared" si="5"/>
        <v>0</v>
      </c>
      <c r="Z23" s="668">
        <f t="shared" si="7"/>
        <v>0</v>
      </c>
      <c r="AA23" s="668">
        <f t="shared" si="8"/>
        <v>0</v>
      </c>
      <c r="AB23" s="668">
        <f t="shared" si="9"/>
        <v>0</v>
      </c>
      <c r="AC23" s="668">
        <f t="shared" si="19"/>
        <v>0</v>
      </c>
      <c r="AD23" s="668">
        <f t="shared" si="10"/>
        <v>0</v>
      </c>
      <c r="AE23" s="668">
        <f t="shared" si="11"/>
        <v>0</v>
      </c>
      <c r="AF23" s="668">
        <f t="shared" si="6"/>
        <v>0</v>
      </c>
      <c r="AG23" s="668">
        <f t="shared" si="12"/>
        <v>0</v>
      </c>
      <c r="AH23" s="668"/>
      <c r="AI23" s="668"/>
      <c r="AJ23" s="668"/>
      <c r="AK23" s="668"/>
      <c r="AL23" s="668"/>
      <c r="AM23" s="668">
        <f t="shared" si="13"/>
        <v>0</v>
      </c>
      <c r="AN23" s="668">
        <f t="shared" si="14"/>
        <v>0</v>
      </c>
      <c r="AO23" s="668">
        <f t="shared" si="15"/>
        <v>0</v>
      </c>
      <c r="AP23" s="668">
        <f t="shared" si="16"/>
        <v>0</v>
      </c>
      <c r="AQ23" s="668">
        <f t="shared" si="17"/>
        <v>0</v>
      </c>
      <c r="AR23" s="668">
        <f t="shared" si="18"/>
        <v>0</v>
      </c>
      <c r="AS23" s="668"/>
      <c r="AT23" s="668"/>
      <c r="AU23" s="668"/>
      <c r="AV23" s="668"/>
      <c r="AW23" s="668"/>
      <c r="AX23" s="668"/>
      <c r="AY23" s="668"/>
      <c r="AZ23" s="668"/>
      <c r="BA23" s="668"/>
      <c r="BB23" s="668"/>
      <c r="BC23" s="668"/>
      <c r="BD23" s="668"/>
      <c r="BE23" s="668"/>
      <c r="BF23" s="668"/>
      <c r="BG23" s="668"/>
      <c r="BH23" s="668"/>
      <c r="BI23" s="668"/>
    </row>
    <row r="24" spans="1:61" x14ac:dyDescent="0.2">
      <c r="A24" s="1012">
        <v>42</v>
      </c>
      <c r="B24" s="1012" t="s">
        <v>454</v>
      </c>
      <c r="C24" s="1012"/>
      <c r="D24" s="667"/>
      <c r="E24" s="667"/>
      <c r="F24" s="667"/>
      <c r="G24" s="667">
        <v>80</v>
      </c>
      <c r="H24" s="667"/>
      <c r="I24" s="667"/>
      <c r="J24" s="667"/>
      <c r="K24" s="667"/>
      <c r="L24" s="667"/>
      <c r="M24" s="667"/>
      <c r="N24" s="667"/>
      <c r="O24" s="667"/>
      <c r="P24" s="667"/>
      <c r="Q24" s="1014">
        <v>343</v>
      </c>
      <c r="R24" s="667"/>
      <c r="S24" s="667"/>
      <c r="T24" s="667"/>
      <c r="U24" s="1012">
        <v>12</v>
      </c>
      <c r="V24" s="668">
        <f t="shared" si="2"/>
        <v>0</v>
      </c>
      <c r="W24" s="668">
        <f t="shared" si="3"/>
        <v>960</v>
      </c>
      <c r="X24" s="668">
        <f t="shared" si="4"/>
        <v>0</v>
      </c>
      <c r="Y24" s="668">
        <f t="shared" si="5"/>
        <v>0</v>
      </c>
      <c r="Z24" s="668">
        <f t="shared" si="7"/>
        <v>0</v>
      </c>
      <c r="AA24" s="668">
        <f t="shared" si="8"/>
        <v>0</v>
      </c>
      <c r="AB24" s="668">
        <f t="shared" si="9"/>
        <v>0</v>
      </c>
      <c r="AC24" s="668">
        <f t="shared" si="19"/>
        <v>0</v>
      </c>
      <c r="AD24" s="668">
        <f t="shared" si="10"/>
        <v>343</v>
      </c>
      <c r="AE24" s="668">
        <f t="shared" si="11"/>
        <v>0</v>
      </c>
      <c r="AF24" s="668">
        <f t="shared" si="6"/>
        <v>0</v>
      </c>
      <c r="AG24" s="668">
        <f t="shared" si="12"/>
        <v>0</v>
      </c>
      <c r="AH24" s="668"/>
      <c r="AI24" s="668"/>
      <c r="AJ24" s="668"/>
      <c r="AK24" s="668"/>
      <c r="AL24" s="668"/>
      <c r="AM24" s="668">
        <f t="shared" si="13"/>
        <v>0</v>
      </c>
      <c r="AN24" s="668">
        <f t="shared" si="14"/>
        <v>0</v>
      </c>
      <c r="AO24" s="668">
        <f t="shared" si="15"/>
        <v>0</v>
      </c>
      <c r="AP24" s="668">
        <f t="shared" si="16"/>
        <v>0</v>
      </c>
      <c r="AQ24" s="668">
        <f t="shared" si="17"/>
        <v>0</v>
      </c>
      <c r="AR24" s="668">
        <f t="shared" si="18"/>
        <v>0</v>
      </c>
      <c r="AS24" s="668"/>
      <c r="AT24" s="668"/>
      <c r="AU24" s="668"/>
      <c r="AV24" s="668"/>
      <c r="AW24" s="668"/>
      <c r="AX24" s="668"/>
      <c r="AY24" s="668"/>
      <c r="AZ24" s="668"/>
      <c r="BA24" s="668"/>
      <c r="BB24" s="668"/>
      <c r="BC24" s="668"/>
      <c r="BD24" s="668"/>
      <c r="BE24" s="668"/>
      <c r="BF24" s="668"/>
      <c r="BG24" s="668"/>
      <c r="BH24" s="668"/>
      <c r="BI24" s="668"/>
    </row>
    <row r="25" spans="1:61" x14ac:dyDescent="0.2">
      <c r="A25" s="1012">
        <v>43</v>
      </c>
      <c r="B25" s="1012" t="s">
        <v>471</v>
      </c>
      <c r="C25" s="1012"/>
      <c r="D25" s="667"/>
      <c r="E25" s="667"/>
      <c r="F25" s="667"/>
      <c r="G25" s="667"/>
      <c r="H25" s="667"/>
      <c r="I25" s="667"/>
      <c r="J25" s="667"/>
      <c r="K25" s="667"/>
      <c r="L25" s="667"/>
      <c r="M25" s="667">
        <v>255</v>
      </c>
      <c r="N25" s="667"/>
      <c r="O25" s="667"/>
      <c r="P25" s="667"/>
      <c r="Q25" s="667"/>
      <c r="R25" s="667"/>
      <c r="S25" s="667"/>
      <c r="T25" s="667"/>
      <c r="U25" s="1012">
        <v>9</v>
      </c>
      <c r="V25" s="668">
        <f t="shared" si="2"/>
        <v>0</v>
      </c>
      <c r="W25" s="668">
        <f t="shared" si="3"/>
        <v>0</v>
      </c>
      <c r="X25" s="668">
        <f t="shared" si="4"/>
        <v>0</v>
      </c>
      <c r="Y25" s="668">
        <f t="shared" si="5"/>
        <v>0</v>
      </c>
      <c r="Z25" s="668">
        <f t="shared" si="7"/>
        <v>0</v>
      </c>
      <c r="AA25" s="668">
        <f t="shared" si="8"/>
        <v>0</v>
      </c>
      <c r="AB25" s="668">
        <f t="shared" si="9"/>
        <v>0</v>
      </c>
      <c r="AC25" s="668">
        <f t="shared" si="19"/>
        <v>0</v>
      </c>
      <c r="AD25" s="668">
        <f t="shared" si="10"/>
        <v>0</v>
      </c>
      <c r="AE25" s="668">
        <f t="shared" si="11"/>
        <v>2295</v>
      </c>
      <c r="AF25" s="668">
        <f t="shared" si="6"/>
        <v>0</v>
      </c>
      <c r="AG25" s="668">
        <f t="shared" si="12"/>
        <v>0</v>
      </c>
      <c r="AH25" s="668"/>
      <c r="AI25" s="668"/>
      <c r="AJ25" s="668"/>
      <c r="AK25" s="668"/>
      <c r="AL25" s="668"/>
      <c r="AM25" s="668">
        <f t="shared" si="13"/>
        <v>0</v>
      </c>
      <c r="AN25" s="668">
        <f t="shared" si="14"/>
        <v>0</v>
      </c>
      <c r="AO25" s="668">
        <f t="shared" si="15"/>
        <v>0</v>
      </c>
      <c r="AP25" s="668">
        <f t="shared" si="16"/>
        <v>0</v>
      </c>
      <c r="AQ25" s="668">
        <f t="shared" si="17"/>
        <v>0</v>
      </c>
      <c r="AR25" s="668">
        <f t="shared" si="18"/>
        <v>0</v>
      </c>
      <c r="AS25" s="668"/>
      <c r="AT25" s="668"/>
      <c r="AU25" s="668"/>
      <c r="AV25" s="668"/>
      <c r="AW25" s="668"/>
      <c r="AX25" s="668"/>
      <c r="AY25" s="668"/>
      <c r="AZ25" s="668"/>
      <c r="BA25" s="668"/>
      <c r="BB25" s="668"/>
      <c r="BC25" s="668"/>
      <c r="BD25" s="668"/>
      <c r="BE25" s="668"/>
      <c r="BF25" s="668"/>
      <c r="BG25" s="668"/>
      <c r="BH25" s="668"/>
      <c r="BI25" s="668"/>
    </row>
    <row r="26" spans="1:61" x14ac:dyDescent="0.2">
      <c r="A26" s="1012">
        <v>44</v>
      </c>
      <c r="B26" s="1012" t="s">
        <v>465</v>
      </c>
      <c r="C26" s="1012"/>
      <c r="D26" s="667"/>
      <c r="E26" s="667"/>
      <c r="F26" s="667"/>
      <c r="G26" s="667"/>
      <c r="H26" s="667"/>
      <c r="I26" s="667"/>
      <c r="J26" s="667"/>
      <c r="K26" s="667"/>
      <c r="L26" s="667"/>
      <c r="M26" s="667"/>
      <c r="N26" s="667"/>
      <c r="O26" s="667"/>
      <c r="P26" s="667"/>
      <c r="Q26" s="1014"/>
      <c r="R26" s="667"/>
      <c r="S26" s="667"/>
      <c r="T26" s="667"/>
      <c r="U26" s="1012"/>
      <c r="V26" s="668">
        <f t="shared" si="2"/>
        <v>0</v>
      </c>
      <c r="W26" s="668">
        <f t="shared" si="3"/>
        <v>0</v>
      </c>
      <c r="X26" s="668">
        <f t="shared" si="4"/>
        <v>0</v>
      </c>
      <c r="Y26" s="668">
        <f t="shared" si="5"/>
        <v>0</v>
      </c>
      <c r="Z26" s="668">
        <f t="shared" si="7"/>
        <v>0</v>
      </c>
      <c r="AA26" s="668">
        <f t="shared" si="8"/>
        <v>0</v>
      </c>
      <c r="AB26" s="668">
        <f t="shared" si="9"/>
        <v>0</v>
      </c>
      <c r="AC26" s="668">
        <f t="shared" si="19"/>
        <v>0</v>
      </c>
      <c r="AD26" s="668">
        <f t="shared" si="10"/>
        <v>0</v>
      </c>
      <c r="AE26" s="668">
        <f t="shared" si="11"/>
        <v>0</v>
      </c>
      <c r="AF26" s="668">
        <f t="shared" si="6"/>
        <v>0</v>
      </c>
      <c r="AG26" s="668">
        <f t="shared" si="12"/>
        <v>0</v>
      </c>
      <c r="AH26" s="668"/>
      <c r="AI26" s="668"/>
      <c r="AJ26" s="668"/>
      <c r="AK26" s="668"/>
      <c r="AL26" s="668"/>
      <c r="AM26" s="668">
        <f t="shared" si="13"/>
        <v>0</v>
      </c>
      <c r="AN26" s="668">
        <f t="shared" si="14"/>
        <v>0</v>
      </c>
      <c r="AO26" s="668">
        <f t="shared" si="15"/>
        <v>0</v>
      </c>
      <c r="AP26" s="668">
        <f t="shared" si="16"/>
        <v>0</v>
      </c>
      <c r="AQ26" s="668">
        <f t="shared" si="17"/>
        <v>0</v>
      </c>
      <c r="AR26" s="668">
        <f t="shared" si="18"/>
        <v>0</v>
      </c>
      <c r="AS26" s="668"/>
      <c r="AT26" s="668"/>
      <c r="AU26" s="668"/>
      <c r="AV26" s="668"/>
      <c r="AW26" s="668"/>
      <c r="AX26" s="668"/>
      <c r="AY26" s="668"/>
      <c r="AZ26" s="668"/>
      <c r="BA26" s="668"/>
      <c r="BB26" s="668"/>
      <c r="BC26" s="668"/>
      <c r="BD26" s="668"/>
      <c r="BE26" s="668"/>
      <c r="BF26" s="668"/>
      <c r="BG26" s="668"/>
      <c r="BH26" s="668"/>
      <c r="BI26" s="668"/>
    </row>
    <row r="27" spans="1:61" x14ac:dyDescent="0.2">
      <c r="A27" s="1012">
        <v>45</v>
      </c>
      <c r="B27" s="1012" t="s">
        <v>472</v>
      </c>
      <c r="C27" s="1012"/>
      <c r="D27" s="667"/>
      <c r="E27" s="667"/>
      <c r="F27" s="667"/>
      <c r="G27" s="667"/>
      <c r="H27" s="667"/>
      <c r="I27" s="667"/>
      <c r="J27" s="667"/>
      <c r="K27" s="667"/>
      <c r="L27" s="667"/>
      <c r="M27" s="667">
        <v>108</v>
      </c>
      <c r="N27" s="667"/>
      <c r="O27" s="667"/>
      <c r="P27" s="667"/>
      <c r="Q27" s="667"/>
      <c r="R27" s="667"/>
      <c r="S27" s="667"/>
      <c r="T27" s="667"/>
      <c r="U27" s="1012">
        <v>9</v>
      </c>
      <c r="V27" s="668">
        <f t="shared" si="2"/>
        <v>0</v>
      </c>
      <c r="W27" s="668">
        <f t="shared" si="3"/>
        <v>0</v>
      </c>
      <c r="X27" s="668">
        <f t="shared" si="4"/>
        <v>0</v>
      </c>
      <c r="Y27" s="668">
        <f t="shared" si="5"/>
        <v>0</v>
      </c>
      <c r="Z27" s="668">
        <f t="shared" si="7"/>
        <v>0</v>
      </c>
      <c r="AA27" s="668">
        <f t="shared" si="8"/>
        <v>0</v>
      </c>
      <c r="AB27" s="668">
        <f t="shared" si="9"/>
        <v>0</v>
      </c>
      <c r="AC27" s="668">
        <f t="shared" si="19"/>
        <v>0</v>
      </c>
      <c r="AD27" s="668">
        <f t="shared" si="10"/>
        <v>0</v>
      </c>
      <c r="AE27" s="668">
        <f t="shared" si="11"/>
        <v>972</v>
      </c>
      <c r="AF27" s="668">
        <f t="shared" si="6"/>
        <v>0</v>
      </c>
      <c r="AG27" s="668">
        <f t="shared" si="12"/>
        <v>0</v>
      </c>
      <c r="AH27" s="668"/>
      <c r="AI27" s="668"/>
      <c r="AJ27" s="668"/>
      <c r="AK27" s="668"/>
      <c r="AL27" s="668"/>
      <c r="AM27" s="668">
        <f t="shared" si="13"/>
        <v>0</v>
      </c>
      <c r="AN27" s="668">
        <f t="shared" si="14"/>
        <v>0</v>
      </c>
      <c r="AO27" s="668">
        <f t="shared" si="15"/>
        <v>0</v>
      </c>
      <c r="AP27" s="668">
        <f t="shared" si="16"/>
        <v>0</v>
      </c>
      <c r="AQ27" s="668">
        <f t="shared" si="17"/>
        <v>0</v>
      </c>
      <c r="AR27" s="668">
        <f t="shared" si="18"/>
        <v>0</v>
      </c>
      <c r="AS27" s="668"/>
      <c r="AT27" s="668"/>
      <c r="AU27" s="668"/>
      <c r="AV27" s="668"/>
      <c r="AW27" s="668"/>
      <c r="AX27" s="668"/>
      <c r="AY27" s="668"/>
      <c r="AZ27" s="668"/>
      <c r="BA27" s="668"/>
      <c r="BB27" s="668"/>
      <c r="BC27" s="668"/>
      <c r="BD27" s="668"/>
      <c r="BE27" s="668"/>
      <c r="BF27" s="668"/>
      <c r="BG27" s="668"/>
      <c r="BH27" s="668"/>
      <c r="BI27" s="668"/>
    </row>
    <row r="28" spans="1:61" x14ac:dyDescent="0.2">
      <c r="A28" s="1012">
        <v>46</v>
      </c>
      <c r="B28" s="1012" t="s">
        <v>454</v>
      </c>
      <c r="C28" s="1012"/>
      <c r="D28" s="667">
        <v>23</v>
      </c>
      <c r="E28" s="667"/>
      <c r="F28" s="667"/>
      <c r="G28" s="667">
        <v>13</v>
      </c>
      <c r="H28" s="667"/>
      <c r="I28" s="667"/>
      <c r="J28" s="667"/>
      <c r="K28" s="667"/>
      <c r="L28" s="667"/>
      <c r="M28" s="667"/>
      <c r="N28" s="667"/>
      <c r="O28" s="667"/>
      <c r="P28" s="667"/>
      <c r="Q28" s="1014">
        <v>65</v>
      </c>
      <c r="R28" s="667"/>
      <c r="S28" s="667"/>
      <c r="T28" s="667"/>
      <c r="U28" s="1012">
        <v>12</v>
      </c>
      <c r="V28" s="668">
        <f t="shared" si="2"/>
        <v>276</v>
      </c>
      <c r="W28" s="668">
        <f t="shared" si="3"/>
        <v>156</v>
      </c>
      <c r="X28" s="668">
        <f t="shared" si="4"/>
        <v>0</v>
      </c>
      <c r="Y28" s="668">
        <f t="shared" si="5"/>
        <v>0</v>
      </c>
      <c r="Z28" s="668">
        <f t="shared" si="7"/>
        <v>0</v>
      </c>
      <c r="AA28" s="668">
        <f t="shared" si="8"/>
        <v>0</v>
      </c>
      <c r="AB28" s="668">
        <f t="shared" si="9"/>
        <v>0</v>
      </c>
      <c r="AC28" s="668">
        <f t="shared" si="19"/>
        <v>0</v>
      </c>
      <c r="AD28" s="668">
        <f t="shared" si="10"/>
        <v>65</v>
      </c>
      <c r="AE28" s="668">
        <f t="shared" si="11"/>
        <v>0</v>
      </c>
      <c r="AF28" s="668">
        <f t="shared" si="6"/>
        <v>0</v>
      </c>
      <c r="AG28" s="668">
        <f t="shared" si="12"/>
        <v>0</v>
      </c>
      <c r="AH28" s="668"/>
      <c r="AI28" s="668"/>
      <c r="AJ28" s="668"/>
      <c r="AK28" s="668"/>
      <c r="AL28" s="668"/>
      <c r="AM28" s="668">
        <f t="shared" si="13"/>
        <v>0</v>
      </c>
      <c r="AN28" s="668">
        <f t="shared" si="14"/>
        <v>0</v>
      </c>
      <c r="AO28" s="668">
        <f t="shared" si="15"/>
        <v>0</v>
      </c>
      <c r="AP28" s="668">
        <f t="shared" si="16"/>
        <v>0</v>
      </c>
      <c r="AQ28" s="668">
        <f t="shared" si="17"/>
        <v>0</v>
      </c>
      <c r="AR28" s="668">
        <f t="shared" si="18"/>
        <v>0</v>
      </c>
      <c r="AS28" s="668"/>
      <c r="AT28" s="668"/>
      <c r="AU28" s="668"/>
      <c r="AV28" s="668"/>
      <c r="AW28" s="668"/>
      <c r="AX28" s="668"/>
      <c r="AY28" s="668"/>
      <c r="AZ28" s="668"/>
      <c r="BA28" s="668"/>
      <c r="BB28" s="668"/>
      <c r="BC28" s="668"/>
      <c r="BD28" s="668"/>
      <c r="BE28" s="668"/>
      <c r="BF28" s="668"/>
      <c r="BG28" s="668"/>
      <c r="BH28" s="668"/>
      <c r="BI28" s="668"/>
    </row>
    <row r="29" spans="1:61" x14ac:dyDescent="0.2">
      <c r="A29" s="1012">
        <v>47</v>
      </c>
      <c r="B29" s="1012" t="s">
        <v>473</v>
      </c>
      <c r="C29" s="1012"/>
      <c r="D29" s="667">
        <v>60</v>
      </c>
      <c r="E29" s="667"/>
      <c r="F29" s="667"/>
      <c r="G29" s="667"/>
      <c r="H29" s="667"/>
      <c r="I29" s="667"/>
      <c r="J29" s="667"/>
      <c r="K29" s="667"/>
      <c r="L29" s="667">
        <v>2</v>
      </c>
      <c r="M29" s="667"/>
      <c r="N29" s="667"/>
      <c r="O29" s="667"/>
      <c r="P29" s="667"/>
      <c r="Q29" s="1014">
        <v>290</v>
      </c>
      <c r="R29" s="667"/>
      <c r="S29" s="667">
        <v>110</v>
      </c>
      <c r="T29" s="667"/>
      <c r="U29" s="1012">
        <v>12</v>
      </c>
      <c r="V29" s="668">
        <f t="shared" si="2"/>
        <v>720</v>
      </c>
      <c r="W29" s="668">
        <f t="shared" si="3"/>
        <v>0</v>
      </c>
      <c r="X29" s="668">
        <f t="shared" si="4"/>
        <v>0</v>
      </c>
      <c r="Y29" s="668">
        <f t="shared" si="5"/>
        <v>0</v>
      </c>
      <c r="Z29" s="668">
        <f t="shared" si="7"/>
        <v>0</v>
      </c>
      <c r="AA29" s="668">
        <f t="shared" si="8"/>
        <v>110</v>
      </c>
      <c r="AB29" s="668">
        <f t="shared" si="9"/>
        <v>0</v>
      </c>
      <c r="AC29" s="668">
        <f t="shared" si="19"/>
        <v>0</v>
      </c>
      <c r="AD29" s="668">
        <f t="shared" si="10"/>
        <v>290</v>
      </c>
      <c r="AE29" s="668">
        <f t="shared" si="11"/>
        <v>0</v>
      </c>
      <c r="AF29" s="668">
        <f t="shared" si="6"/>
        <v>24</v>
      </c>
      <c r="AG29" s="668">
        <f t="shared" si="12"/>
        <v>0</v>
      </c>
      <c r="AH29" s="668"/>
      <c r="AI29" s="668"/>
      <c r="AJ29" s="668"/>
      <c r="AK29" s="668"/>
      <c r="AL29" s="668"/>
      <c r="AM29" s="668">
        <f t="shared" si="13"/>
        <v>0</v>
      </c>
      <c r="AN29" s="668">
        <f t="shared" si="14"/>
        <v>0</v>
      </c>
      <c r="AO29" s="668">
        <f t="shared" si="15"/>
        <v>0</v>
      </c>
      <c r="AP29" s="668">
        <f t="shared" si="16"/>
        <v>0</v>
      </c>
      <c r="AQ29" s="668">
        <f t="shared" si="17"/>
        <v>0</v>
      </c>
      <c r="AR29" s="668">
        <f t="shared" si="18"/>
        <v>0</v>
      </c>
      <c r="AS29" s="668"/>
      <c r="AT29" s="668"/>
      <c r="AU29" s="668"/>
      <c r="AV29" s="668"/>
      <c r="AW29" s="668"/>
      <c r="AX29" s="668"/>
      <c r="AY29" s="668"/>
      <c r="AZ29" s="668"/>
      <c r="BA29" s="668"/>
      <c r="BB29" s="668"/>
      <c r="BC29" s="668"/>
      <c r="BD29" s="668"/>
      <c r="BE29" s="668"/>
      <c r="BF29" s="668"/>
      <c r="BG29" s="668"/>
      <c r="BH29" s="668"/>
      <c r="BI29" s="668"/>
    </row>
    <row r="30" spans="1:61" x14ac:dyDescent="0.2">
      <c r="A30" s="1012">
        <v>48</v>
      </c>
      <c r="B30" s="1012" t="s">
        <v>459</v>
      </c>
      <c r="C30" s="1012"/>
      <c r="D30" s="667"/>
      <c r="E30" s="667"/>
      <c r="F30" s="667"/>
      <c r="G30" s="667"/>
      <c r="H30" s="667"/>
      <c r="I30" s="667"/>
      <c r="J30" s="667"/>
      <c r="K30" s="667"/>
      <c r="L30" s="667"/>
      <c r="M30" s="667">
        <v>135</v>
      </c>
      <c r="N30" s="667"/>
      <c r="O30" s="667"/>
      <c r="P30" s="667"/>
      <c r="Q30" s="1014">
        <v>2133</v>
      </c>
      <c r="R30" s="667"/>
      <c r="S30" s="667"/>
      <c r="T30" s="667"/>
      <c r="U30" s="1012">
        <v>12</v>
      </c>
      <c r="V30" s="668">
        <f t="shared" si="2"/>
        <v>0</v>
      </c>
      <c r="W30" s="668">
        <f t="shared" si="3"/>
        <v>0</v>
      </c>
      <c r="X30" s="668">
        <f t="shared" si="4"/>
        <v>0</v>
      </c>
      <c r="Y30" s="668">
        <f t="shared" si="5"/>
        <v>0</v>
      </c>
      <c r="Z30" s="668">
        <f t="shared" si="7"/>
        <v>0</v>
      </c>
      <c r="AA30" s="668">
        <f t="shared" si="8"/>
        <v>0</v>
      </c>
      <c r="AB30" s="668">
        <f t="shared" si="9"/>
        <v>0</v>
      </c>
      <c r="AC30" s="668">
        <f t="shared" si="19"/>
        <v>0</v>
      </c>
      <c r="AD30" s="668">
        <f t="shared" si="10"/>
        <v>2133</v>
      </c>
      <c r="AE30" s="668">
        <f t="shared" si="11"/>
        <v>1620</v>
      </c>
      <c r="AF30" s="668">
        <f t="shared" si="6"/>
        <v>0</v>
      </c>
      <c r="AG30" s="668">
        <f t="shared" si="12"/>
        <v>0</v>
      </c>
      <c r="AH30" s="668"/>
      <c r="AI30" s="668"/>
      <c r="AJ30" s="668"/>
      <c r="AK30" s="668"/>
      <c r="AL30" s="668"/>
      <c r="AM30" s="668">
        <f t="shared" si="13"/>
        <v>0</v>
      </c>
      <c r="AN30" s="668">
        <f t="shared" si="14"/>
        <v>0</v>
      </c>
      <c r="AO30" s="668">
        <f t="shared" si="15"/>
        <v>0</v>
      </c>
      <c r="AP30" s="668">
        <f t="shared" si="16"/>
        <v>0</v>
      </c>
      <c r="AQ30" s="668">
        <f t="shared" si="17"/>
        <v>0</v>
      </c>
      <c r="AR30" s="668">
        <f t="shared" si="18"/>
        <v>0</v>
      </c>
      <c r="AS30" s="668"/>
      <c r="AT30" s="668"/>
      <c r="AU30" s="668"/>
      <c r="AV30" s="668"/>
      <c r="AW30" s="668"/>
      <c r="AX30" s="668"/>
      <c r="AY30" s="668"/>
      <c r="AZ30" s="668"/>
      <c r="BA30" s="668"/>
      <c r="BB30" s="668"/>
      <c r="BC30" s="668"/>
      <c r="BD30" s="668"/>
      <c r="BE30" s="668"/>
      <c r="BF30" s="668"/>
      <c r="BG30" s="668"/>
      <c r="BH30" s="668"/>
      <c r="BI30" s="668"/>
    </row>
    <row r="31" spans="1:61" x14ac:dyDescent="0.2">
      <c r="A31" s="1012">
        <v>49</v>
      </c>
      <c r="B31" s="1012" t="s">
        <v>474</v>
      </c>
      <c r="C31" s="1012"/>
      <c r="D31" s="667">
        <v>65</v>
      </c>
      <c r="E31" s="667"/>
      <c r="F31" s="667"/>
      <c r="G31" s="667"/>
      <c r="H31" s="667"/>
      <c r="I31" s="667"/>
      <c r="J31" s="667"/>
      <c r="K31" s="667"/>
      <c r="L31" s="667">
        <v>4</v>
      </c>
      <c r="M31" s="667"/>
      <c r="N31" s="667"/>
      <c r="O31" s="667"/>
      <c r="P31" s="667"/>
      <c r="Q31" s="667"/>
      <c r="R31" s="667"/>
      <c r="S31" s="667"/>
      <c r="T31" s="667"/>
      <c r="U31" s="1012">
        <v>9</v>
      </c>
      <c r="V31" s="668">
        <f t="shared" si="2"/>
        <v>585</v>
      </c>
      <c r="W31" s="668">
        <f t="shared" si="3"/>
        <v>0</v>
      </c>
      <c r="X31" s="668">
        <f t="shared" si="4"/>
        <v>0</v>
      </c>
      <c r="Y31" s="668">
        <f t="shared" si="5"/>
        <v>0</v>
      </c>
      <c r="Z31" s="668">
        <f t="shared" si="7"/>
        <v>0</v>
      </c>
      <c r="AA31" s="668">
        <f t="shared" si="8"/>
        <v>0</v>
      </c>
      <c r="AB31" s="668">
        <f t="shared" si="9"/>
        <v>0</v>
      </c>
      <c r="AC31" s="668">
        <f t="shared" si="19"/>
        <v>0</v>
      </c>
      <c r="AD31" s="668">
        <f t="shared" si="10"/>
        <v>0</v>
      </c>
      <c r="AE31" s="668">
        <f t="shared" si="11"/>
        <v>0</v>
      </c>
      <c r="AF31" s="668">
        <f t="shared" si="6"/>
        <v>36</v>
      </c>
      <c r="AG31" s="668">
        <f t="shared" si="12"/>
        <v>0</v>
      </c>
      <c r="AH31" s="668"/>
      <c r="AI31" s="668"/>
      <c r="AJ31" s="668"/>
      <c r="AK31" s="668"/>
      <c r="AL31" s="668"/>
      <c r="AM31" s="668">
        <f t="shared" si="13"/>
        <v>0</v>
      </c>
      <c r="AN31" s="668">
        <f t="shared" si="14"/>
        <v>0</v>
      </c>
      <c r="AO31" s="668">
        <f t="shared" si="15"/>
        <v>0</v>
      </c>
      <c r="AP31" s="668">
        <f t="shared" si="16"/>
        <v>0</v>
      </c>
      <c r="AQ31" s="668">
        <f t="shared" si="17"/>
        <v>0</v>
      </c>
      <c r="AR31" s="668">
        <f t="shared" si="18"/>
        <v>0</v>
      </c>
      <c r="AS31" s="668"/>
      <c r="AT31" s="668"/>
      <c r="AU31" s="668"/>
      <c r="AV31" s="668"/>
      <c r="AW31" s="668"/>
      <c r="AX31" s="668"/>
      <c r="AY31" s="668"/>
      <c r="AZ31" s="668"/>
      <c r="BA31" s="668"/>
      <c r="BB31" s="668"/>
      <c r="BC31" s="668"/>
      <c r="BD31" s="668"/>
      <c r="BE31" s="668"/>
      <c r="BF31" s="668"/>
      <c r="BG31" s="668"/>
      <c r="BH31" s="668"/>
      <c r="BI31" s="668"/>
    </row>
    <row r="32" spans="1:61" x14ac:dyDescent="0.2">
      <c r="A32" s="1012">
        <v>51</v>
      </c>
      <c r="B32" s="1012" t="s">
        <v>475</v>
      </c>
      <c r="C32" s="1012"/>
      <c r="D32" s="667">
        <v>72</v>
      </c>
      <c r="E32" s="667"/>
      <c r="F32" s="667"/>
      <c r="G32" s="667"/>
      <c r="H32" s="667">
        <v>56</v>
      </c>
      <c r="I32" s="667"/>
      <c r="J32" s="667"/>
      <c r="K32" s="667"/>
      <c r="L32" s="667">
        <v>4</v>
      </c>
      <c r="M32" s="667"/>
      <c r="N32" s="667"/>
      <c r="O32" s="667"/>
      <c r="P32" s="667"/>
      <c r="Q32" s="1014">
        <v>806</v>
      </c>
      <c r="R32" s="667"/>
      <c r="S32" s="667"/>
      <c r="T32" s="667"/>
      <c r="U32" s="1012">
        <v>12</v>
      </c>
      <c r="V32" s="668">
        <f t="shared" si="2"/>
        <v>864</v>
      </c>
      <c r="W32" s="668">
        <f t="shared" si="3"/>
        <v>0</v>
      </c>
      <c r="X32" s="668">
        <f t="shared" si="4"/>
        <v>672</v>
      </c>
      <c r="Y32" s="668">
        <f t="shared" si="5"/>
        <v>0</v>
      </c>
      <c r="Z32" s="668">
        <f t="shared" si="7"/>
        <v>0</v>
      </c>
      <c r="AA32" s="668">
        <f t="shared" si="8"/>
        <v>0</v>
      </c>
      <c r="AB32" s="668">
        <f t="shared" si="9"/>
        <v>0</v>
      </c>
      <c r="AC32" s="668">
        <f t="shared" si="19"/>
        <v>0</v>
      </c>
      <c r="AD32" s="668">
        <f t="shared" si="10"/>
        <v>806</v>
      </c>
      <c r="AE32" s="668">
        <f t="shared" si="11"/>
        <v>0</v>
      </c>
      <c r="AF32" s="668">
        <f t="shared" si="6"/>
        <v>48</v>
      </c>
      <c r="AG32" s="668">
        <f t="shared" si="12"/>
        <v>0</v>
      </c>
      <c r="AH32" s="668"/>
      <c r="AI32" s="668"/>
      <c r="AJ32" s="668"/>
      <c r="AK32" s="668"/>
      <c r="AL32" s="668"/>
      <c r="AM32" s="668">
        <f t="shared" si="13"/>
        <v>0</v>
      </c>
      <c r="AN32" s="668">
        <f t="shared" si="14"/>
        <v>0</v>
      </c>
      <c r="AO32" s="668">
        <f t="shared" si="15"/>
        <v>0</v>
      </c>
      <c r="AP32" s="668">
        <f t="shared" si="16"/>
        <v>0</v>
      </c>
      <c r="AQ32" s="668">
        <f t="shared" si="17"/>
        <v>0</v>
      </c>
      <c r="AR32" s="668">
        <f t="shared" si="18"/>
        <v>0</v>
      </c>
      <c r="AS32" s="668"/>
      <c r="AT32" s="668"/>
      <c r="AU32" s="668"/>
      <c r="AV32" s="668"/>
      <c r="AW32" s="668"/>
      <c r="AX32" s="668"/>
      <c r="AY32" s="668"/>
      <c r="AZ32" s="668"/>
      <c r="BA32" s="668"/>
      <c r="BB32" s="668"/>
      <c r="BC32" s="668"/>
      <c r="BD32" s="668"/>
      <c r="BE32" s="668"/>
      <c r="BF32" s="668"/>
      <c r="BG32" s="668"/>
      <c r="BH32" s="668"/>
      <c r="BI32" s="668"/>
    </row>
    <row r="33" spans="1:61" x14ac:dyDescent="0.2">
      <c r="A33" s="1012">
        <v>52</v>
      </c>
      <c r="B33" s="1012" t="s">
        <v>476</v>
      </c>
      <c r="C33" s="1012"/>
      <c r="D33" s="667"/>
      <c r="E33" s="667"/>
      <c r="F33" s="667"/>
      <c r="G33" s="667"/>
      <c r="H33" s="667">
        <v>51</v>
      </c>
      <c r="I33" s="667"/>
      <c r="J33" s="667"/>
      <c r="K33" s="667"/>
      <c r="L33" s="667"/>
      <c r="M33" s="667"/>
      <c r="N33" s="667"/>
      <c r="O33" s="667"/>
      <c r="P33" s="667"/>
      <c r="Q33" s="1014">
        <v>160</v>
      </c>
      <c r="R33" s="667"/>
      <c r="S33" s="667"/>
      <c r="T33" s="667"/>
      <c r="U33" s="1012">
        <v>12</v>
      </c>
      <c r="V33" s="668">
        <f t="shared" si="2"/>
        <v>0</v>
      </c>
      <c r="W33" s="668">
        <f t="shared" si="3"/>
        <v>0</v>
      </c>
      <c r="X33" s="668">
        <f t="shared" si="4"/>
        <v>612</v>
      </c>
      <c r="Y33" s="668">
        <f t="shared" si="5"/>
        <v>0</v>
      </c>
      <c r="Z33" s="668">
        <f t="shared" si="7"/>
        <v>0</v>
      </c>
      <c r="AA33" s="668">
        <f t="shared" si="8"/>
        <v>0</v>
      </c>
      <c r="AB33" s="668">
        <f t="shared" si="9"/>
        <v>0</v>
      </c>
      <c r="AC33" s="668">
        <f t="shared" si="19"/>
        <v>0</v>
      </c>
      <c r="AD33" s="668">
        <f t="shared" si="10"/>
        <v>160</v>
      </c>
      <c r="AE33" s="668">
        <f t="shared" si="11"/>
        <v>0</v>
      </c>
      <c r="AF33" s="668">
        <f t="shared" si="6"/>
        <v>0</v>
      </c>
      <c r="AG33" s="668">
        <f t="shared" si="12"/>
        <v>0</v>
      </c>
      <c r="AH33" s="668"/>
      <c r="AI33" s="668"/>
      <c r="AJ33" s="668"/>
      <c r="AK33" s="668"/>
      <c r="AL33" s="668"/>
      <c r="AM33" s="668">
        <f t="shared" si="13"/>
        <v>0</v>
      </c>
      <c r="AN33" s="668">
        <f t="shared" si="14"/>
        <v>0</v>
      </c>
      <c r="AO33" s="668">
        <f t="shared" si="15"/>
        <v>0</v>
      </c>
      <c r="AP33" s="668">
        <f t="shared" si="16"/>
        <v>0</v>
      </c>
      <c r="AQ33" s="668">
        <f t="shared" si="17"/>
        <v>0</v>
      </c>
      <c r="AR33" s="668">
        <f t="shared" si="18"/>
        <v>0</v>
      </c>
      <c r="AS33" s="668"/>
      <c r="AT33" s="668"/>
      <c r="AU33" s="668"/>
      <c r="AV33" s="668"/>
      <c r="AW33" s="668"/>
      <c r="AX33" s="668"/>
      <c r="AY33" s="668"/>
      <c r="AZ33" s="668"/>
      <c r="BA33" s="668"/>
      <c r="BB33" s="668"/>
      <c r="BC33" s="668"/>
      <c r="BD33" s="668"/>
      <c r="BE33" s="668"/>
      <c r="BF33" s="668"/>
      <c r="BG33" s="668"/>
      <c r="BH33" s="668"/>
      <c r="BI33" s="668"/>
    </row>
    <row r="34" spans="1:61" x14ac:dyDescent="0.2">
      <c r="A34" s="1012">
        <v>53</v>
      </c>
      <c r="B34" s="1012" t="s">
        <v>477</v>
      </c>
      <c r="C34" s="1012"/>
      <c r="D34" s="667"/>
      <c r="E34" s="667"/>
      <c r="F34" s="667"/>
      <c r="G34" s="667">
        <v>16</v>
      </c>
      <c r="H34" s="667">
        <v>37</v>
      </c>
      <c r="I34" s="667"/>
      <c r="J34" s="667"/>
      <c r="K34" s="667"/>
      <c r="L34" s="667">
        <v>2</v>
      </c>
      <c r="M34" s="667"/>
      <c r="N34" s="667"/>
      <c r="O34" s="667"/>
      <c r="P34" s="667"/>
      <c r="Q34" s="667"/>
      <c r="R34" s="667"/>
      <c r="S34" s="667"/>
      <c r="T34" s="667"/>
      <c r="U34" s="1012">
        <v>12</v>
      </c>
      <c r="V34" s="668">
        <f t="shared" si="2"/>
        <v>0</v>
      </c>
      <c r="W34" s="668">
        <f t="shared" si="3"/>
        <v>192</v>
      </c>
      <c r="X34" s="668">
        <f t="shared" si="4"/>
        <v>444</v>
      </c>
      <c r="Y34" s="668">
        <f t="shared" si="5"/>
        <v>0</v>
      </c>
      <c r="Z34" s="668">
        <f t="shared" si="7"/>
        <v>0</v>
      </c>
      <c r="AA34" s="668">
        <f t="shared" si="8"/>
        <v>0</v>
      </c>
      <c r="AB34" s="668">
        <f t="shared" si="9"/>
        <v>0</v>
      </c>
      <c r="AC34" s="668">
        <f t="shared" si="19"/>
        <v>0</v>
      </c>
      <c r="AD34" s="668">
        <f t="shared" si="10"/>
        <v>0</v>
      </c>
      <c r="AE34" s="668">
        <f t="shared" si="11"/>
        <v>0</v>
      </c>
      <c r="AF34" s="668">
        <f t="shared" si="6"/>
        <v>24</v>
      </c>
      <c r="AG34" s="668">
        <f t="shared" si="12"/>
        <v>0</v>
      </c>
      <c r="AH34" s="668"/>
      <c r="AI34" s="668"/>
      <c r="AJ34" s="668"/>
      <c r="AK34" s="668"/>
      <c r="AL34" s="668"/>
      <c r="AM34" s="668">
        <f t="shared" si="13"/>
        <v>0</v>
      </c>
      <c r="AN34" s="668">
        <f t="shared" si="14"/>
        <v>0</v>
      </c>
      <c r="AO34" s="668">
        <f t="shared" si="15"/>
        <v>0</v>
      </c>
      <c r="AP34" s="668">
        <f t="shared" si="16"/>
        <v>0</v>
      </c>
      <c r="AQ34" s="668">
        <f t="shared" si="17"/>
        <v>0</v>
      </c>
      <c r="AR34" s="668">
        <f t="shared" si="18"/>
        <v>0</v>
      </c>
      <c r="AS34" s="668"/>
      <c r="AT34" s="668"/>
      <c r="AU34" s="668"/>
      <c r="AV34" s="668"/>
      <c r="AW34" s="668"/>
      <c r="AX34" s="668"/>
      <c r="AY34" s="668"/>
      <c r="AZ34" s="668"/>
      <c r="BA34" s="668"/>
      <c r="BB34" s="668"/>
      <c r="BC34" s="668"/>
      <c r="BD34" s="668"/>
      <c r="BE34" s="668"/>
      <c r="BF34" s="668"/>
      <c r="BG34" s="668"/>
      <c r="BH34" s="668"/>
      <c r="BI34" s="668"/>
    </row>
    <row r="35" spans="1:61" x14ac:dyDescent="0.2">
      <c r="A35" s="1012">
        <v>56</v>
      </c>
      <c r="B35" s="1012" t="s">
        <v>464</v>
      </c>
      <c r="C35" s="1012"/>
      <c r="D35" s="667"/>
      <c r="E35" s="667"/>
      <c r="F35" s="667"/>
      <c r="G35" s="667">
        <v>18</v>
      </c>
      <c r="H35" s="667">
        <v>62</v>
      </c>
      <c r="I35" s="667"/>
      <c r="J35" s="667"/>
      <c r="K35" s="667"/>
      <c r="L35" s="667"/>
      <c r="M35" s="667"/>
      <c r="N35" s="667"/>
      <c r="O35" s="667"/>
      <c r="P35" s="667"/>
      <c r="Q35" s="1014">
        <v>395</v>
      </c>
      <c r="R35" s="667"/>
      <c r="S35" s="667"/>
      <c r="T35" s="667">
        <v>395</v>
      </c>
      <c r="U35" s="1012">
        <v>12</v>
      </c>
      <c r="V35" s="668">
        <f t="shared" si="2"/>
        <v>0</v>
      </c>
      <c r="W35" s="668">
        <f t="shared" si="3"/>
        <v>216</v>
      </c>
      <c r="X35" s="668">
        <f t="shared" si="4"/>
        <v>744</v>
      </c>
      <c r="Y35" s="668">
        <f t="shared" si="5"/>
        <v>0</v>
      </c>
      <c r="Z35" s="668">
        <f t="shared" si="7"/>
        <v>0</v>
      </c>
      <c r="AA35" s="668">
        <f t="shared" si="8"/>
        <v>0</v>
      </c>
      <c r="AB35" s="668">
        <f t="shared" si="9"/>
        <v>395</v>
      </c>
      <c r="AC35" s="668">
        <f t="shared" si="19"/>
        <v>0</v>
      </c>
      <c r="AD35" s="668">
        <f t="shared" si="10"/>
        <v>395</v>
      </c>
      <c r="AE35" s="668">
        <f t="shared" si="11"/>
        <v>0</v>
      </c>
      <c r="AF35" s="668">
        <f t="shared" si="6"/>
        <v>0</v>
      </c>
      <c r="AG35" s="668">
        <f t="shared" si="12"/>
        <v>0</v>
      </c>
      <c r="AH35" s="668"/>
      <c r="AI35" s="668"/>
      <c r="AJ35" s="668"/>
      <c r="AK35" s="668"/>
      <c r="AL35" s="668"/>
      <c r="AM35" s="668">
        <f t="shared" si="13"/>
        <v>0</v>
      </c>
      <c r="AN35" s="668">
        <f t="shared" si="14"/>
        <v>0</v>
      </c>
      <c r="AO35" s="668">
        <f t="shared" si="15"/>
        <v>0</v>
      </c>
      <c r="AP35" s="668">
        <f t="shared" si="16"/>
        <v>0</v>
      </c>
      <c r="AQ35" s="668">
        <f t="shared" si="17"/>
        <v>0</v>
      </c>
      <c r="AR35" s="668">
        <f t="shared" si="18"/>
        <v>0</v>
      </c>
      <c r="AS35" s="668"/>
      <c r="AT35" s="668"/>
      <c r="AU35" s="668"/>
      <c r="AV35" s="668"/>
      <c r="AW35" s="668"/>
      <c r="AX35" s="668"/>
      <c r="AY35" s="668"/>
      <c r="AZ35" s="668"/>
      <c r="BA35" s="668"/>
      <c r="BB35" s="668"/>
      <c r="BC35" s="668"/>
      <c r="BD35" s="668"/>
      <c r="BE35" s="668"/>
      <c r="BF35" s="668"/>
      <c r="BG35" s="668"/>
      <c r="BH35" s="668"/>
      <c r="BI35" s="668"/>
    </row>
    <row r="36" spans="1:61" x14ac:dyDescent="0.2">
      <c r="A36" s="1012">
        <v>57</v>
      </c>
      <c r="B36" s="1012" t="s">
        <v>456</v>
      </c>
      <c r="C36" s="1012"/>
      <c r="D36" s="667"/>
      <c r="E36" s="667"/>
      <c r="F36" s="667"/>
      <c r="G36" s="667">
        <v>48</v>
      </c>
      <c r="H36" s="667">
        <v>83</v>
      </c>
      <c r="I36" s="667"/>
      <c r="J36" s="667"/>
      <c r="K36" s="667"/>
      <c r="L36" s="667"/>
      <c r="M36" s="667"/>
      <c r="N36" s="667">
        <v>125</v>
      </c>
      <c r="O36" s="667"/>
      <c r="P36" s="667"/>
      <c r="Q36" s="667"/>
      <c r="R36" s="667"/>
      <c r="S36" s="667"/>
      <c r="T36" s="667"/>
      <c r="U36" s="1012">
        <v>16</v>
      </c>
      <c r="V36" s="668">
        <f t="shared" si="2"/>
        <v>0</v>
      </c>
      <c r="W36" s="668">
        <f t="shared" si="3"/>
        <v>768</v>
      </c>
      <c r="X36" s="668">
        <f t="shared" si="4"/>
        <v>1328</v>
      </c>
      <c r="Y36" s="668">
        <f t="shared" si="5"/>
        <v>0</v>
      </c>
      <c r="Z36" s="668">
        <f t="shared" si="7"/>
        <v>0</v>
      </c>
      <c r="AA36" s="668">
        <f t="shared" si="8"/>
        <v>0</v>
      </c>
      <c r="AB36" s="668">
        <f t="shared" si="9"/>
        <v>0</v>
      </c>
      <c r="AC36" s="668">
        <f t="shared" si="19"/>
        <v>0</v>
      </c>
      <c r="AD36" s="668">
        <f t="shared" si="10"/>
        <v>0</v>
      </c>
      <c r="AE36" s="668">
        <f t="shared" si="11"/>
        <v>0</v>
      </c>
      <c r="AF36" s="668">
        <f t="shared" si="6"/>
        <v>0</v>
      </c>
      <c r="AG36" s="668">
        <f t="shared" si="12"/>
        <v>1125</v>
      </c>
      <c r="AH36" s="668">
        <v>8</v>
      </c>
      <c r="AI36" s="668"/>
      <c r="AJ36" s="668"/>
      <c r="AK36" s="668"/>
      <c r="AL36" s="668"/>
      <c r="AM36" s="668">
        <f t="shared" si="13"/>
        <v>0</v>
      </c>
      <c r="AN36" s="668">
        <f t="shared" si="14"/>
        <v>0</v>
      </c>
      <c r="AO36" s="668">
        <f t="shared" si="15"/>
        <v>0</v>
      </c>
      <c r="AP36" s="668">
        <f t="shared" si="16"/>
        <v>0</v>
      </c>
      <c r="AQ36" s="668">
        <f t="shared" si="17"/>
        <v>0</v>
      </c>
      <c r="AR36" s="668">
        <f t="shared" si="18"/>
        <v>0</v>
      </c>
      <c r="AS36" s="668"/>
      <c r="AT36" s="668"/>
      <c r="AU36" s="668"/>
      <c r="AV36" s="668"/>
      <c r="AW36" s="668"/>
      <c r="AX36" s="668"/>
      <c r="AY36" s="668"/>
      <c r="AZ36" s="668"/>
      <c r="BA36" s="668"/>
      <c r="BB36" s="668"/>
      <c r="BC36" s="668"/>
      <c r="BD36" s="668"/>
      <c r="BE36" s="668"/>
      <c r="BF36" s="668"/>
      <c r="BG36" s="668"/>
      <c r="BH36" s="668"/>
      <c r="BI36" s="668"/>
    </row>
    <row r="37" spans="1:61" x14ac:dyDescent="0.2">
      <c r="A37" s="1012">
        <v>58</v>
      </c>
      <c r="B37" s="1012" t="s">
        <v>456</v>
      </c>
      <c r="C37" s="1012"/>
      <c r="D37" s="667"/>
      <c r="E37" s="667"/>
      <c r="F37" s="667"/>
      <c r="G37" s="667"/>
      <c r="H37" s="667">
        <v>84</v>
      </c>
      <c r="I37" s="667"/>
      <c r="J37" s="667"/>
      <c r="K37" s="667"/>
      <c r="L37" s="667"/>
      <c r="M37" s="667"/>
      <c r="N37" s="667"/>
      <c r="O37" s="667"/>
      <c r="P37" s="667"/>
      <c r="Q37" s="667"/>
      <c r="R37" s="667"/>
      <c r="S37" s="667"/>
      <c r="T37" s="667"/>
      <c r="U37" s="1012">
        <v>16</v>
      </c>
      <c r="V37" s="668">
        <f t="shared" si="2"/>
        <v>0</v>
      </c>
      <c r="W37" s="668">
        <f t="shared" si="3"/>
        <v>0</v>
      </c>
      <c r="X37" s="668">
        <f t="shared" si="4"/>
        <v>1344</v>
      </c>
      <c r="Y37" s="668">
        <f t="shared" si="5"/>
        <v>0</v>
      </c>
      <c r="Z37" s="668">
        <f t="shared" si="7"/>
        <v>0</v>
      </c>
      <c r="AA37" s="668">
        <f t="shared" si="8"/>
        <v>0</v>
      </c>
      <c r="AB37" s="668">
        <f t="shared" si="9"/>
        <v>0</v>
      </c>
      <c r="AC37" s="668">
        <f t="shared" si="19"/>
        <v>0</v>
      </c>
      <c r="AD37" s="668">
        <f t="shared" si="10"/>
        <v>0</v>
      </c>
      <c r="AE37" s="668">
        <f t="shared" si="11"/>
        <v>0</v>
      </c>
      <c r="AF37" s="668">
        <f t="shared" si="6"/>
        <v>0</v>
      </c>
      <c r="AG37" s="668">
        <f t="shared" si="12"/>
        <v>0</v>
      </c>
      <c r="AH37" s="668"/>
      <c r="AI37" s="668"/>
      <c r="AJ37" s="668"/>
      <c r="AK37" s="668"/>
      <c r="AL37" s="668"/>
      <c r="AM37" s="668">
        <f t="shared" si="13"/>
        <v>0</v>
      </c>
      <c r="AN37" s="668">
        <f t="shared" si="14"/>
        <v>0</v>
      </c>
      <c r="AO37" s="668">
        <f t="shared" si="15"/>
        <v>0</v>
      </c>
      <c r="AP37" s="668">
        <f t="shared" si="16"/>
        <v>0</v>
      </c>
      <c r="AQ37" s="668">
        <f t="shared" si="17"/>
        <v>0</v>
      </c>
      <c r="AR37" s="668">
        <f t="shared" si="18"/>
        <v>0</v>
      </c>
      <c r="AS37" s="668"/>
      <c r="AT37" s="668"/>
      <c r="AU37" s="668"/>
      <c r="AV37" s="668"/>
      <c r="AW37" s="668"/>
      <c r="AX37" s="668"/>
      <c r="AY37" s="668"/>
      <c r="AZ37" s="668"/>
      <c r="BA37" s="668"/>
      <c r="BB37" s="668"/>
      <c r="BC37" s="668"/>
      <c r="BD37" s="668"/>
      <c r="BE37" s="668"/>
      <c r="BF37" s="668"/>
      <c r="BG37" s="668"/>
      <c r="BH37" s="668"/>
      <c r="BI37" s="668"/>
    </row>
    <row r="38" spans="1:61" x14ac:dyDescent="0.2">
      <c r="A38" s="1012">
        <v>59</v>
      </c>
      <c r="B38" s="1012" t="s">
        <v>478</v>
      </c>
      <c r="C38" s="1012"/>
      <c r="D38" s="667"/>
      <c r="E38" s="667"/>
      <c r="F38" s="667"/>
      <c r="G38" s="667">
        <v>20</v>
      </c>
      <c r="H38" s="667">
        <v>78</v>
      </c>
      <c r="I38" s="667"/>
      <c r="J38" s="667"/>
      <c r="K38" s="667"/>
      <c r="L38" s="667"/>
      <c r="M38" s="667"/>
      <c r="N38" s="667"/>
      <c r="O38" s="667"/>
      <c r="P38" s="667"/>
      <c r="Q38" s="1014">
        <v>562</v>
      </c>
      <c r="R38" s="667"/>
      <c r="S38" s="667"/>
      <c r="T38" s="667"/>
      <c r="U38" s="1012">
        <v>12</v>
      </c>
      <c r="V38" s="668">
        <f t="shared" si="2"/>
        <v>0</v>
      </c>
      <c r="W38" s="668">
        <f t="shared" si="3"/>
        <v>240</v>
      </c>
      <c r="X38" s="668">
        <f t="shared" si="4"/>
        <v>936</v>
      </c>
      <c r="Y38" s="668">
        <f t="shared" si="5"/>
        <v>0</v>
      </c>
      <c r="Z38" s="668">
        <f t="shared" si="7"/>
        <v>0</v>
      </c>
      <c r="AA38" s="668">
        <f t="shared" si="8"/>
        <v>0</v>
      </c>
      <c r="AB38" s="668">
        <f t="shared" si="9"/>
        <v>0</v>
      </c>
      <c r="AC38" s="668">
        <f t="shared" si="19"/>
        <v>0</v>
      </c>
      <c r="AD38" s="668">
        <f t="shared" si="10"/>
        <v>562</v>
      </c>
      <c r="AE38" s="668">
        <f t="shared" si="11"/>
        <v>0</v>
      </c>
      <c r="AF38" s="668">
        <f t="shared" si="6"/>
        <v>0</v>
      </c>
      <c r="AG38" s="668">
        <f t="shared" si="12"/>
        <v>0</v>
      </c>
      <c r="AH38" s="668"/>
      <c r="AI38" s="668"/>
      <c r="AJ38" s="668"/>
      <c r="AK38" s="668"/>
      <c r="AL38" s="668"/>
      <c r="AM38" s="668">
        <f t="shared" si="13"/>
        <v>0</v>
      </c>
      <c r="AN38" s="668">
        <f t="shared" si="14"/>
        <v>0</v>
      </c>
      <c r="AO38" s="668">
        <f t="shared" si="15"/>
        <v>0</v>
      </c>
      <c r="AP38" s="668">
        <f t="shared" si="16"/>
        <v>0</v>
      </c>
      <c r="AQ38" s="668">
        <f t="shared" si="17"/>
        <v>0</v>
      </c>
      <c r="AR38" s="668">
        <f t="shared" si="18"/>
        <v>0</v>
      </c>
      <c r="AS38" s="668"/>
      <c r="AT38" s="668"/>
      <c r="AU38" s="668"/>
      <c r="AV38" s="668"/>
      <c r="AW38" s="668"/>
      <c r="AX38" s="668"/>
      <c r="AY38" s="668"/>
      <c r="AZ38" s="668"/>
      <c r="BA38" s="668"/>
      <c r="BB38" s="668"/>
      <c r="BC38" s="668"/>
      <c r="BD38" s="668"/>
      <c r="BE38" s="668"/>
      <c r="BF38" s="668"/>
      <c r="BG38" s="668"/>
      <c r="BH38" s="668"/>
      <c r="BI38" s="668"/>
    </row>
    <row r="39" spans="1:61" x14ac:dyDescent="0.2">
      <c r="A39" s="1012">
        <v>60</v>
      </c>
      <c r="B39" s="1012" t="s">
        <v>479</v>
      </c>
      <c r="C39" s="1012"/>
      <c r="D39" s="667"/>
      <c r="E39" s="667"/>
      <c r="F39" s="667"/>
      <c r="G39" s="667">
        <v>20</v>
      </c>
      <c r="H39" s="667">
        <v>78</v>
      </c>
      <c r="I39" s="667"/>
      <c r="J39" s="667"/>
      <c r="K39" s="667"/>
      <c r="L39" s="667"/>
      <c r="M39" s="667"/>
      <c r="N39" s="667"/>
      <c r="O39" s="667"/>
      <c r="P39" s="667"/>
      <c r="Q39" s="667"/>
      <c r="R39" s="667"/>
      <c r="S39" s="667"/>
      <c r="T39" s="667"/>
      <c r="U39" s="1012">
        <v>12</v>
      </c>
      <c r="V39" s="668">
        <f t="shared" si="2"/>
        <v>0</v>
      </c>
      <c r="W39" s="668">
        <f t="shared" si="3"/>
        <v>240</v>
      </c>
      <c r="X39" s="668">
        <f t="shared" si="4"/>
        <v>936</v>
      </c>
      <c r="Y39" s="668">
        <f t="shared" si="5"/>
        <v>0</v>
      </c>
      <c r="Z39" s="668">
        <f t="shared" si="7"/>
        <v>0</v>
      </c>
      <c r="AA39" s="668">
        <f t="shared" si="8"/>
        <v>0</v>
      </c>
      <c r="AB39" s="668">
        <f t="shared" si="9"/>
        <v>0</v>
      </c>
      <c r="AC39" s="668">
        <f t="shared" si="19"/>
        <v>0</v>
      </c>
      <c r="AD39" s="668">
        <f t="shared" si="10"/>
        <v>0</v>
      </c>
      <c r="AE39" s="668">
        <f t="shared" si="11"/>
        <v>0</v>
      </c>
      <c r="AF39" s="668">
        <f t="shared" si="6"/>
        <v>0</v>
      </c>
      <c r="AG39" s="668">
        <f t="shared" si="12"/>
        <v>0</v>
      </c>
      <c r="AH39" s="668"/>
      <c r="AI39" s="668"/>
      <c r="AJ39" s="668"/>
      <c r="AK39" s="668"/>
      <c r="AL39" s="668"/>
      <c r="AM39" s="668">
        <f t="shared" si="13"/>
        <v>0</v>
      </c>
      <c r="AN39" s="668">
        <f t="shared" si="14"/>
        <v>0</v>
      </c>
      <c r="AO39" s="668">
        <f t="shared" si="15"/>
        <v>0</v>
      </c>
      <c r="AP39" s="668">
        <f t="shared" si="16"/>
        <v>0</v>
      </c>
      <c r="AQ39" s="668">
        <f t="shared" si="17"/>
        <v>0</v>
      </c>
      <c r="AR39" s="668">
        <f t="shared" si="18"/>
        <v>0</v>
      </c>
      <c r="AS39" s="668"/>
      <c r="AT39" s="668"/>
      <c r="AU39" s="668"/>
      <c r="AV39" s="668"/>
      <c r="AW39" s="668"/>
      <c r="AX39" s="668"/>
      <c r="AY39" s="668"/>
      <c r="AZ39" s="668"/>
      <c r="BA39" s="668"/>
      <c r="BB39" s="668"/>
      <c r="BC39" s="668"/>
      <c r="BD39" s="668"/>
      <c r="BE39" s="668"/>
      <c r="BF39" s="668"/>
      <c r="BG39" s="668"/>
      <c r="BH39" s="668"/>
      <c r="BI39" s="668"/>
    </row>
    <row r="40" spans="1:61" x14ac:dyDescent="0.2">
      <c r="A40" s="1012">
        <v>61</v>
      </c>
      <c r="B40" s="1012" t="s">
        <v>480</v>
      </c>
      <c r="C40" s="1012"/>
      <c r="D40" s="667"/>
      <c r="E40" s="667"/>
      <c r="F40" s="667"/>
      <c r="G40" s="667"/>
      <c r="H40" s="667">
        <v>193</v>
      </c>
      <c r="I40" s="667"/>
      <c r="J40" s="667"/>
      <c r="K40" s="667"/>
      <c r="L40" s="667"/>
      <c r="M40" s="667"/>
      <c r="N40" s="667"/>
      <c r="O40" s="667"/>
      <c r="P40" s="667"/>
      <c r="Q40" s="1014">
        <v>2244</v>
      </c>
      <c r="R40" s="667"/>
      <c r="S40" s="667"/>
      <c r="T40" s="667"/>
      <c r="U40" s="1012">
        <v>12</v>
      </c>
      <c r="V40" s="668">
        <f t="shared" si="2"/>
        <v>0</v>
      </c>
      <c r="W40" s="668">
        <f t="shared" si="3"/>
        <v>0</v>
      </c>
      <c r="X40" s="668">
        <f t="shared" si="4"/>
        <v>2316</v>
      </c>
      <c r="Y40" s="668">
        <f t="shared" si="5"/>
        <v>0</v>
      </c>
      <c r="Z40" s="668">
        <f t="shared" si="7"/>
        <v>0</v>
      </c>
      <c r="AA40" s="668">
        <f t="shared" si="8"/>
        <v>0</v>
      </c>
      <c r="AB40" s="668">
        <f t="shared" si="9"/>
        <v>0</v>
      </c>
      <c r="AC40" s="668">
        <f t="shared" si="19"/>
        <v>0</v>
      </c>
      <c r="AD40" s="668">
        <f t="shared" si="10"/>
        <v>2244</v>
      </c>
      <c r="AE40" s="668">
        <f t="shared" si="11"/>
        <v>0</v>
      </c>
      <c r="AF40" s="668">
        <f t="shared" si="6"/>
        <v>0</v>
      </c>
      <c r="AG40" s="668">
        <f t="shared" si="12"/>
        <v>0</v>
      </c>
      <c r="AH40" s="668"/>
      <c r="AI40" s="668"/>
      <c r="AJ40" s="668"/>
      <c r="AK40" s="668"/>
      <c r="AL40" s="668"/>
      <c r="AM40" s="668">
        <f t="shared" si="13"/>
        <v>0</v>
      </c>
      <c r="AN40" s="668">
        <f t="shared" si="14"/>
        <v>0</v>
      </c>
      <c r="AO40" s="668">
        <f t="shared" si="15"/>
        <v>0</v>
      </c>
      <c r="AP40" s="668">
        <f t="shared" si="16"/>
        <v>0</v>
      </c>
      <c r="AQ40" s="668">
        <f t="shared" si="17"/>
        <v>0</v>
      </c>
      <c r="AR40" s="668">
        <f t="shared" si="18"/>
        <v>0</v>
      </c>
      <c r="AS40" s="668"/>
      <c r="AT40" s="668"/>
      <c r="AU40" s="668"/>
      <c r="AV40" s="668"/>
      <c r="AW40" s="668"/>
      <c r="AX40" s="668"/>
      <c r="AY40" s="668"/>
      <c r="AZ40" s="668"/>
      <c r="BA40" s="668"/>
      <c r="BB40" s="668"/>
      <c r="BC40" s="668"/>
      <c r="BD40" s="668"/>
      <c r="BE40" s="668"/>
      <c r="BF40" s="668"/>
      <c r="BG40" s="668"/>
      <c r="BH40" s="668"/>
      <c r="BI40" s="668"/>
    </row>
    <row r="41" spans="1:61" x14ac:dyDescent="0.2">
      <c r="A41" s="1012">
        <v>62</v>
      </c>
      <c r="B41" s="1012" t="s">
        <v>481</v>
      </c>
      <c r="C41" s="1012"/>
      <c r="D41" s="667"/>
      <c r="E41" s="667"/>
      <c r="F41" s="667"/>
      <c r="G41" s="667"/>
      <c r="H41" s="667">
        <v>98</v>
      </c>
      <c r="I41" s="667"/>
      <c r="J41" s="667"/>
      <c r="K41" s="667"/>
      <c r="L41" s="667"/>
      <c r="M41" s="667"/>
      <c r="N41" s="667"/>
      <c r="O41" s="667"/>
      <c r="P41" s="667"/>
      <c r="Q41" s="667"/>
      <c r="R41" s="667"/>
      <c r="S41" s="667"/>
      <c r="T41" s="667"/>
      <c r="U41" s="1012">
        <v>12</v>
      </c>
      <c r="V41" s="668">
        <f t="shared" si="2"/>
        <v>0</v>
      </c>
      <c r="W41" s="668">
        <f t="shared" si="3"/>
        <v>0</v>
      </c>
      <c r="X41" s="668">
        <f t="shared" si="4"/>
        <v>1176</v>
      </c>
      <c r="Y41" s="668">
        <f t="shared" si="5"/>
        <v>0</v>
      </c>
      <c r="Z41" s="668">
        <f t="shared" si="7"/>
        <v>0</v>
      </c>
      <c r="AA41" s="668">
        <f t="shared" si="8"/>
        <v>0</v>
      </c>
      <c r="AB41" s="668">
        <f t="shared" si="9"/>
        <v>0</v>
      </c>
      <c r="AC41" s="668">
        <f t="shared" si="19"/>
        <v>0</v>
      </c>
      <c r="AD41" s="668">
        <f t="shared" si="10"/>
        <v>0</v>
      </c>
      <c r="AE41" s="668">
        <f t="shared" si="11"/>
        <v>0</v>
      </c>
      <c r="AF41" s="668">
        <f t="shared" si="6"/>
        <v>0</v>
      </c>
      <c r="AG41" s="668">
        <f t="shared" si="12"/>
        <v>0</v>
      </c>
      <c r="AH41" s="668"/>
      <c r="AI41" s="668"/>
      <c r="AJ41" s="668"/>
      <c r="AK41" s="668"/>
      <c r="AL41" s="668"/>
      <c r="AM41" s="668">
        <f t="shared" si="13"/>
        <v>0</v>
      </c>
      <c r="AN41" s="668">
        <f t="shared" si="14"/>
        <v>0</v>
      </c>
      <c r="AO41" s="668">
        <f t="shared" si="15"/>
        <v>0</v>
      </c>
      <c r="AP41" s="668">
        <f t="shared" si="16"/>
        <v>0</v>
      </c>
      <c r="AQ41" s="668">
        <f t="shared" si="17"/>
        <v>0</v>
      </c>
      <c r="AR41" s="668">
        <f t="shared" si="18"/>
        <v>0</v>
      </c>
      <c r="AS41" s="668"/>
      <c r="AT41" s="668"/>
      <c r="AU41" s="668"/>
      <c r="AV41" s="668"/>
      <c r="AW41" s="668"/>
      <c r="AX41" s="668"/>
      <c r="AY41" s="668"/>
      <c r="AZ41" s="668"/>
      <c r="BA41" s="668"/>
      <c r="BB41" s="668"/>
      <c r="BC41" s="668"/>
      <c r="BD41" s="668"/>
      <c r="BE41" s="668"/>
      <c r="BF41" s="668"/>
      <c r="BG41" s="668"/>
      <c r="BH41" s="668"/>
      <c r="BI41" s="668"/>
    </row>
    <row r="42" spans="1:61" x14ac:dyDescent="0.2">
      <c r="A42" s="1012">
        <v>63</v>
      </c>
      <c r="B42" s="1012" t="s">
        <v>482</v>
      </c>
      <c r="C42" s="1012"/>
      <c r="D42" s="667"/>
      <c r="E42" s="667"/>
      <c r="F42" s="667"/>
      <c r="G42" s="667"/>
      <c r="H42" s="667"/>
      <c r="I42" s="667"/>
      <c r="J42" s="667"/>
      <c r="K42" s="667"/>
      <c r="L42" s="667"/>
      <c r="M42" s="667"/>
      <c r="N42" s="667"/>
      <c r="O42" s="667"/>
      <c r="P42" s="667"/>
      <c r="Q42" s="1014">
        <v>525</v>
      </c>
      <c r="R42" s="667"/>
      <c r="S42" s="667"/>
      <c r="T42" s="667"/>
      <c r="U42" s="1012"/>
      <c r="V42" s="668">
        <f t="shared" si="2"/>
        <v>0</v>
      </c>
      <c r="W42" s="668">
        <f t="shared" si="3"/>
        <v>0</v>
      </c>
      <c r="X42" s="668">
        <f t="shared" si="4"/>
        <v>0</v>
      </c>
      <c r="Y42" s="668">
        <f t="shared" si="5"/>
        <v>0</v>
      </c>
      <c r="Z42" s="668">
        <f t="shared" si="7"/>
        <v>0</v>
      </c>
      <c r="AA42" s="668">
        <f t="shared" si="8"/>
        <v>0</v>
      </c>
      <c r="AB42" s="668">
        <f t="shared" si="9"/>
        <v>0</v>
      </c>
      <c r="AC42" s="668">
        <f t="shared" si="19"/>
        <v>0</v>
      </c>
      <c r="AD42" s="668">
        <f t="shared" si="10"/>
        <v>525</v>
      </c>
      <c r="AE42" s="668">
        <f t="shared" si="11"/>
        <v>0</v>
      </c>
      <c r="AF42" s="668">
        <f t="shared" si="6"/>
        <v>0</v>
      </c>
      <c r="AG42" s="668">
        <f t="shared" si="12"/>
        <v>0</v>
      </c>
      <c r="AH42" s="668"/>
      <c r="AI42" s="668"/>
      <c r="AJ42" s="668"/>
      <c r="AK42" s="668"/>
      <c r="AL42" s="668"/>
      <c r="AM42" s="668">
        <f t="shared" si="13"/>
        <v>0</v>
      </c>
      <c r="AN42" s="668">
        <f t="shared" si="14"/>
        <v>0</v>
      </c>
      <c r="AO42" s="668">
        <f t="shared" si="15"/>
        <v>0</v>
      </c>
      <c r="AP42" s="668">
        <f t="shared" si="16"/>
        <v>0</v>
      </c>
      <c r="AQ42" s="668">
        <f t="shared" si="17"/>
        <v>0</v>
      </c>
      <c r="AR42" s="668">
        <f t="shared" si="18"/>
        <v>0</v>
      </c>
      <c r="AS42" s="668"/>
      <c r="AT42" s="668"/>
      <c r="AU42" s="668"/>
      <c r="AV42" s="668"/>
      <c r="AW42" s="668"/>
      <c r="AX42" s="668"/>
      <c r="AY42" s="668"/>
      <c r="AZ42" s="668"/>
      <c r="BA42" s="668"/>
      <c r="BB42" s="668"/>
      <c r="BC42" s="668"/>
      <c r="BD42" s="668"/>
      <c r="BE42" s="668"/>
      <c r="BF42" s="668"/>
      <c r="BG42" s="668"/>
      <c r="BH42" s="668"/>
      <c r="BI42" s="668"/>
    </row>
    <row r="43" spans="1:61" x14ac:dyDescent="0.2">
      <c r="A43" s="1012">
        <v>64</v>
      </c>
      <c r="B43" s="1012" t="s">
        <v>483</v>
      </c>
      <c r="C43" s="1012"/>
      <c r="D43" s="667"/>
      <c r="E43" s="667"/>
      <c r="F43" s="667"/>
      <c r="G43" s="667"/>
      <c r="H43" s="667">
        <v>108</v>
      </c>
      <c r="I43" s="667"/>
      <c r="J43" s="667"/>
      <c r="K43" s="667"/>
      <c r="L43" s="667"/>
      <c r="M43" s="667"/>
      <c r="N43" s="667">
        <v>40</v>
      </c>
      <c r="O43" s="667"/>
      <c r="P43" s="667"/>
      <c r="Q43" s="667"/>
      <c r="R43" s="667"/>
      <c r="S43" s="667"/>
      <c r="T43" s="667"/>
      <c r="U43" s="1012">
        <v>16</v>
      </c>
      <c r="V43" s="668">
        <f t="shared" si="2"/>
        <v>0</v>
      </c>
      <c r="W43" s="668">
        <f t="shared" si="3"/>
        <v>0</v>
      </c>
      <c r="X43" s="668">
        <f t="shared" si="4"/>
        <v>1728</v>
      </c>
      <c r="Y43" s="668">
        <f t="shared" si="5"/>
        <v>0</v>
      </c>
      <c r="Z43" s="668">
        <f t="shared" si="7"/>
        <v>0</v>
      </c>
      <c r="AA43" s="668">
        <f t="shared" si="8"/>
        <v>0</v>
      </c>
      <c r="AB43" s="668">
        <f t="shared" si="9"/>
        <v>0</v>
      </c>
      <c r="AC43" s="668">
        <f t="shared" si="19"/>
        <v>0</v>
      </c>
      <c r="AD43" s="668">
        <f t="shared" si="10"/>
        <v>0</v>
      </c>
      <c r="AE43" s="668">
        <f t="shared" si="11"/>
        <v>0</v>
      </c>
      <c r="AF43" s="668">
        <f t="shared" si="6"/>
        <v>0</v>
      </c>
      <c r="AG43" s="668">
        <f t="shared" si="12"/>
        <v>360</v>
      </c>
      <c r="AH43" s="668">
        <v>2</v>
      </c>
      <c r="AI43" s="668"/>
      <c r="AJ43" s="668"/>
      <c r="AK43" s="668"/>
      <c r="AL43" s="668"/>
      <c r="AM43" s="668">
        <f t="shared" si="13"/>
        <v>0</v>
      </c>
      <c r="AN43" s="668">
        <f t="shared" si="14"/>
        <v>0</v>
      </c>
      <c r="AO43" s="668">
        <f t="shared" si="15"/>
        <v>0</v>
      </c>
      <c r="AP43" s="668">
        <f t="shared" si="16"/>
        <v>0</v>
      </c>
      <c r="AQ43" s="668">
        <f t="shared" si="17"/>
        <v>0</v>
      </c>
      <c r="AR43" s="668">
        <f t="shared" si="18"/>
        <v>0</v>
      </c>
      <c r="AS43" s="668"/>
      <c r="AT43" s="668"/>
      <c r="AU43" s="668"/>
      <c r="AV43" s="668"/>
      <c r="AW43" s="668"/>
      <c r="AX43" s="668"/>
      <c r="AY43" s="668"/>
      <c r="AZ43" s="668"/>
      <c r="BA43" s="668"/>
      <c r="BB43" s="668"/>
      <c r="BC43" s="668"/>
      <c r="BD43" s="668"/>
      <c r="BE43" s="668"/>
      <c r="BF43" s="668"/>
      <c r="BG43" s="668"/>
      <c r="BH43" s="668"/>
      <c r="BI43" s="668"/>
    </row>
    <row r="44" spans="1:61" x14ac:dyDescent="0.2">
      <c r="A44" s="1012">
        <v>65</v>
      </c>
      <c r="B44" s="1012" t="s">
        <v>484</v>
      </c>
      <c r="C44" s="1012"/>
      <c r="D44" s="667"/>
      <c r="E44" s="667"/>
      <c r="F44" s="667"/>
      <c r="G44" s="667">
        <v>11</v>
      </c>
      <c r="H44" s="667">
        <v>35</v>
      </c>
      <c r="I44" s="667"/>
      <c r="J44" s="667"/>
      <c r="K44" s="667"/>
      <c r="L44" s="667"/>
      <c r="M44" s="667"/>
      <c r="N44" s="667"/>
      <c r="O44" s="667"/>
      <c r="P44" s="667"/>
      <c r="Q44" s="1014">
        <v>124</v>
      </c>
      <c r="R44" s="667"/>
      <c r="S44" s="667"/>
      <c r="T44" s="667"/>
      <c r="U44" s="1012">
        <v>12</v>
      </c>
      <c r="V44" s="668">
        <f t="shared" si="2"/>
        <v>0</v>
      </c>
      <c r="W44" s="668">
        <f t="shared" si="3"/>
        <v>132</v>
      </c>
      <c r="X44" s="668">
        <f t="shared" si="4"/>
        <v>420</v>
      </c>
      <c r="Y44" s="668">
        <f t="shared" si="5"/>
        <v>0</v>
      </c>
      <c r="Z44" s="668">
        <f t="shared" si="7"/>
        <v>0</v>
      </c>
      <c r="AA44" s="668">
        <f t="shared" si="8"/>
        <v>0</v>
      </c>
      <c r="AB44" s="668">
        <f t="shared" si="9"/>
        <v>0</v>
      </c>
      <c r="AC44" s="668">
        <f t="shared" si="19"/>
        <v>0</v>
      </c>
      <c r="AD44" s="668">
        <f t="shared" si="10"/>
        <v>124</v>
      </c>
      <c r="AE44" s="668">
        <f t="shared" si="11"/>
        <v>0</v>
      </c>
      <c r="AF44" s="668">
        <f t="shared" si="6"/>
        <v>0</v>
      </c>
      <c r="AG44" s="668">
        <f t="shared" si="12"/>
        <v>0</v>
      </c>
      <c r="AH44" s="668"/>
      <c r="AI44" s="668"/>
      <c r="AJ44" s="668"/>
      <c r="AK44" s="668"/>
      <c r="AL44" s="668"/>
      <c r="AM44" s="668">
        <f t="shared" si="13"/>
        <v>0</v>
      </c>
      <c r="AN44" s="668">
        <f t="shared" si="14"/>
        <v>0</v>
      </c>
      <c r="AO44" s="668">
        <f t="shared" si="15"/>
        <v>0</v>
      </c>
      <c r="AP44" s="668">
        <f t="shared" si="16"/>
        <v>0</v>
      </c>
      <c r="AQ44" s="668">
        <f t="shared" si="17"/>
        <v>0</v>
      </c>
      <c r="AR44" s="668">
        <f t="shared" si="18"/>
        <v>0</v>
      </c>
      <c r="AS44" s="668"/>
      <c r="AT44" s="668"/>
      <c r="AU44" s="668"/>
      <c r="AV44" s="668"/>
      <c r="AW44" s="668"/>
      <c r="AX44" s="668"/>
      <c r="AY44" s="668"/>
      <c r="AZ44" s="668"/>
      <c r="BA44" s="668"/>
      <c r="BB44" s="668"/>
      <c r="BC44" s="668"/>
      <c r="BD44" s="668"/>
      <c r="BE44" s="668"/>
      <c r="BF44" s="668"/>
      <c r="BG44" s="668"/>
      <c r="BH44" s="668"/>
      <c r="BI44" s="668"/>
    </row>
    <row r="45" spans="1:61" x14ac:dyDescent="0.2">
      <c r="A45" s="1012">
        <v>66</v>
      </c>
      <c r="B45" s="1012" t="s">
        <v>485</v>
      </c>
      <c r="C45" s="1012"/>
      <c r="D45" s="667"/>
      <c r="E45" s="667"/>
      <c r="F45" s="667"/>
      <c r="G45" s="667"/>
      <c r="H45" s="667"/>
      <c r="I45" s="667"/>
      <c r="J45" s="667"/>
      <c r="K45" s="667"/>
      <c r="L45" s="667"/>
      <c r="M45" s="667">
        <v>83</v>
      </c>
      <c r="N45" s="667"/>
      <c r="O45" s="667"/>
      <c r="P45" s="667"/>
      <c r="Q45" s="667"/>
      <c r="R45" s="667"/>
      <c r="S45" s="667"/>
      <c r="T45" s="667"/>
      <c r="U45" s="1012">
        <v>9</v>
      </c>
      <c r="V45" s="668">
        <f t="shared" si="2"/>
        <v>0</v>
      </c>
      <c r="W45" s="668">
        <f t="shared" si="3"/>
        <v>0</v>
      </c>
      <c r="X45" s="668">
        <f t="shared" si="4"/>
        <v>0</v>
      </c>
      <c r="Y45" s="668">
        <f t="shared" si="5"/>
        <v>0</v>
      </c>
      <c r="Z45" s="668">
        <f t="shared" si="7"/>
        <v>0</v>
      </c>
      <c r="AA45" s="668">
        <f t="shared" si="8"/>
        <v>0</v>
      </c>
      <c r="AB45" s="668">
        <f t="shared" si="9"/>
        <v>0</v>
      </c>
      <c r="AC45" s="668">
        <f t="shared" si="19"/>
        <v>0</v>
      </c>
      <c r="AD45" s="668">
        <f t="shared" si="10"/>
        <v>0</v>
      </c>
      <c r="AE45" s="668">
        <f t="shared" si="11"/>
        <v>747</v>
      </c>
      <c r="AF45" s="668">
        <f t="shared" si="6"/>
        <v>0</v>
      </c>
      <c r="AG45" s="668">
        <f t="shared" si="12"/>
        <v>0</v>
      </c>
      <c r="AH45" s="668"/>
      <c r="AI45" s="668"/>
      <c r="AJ45" s="668"/>
      <c r="AK45" s="668"/>
      <c r="AL45" s="668"/>
      <c r="AM45" s="668">
        <f t="shared" si="13"/>
        <v>0</v>
      </c>
      <c r="AN45" s="668">
        <f t="shared" si="14"/>
        <v>0</v>
      </c>
      <c r="AO45" s="668">
        <f t="shared" si="15"/>
        <v>0</v>
      </c>
      <c r="AP45" s="668">
        <f t="shared" si="16"/>
        <v>0</v>
      </c>
      <c r="AQ45" s="668">
        <f t="shared" si="17"/>
        <v>0</v>
      </c>
      <c r="AR45" s="668">
        <f t="shared" si="18"/>
        <v>0</v>
      </c>
      <c r="AS45" s="668"/>
      <c r="AT45" s="668"/>
      <c r="AU45" s="668"/>
      <c r="AV45" s="668"/>
      <c r="AW45" s="668"/>
      <c r="AX45" s="668"/>
      <c r="AY45" s="668"/>
      <c r="AZ45" s="668"/>
      <c r="BA45" s="668"/>
      <c r="BB45" s="668"/>
      <c r="BC45" s="668"/>
      <c r="BD45" s="668"/>
      <c r="BE45" s="668"/>
      <c r="BF45" s="668"/>
      <c r="BG45" s="668"/>
      <c r="BH45" s="668"/>
      <c r="BI45" s="668"/>
    </row>
    <row r="46" spans="1:61" x14ac:dyDescent="0.2">
      <c r="A46" s="1012">
        <v>67</v>
      </c>
      <c r="B46" s="1012" t="s">
        <v>486</v>
      </c>
      <c r="C46" s="1012"/>
      <c r="D46" s="667"/>
      <c r="E46" s="667"/>
      <c r="F46" s="667"/>
      <c r="G46" s="667">
        <v>7</v>
      </c>
      <c r="H46" s="667">
        <v>30</v>
      </c>
      <c r="I46" s="667"/>
      <c r="J46" s="667"/>
      <c r="K46" s="667"/>
      <c r="L46" s="667">
        <v>4</v>
      </c>
      <c r="M46" s="667"/>
      <c r="N46" s="667"/>
      <c r="O46" s="667"/>
      <c r="P46" s="667"/>
      <c r="Q46" s="1014">
        <v>81</v>
      </c>
      <c r="R46" s="667"/>
      <c r="S46" s="667"/>
      <c r="T46" s="667"/>
      <c r="U46" s="1012">
        <v>12</v>
      </c>
      <c r="V46" s="668">
        <f t="shared" si="2"/>
        <v>0</v>
      </c>
      <c r="W46" s="668">
        <f t="shared" si="3"/>
        <v>84</v>
      </c>
      <c r="X46" s="668">
        <f t="shared" si="4"/>
        <v>360</v>
      </c>
      <c r="Y46" s="668">
        <f t="shared" si="5"/>
        <v>0</v>
      </c>
      <c r="Z46" s="668">
        <f t="shared" si="7"/>
        <v>0</v>
      </c>
      <c r="AA46" s="668">
        <f t="shared" si="8"/>
        <v>0</v>
      </c>
      <c r="AB46" s="668">
        <f t="shared" si="9"/>
        <v>0</v>
      </c>
      <c r="AC46" s="668">
        <f t="shared" si="19"/>
        <v>0</v>
      </c>
      <c r="AD46" s="668">
        <f t="shared" si="10"/>
        <v>81</v>
      </c>
      <c r="AE46" s="668">
        <f t="shared" si="11"/>
        <v>0</v>
      </c>
      <c r="AF46" s="668">
        <f t="shared" si="6"/>
        <v>48</v>
      </c>
      <c r="AG46" s="668">
        <f t="shared" si="12"/>
        <v>0</v>
      </c>
      <c r="AH46" s="668"/>
      <c r="AI46" s="668"/>
      <c r="AJ46" s="668"/>
      <c r="AK46" s="668"/>
      <c r="AL46" s="668"/>
      <c r="AM46" s="668">
        <f t="shared" si="13"/>
        <v>0</v>
      </c>
      <c r="AN46" s="668">
        <f t="shared" si="14"/>
        <v>0</v>
      </c>
      <c r="AO46" s="668">
        <f t="shared" si="15"/>
        <v>0</v>
      </c>
      <c r="AP46" s="668">
        <f t="shared" si="16"/>
        <v>0</v>
      </c>
      <c r="AQ46" s="668">
        <f t="shared" si="17"/>
        <v>0</v>
      </c>
      <c r="AR46" s="668">
        <f t="shared" si="18"/>
        <v>0</v>
      </c>
      <c r="AS46" s="668"/>
      <c r="AT46" s="668"/>
      <c r="AU46" s="668"/>
      <c r="AV46" s="668"/>
      <c r="AW46" s="668"/>
      <c r="AX46" s="668"/>
      <c r="AY46" s="668"/>
      <c r="AZ46" s="668"/>
      <c r="BA46" s="668"/>
      <c r="BB46" s="668"/>
      <c r="BC46" s="668"/>
      <c r="BD46" s="668"/>
      <c r="BE46" s="668"/>
      <c r="BF46" s="668"/>
      <c r="BG46" s="668"/>
      <c r="BH46" s="668"/>
      <c r="BI46" s="668"/>
    </row>
    <row r="47" spans="1:61" x14ac:dyDescent="0.2">
      <c r="A47" s="1012">
        <v>68</v>
      </c>
      <c r="B47" s="1012" t="s">
        <v>486</v>
      </c>
      <c r="C47" s="1012"/>
      <c r="D47" s="667"/>
      <c r="E47" s="667"/>
      <c r="F47" s="667"/>
      <c r="G47" s="667"/>
      <c r="H47" s="667">
        <v>28</v>
      </c>
      <c r="I47" s="667"/>
      <c r="J47" s="667"/>
      <c r="K47" s="667"/>
      <c r="L47" s="667">
        <v>2</v>
      </c>
      <c r="M47" s="667"/>
      <c r="N47" s="667"/>
      <c r="O47" s="667"/>
      <c r="P47" s="667"/>
      <c r="Q47" s="1014">
        <v>42</v>
      </c>
      <c r="R47" s="667"/>
      <c r="S47" s="667"/>
      <c r="T47" s="667"/>
      <c r="U47" s="1012">
        <v>12</v>
      </c>
      <c r="V47" s="668">
        <f t="shared" si="2"/>
        <v>0</v>
      </c>
      <c r="W47" s="668">
        <f t="shared" si="3"/>
        <v>0</v>
      </c>
      <c r="X47" s="668">
        <f t="shared" si="4"/>
        <v>336</v>
      </c>
      <c r="Y47" s="668">
        <f t="shared" si="5"/>
        <v>0</v>
      </c>
      <c r="Z47" s="668">
        <f t="shared" si="7"/>
        <v>0</v>
      </c>
      <c r="AA47" s="668">
        <f t="shared" si="8"/>
        <v>0</v>
      </c>
      <c r="AB47" s="668">
        <f t="shared" si="9"/>
        <v>0</v>
      </c>
      <c r="AC47" s="668">
        <f t="shared" si="19"/>
        <v>0</v>
      </c>
      <c r="AD47" s="668">
        <f t="shared" si="10"/>
        <v>42</v>
      </c>
      <c r="AE47" s="668">
        <f t="shared" si="11"/>
        <v>0</v>
      </c>
      <c r="AF47" s="668">
        <f t="shared" si="6"/>
        <v>24</v>
      </c>
      <c r="AG47" s="668">
        <f t="shared" si="12"/>
        <v>0</v>
      </c>
      <c r="AH47" s="668"/>
      <c r="AI47" s="668"/>
      <c r="AJ47" s="668"/>
      <c r="AK47" s="668"/>
      <c r="AL47" s="668"/>
      <c r="AM47" s="668">
        <f t="shared" si="13"/>
        <v>0</v>
      </c>
      <c r="AN47" s="668">
        <f t="shared" si="14"/>
        <v>0</v>
      </c>
      <c r="AO47" s="668">
        <f t="shared" si="15"/>
        <v>0</v>
      </c>
      <c r="AP47" s="668">
        <f t="shared" si="16"/>
        <v>0</v>
      </c>
      <c r="AQ47" s="668">
        <f t="shared" si="17"/>
        <v>0</v>
      </c>
      <c r="AR47" s="668">
        <f t="shared" si="18"/>
        <v>0</v>
      </c>
      <c r="AS47" s="668"/>
      <c r="AT47" s="668"/>
      <c r="AU47" s="668"/>
      <c r="AV47" s="668"/>
      <c r="AW47" s="668"/>
      <c r="AX47" s="668"/>
      <c r="AY47" s="668"/>
      <c r="AZ47" s="668"/>
      <c r="BA47" s="668"/>
      <c r="BB47" s="668"/>
      <c r="BC47" s="668"/>
      <c r="BD47" s="668"/>
      <c r="BE47" s="668"/>
      <c r="BF47" s="668"/>
      <c r="BG47" s="668"/>
      <c r="BH47" s="668"/>
      <c r="BI47" s="668"/>
    </row>
    <row r="48" spans="1:61" x14ac:dyDescent="0.2">
      <c r="A48" s="1012">
        <v>69</v>
      </c>
      <c r="B48" s="1012" t="s">
        <v>487</v>
      </c>
      <c r="C48" s="1012"/>
      <c r="D48" s="667"/>
      <c r="E48" s="667"/>
      <c r="F48" s="667"/>
      <c r="G48" s="667"/>
      <c r="H48" s="667">
        <v>65</v>
      </c>
      <c r="I48" s="667"/>
      <c r="J48" s="667"/>
      <c r="K48" s="667"/>
      <c r="L48" s="667"/>
      <c r="M48" s="667"/>
      <c r="N48" s="667"/>
      <c r="O48" s="667"/>
      <c r="P48" s="667"/>
      <c r="Q48" s="1014">
        <v>248</v>
      </c>
      <c r="R48" s="667"/>
      <c r="S48" s="667"/>
      <c r="T48" s="667"/>
      <c r="U48" s="1012">
        <v>12</v>
      </c>
      <c r="V48" s="668">
        <f t="shared" si="2"/>
        <v>0</v>
      </c>
      <c r="W48" s="668">
        <f t="shared" si="3"/>
        <v>0</v>
      </c>
      <c r="X48" s="668">
        <f t="shared" si="4"/>
        <v>780</v>
      </c>
      <c r="Y48" s="668">
        <f t="shared" si="5"/>
        <v>0</v>
      </c>
      <c r="Z48" s="668">
        <f t="shared" si="7"/>
        <v>0</v>
      </c>
      <c r="AA48" s="668">
        <f t="shared" si="8"/>
        <v>0</v>
      </c>
      <c r="AB48" s="668">
        <f t="shared" si="9"/>
        <v>0</v>
      </c>
      <c r="AC48" s="668">
        <f t="shared" si="19"/>
        <v>0</v>
      </c>
      <c r="AD48" s="668">
        <f t="shared" si="10"/>
        <v>248</v>
      </c>
      <c r="AE48" s="668">
        <f t="shared" si="11"/>
        <v>0</v>
      </c>
      <c r="AF48" s="668">
        <f t="shared" si="6"/>
        <v>0</v>
      </c>
      <c r="AG48" s="668">
        <f t="shared" si="12"/>
        <v>0</v>
      </c>
      <c r="AH48" s="668"/>
      <c r="AI48" s="668"/>
      <c r="AJ48" s="668"/>
      <c r="AK48" s="668"/>
      <c r="AL48" s="668"/>
      <c r="AM48" s="668">
        <f t="shared" si="13"/>
        <v>0</v>
      </c>
      <c r="AN48" s="668">
        <f t="shared" si="14"/>
        <v>0</v>
      </c>
      <c r="AO48" s="668">
        <f t="shared" si="15"/>
        <v>0</v>
      </c>
      <c r="AP48" s="668">
        <f t="shared" si="16"/>
        <v>0</v>
      </c>
      <c r="AQ48" s="668">
        <f t="shared" si="17"/>
        <v>0</v>
      </c>
      <c r="AR48" s="668">
        <f t="shared" si="18"/>
        <v>0</v>
      </c>
      <c r="AS48" s="668"/>
      <c r="AT48" s="668"/>
      <c r="AU48" s="668"/>
      <c r="AV48" s="668"/>
      <c r="AW48" s="668"/>
      <c r="AX48" s="668"/>
      <c r="AY48" s="668"/>
      <c r="AZ48" s="668"/>
      <c r="BA48" s="668"/>
      <c r="BB48" s="668"/>
      <c r="BC48" s="668"/>
      <c r="BD48" s="668"/>
      <c r="BE48" s="668"/>
      <c r="BF48" s="668"/>
      <c r="BG48" s="668"/>
      <c r="BH48" s="668"/>
      <c r="BI48" s="668"/>
    </row>
    <row r="49" spans="1:61" x14ac:dyDescent="0.2">
      <c r="A49" s="1012">
        <v>71</v>
      </c>
      <c r="B49" s="1012" t="s">
        <v>488</v>
      </c>
      <c r="C49" s="1012"/>
      <c r="D49" s="667"/>
      <c r="E49" s="667"/>
      <c r="F49" s="667"/>
      <c r="G49" s="667"/>
      <c r="H49" s="667"/>
      <c r="I49" s="667"/>
      <c r="J49" s="667"/>
      <c r="K49" s="667"/>
      <c r="L49" s="667"/>
      <c r="M49" s="667"/>
      <c r="N49" s="667"/>
      <c r="O49" s="667"/>
      <c r="P49" s="667"/>
      <c r="Q49" s="667"/>
      <c r="R49" s="667"/>
      <c r="S49" s="667">
        <v>4586</v>
      </c>
      <c r="T49" s="667"/>
      <c r="U49" s="1012">
        <v>11</v>
      </c>
      <c r="V49" s="668">
        <f t="shared" si="2"/>
        <v>0</v>
      </c>
      <c r="W49" s="668">
        <f t="shared" si="3"/>
        <v>0</v>
      </c>
      <c r="X49" s="668">
        <f t="shared" si="4"/>
        <v>0</v>
      </c>
      <c r="Y49" s="668">
        <f t="shared" si="5"/>
        <v>0</v>
      </c>
      <c r="Z49" s="668">
        <f t="shared" si="7"/>
        <v>0</v>
      </c>
      <c r="AA49" s="668">
        <f t="shared" si="8"/>
        <v>4586</v>
      </c>
      <c r="AB49" s="668">
        <f t="shared" si="9"/>
        <v>0</v>
      </c>
      <c r="AC49" s="668">
        <f t="shared" si="19"/>
        <v>0</v>
      </c>
      <c r="AD49" s="668">
        <f t="shared" si="10"/>
        <v>0</v>
      </c>
      <c r="AE49" s="668">
        <f t="shared" si="11"/>
        <v>0</v>
      </c>
      <c r="AF49" s="668">
        <f t="shared" si="6"/>
        <v>0</v>
      </c>
      <c r="AG49" s="668">
        <f t="shared" si="12"/>
        <v>0</v>
      </c>
      <c r="AH49" s="668">
        <v>4</v>
      </c>
      <c r="AI49" s="668"/>
      <c r="AJ49" s="668"/>
      <c r="AK49" s="668"/>
      <c r="AL49" s="668"/>
      <c r="AM49" s="668">
        <f t="shared" si="13"/>
        <v>0</v>
      </c>
      <c r="AN49" s="668">
        <f t="shared" si="14"/>
        <v>0</v>
      </c>
      <c r="AO49" s="668">
        <f t="shared" si="15"/>
        <v>0</v>
      </c>
      <c r="AP49" s="668">
        <f t="shared" si="16"/>
        <v>0</v>
      </c>
      <c r="AQ49" s="668">
        <f t="shared" si="17"/>
        <v>0</v>
      </c>
      <c r="AR49" s="668">
        <f t="shared" si="18"/>
        <v>0</v>
      </c>
      <c r="AS49" s="668"/>
      <c r="AT49" s="668"/>
      <c r="AU49" s="668"/>
      <c r="AV49" s="668"/>
      <c r="AW49" s="668"/>
      <c r="AX49" s="668"/>
      <c r="AY49" s="668"/>
      <c r="AZ49" s="668"/>
      <c r="BA49" s="668"/>
      <c r="BB49" s="668"/>
      <c r="BC49" s="668"/>
      <c r="BD49" s="668"/>
      <c r="BE49" s="668"/>
      <c r="BF49" s="668"/>
      <c r="BG49" s="668"/>
      <c r="BH49" s="668"/>
      <c r="BI49" s="668"/>
    </row>
    <row r="50" spans="1:61" x14ac:dyDescent="0.2">
      <c r="A50" s="1012" t="s">
        <v>490</v>
      </c>
      <c r="B50" s="1012" t="s">
        <v>494</v>
      </c>
      <c r="C50" s="1012"/>
      <c r="D50" s="667"/>
      <c r="E50" s="667"/>
      <c r="F50" s="667"/>
      <c r="G50" s="667"/>
      <c r="H50" s="667"/>
      <c r="I50" s="667"/>
      <c r="J50" s="667">
        <v>68</v>
      </c>
      <c r="K50" s="667"/>
      <c r="L50" s="667"/>
      <c r="M50" s="667"/>
      <c r="N50" s="667"/>
      <c r="O50" s="667"/>
      <c r="P50" s="667"/>
      <c r="Q50" s="667"/>
      <c r="R50" s="667"/>
      <c r="S50" s="667"/>
      <c r="T50" s="667"/>
      <c r="U50" s="1012">
        <v>16</v>
      </c>
      <c r="V50" s="668">
        <f t="shared" si="2"/>
        <v>0</v>
      </c>
      <c r="W50" s="668">
        <f t="shared" si="3"/>
        <v>0</v>
      </c>
      <c r="X50" s="668">
        <f t="shared" si="4"/>
        <v>0</v>
      </c>
      <c r="Y50" s="668">
        <f t="shared" si="5"/>
        <v>1088</v>
      </c>
      <c r="Z50" s="668">
        <f t="shared" si="7"/>
        <v>0</v>
      </c>
      <c r="AA50" s="668">
        <f t="shared" si="8"/>
        <v>0</v>
      </c>
      <c r="AB50" s="668">
        <f t="shared" si="9"/>
        <v>0</v>
      </c>
      <c r="AC50" s="668">
        <f t="shared" si="19"/>
        <v>0</v>
      </c>
      <c r="AD50" s="668">
        <f t="shared" si="10"/>
        <v>0</v>
      </c>
      <c r="AE50" s="668">
        <f t="shared" si="11"/>
        <v>0</v>
      </c>
      <c r="AF50" s="668">
        <f t="shared" si="6"/>
        <v>0</v>
      </c>
      <c r="AG50" s="668">
        <f t="shared" si="12"/>
        <v>0</v>
      </c>
      <c r="AH50" s="668"/>
      <c r="AI50" s="668"/>
      <c r="AJ50" s="668"/>
      <c r="AK50" s="668"/>
      <c r="AL50" s="668"/>
      <c r="AM50" s="668">
        <f t="shared" si="13"/>
        <v>0</v>
      </c>
      <c r="AN50" s="668">
        <f t="shared" si="14"/>
        <v>0</v>
      </c>
      <c r="AO50" s="668">
        <f t="shared" si="15"/>
        <v>0</v>
      </c>
      <c r="AP50" s="668">
        <f t="shared" si="16"/>
        <v>0</v>
      </c>
      <c r="AQ50" s="668">
        <f t="shared" si="17"/>
        <v>0</v>
      </c>
      <c r="AR50" s="668">
        <f t="shared" si="18"/>
        <v>0</v>
      </c>
      <c r="AS50" s="668"/>
      <c r="AT50" s="668"/>
      <c r="AU50" s="668"/>
      <c r="AV50" s="668"/>
      <c r="AW50" s="668"/>
      <c r="AX50" s="668"/>
      <c r="AY50" s="668"/>
      <c r="AZ50" s="668"/>
      <c r="BA50" s="668"/>
      <c r="BB50" s="668"/>
      <c r="BC50" s="668"/>
      <c r="BD50" s="668"/>
      <c r="BE50" s="668"/>
      <c r="BF50" s="668"/>
      <c r="BG50" s="668"/>
      <c r="BH50" s="668"/>
      <c r="BI50" s="668"/>
    </row>
    <row r="51" spans="1:61" x14ac:dyDescent="0.2">
      <c r="A51" s="1012" t="s">
        <v>491</v>
      </c>
      <c r="B51" s="1012" t="s">
        <v>495</v>
      </c>
      <c r="C51" s="1012"/>
      <c r="D51" s="667"/>
      <c r="E51" s="667"/>
      <c r="F51" s="667"/>
      <c r="G51" s="667"/>
      <c r="H51" s="667"/>
      <c r="I51" s="667"/>
      <c r="J51" s="667">
        <v>66</v>
      </c>
      <c r="K51" s="667"/>
      <c r="L51" s="667"/>
      <c r="M51" s="667"/>
      <c r="N51" s="667"/>
      <c r="O51" s="667"/>
      <c r="P51" s="667"/>
      <c r="Q51" s="667"/>
      <c r="R51" s="667"/>
      <c r="S51" s="667"/>
      <c r="T51" s="667"/>
      <c r="U51" s="1012">
        <v>16</v>
      </c>
      <c r="V51" s="668">
        <f t="shared" si="2"/>
        <v>0</v>
      </c>
      <c r="W51" s="668">
        <f t="shared" si="3"/>
        <v>0</v>
      </c>
      <c r="X51" s="668">
        <f t="shared" si="4"/>
        <v>0</v>
      </c>
      <c r="Y51" s="668">
        <f t="shared" si="5"/>
        <v>1056</v>
      </c>
      <c r="Z51" s="668">
        <f t="shared" si="7"/>
        <v>0</v>
      </c>
      <c r="AA51" s="668">
        <f t="shared" si="8"/>
        <v>0</v>
      </c>
      <c r="AB51" s="668">
        <f t="shared" si="9"/>
        <v>0</v>
      </c>
      <c r="AC51" s="668">
        <f t="shared" si="19"/>
        <v>0</v>
      </c>
      <c r="AD51" s="668">
        <f t="shared" si="10"/>
        <v>0</v>
      </c>
      <c r="AE51" s="668">
        <f t="shared" si="11"/>
        <v>0</v>
      </c>
      <c r="AF51" s="668">
        <f t="shared" si="6"/>
        <v>0</v>
      </c>
      <c r="AG51" s="668">
        <f t="shared" si="12"/>
        <v>0</v>
      </c>
      <c r="AH51" s="668"/>
      <c r="AI51" s="668"/>
      <c r="AJ51" s="668"/>
      <c r="AK51" s="668"/>
      <c r="AL51" s="668"/>
      <c r="AM51" s="668">
        <f t="shared" si="13"/>
        <v>0</v>
      </c>
      <c r="AN51" s="668">
        <f t="shared" si="14"/>
        <v>0</v>
      </c>
      <c r="AO51" s="668">
        <f t="shared" si="15"/>
        <v>0</v>
      </c>
      <c r="AP51" s="668">
        <f t="shared" si="16"/>
        <v>0</v>
      </c>
      <c r="AQ51" s="668">
        <f t="shared" si="17"/>
        <v>0</v>
      </c>
      <c r="AR51" s="668">
        <f t="shared" si="18"/>
        <v>0</v>
      </c>
      <c r="AS51" s="668"/>
      <c r="AT51" s="668"/>
      <c r="AU51" s="668"/>
      <c r="AV51" s="668"/>
      <c r="AW51" s="668"/>
      <c r="AX51" s="668"/>
      <c r="AY51" s="668"/>
      <c r="AZ51" s="668"/>
      <c r="BA51" s="668"/>
      <c r="BB51" s="668"/>
      <c r="BC51" s="668"/>
      <c r="BD51" s="668"/>
      <c r="BE51" s="668"/>
      <c r="BF51" s="668"/>
      <c r="BG51" s="668"/>
      <c r="BH51" s="668"/>
      <c r="BI51" s="668"/>
    </row>
    <row r="52" spans="1:61" x14ac:dyDescent="0.2">
      <c r="A52" s="1012" t="s">
        <v>492</v>
      </c>
      <c r="B52" s="1012" t="s">
        <v>496</v>
      </c>
      <c r="C52" s="1012"/>
      <c r="D52" s="667"/>
      <c r="E52" s="667"/>
      <c r="F52" s="667"/>
      <c r="G52" s="667"/>
      <c r="H52" s="667"/>
      <c r="I52" s="667"/>
      <c r="J52" s="667">
        <v>64</v>
      </c>
      <c r="K52" s="667"/>
      <c r="L52" s="667"/>
      <c r="M52" s="667"/>
      <c r="N52" s="667"/>
      <c r="O52" s="667"/>
      <c r="P52" s="667"/>
      <c r="Q52" s="667"/>
      <c r="R52" s="667"/>
      <c r="S52" s="667"/>
      <c r="T52" s="667"/>
      <c r="U52" s="1012">
        <v>16</v>
      </c>
      <c r="V52" s="668">
        <f t="shared" si="2"/>
        <v>0</v>
      </c>
      <c r="W52" s="668">
        <f t="shared" si="3"/>
        <v>0</v>
      </c>
      <c r="X52" s="668">
        <f t="shared" si="4"/>
        <v>0</v>
      </c>
      <c r="Y52" s="668">
        <f t="shared" si="5"/>
        <v>1024</v>
      </c>
      <c r="Z52" s="668">
        <f t="shared" si="7"/>
        <v>0</v>
      </c>
      <c r="AA52" s="668">
        <f t="shared" si="8"/>
        <v>0</v>
      </c>
      <c r="AB52" s="668">
        <f t="shared" si="9"/>
        <v>0</v>
      </c>
      <c r="AC52" s="668">
        <f t="shared" si="19"/>
        <v>0</v>
      </c>
      <c r="AD52" s="668">
        <f t="shared" si="10"/>
        <v>0</v>
      </c>
      <c r="AE52" s="668">
        <f t="shared" si="11"/>
        <v>0</v>
      </c>
      <c r="AF52" s="668">
        <f t="shared" si="6"/>
        <v>0</v>
      </c>
      <c r="AG52" s="668">
        <f t="shared" si="12"/>
        <v>0</v>
      </c>
      <c r="AH52" s="668"/>
      <c r="AI52" s="668"/>
      <c r="AJ52" s="668"/>
      <c r="AK52" s="668"/>
      <c r="AL52" s="668"/>
      <c r="AM52" s="668">
        <f t="shared" si="13"/>
        <v>0</v>
      </c>
      <c r="AN52" s="668">
        <f t="shared" si="14"/>
        <v>0</v>
      </c>
      <c r="AO52" s="668">
        <f t="shared" si="15"/>
        <v>0</v>
      </c>
      <c r="AP52" s="668">
        <f t="shared" si="16"/>
        <v>0</v>
      </c>
      <c r="AQ52" s="668">
        <f t="shared" si="17"/>
        <v>0</v>
      </c>
      <c r="AR52" s="668">
        <f t="shared" si="18"/>
        <v>0</v>
      </c>
      <c r="AS52" s="668"/>
      <c r="AT52" s="668"/>
      <c r="AU52" s="668"/>
      <c r="AV52" s="668"/>
      <c r="AW52" s="668"/>
      <c r="AX52" s="668"/>
      <c r="AY52" s="668"/>
      <c r="AZ52" s="668"/>
      <c r="BA52" s="668"/>
      <c r="BB52" s="668"/>
      <c r="BC52" s="668"/>
      <c r="BD52" s="668"/>
      <c r="BE52" s="668"/>
      <c r="BF52" s="668"/>
      <c r="BG52" s="668"/>
      <c r="BH52" s="668"/>
      <c r="BI52" s="668"/>
    </row>
    <row r="53" spans="1:61" x14ac:dyDescent="0.2">
      <c r="A53" s="1012" t="s">
        <v>493</v>
      </c>
      <c r="B53" s="1012" t="s">
        <v>495</v>
      </c>
      <c r="C53" s="1012"/>
      <c r="D53" s="667"/>
      <c r="E53" s="667"/>
      <c r="F53" s="667"/>
      <c r="G53" s="667"/>
      <c r="H53" s="667"/>
      <c r="I53" s="667"/>
      <c r="J53" s="667"/>
      <c r="K53" s="667"/>
      <c r="L53" s="667"/>
      <c r="M53" s="667"/>
      <c r="N53" s="667"/>
      <c r="O53" s="667"/>
      <c r="P53" s="667"/>
      <c r="Q53" s="667"/>
      <c r="R53" s="667"/>
      <c r="S53" s="667"/>
      <c r="T53" s="667"/>
      <c r="U53" s="1012">
        <v>16</v>
      </c>
      <c r="V53" s="668">
        <f t="shared" si="2"/>
        <v>0</v>
      </c>
      <c r="W53" s="668">
        <f t="shared" si="3"/>
        <v>0</v>
      </c>
      <c r="X53" s="668">
        <f t="shared" si="4"/>
        <v>0</v>
      </c>
      <c r="Y53" s="668">
        <f t="shared" si="5"/>
        <v>0</v>
      </c>
      <c r="Z53" s="668">
        <f t="shared" si="7"/>
        <v>0</v>
      </c>
      <c r="AA53" s="668">
        <f t="shared" si="8"/>
        <v>0</v>
      </c>
      <c r="AB53" s="668">
        <f t="shared" si="9"/>
        <v>0</v>
      </c>
      <c r="AC53" s="668">
        <f t="shared" si="19"/>
        <v>0</v>
      </c>
      <c r="AD53" s="668">
        <f t="shared" si="10"/>
        <v>0</v>
      </c>
      <c r="AE53" s="668">
        <f t="shared" si="11"/>
        <v>0</v>
      </c>
      <c r="AF53" s="668">
        <f t="shared" si="6"/>
        <v>0</v>
      </c>
      <c r="AG53" s="668">
        <f t="shared" si="12"/>
        <v>0</v>
      </c>
      <c r="AH53" s="668"/>
      <c r="AI53" s="668"/>
      <c r="AJ53" s="668"/>
      <c r="AK53" s="668"/>
      <c r="AL53" s="668"/>
      <c r="AM53" s="668">
        <f t="shared" si="13"/>
        <v>0</v>
      </c>
      <c r="AN53" s="668">
        <f t="shared" si="14"/>
        <v>0</v>
      </c>
      <c r="AO53" s="668">
        <f t="shared" si="15"/>
        <v>0</v>
      </c>
      <c r="AP53" s="668">
        <f t="shared" si="16"/>
        <v>0</v>
      </c>
      <c r="AQ53" s="668">
        <f t="shared" si="17"/>
        <v>0</v>
      </c>
      <c r="AR53" s="668">
        <f t="shared" si="18"/>
        <v>0</v>
      </c>
      <c r="AS53" s="668"/>
      <c r="AT53" s="668"/>
      <c r="AU53" s="668"/>
      <c r="AV53" s="668"/>
      <c r="AW53" s="668"/>
      <c r="AX53" s="668"/>
      <c r="AY53" s="668"/>
      <c r="AZ53" s="668"/>
      <c r="BA53" s="668"/>
      <c r="BB53" s="668"/>
      <c r="BC53" s="668"/>
      <c r="BD53" s="668"/>
      <c r="BE53" s="668"/>
      <c r="BF53" s="668"/>
      <c r="BG53" s="668"/>
      <c r="BH53" s="668"/>
      <c r="BI53" s="668"/>
    </row>
    <row r="54" spans="1:61" x14ac:dyDescent="0.2">
      <c r="A54" s="1012"/>
      <c r="B54" s="1012"/>
      <c r="C54" s="1012"/>
      <c r="D54" s="667"/>
      <c r="E54" s="667"/>
      <c r="F54" s="667"/>
      <c r="G54" s="667"/>
      <c r="H54" s="667"/>
      <c r="I54" s="667"/>
      <c r="J54" s="667"/>
      <c r="K54" s="667"/>
      <c r="L54" s="667"/>
      <c r="M54" s="667"/>
      <c r="N54" s="667"/>
      <c r="O54" s="667"/>
      <c r="P54" s="667"/>
      <c r="Q54" s="667"/>
      <c r="R54" s="667"/>
      <c r="S54" s="667"/>
      <c r="T54" s="667"/>
      <c r="U54" s="1012"/>
      <c r="V54" s="668">
        <f t="shared" si="2"/>
        <v>0</v>
      </c>
      <c r="W54" s="668">
        <f t="shared" si="3"/>
        <v>0</v>
      </c>
      <c r="X54" s="668">
        <f t="shared" si="4"/>
        <v>0</v>
      </c>
      <c r="Y54" s="668">
        <f t="shared" si="5"/>
        <v>0</v>
      </c>
      <c r="Z54" s="668">
        <f t="shared" si="7"/>
        <v>0</v>
      </c>
      <c r="AA54" s="668">
        <f t="shared" si="8"/>
        <v>0</v>
      </c>
      <c r="AB54" s="668">
        <f t="shared" si="9"/>
        <v>0</v>
      </c>
      <c r="AC54" s="668">
        <f t="shared" si="19"/>
        <v>0</v>
      </c>
      <c r="AD54" s="668">
        <f t="shared" si="10"/>
        <v>0</v>
      </c>
      <c r="AE54" s="668">
        <f t="shared" si="11"/>
        <v>0</v>
      </c>
      <c r="AF54" s="668">
        <f t="shared" si="6"/>
        <v>0</v>
      </c>
      <c r="AG54" s="668">
        <f t="shared" si="12"/>
        <v>0</v>
      </c>
      <c r="AH54" s="668"/>
      <c r="AI54" s="668"/>
      <c r="AJ54" s="668"/>
      <c r="AK54" s="668"/>
      <c r="AL54" s="668"/>
      <c r="AM54" s="668">
        <f t="shared" si="13"/>
        <v>0</v>
      </c>
      <c r="AN54" s="668">
        <f t="shared" si="14"/>
        <v>0</v>
      </c>
      <c r="AO54" s="668">
        <f t="shared" si="15"/>
        <v>0</v>
      </c>
      <c r="AP54" s="668">
        <f t="shared" si="16"/>
        <v>0</v>
      </c>
      <c r="AQ54" s="668">
        <f t="shared" si="17"/>
        <v>0</v>
      </c>
      <c r="AR54" s="668">
        <f t="shared" si="18"/>
        <v>0</v>
      </c>
      <c r="AS54" s="668"/>
      <c r="AT54" s="668"/>
      <c r="AU54" s="668"/>
      <c r="AV54" s="668"/>
      <c r="AW54" s="668"/>
      <c r="AX54" s="668"/>
      <c r="AY54" s="668"/>
      <c r="AZ54" s="668"/>
      <c r="BA54" s="668"/>
      <c r="BB54" s="668"/>
      <c r="BC54" s="668"/>
      <c r="BD54" s="668"/>
      <c r="BE54" s="668"/>
      <c r="BF54" s="668"/>
      <c r="BG54" s="668"/>
      <c r="BH54" s="668"/>
      <c r="BI54" s="668"/>
    </row>
    <row r="55" spans="1:61" x14ac:dyDescent="0.2">
      <c r="A55" s="1012"/>
      <c r="B55" s="1019" t="s">
        <v>497</v>
      </c>
      <c r="C55" s="1012"/>
      <c r="D55" s="667"/>
      <c r="E55" s="667"/>
      <c r="F55" s="667"/>
      <c r="G55" s="667"/>
      <c r="H55" s="667"/>
      <c r="I55" s="667"/>
      <c r="J55" s="667"/>
      <c r="K55" s="667"/>
      <c r="L55" s="667"/>
      <c r="M55" s="667"/>
      <c r="N55" s="667"/>
      <c r="O55" s="667"/>
      <c r="P55" s="667"/>
      <c r="Q55" s="667"/>
      <c r="R55" s="667"/>
      <c r="S55" s="667"/>
      <c r="T55" s="667"/>
      <c r="U55" s="1012"/>
      <c r="V55" s="668">
        <f t="shared" si="2"/>
        <v>0</v>
      </c>
      <c r="W55" s="668">
        <f t="shared" si="3"/>
        <v>0</v>
      </c>
      <c r="X55" s="668">
        <f t="shared" si="4"/>
        <v>0</v>
      </c>
      <c r="Y55" s="668">
        <f t="shared" si="5"/>
        <v>0</v>
      </c>
      <c r="Z55" s="668">
        <f t="shared" si="7"/>
        <v>0</v>
      </c>
      <c r="AA55" s="668">
        <f t="shared" si="8"/>
        <v>0</v>
      </c>
      <c r="AB55" s="668">
        <f t="shared" si="9"/>
        <v>0</v>
      </c>
      <c r="AC55" s="668">
        <f t="shared" si="19"/>
        <v>0</v>
      </c>
      <c r="AD55" s="668">
        <f t="shared" si="10"/>
        <v>0</v>
      </c>
      <c r="AE55" s="668">
        <f t="shared" si="11"/>
        <v>0</v>
      </c>
      <c r="AF55" s="668">
        <f t="shared" si="6"/>
        <v>0</v>
      </c>
      <c r="AG55" s="668">
        <f t="shared" si="12"/>
        <v>0</v>
      </c>
      <c r="AH55" s="668"/>
      <c r="AI55" s="668"/>
      <c r="AJ55" s="668"/>
      <c r="AK55" s="668"/>
      <c r="AL55" s="668"/>
      <c r="AM55" s="668">
        <f t="shared" si="13"/>
        <v>0</v>
      </c>
      <c r="AN55" s="668">
        <f t="shared" si="14"/>
        <v>0</v>
      </c>
      <c r="AO55" s="668">
        <f t="shared" si="15"/>
        <v>0</v>
      </c>
      <c r="AP55" s="668">
        <f t="shared" si="16"/>
        <v>0</v>
      </c>
      <c r="AQ55" s="668">
        <f t="shared" si="17"/>
        <v>0</v>
      </c>
      <c r="AR55" s="668">
        <f t="shared" si="18"/>
        <v>0</v>
      </c>
      <c r="AS55" s="668"/>
      <c r="AT55" s="668"/>
      <c r="AU55" s="668"/>
      <c r="AV55" s="668"/>
      <c r="AW55" s="668"/>
      <c r="AX55" s="668"/>
      <c r="AY55" s="668"/>
      <c r="AZ55" s="668"/>
      <c r="BA55" s="668"/>
      <c r="BB55" s="668"/>
      <c r="BC55" s="668"/>
      <c r="BD55" s="668"/>
      <c r="BE55" s="668"/>
      <c r="BF55" s="668"/>
      <c r="BG55" s="668"/>
      <c r="BH55" s="668"/>
      <c r="BI55" s="668"/>
    </row>
    <row r="56" spans="1:61" x14ac:dyDescent="0.2">
      <c r="A56" s="1012">
        <v>2</v>
      </c>
      <c r="B56" s="1012" t="s">
        <v>498</v>
      </c>
      <c r="C56" s="1012"/>
      <c r="D56" s="667"/>
      <c r="E56" s="667"/>
      <c r="F56" s="667"/>
      <c r="G56" s="667"/>
      <c r="H56" s="667"/>
      <c r="I56" s="667"/>
      <c r="J56" s="667"/>
      <c r="K56" s="667"/>
      <c r="L56" s="667"/>
      <c r="M56" s="667"/>
      <c r="N56" s="667">
        <v>125</v>
      </c>
      <c r="O56" s="667"/>
      <c r="P56" s="667"/>
      <c r="Q56" s="667"/>
      <c r="R56" s="667"/>
      <c r="S56" s="667"/>
      <c r="T56" s="667"/>
      <c r="U56" s="1012"/>
      <c r="V56" s="668">
        <f t="shared" si="2"/>
        <v>0</v>
      </c>
      <c r="W56" s="668">
        <f t="shared" si="3"/>
        <v>0</v>
      </c>
      <c r="X56" s="668">
        <f t="shared" si="4"/>
        <v>0</v>
      </c>
      <c r="Y56" s="668">
        <f t="shared" si="5"/>
        <v>0</v>
      </c>
      <c r="Z56" s="668">
        <f t="shared" si="7"/>
        <v>0</v>
      </c>
      <c r="AA56" s="668">
        <f t="shared" si="8"/>
        <v>0</v>
      </c>
      <c r="AB56" s="668">
        <f t="shared" si="9"/>
        <v>0</v>
      </c>
      <c r="AC56" s="668">
        <f t="shared" si="19"/>
        <v>0</v>
      </c>
      <c r="AD56" s="668">
        <f t="shared" si="10"/>
        <v>0</v>
      </c>
      <c r="AE56" s="668">
        <f t="shared" si="11"/>
        <v>0</v>
      </c>
      <c r="AF56" s="668">
        <f t="shared" si="6"/>
        <v>0</v>
      </c>
      <c r="AG56" s="668">
        <f t="shared" si="12"/>
        <v>1125</v>
      </c>
      <c r="AH56" s="668"/>
      <c r="AI56" s="668">
        <f>+'Misc Take Off'!H23</f>
        <v>5463</v>
      </c>
      <c r="AJ56" s="668">
        <f>+'Misc Take Off'!E23</f>
        <v>6866</v>
      </c>
      <c r="AK56" s="668">
        <f>+'Misc Take Off'!D23+'Misc Take Off'!I23</f>
        <v>13389</v>
      </c>
      <c r="AL56" s="668">
        <f>+'Misc Take Off'!F23</f>
        <v>6000</v>
      </c>
      <c r="AM56" s="668">
        <f t="shared" si="13"/>
        <v>0</v>
      </c>
      <c r="AN56" s="668">
        <f t="shared" si="14"/>
        <v>0</v>
      </c>
      <c r="AO56" s="668">
        <f t="shared" si="15"/>
        <v>0</v>
      </c>
      <c r="AP56" s="668">
        <f t="shared" si="16"/>
        <v>0</v>
      </c>
      <c r="AQ56" s="668">
        <f t="shared" si="17"/>
        <v>0</v>
      </c>
      <c r="AR56" s="668">
        <f t="shared" si="18"/>
        <v>0</v>
      </c>
      <c r="AS56" s="668"/>
      <c r="AT56" s="668"/>
      <c r="AU56" s="668"/>
      <c r="AV56" s="668"/>
      <c r="AW56" s="668"/>
      <c r="AX56" s="668"/>
      <c r="AY56" s="668"/>
      <c r="AZ56" s="668"/>
      <c r="BA56" s="668"/>
      <c r="BB56" s="668"/>
      <c r="BC56" s="668"/>
      <c r="BD56" s="668"/>
      <c r="BE56" s="668"/>
      <c r="BF56" s="668"/>
      <c r="BG56" s="668"/>
      <c r="BH56" s="668"/>
      <c r="BI56" s="668"/>
    </row>
    <row r="57" spans="1:61" x14ac:dyDescent="0.2">
      <c r="A57" s="1012">
        <v>21</v>
      </c>
      <c r="B57" s="1012" t="s">
        <v>484</v>
      </c>
      <c r="C57" s="1012"/>
      <c r="D57" s="667"/>
      <c r="E57" s="667"/>
      <c r="F57" s="667"/>
      <c r="G57" s="667"/>
      <c r="H57" s="667">
        <v>22</v>
      </c>
      <c r="I57" s="667"/>
      <c r="J57" s="667"/>
      <c r="K57" s="667"/>
      <c r="L57" s="667"/>
      <c r="M57" s="667"/>
      <c r="N57" s="667"/>
      <c r="O57" s="667"/>
      <c r="P57" s="667"/>
      <c r="Q57" s="1014">
        <v>30</v>
      </c>
      <c r="R57" s="667"/>
      <c r="S57" s="667"/>
      <c r="T57" s="667"/>
      <c r="U57" s="1012">
        <v>12</v>
      </c>
      <c r="V57" s="668">
        <f t="shared" si="2"/>
        <v>0</v>
      </c>
      <c r="W57" s="668">
        <f t="shared" si="3"/>
        <v>0</v>
      </c>
      <c r="X57" s="668">
        <f t="shared" si="4"/>
        <v>264</v>
      </c>
      <c r="Y57" s="668">
        <f t="shared" si="5"/>
        <v>0</v>
      </c>
      <c r="Z57" s="668">
        <f t="shared" si="7"/>
        <v>0</v>
      </c>
      <c r="AA57" s="668">
        <f t="shared" si="8"/>
        <v>0</v>
      </c>
      <c r="AB57" s="668">
        <f t="shared" si="9"/>
        <v>0</v>
      </c>
      <c r="AC57" s="668">
        <f t="shared" si="19"/>
        <v>0</v>
      </c>
      <c r="AD57" s="668">
        <f t="shared" si="10"/>
        <v>30</v>
      </c>
      <c r="AE57" s="668">
        <f t="shared" si="11"/>
        <v>0</v>
      </c>
      <c r="AF57" s="668">
        <f t="shared" si="6"/>
        <v>0</v>
      </c>
      <c r="AG57" s="668">
        <f t="shared" si="12"/>
        <v>0</v>
      </c>
      <c r="AH57" s="668"/>
      <c r="AI57" s="668"/>
      <c r="AJ57" s="668"/>
      <c r="AK57" s="668"/>
      <c r="AL57" s="668"/>
      <c r="AM57" s="668">
        <f t="shared" si="13"/>
        <v>0</v>
      </c>
      <c r="AN57" s="668">
        <f t="shared" si="14"/>
        <v>0</v>
      </c>
      <c r="AO57" s="668">
        <f t="shared" si="15"/>
        <v>0</v>
      </c>
      <c r="AP57" s="668">
        <f t="shared" si="16"/>
        <v>0</v>
      </c>
      <c r="AQ57" s="668">
        <f t="shared" si="17"/>
        <v>0</v>
      </c>
      <c r="AR57" s="668">
        <f t="shared" si="18"/>
        <v>0</v>
      </c>
      <c r="AS57" s="668"/>
      <c r="AT57" s="668"/>
      <c r="AU57" s="668"/>
      <c r="AV57" s="668"/>
      <c r="AW57" s="668"/>
      <c r="AX57" s="668"/>
      <c r="AY57" s="668"/>
      <c r="AZ57" s="668"/>
      <c r="BA57" s="668"/>
      <c r="BB57" s="668"/>
      <c r="BC57" s="668"/>
      <c r="BD57" s="668"/>
      <c r="BE57" s="668"/>
      <c r="BF57" s="668"/>
      <c r="BG57" s="668"/>
      <c r="BH57" s="668"/>
      <c r="BI57" s="668"/>
    </row>
    <row r="58" spans="1:61" x14ac:dyDescent="0.2">
      <c r="A58" s="1012">
        <v>22</v>
      </c>
      <c r="B58" s="1012" t="s">
        <v>486</v>
      </c>
      <c r="C58" s="1012"/>
      <c r="D58" s="667"/>
      <c r="E58" s="667"/>
      <c r="F58" s="667"/>
      <c r="G58" s="667">
        <v>52</v>
      </c>
      <c r="H58" s="667">
        <v>44</v>
      </c>
      <c r="I58" s="667"/>
      <c r="J58" s="667"/>
      <c r="K58" s="667"/>
      <c r="L58" s="667"/>
      <c r="M58" s="667"/>
      <c r="N58" s="667"/>
      <c r="O58" s="667"/>
      <c r="P58" s="667"/>
      <c r="Q58" s="1014">
        <v>418</v>
      </c>
      <c r="R58" s="667"/>
      <c r="S58" s="667"/>
      <c r="T58" s="667"/>
      <c r="U58" s="1012">
        <v>12</v>
      </c>
      <c r="V58" s="668">
        <f t="shared" si="2"/>
        <v>0</v>
      </c>
      <c r="W58" s="668">
        <f t="shared" si="3"/>
        <v>624</v>
      </c>
      <c r="X58" s="668">
        <f t="shared" si="4"/>
        <v>528</v>
      </c>
      <c r="Y58" s="668">
        <f t="shared" si="5"/>
        <v>0</v>
      </c>
      <c r="Z58" s="668">
        <f t="shared" si="7"/>
        <v>0</v>
      </c>
      <c r="AA58" s="668">
        <f t="shared" si="8"/>
        <v>0</v>
      </c>
      <c r="AB58" s="668">
        <f t="shared" si="9"/>
        <v>0</v>
      </c>
      <c r="AC58" s="668">
        <f t="shared" si="19"/>
        <v>0</v>
      </c>
      <c r="AD58" s="668">
        <f t="shared" si="10"/>
        <v>418</v>
      </c>
      <c r="AE58" s="668">
        <f t="shared" si="11"/>
        <v>0</v>
      </c>
      <c r="AF58" s="668">
        <f t="shared" si="6"/>
        <v>0</v>
      </c>
      <c r="AG58" s="668">
        <f t="shared" si="12"/>
        <v>0</v>
      </c>
      <c r="AH58" s="668"/>
      <c r="AI58" s="668"/>
      <c r="AJ58" s="668"/>
      <c r="AK58" s="668"/>
      <c r="AL58" s="668"/>
      <c r="AM58" s="668">
        <f t="shared" si="13"/>
        <v>0</v>
      </c>
      <c r="AN58" s="668">
        <f t="shared" si="14"/>
        <v>0</v>
      </c>
      <c r="AO58" s="668">
        <f t="shared" si="15"/>
        <v>0</v>
      </c>
      <c r="AP58" s="668">
        <f t="shared" si="16"/>
        <v>0</v>
      </c>
      <c r="AQ58" s="668">
        <f t="shared" si="17"/>
        <v>0</v>
      </c>
      <c r="AR58" s="668">
        <f t="shared" si="18"/>
        <v>0</v>
      </c>
      <c r="AS58" s="668"/>
      <c r="AT58" s="668"/>
      <c r="AU58" s="668"/>
      <c r="AV58" s="668"/>
      <c r="AW58" s="668"/>
      <c r="AX58" s="668"/>
      <c r="AY58" s="668"/>
      <c r="AZ58" s="668"/>
      <c r="BA58" s="668"/>
      <c r="BB58" s="668"/>
      <c r="BC58" s="668"/>
      <c r="BD58" s="668"/>
      <c r="BE58" s="668"/>
      <c r="BF58" s="668"/>
      <c r="BG58" s="668"/>
      <c r="BH58" s="668"/>
      <c r="BI58" s="668"/>
    </row>
    <row r="59" spans="1:61" x14ac:dyDescent="0.2">
      <c r="A59" s="1012">
        <v>23</v>
      </c>
      <c r="B59" s="1012" t="s">
        <v>484</v>
      </c>
      <c r="C59" s="1012"/>
      <c r="D59" s="667"/>
      <c r="E59" s="667"/>
      <c r="F59" s="667"/>
      <c r="G59" s="667"/>
      <c r="H59" s="667">
        <v>30</v>
      </c>
      <c r="I59" s="667"/>
      <c r="J59" s="667"/>
      <c r="K59" s="667"/>
      <c r="L59" s="667"/>
      <c r="M59" s="667"/>
      <c r="N59" s="667"/>
      <c r="O59" s="667"/>
      <c r="P59" s="667"/>
      <c r="Q59" s="1014">
        <v>48</v>
      </c>
      <c r="R59" s="667"/>
      <c r="S59" s="667"/>
      <c r="T59" s="667"/>
      <c r="U59" s="1012">
        <v>12</v>
      </c>
      <c r="V59" s="668">
        <f t="shared" si="2"/>
        <v>0</v>
      </c>
      <c r="W59" s="668">
        <f t="shared" si="3"/>
        <v>0</v>
      </c>
      <c r="X59" s="668">
        <f t="shared" si="4"/>
        <v>360</v>
      </c>
      <c r="Y59" s="668">
        <f t="shared" si="5"/>
        <v>0</v>
      </c>
      <c r="Z59" s="668">
        <f t="shared" si="7"/>
        <v>0</v>
      </c>
      <c r="AA59" s="668">
        <f t="shared" si="8"/>
        <v>0</v>
      </c>
      <c r="AB59" s="668">
        <f t="shared" si="9"/>
        <v>0</v>
      </c>
      <c r="AC59" s="668">
        <f t="shared" si="19"/>
        <v>0</v>
      </c>
      <c r="AD59" s="668">
        <f t="shared" si="10"/>
        <v>48</v>
      </c>
      <c r="AE59" s="668">
        <f t="shared" si="11"/>
        <v>0</v>
      </c>
      <c r="AF59" s="668">
        <f t="shared" si="6"/>
        <v>0</v>
      </c>
      <c r="AG59" s="668">
        <f t="shared" si="12"/>
        <v>0</v>
      </c>
      <c r="AH59" s="668"/>
      <c r="AI59" s="668"/>
      <c r="AJ59" s="668"/>
      <c r="AK59" s="668"/>
      <c r="AL59" s="668"/>
      <c r="AM59" s="668">
        <f t="shared" si="13"/>
        <v>0</v>
      </c>
      <c r="AN59" s="668">
        <f t="shared" si="14"/>
        <v>0</v>
      </c>
      <c r="AO59" s="668">
        <f t="shared" si="15"/>
        <v>0</v>
      </c>
      <c r="AP59" s="668">
        <f t="shared" si="16"/>
        <v>0</v>
      </c>
      <c r="AQ59" s="668">
        <f t="shared" si="17"/>
        <v>0</v>
      </c>
      <c r="AR59" s="668">
        <f t="shared" si="18"/>
        <v>0</v>
      </c>
      <c r="AS59" s="668"/>
      <c r="AT59" s="668"/>
      <c r="AU59" s="668"/>
      <c r="AV59" s="668"/>
      <c r="AW59" s="668"/>
      <c r="AX59" s="668"/>
      <c r="AY59" s="668"/>
      <c r="AZ59" s="668"/>
      <c r="BA59" s="668"/>
      <c r="BB59" s="668"/>
      <c r="BC59" s="668"/>
      <c r="BD59" s="668"/>
      <c r="BE59" s="668"/>
      <c r="BF59" s="668"/>
      <c r="BG59" s="668"/>
      <c r="BH59" s="668"/>
      <c r="BI59" s="668"/>
    </row>
    <row r="60" spans="1:61" x14ac:dyDescent="0.2">
      <c r="A60" s="1012">
        <v>1138</v>
      </c>
      <c r="B60" s="1012" t="s">
        <v>488</v>
      </c>
      <c r="C60" s="1012"/>
      <c r="D60" s="667"/>
      <c r="E60" s="667"/>
      <c r="F60" s="667"/>
      <c r="G60" s="667"/>
      <c r="H60" s="667"/>
      <c r="I60" s="667"/>
      <c r="J60" s="667"/>
      <c r="K60" s="667"/>
      <c r="L60" s="667"/>
      <c r="M60" s="667"/>
      <c r="N60" s="667"/>
      <c r="O60" s="667"/>
      <c r="P60" s="667"/>
      <c r="Q60" s="667"/>
      <c r="R60" s="667"/>
      <c r="S60" s="667"/>
      <c r="T60" s="667"/>
      <c r="U60" s="1012"/>
      <c r="V60" s="668">
        <f t="shared" si="2"/>
        <v>0</v>
      </c>
      <c r="W60" s="668">
        <f t="shared" si="3"/>
        <v>0</v>
      </c>
      <c r="X60" s="668">
        <f t="shared" si="4"/>
        <v>0</v>
      </c>
      <c r="Y60" s="668">
        <f t="shared" si="5"/>
        <v>0</v>
      </c>
      <c r="Z60" s="668">
        <f t="shared" si="7"/>
        <v>0</v>
      </c>
      <c r="AA60" s="668">
        <f t="shared" si="8"/>
        <v>0</v>
      </c>
      <c r="AB60" s="668">
        <f t="shared" si="9"/>
        <v>0</v>
      </c>
      <c r="AC60" s="668">
        <f t="shared" si="19"/>
        <v>0</v>
      </c>
      <c r="AD60" s="668">
        <f t="shared" si="10"/>
        <v>0</v>
      </c>
      <c r="AE60" s="668">
        <f t="shared" si="11"/>
        <v>0</v>
      </c>
      <c r="AF60" s="668">
        <f t="shared" si="6"/>
        <v>0</v>
      </c>
      <c r="AG60" s="668">
        <f t="shared" si="12"/>
        <v>0</v>
      </c>
      <c r="AH60" s="668"/>
      <c r="AI60" s="668"/>
      <c r="AJ60" s="668"/>
      <c r="AK60" s="668"/>
      <c r="AL60" s="668"/>
      <c r="AM60" s="668">
        <f t="shared" si="13"/>
        <v>0</v>
      </c>
      <c r="AN60" s="668">
        <f t="shared" si="14"/>
        <v>0</v>
      </c>
      <c r="AO60" s="668">
        <f t="shared" si="15"/>
        <v>0</v>
      </c>
      <c r="AP60" s="668">
        <f t="shared" si="16"/>
        <v>0</v>
      </c>
      <c r="AQ60" s="668">
        <f t="shared" si="17"/>
        <v>0</v>
      </c>
      <c r="AR60" s="668">
        <f t="shared" si="18"/>
        <v>0</v>
      </c>
      <c r="AS60" s="668"/>
      <c r="AT60" s="668"/>
      <c r="AU60" s="668"/>
      <c r="AV60" s="668"/>
      <c r="AW60" s="668"/>
      <c r="AX60" s="668"/>
      <c r="AY60" s="668"/>
      <c r="AZ60" s="668"/>
      <c r="BA60" s="668"/>
      <c r="BB60" s="668"/>
      <c r="BC60" s="668"/>
      <c r="BD60" s="668"/>
      <c r="BE60" s="668"/>
      <c r="BF60" s="668"/>
      <c r="BG60" s="668"/>
      <c r="BH60" s="668"/>
      <c r="BI60" s="668"/>
    </row>
    <row r="61" spans="1:61" x14ac:dyDescent="0.2">
      <c r="A61" s="1012"/>
      <c r="B61" s="1012"/>
      <c r="C61" s="1012"/>
      <c r="D61" s="667"/>
      <c r="E61" s="667"/>
      <c r="F61" s="667"/>
      <c r="G61" s="667"/>
      <c r="H61" s="667"/>
      <c r="I61" s="667"/>
      <c r="J61" s="667"/>
      <c r="K61" s="667"/>
      <c r="L61" s="667"/>
      <c r="M61" s="667"/>
      <c r="N61" s="667"/>
      <c r="O61" s="667"/>
      <c r="P61" s="667"/>
      <c r="Q61" s="667"/>
      <c r="R61" s="667"/>
      <c r="S61" s="667"/>
      <c r="T61" s="667"/>
      <c r="U61" s="1012"/>
      <c r="V61" s="668">
        <f t="shared" si="2"/>
        <v>0</v>
      </c>
      <c r="W61" s="668">
        <f t="shared" si="3"/>
        <v>0</v>
      </c>
      <c r="X61" s="668">
        <f t="shared" si="4"/>
        <v>0</v>
      </c>
      <c r="Y61" s="668">
        <f t="shared" si="5"/>
        <v>0</v>
      </c>
      <c r="Z61" s="668">
        <f t="shared" si="7"/>
        <v>0</v>
      </c>
      <c r="AA61" s="668">
        <f t="shared" si="8"/>
        <v>0</v>
      </c>
      <c r="AB61" s="668">
        <f t="shared" si="9"/>
        <v>0</v>
      </c>
      <c r="AC61" s="668">
        <f t="shared" si="19"/>
        <v>0</v>
      </c>
      <c r="AD61" s="668">
        <f t="shared" si="10"/>
        <v>0</v>
      </c>
      <c r="AE61" s="668">
        <f t="shared" si="11"/>
        <v>0</v>
      </c>
      <c r="AF61" s="668">
        <f t="shared" si="6"/>
        <v>0</v>
      </c>
      <c r="AG61" s="668">
        <f t="shared" si="12"/>
        <v>0</v>
      </c>
      <c r="AH61" s="668"/>
      <c r="AI61" s="668"/>
      <c r="AJ61" s="668"/>
      <c r="AK61" s="668"/>
      <c r="AL61" s="668"/>
      <c r="AM61" s="668">
        <f t="shared" si="13"/>
        <v>0</v>
      </c>
      <c r="AN61" s="668">
        <f t="shared" si="14"/>
        <v>0</v>
      </c>
      <c r="AO61" s="668">
        <f t="shared" si="15"/>
        <v>0</v>
      </c>
      <c r="AP61" s="668">
        <f t="shared" si="16"/>
        <v>0</v>
      </c>
      <c r="AQ61" s="668">
        <f t="shared" si="17"/>
        <v>0</v>
      </c>
      <c r="AR61" s="668">
        <f t="shared" si="18"/>
        <v>0</v>
      </c>
      <c r="AS61" s="668"/>
      <c r="AT61" s="668"/>
      <c r="AU61" s="668"/>
      <c r="AV61" s="668"/>
      <c r="AW61" s="668"/>
      <c r="AX61" s="668"/>
      <c r="AY61" s="668"/>
      <c r="AZ61" s="668"/>
      <c r="BA61" s="668"/>
      <c r="BB61" s="668"/>
      <c r="BC61" s="668"/>
      <c r="BD61" s="668"/>
      <c r="BE61" s="668"/>
      <c r="BF61" s="668"/>
      <c r="BG61" s="668"/>
      <c r="BH61" s="668"/>
      <c r="BI61" s="668"/>
    </row>
    <row r="62" spans="1:61" x14ac:dyDescent="0.2">
      <c r="A62" s="1012"/>
      <c r="B62" s="1019" t="s">
        <v>499</v>
      </c>
      <c r="C62" s="1012"/>
      <c r="D62" s="667"/>
      <c r="E62" s="667"/>
      <c r="F62" s="667"/>
      <c r="G62" s="667"/>
      <c r="H62" s="667"/>
      <c r="I62" s="667"/>
      <c r="J62" s="667"/>
      <c r="K62" s="667"/>
      <c r="L62" s="667"/>
      <c r="M62" s="667"/>
      <c r="N62" s="667"/>
      <c r="O62" s="667"/>
      <c r="P62" s="667"/>
      <c r="Q62" s="667"/>
      <c r="R62" s="667"/>
      <c r="S62" s="667"/>
      <c r="T62" s="667"/>
      <c r="U62" s="1012"/>
      <c r="V62" s="668">
        <f t="shared" si="2"/>
        <v>0</v>
      </c>
      <c r="W62" s="668">
        <f t="shared" si="3"/>
        <v>0</v>
      </c>
      <c r="X62" s="668">
        <f t="shared" si="4"/>
        <v>0</v>
      </c>
      <c r="Y62" s="668">
        <f t="shared" si="5"/>
        <v>0</v>
      </c>
      <c r="Z62" s="668">
        <f t="shared" si="7"/>
        <v>0</v>
      </c>
      <c r="AA62" s="668">
        <f t="shared" si="8"/>
        <v>0</v>
      </c>
      <c r="AB62" s="668">
        <f t="shared" si="9"/>
        <v>0</v>
      </c>
      <c r="AC62" s="668">
        <f t="shared" si="19"/>
        <v>0</v>
      </c>
      <c r="AD62" s="668">
        <f t="shared" si="10"/>
        <v>0</v>
      </c>
      <c r="AE62" s="668">
        <f t="shared" si="11"/>
        <v>0</v>
      </c>
      <c r="AF62" s="668">
        <f t="shared" si="6"/>
        <v>0</v>
      </c>
      <c r="AG62" s="668">
        <f t="shared" si="12"/>
        <v>0</v>
      </c>
      <c r="AH62" s="668"/>
      <c r="AI62" s="668"/>
      <c r="AJ62" s="668"/>
      <c r="AK62" s="668"/>
      <c r="AL62" s="668"/>
      <c r="AM62" s="668">
        <f t="shared" si="13"/>
        <v>0</v>
      </c>
      <c r="AN62" s="668">
        <f t="shared" si="14"/>
        <v>0</v>
      </c>
      <c r="AO62" s="668">
        <f t="shared" si="15"/>
        <v>0</v>
      </c>
      <c r="AP62" s="668">
        <f t="shared" si="16"/>
        <v>0</v>
      </c>
      <c r="AQ62" s="668">
        <f t="shared" si="17"/>
        <v>0</v>
      </c>
      <c r="AR62" s="668">
        <f t="shared" si="18"/>
        <v>0</v>
      </c>
      <c r="AS62" s="668">
        <v>18</v>
      </c>
      <c r="AT62" s="668">
        <v>13</v>
      </c>
      <c r="AU62" s="668"/>
      <c r="AV62" s="668"/>
      <c r="AW62" s="668"/>
      <c r="AX62" s="668"/>
      <c r="AY62" s="668"/>
      <c r="AZ62" s="668"/>
      <c r="BA62" s="668"/>
      <c r="BB62" s="668"/>
      <c r="BC62" s="668"/>
      <c r="BD62" s="668"/>
      <c r="BE62" s="668"/>
      <c r="BF62" s="668"/>
      <c r="BG62" s="668"/>
      <c r="BH62" s="668"/>
      <c r="BI62" s="668"/>
    </row>
    <row r="63" spans="1:61" x14ac:dyDescent="0.2">
      <c r="A63" s="1012">
        <v>3</v>
      </c>
      <c r="B63" s="1012" t="s">
        <v>498</v>
      </c>
      <c r="C63" s="1012"/>
      <c r="D63" s="667"/>
      <c r="E63" s="667"/>
      <c r="F63" s="667"/>
      <c r="G63" s="667"/>
      <c r="H63" s="667"/>
      <c r="I63" s="667"/>
      <c r="J63" s="667"/>
      <c r="K63" s="667"/>
      <c r="L63" s="667"/>
      <c r="M63" s="667"/>
      <c r="N63" s="667"/>
      <c r="O63" s="667"/>
      <c r="P63" s="667"/>
      <c r="Q63" s="667"/>
      <c r="R63" s="667"/>
      <c r="S63" s="667"/>
      <c r="T63" s="667"/>
      <c r="U63" s="1012"/>
      <c r="V63" s="668">
        <f t="shared" si="2"/>
        <v>0</v>
      </c>
      <c r="W63" s="668">
        <f t="shared" si="3"/>
        <v>0</v>
      </c>
      <c r="X63" s="668">
        <f t="shared" si="4"/>
        <v>0</v>
      </c>
      <c r="Y63" s="668">
        <f t="shared" si="5"/>
        <v>0</v>
      </c>
      <c r="Z63" s="668">
        <f t="shared" si="7"/>
        <v>0</v>
      </c>
      <c r="AA63" s="668">
        <f t="shared" si="8"/>
        <v>0</v>
      </c>
      <c r="AB63" s="668">
        <f t="shared" si="9"/>
        <v>0</v>
      </c>
      <c r="AC63" s="668">
        <f t="shared" si="19"/>
        <v>0</v>
      </c>
      <c r="AD63" s="668">
        <f t="shared" si="10"/>
        <v>0</v>
      </c>
      <c r="AE63" s="668">
        <f t="shared" si="11"/>
        <v>0</v>
      </c>
      <c r="AF63" s="668">
        <f t="shared" si="6"/>
        <v>0</v>
      </c>
      <c r="AG63" s="668">
        <f t="shared" si="12"/>
        <v>0</v>
      </c>
      <c r="AH63" s="668"/>
      <c r="AI63" s="668"/>
      <c r="AJ63" s="668"/>
      <c r="AK63" s="668"/>
      <c r="AL63" s="668"/>
      <c r="AM63" s="668">
        <f t="shared" si="13"/>
        <v>0</v>
      </c>
      <c r="AN63" s="668">
        <f t="shared" si="14"/>
        <v>0</v>
      </c>
      <c r="AO63" s="668">
        <f t="shared" si="15"/>
        <v>0</v>
      </c>
      <c r="AP63" s="668">
        <f t="shared" si="16"/>
        <v>0</v>
      </c>
      <c r="AQ63" s="668">
        <f t="shared" si="17"/>
        <v>0</v>
      </c>
      <c r="AR63" s="668">
        <f t="shared" si="18"/>
        <v>0</v>
      </c>
      <c r="AS63" s="668"/>
      <c r="AT63" s="668"/>
      <c r="AU63" s="668"/>
      <c r="AV63" s="668"/>
      <c r="AW63" s="668"/>
      <c r="AX63" s="668"/>
      <c r="AY63" s="668"/>
      <c r="AZ63" s="668"/>
      <c r="BA63" s="668"/>
      <c r="BB63" s="668"/>
      <c r="BC63" s="668"/>
      <c r="BD63" s="668"/>
      <c r="BE63" s="668"/>
      <c r="BF63" s="668"/>
      <c r="BG63" s="668"/>
      <c r="BH63" s="668"/>
      <c r="BI63" s="668"/>
    </row>
    <row r="64" spans="1:61" x14ac:dyDescent="0.2">
      <c r="A64" s="1012">
        <v>7</v>
      </c>
      <c r="B64" s="1012" t="s">
        <v>500</v>
      </c>
      <c r="C64" s="1012"/>
      <c r="D64" s="667"/>
      <c r="E64" s="667"/>
      <c r="F64" s="667"/>
      <c r="G64" s="667"/>
      <c r="H64" s="667"/>
      <c r="I64" s="667"/>
      <c r="J64" s="667"/>
      <c r="K64" s="667"/>
      <c r="L64" s="667"/>
      <c r="M64" s="667"/>
      <c r="N64" s="667"/>
      <c r="O64" s="667"/>
      <c r="P64" s="667"/>
      <c r="Q64" s="667"/>
      <c r="R64" s="667"/>
      <c r="S64" s="667"/>
      <c r="T64" s="667"/>
      <c r="U64" s="1012"/>
      <c r="V64" s="668">
        <f t="shared" si="2"/>
        <v>0</v>
      </c>
      <c r="W64" s="668">
        <f t="shared" si="3"/>
        <v>0</v>
      </c>
      <c r="X64" s="668">
        <f t="shared" si="4"/>
        <v>0</v>
      </c>
      <c r="Y64" s="668">
        <f t="shared" si="5"/>
        <v>0</v>
      </c>
      <c r="Z64" s="668">
        <f t="shared" si="7"/>
        <v>0</v>
      </c>
      <c r="AA64" s="668">
        <f t="shared" si="8"/>
        <v>0</v>
      </c>
      <c r="AB64" s="668">
        <f t="shared" si="9"/>
        <v>0</v>
      </c>
      <c r="AC64" s="668">
        <f t="shared" si="19"/>
        <v>0</v>
      </c>
      <c r="AD64" s="668">
        <f t="shared" si="10"/>
        <v>0</v>
      </c>
      <c r="AE64" s="668">
        <f t="shared" si="11"/>
        <v>0</v>
      </c>
      <c r="AF64" s="668">
        <f t="shared" si="6"/>
        <v>0</v>
      </c>
      <c r="AG64" s="668">
        <f t="shared" si="12"/>
        <v>0</v>
      </c>
      <c r="AH64" s="668"/>
      <c r="AI64" s="668"/>
      <c r="AJ64" s="668"/>
      <c r="AK64" s="668"/>
      <c r="AL64" s="668"/>
      <c r="AM64" s="668">
        <f t="shared" si="13"/>
        <v>0</v>
      </c>
      <c r="AN64" s="668">
        <f t="shared" si="14"/>
        <v>0</v>
      </c>
      <c r="AO64" s="668">
        <f t="shared" si="15"/>
        <v>0</v>
      </c>
      <c r="AP64" s="668">
        <f t="shared" si="16"/>
        <v>0</v>
      </c>
      <c r="AQ64" s="668">
        <f t="shared" si="17"/>
        <v>0</v>
      </c>
      <c r="AR64" s="668">
        <f t="shared" si="18"/>
        <v>0</v>
      </c>
      <c r="AS64" s="668"/>
      <c r="AT64" s="668"/>
      <c r="AU64" s="668"/>
      <c r="AV64" s="668"/>
      <c r="AW64" s="668"/>
      <c r="AX64" s="668"/>
      <c r="AY64" s="668"/>
      <c r="AZ64" s="668"/>
      <c r="BA64" s="668"/>
      <c r="BB64" s="668"/>
      <c r="BC64" s="668"/>
      <c r="BD64" s="668"/>
      <c r="BE64" s="668"/>
      <c r="BF64" s="668"/>
      <c r="BG64" s="668"/>
      <c r="BH64" s="668"/>
      <c r="BI64" s="668"/>
    </row>
    <row r="65" spans="1:61" x14ac:dyDescent="0.2">
      <c r="A65" s="1012">
        <v>8</v>
      </c>
      <c r="B65" s="1012" t="s">
        <v>484</v>
      </c>
      <c r="C65" s="1012"/>
      <c r="D65" s="667"/>
      <c r="E65" s="667"/>
      <c r="F65" s="667"/>
      <c r="G65" s="667"/>
      <c r="H65" s="667">
        <v>30</v>
      </c>
      <c r="I65" s="667"/>
      <c r="J65" s="667"/>
      <c r="K65" s="667"/>
      <c r="L65" s="667"/>
      <c r="M65" s="667"/>
      <c r="N65" s="667"/>
      <c r="O65" s="667"/>
      <c r="P65" s="667"/>
      <c r="Q65" s="1014">
        <v>50</v>
      </c>
      <c r="R65" s="667"/>
      <c r="S65" s="667"/>
      <c r="T65" s="667"/>
      <c r="U65" s="1012">
        <v>12</v>
      </c>
      <c r="V65" s="668">
        <f t="shared" si="2"/>
        <v>0</v>
      </c>
      <c r="W65" s="668">
        <f t="shared" si="3"/>
        <v>0</v>
      </c>
      <c r="X65" s="668">
        <f t="shared" si="4"/>
        <v>360</v>
      </c>
      <c r="Y65" s="668">
        <f t="shared" si="5"/>
        <v>0</v>
      </c>
      <c r="Z65" s="668">
        <f t="shared" si="7"/>
        <v>0</v>
      </c>
      <c r="AA65" s="668">
        <f t="shared" si="8"/>
        <v>0</v>
      </c>
      <c r="AB65" s="668">
        <f t="shared" si="9"/>
        <v>0</v>
      </c>
      <c r="AC65" s="668">
        <f t="shared" si="19"/>
        <v>0</v>
      </c>
      <c r="AD65" s="668">
        <f t="shared" si="10"/>
        <v>50</v>
      </c>
      <c r="AE65" s="668">
        <f t="shared" si="11"/>
        <v>0</v>
      </c>
      <c r="AF65" s="668">
        <f t="shared" si="6"/>
        <v>0</v>
      </c>
      <c r="AG65" s="668">
        <f t="shared" si="12"/>
        <v>0</v>
      </c>
      <c r="AH65" s="668"/>
      <c r="AI65" s="668"/>
      <c r="AJ65" s="668"/>
      <c r="AK65" s="668"/>
      <c r="AL65" s="668"/>
      <c r="AM65" s="668">
        <f t="shared" si="13"/>
        <v>0</v>
      </c>
      <c r="AN65" s="668">
        <f t="shared" si="14"/>
        <v>0</v>
      </c>
      <c r="AO65" s="668">
        <f t="shared" si="15"/>
        <v>0</v>
      </c>
      <c r="AP65" s="668">
        <f t="shared" si="16"/>
        <v>0</v>
      </c>
      <c r="AQ65" s="668">
        <f t="shared" si="17"/>
        <v>0</v>
      </c>
      <c r="AR65" s="668">
        <f t="shared" si="18"/>
        <v>0</v>
      </c>
      <c r="AS65" s="668"/>
      <c r="AT65" s="668"/>
      <c r="AU65" s="668"/>
      <c r="AV65" s="668"/>
      <c r="AW65" s="668"/>
      <c r="AX65" s="668"/>
      <c r="AY65" s="668"/>
      <c r="AZ65" s="668"/>
      <c r="BA65" s="668"/>
      <c r="BB65" s="668"/>
      <c r="BC65" s="668"/>
      <c r="BD65" s="668"/>
      <c r="BE65" s="668"/>
      <c r="BF65" s="668"/>
      <c r="BG65" s="668"/>
      <c r="BH65" s="668"/>
      <c r="BI65" s="668"/>
    </row>
    <row r="66" spans="1:61" x14ac:dyDescent="0.2">
      <c r="A66" s="1012">
        <v>9</v>
      </c>
      <c r="B66" s="1012" t="s">
        <v>461</v>
      </c>
      <c r="C66" s="1012"/>
      <c r="D66" s="667"/>
      <c r="E66" s="667"/>
      <c r="F66" s="667"/>
      <c r="G66" s="667">
        <v>10</v>
      </c>
      <c r="H66" s="667">
        <v>26</v>
      </c>
      <c r="I66" s="667"/>
      <c r="J66" s="667"/>
      <c r="K66" s="667"/>
      <c r="L66" s="667"/>
      <c r="M66" s="667"/>
      <c r="N66" s="667"/>
      <c r="O66" s="667"/>
      <c r="P66" s="667"/>
      <c r="Q66" s="1014">
        <v>82</v>
      </c>
      <c r="R66" s="667"/>
      <c r="S66" s="667"/>
      <c r="T66" s="667"/>
      <c r="U66" s="1012">
        <v>12</v>
      </c>
      <c r="V66" s="668">
        <f t="shared" si="2"/>
        <v>0</v>
      </c>
      <c r="W66" s="668">
        <f t="shared" si="3"/>
        <v>120</v>
      </c>
      <c r="X66" s="668">
        <f t="shared" si="4"/>
        <v>312</v>
      </c>
      <c r="Y66" s="668">
        <f t="shared" si="5"/>
        <v>0</v>
      </c>
      <c r="Z66" s="668">
        <f t="shared" si="7"/>
        <v>0</v>
      </c>
      <c r="AA66" s="668">
        <f t="shared" si="8"/>
        <v>0</v>
      </c>
      <c r="AB66" s="668">
        <f t="shared" si="9"/>
        <v>0</v>
      </c>
      <c r="AC66" s="668">
        <f t="shared" si="19"/>
        <v>0</v>
      </c>
      <c r="AD66" s="668">
        <f t="shared" si="10"/>
        <v>82</v>
      </c>
      <c r="AE66" s="668">
        <f t="shared" si="11"/>
        <v>0</v>
      </c>
      <c r="AF66" s="668">
        <f t="shared" si="6"/>
        <v>0</v>
      </c>
      <c r="AG66" s="668">
        <f t="shared" si="12"/>
        <v>0</v>
      </c>
      <c r="AH66" s="668"/>
      <c r="AI66" s="668"/>
      <c r="AJ66" s="668"/>
      <c r="AK66" s="668"/>
      <c r="AL66" s="668"/>
      <c r="AM66" s="668">
        <f t="shared" si="13"/>
        <v>0</v>
      </c>
      <c r="AN66" s="668">
        <f t="shared" si="14"/>
        <v>0</v>
      </c>
      <c r="AO66" s="668">
        <f t="shared" si="15"/>
        <v>0</v>
      </c>
      <c r="AP66" s="668">
        <f t="shared" si="16"/>
        <v>0</v>
      </c>
      <c r="AQ66" s="668">
        <f t="shared" si="17"/>
        <v>0</v>
      </c>
      <c r="AR66" s="668">
        <f t="shared" si="18"/>
        <v>0</v>
      </c>
      <c r="AS66" s="668"/>
      <c r="AT66" s="668"/>
      <c r="AU66" s="668"/>
      <c r="AV66" s="668"/>
      <c r="AW66" s="668"/>
      <c r="AX66" s="668"/>
      <c r="AY66" s="668"/>
      <c r="AZ66" s="668"/>
      <c r="BA66" s="668"/>
      <c r="BB66" s="668"/>
      <c r="BC66" s="668"/>
      <c r="BD66" s="668"/>
      <c r="BE66" s="668"/>
      <c r="BF66" s="668"/>
      <c r="BG66" s="668"/>
      <c r="BH66" s="668"/>
      <c r="BI66" s="668"/>
    </row>
    <row r="67" spans="1:61" x14ac:dyDescent="0.2">
      <c r="A67" s="1012">
        <v>10</v>
      </c>
      <c r="B67" s="1012" t="s">
        <v>486</v>
      </c>
      <c r="C67" s="1012"/>
      <c r="D67" s="667"/>
      <c r="E67" s="667"/>
      <c r="F67" s="667"/>
      <c r="G67" s="667">
        <v>35</v>
      </c>
      <c r="H67" s="667">
        <v>40</v>
      </c>
      <c r="I67" s="667"/>
      <c r="J67" s="667"/>
      <c r="K67" s="667"/>
      <c r="L67" s="667"/>
      <c r="M67" s="667"/>
      <c r="N67" s="667"/>
      <c r="O67" s="667"/>
      <c r="P67" s="667"/>
      <c r="Q67" s="1014">
        <v>318</v>
      </c>
      <c r="R67" s="667"/>
      <c r="S67" s="667"/>
      <c r="T67" s="667"/>
      <c r="U67" s="1012">
        <v>12</v>
      </c>
      <c r="V67" s="668">
        <f t="shared" si="2"/>
        <v>0</v>
      </c>
      <c r="W67" s="668">
        <f t="shared" si="3"/>
        <v>420</v>
      </c>
      <c r="X67" s="668">
        <f t="shared" si="4"/>
        <v>480</v>
      </c>
      <c r="Y67" s="668">
        <f t="shared" si="5"/>
        <v>0</v>
      </c>
      <c r="Z67" s="668">
        <f t="shared" si="7"/>
        <v>0</v>
      </c>
      <c r="AA67" s="668">
        <f t="shared" si="8"/>
        <v>0</v>
      </c>
      <c r="AB67" s="668">
        <f t="shared" si="9"/>
        <v>0</v>
      </c>
      <c r="AC67" s="668">
        <f t="shared" si="19"/>
        <v>0</v>
      </c>
      <c r="AD67" s="668">
        <f t="shared" si="10"/>
        <v>318</v>
      </c>
      <c r="AE67" s="668">
        <f t="shared" si="11"/>
        <v>0</v>
      </c>
      <c r="AF67" s="668">
        <f t="shared" si="6"/>
        <v>0</v>
      </c>
      <c r="AG67" s="668">
        <f t="shared" si="12"/>
        <v>0</v>
      </c>
      <c r="AH67" s="668"/>
      <c r="AI67" s="668"/>
      <c r="AJ67" s="668"/>
      <c r="AK67" s="668"/>
      <c r="AL67" s="668"/>
      <c r="AM67" s="668">
        <f t="shared" si="13"/>
        <v>0</v>
      </c>
      <c r="AN67" s="668">
        <f t="shared" si="14"/>
        <v>0</v>
      </c>
      <c r="AO67" s="668">
        <f t="shared" si="15"/>
        <v>0</v>
      </c>
      <c r="AP67" s="668">
        <f t="shared" si="16"/>
        <v>0</v>
      </c>
      <c r="AQ67" s="668">
        <f t="shared" si="17"/>
        <v>0</v>
      </c>
      <c r="AR67" s="668">
        <f t="shared" si="18"/>
        <v>0</v>
      </c>
      <c r="AS67" s="668"/>
      <c r="AT67" s="668"/>
      <c r="AU67" s="668"/>
      <c r="AV67" s="668"/>
      <c r="AW67" s="668"/>
      <c r="AX67" s="668"/>
      <c r="AY67" s="668"/>
      <c r="AZ67" s="668"/>
      <c r="BA67" s="668"/>
      <c r="BB67" s="668"/>
      <c r="BC67" s="668"/>
      <c r="BD67" s="668"/>
      <c r="BE67" s="668"/>
      <c r="BF67" s="668"/>
      <c r="BG67" s="668"/>
      <c r="BH67" s="668"/>
      <c r="BI67" s="668"/>
    </row>
    <row r="68" spans="1:61" x14ac:dyDescent="0.2">
      <c r="A68" s="1012">
        <v>11</v>
      </c>
      <c r="B68" s="1012" t="s">
        <v>501</v>
      </c>
      <c r="C68" s="1012"/>
      <c r="D68" s="667"/>
      <c r="E68" s="667"/>
      <c r="F68" s="667"/>
      <c r="G68" s="667">
        <v>209</v>
      </c>
      <c r="H68" s="667"/>
      <c r="I68" s="667"/>
      <c r="J68" s="667"/>
      <c r="K68" s="667"/>
      <c r="L68" s="667"/>
      <c r="M68" s="667"/>
      <c r="N68" s="667"/>
      <c r="O68" s="667"/>
      <c r="P68" s="667"/>
      <c r="Q68" s="667"/>
      <c r="R68" s="667"/>
      <c r="S68" s="667"/>
      <c r="T68" s="667"/>
      <c r="U68" s="1012">
        <v>12</v>
      </c>
      <c r="V68" s="668">
        <f t="shared" si="2"/>
        <v>0</v>
      </c>
      <c r="W68" s="668">
        <f t="shared" si="3"/>
        <v>2508</v>
      </c>
      <c r="X68" s="668">
        <f t="shared" si="4"/>
        <v>0</v>
      </c>
      <c r="Y68" s="668">
        <f t="shared" si="5"/>
        <v>0</v>
      </c>
      <c r="Z68" s="668">
        <f t="shared" si="7"/>
        <v>0</v>
      </c>
      <c r="AA68" s="668">
        <f t="shared" si="8"/>
        <v>0</v>
      </c>
      <c r="AB68" s="668">
        <f t="shared" si="9"/>
        <v>0</v>
      </c>
      <c r="AC68" s="668">
        <f t="shared" si="19"/>
        <v>0</v>
      </c>
      <c r="AD68" s="668">
        <f t="shared" si="10"/>
        <v>0</v>
      </c>
      <c r="AE68" s="668">
        <f t="shared" si="11"/>
        <v>0</v>
      </c>
      <c r="AF68" s="668">
        <f t="shared" si="6"/>
        <v>0</v>
      </c>
      <c r="AG68" s="668">
        <f t="shared" si="12"/>
        <v>0</v>
      </c>
      <c r="AH68" s="668"/>
      <c r="AI68" s="668"/>
      <c r="AJ68" s="668"/>
      <c r="AK68" s="668"/>
      <c r="AL68" s="668"/>
      <c r="AM68" s="668">
        <f t="shared" si="13"/>
        <v>0</v>
      </c>
      <c r="AN68" s="668">
        <f t="shared" si="14"/>
        <v>0</v>
      </c>
      <c r="AO68" s="668">
        <f t="shared" si="15"/>
        <v>0</v>
      </c>
      <c r="AP68" s="668">
        <f t="shared" si="16"/>
        <v>0</v>
      </c>
      <c r="AQ68" s="668">
        <f t="shared" si="17"/>
        <v>0</v>
      </c>
      <c r="AR68" s="668">
        <f t="shared" si="18"/>
        <v>0</v>
      </c>
      <c r="AS68" s="668"/>
      <c r="AT68" s="668"/>
      <c r="AU68" s="668"/>
      <c r="AV68" s="668"/>
      <c r="AW68" s="668"/>
      <c r="AX68" s="668"/>
      <c r="AY68" s="668"/>
      <c r="AZ68" s="668"/>
      <c r="BA68" s="668"/>
      <c r="BB68" s="668"/>
      <c r="BC68" s="668"/>
      <c r="BD68" s="668"/>
      <c r="BE68" s="668"/>
      <c r="BF68" s="668"/>
      <c r="BG68" s="668"/>
      <c r="BH68" s="668"/>
      <c r="BI68" s="668"/>
    </row>
    <row r="69" spans="1:61" x14ac:dyDescent="0.2">
      <c r="A69" s="1012">
        <v>12</v>
      </c>
      <c r="B69" s="1012" t="s">
        <v>478</v>
      </c>
      <c r="C69" s="1012"/>
      <c r="D69" s="667"/>
      <c r="E69" s="667"/>
      <c r="F69" s="667"/>
      <c r="G69" s="667">
        <v>68</v>
      </c>
      <c r="H69" s="667">
        <v>101</v>
      </c>
      <c r="I69" s="667"/>
      <c r="J69" s="667"/>
      <c r="K69" s="667"/>
      <c r="L69" s="667"/>
      <c r="M69" s="667"/>
      <c r="N69" s="667"/>
      <c r="O69" s="667"/>
      <c r="P69" s="667"/>
      <c r="Q69" s="1014">
        <v>943</v>
      </c>
      <c r="R69" s="667"/>
      <c r="S69" s="667"/>
      <c r="T69" s="667"/>
      <c r="U69" s="1012">
        <v>12</v>
      </c>
      <c r="V69" s="668">
        <f t="shared" si="2"/>
        <v>0</v>
      </c>
      <c r="W69" s="668">
        <f t="shared" si="3"/>
        <v>816</v>
      </c>
      <c r="X69" s="668">
        <f t="shared" si="4"/>
        <v>1212</v>
      </c>
      <c r="Y69" s="668">
        <f t="shared" si="5"/>
        <v>0</v>
      </c>
      <c r="Z69" s="668">
        <f t="shared" si="7"/>
        <v>0</v>
      </c>
      <c r="AA69" s="668">
        <f t="shared" si="8"/>
        <v>0</v>
      </c>
      <c r="AB69" s="668">
        <f t="shared" si="9"/>
        <v>0</v>
      </c>
      <c r="AC69" s="668">
        <f t="shared" si="19"/>
        <v>0</v>
      </c>
      <c r="AD69" s="668">
        <f t="shared" si="10"/>
        <v>943</v>
      </c>
      <c r="AE69" s="668">
        <f t="shared" si="11"/>
        <v>0</v>
      </c>
      <c r="AF69" s="668">
        <f t="shared" si="6"/>
        <v>0</v>
      </c>
      <c r="AG69" s="668">
        <f t="shared" si="12"/>
        <v>0</v>
      </c>
      <c r="AH69" s="668"/>
      <c r="AI69" s="668"/>
      <c r="AJ69" s="668"/>
      <c r="AK69" s="668"/>
      <c r="AL69" s="668"/>
      <c r="AM69" s="668">
        <f t="shared" si="13"/>
        <v>0</v>
      </c>
      <c r="AN69" s="668">
        <f t="shared" si="14"/>
        <v>0</v>
      </c>
      <c r="AO69" s="668">
        <f t="shared" si="15"/>
        <v>0</v>
      </c>
      <c r="AP69" s="668">
        <f t="shared" si="16"/>
        <v>0</v>
      </c>
      <c r="AQ69" s="668">
        <f t="shared" si="17"/>
        <v>0</v>
      </c>
      <c r="AR69" s="668">
        <f t="shared" si="18"/>
        <v>0</v>
      </c>
      <c r="AS69" s="668"/>
      <c r="AT69" s="668"/>
      <c r="AU69" s="668"/>
      <c r="AV69" s="668"/>
      <c r="AW69" s="668"/>
      <c r="AX69" s="668"/>
      <c r="AY69" s="668"/>
      <c r="AZ69" s="668"/>
      <c r="BA69" s="668"/>
      <c r="BB69" s="668"/>
      <c r="BC69" s="668"/>
      <c r="BD69" s="668"/>
      <c r="BE69" s="668"/>
      <c r="BF69" s="668"/>
      <c r="BG69" s="668"/>
      <c r="BH69" s="668"/>
      <c r="BI69" s="668"/>
    </row>
    <row r="70" spans="1:61" x14ac:dyDescent="0.2">
      <c r="A70" s="1012">
        <v>13</v>
      </c>
      <c r="B70" s="1012" t="s">
        <v>502</v>
      </c>
      <c r="C70" s="1012"/>
      <c r="D70" s="667"/>
      <c r="E70" s="667"/>
      <c r="F70" s="667"/>
      <c r="G70" s="667">
        <v>26</v>
      </c>
      <c r="H70" s="667">
        <v>53</v>
      </c>
      <c r="I70" s="667"/>
      <c r="J70" s="667"/>
      <c r="K70" s="667"/>
      <c r="L70" s="667"/>
      <c r="M70" s="667"/>
      <c r="N70" s="667"/>
      <c r="O70" s="667"/>
      <c r="P70" s="667"/>
      <c r="Q70" s="1014">
        <v>335</v>
      </c>
      <c r="R70" s="667"/>
      <c r="S70" s="667"/>
      <c r="T70" s="667"/>
      <c r="U70" s="1012">
        <v>12</v>
      </c>
      <c r="V70" s="668">
        <f t="shared" si="2"/>
        <v>0</v>
      </c>
      <c r="W70" s="668">
        <f t="shared" si="3"/>
        <v>312</v>
      </c>
      <c r="X70" s="668">
        <f t="shared" si="4"/>
        <v>636</v>
      </c>
      <c r="Y70" s="668">
        <f t="shared" si="5"/>
        <v>0</v>
      </c>
      <c r="Z70" s="668">
        <f t="shared" si="7"/>
        <v>0</v>
      </c>
      <c r="AA70" s="668">
        <f t="shared" si="8"/>
        <v>0</v>
      </c>
      <c r="AB70" s="668">
        <f t="shared" si="9"/>
        <v>0</v>
      </c>
      <c r="AC70" s="668">
        <f t="shared" si="19"/>
        <v>0</v>
      </c>
      <c r="AD70" s="668">
        <f t="shared" si="10"/>
        <v>335</v>
      </c>
      <c r="AE70" s="668">
        <f t="shared" si="11"/>
        <v>0</v>
      </c>
      <c r="AF70" s="668">
        <f t="shared" si="6"/>
        <v>0</v>
      </c>
      <c r="AG70" s="668">
        <f t="shared" si="12"/>
        <v>0</v>
      </c>
      <c r="AH70" s="668"/>
      <c r="AI70" s="668"/>
      <c r="AJ70" s="668"/>
      <c r="AK70" s="668"/>
      <c r="AL70" s="668"/>
      <c r="AM70" s="668">
        <f t="shared" si="13"/>
        <v>0</v>
      </c>
      <c r="AN70" s="668">
        <f t="shared" si="14"/>
        <v>0</v>
      </c>
      <c r="AO70" s="668">
        <f t="shared" si="15"/>
        <v>0</v>
      </c>
      <c r="AP70" s="668">
        <f t="shared" si="16"/>
        <v>0</v>
      </c>
      <c r="AQ70" s="668">
        <f t="shared" si="17"/>
        <v>0</v>
      </c>
      <c r="AR70" s="668">
        <f t="shared" si="18"/>
        <v>0</v>
      </c>
      <c r="AS70" s="668"/>
      <c r="AT70" s="668"/>
      <c r="AU70" s="668"/>
      <c r="AV70" s="668"/>
      <c r="AW70" s="668"/>
      <c r="AX70" s="668"/>
      <c r="AY70" s="668"/>
      <c r="AZ70" s="668"/>
      <c r="BA70" s="668"/>
      <c r="BB70" s="668"/>
      <c r="BC70" s="668"/>
      <c r="BD70" s="668"/>
      <c r="BE70" s="668"/>
      <c r="BF70" s="668"/>
      <c r="BG70" s="668"/>
      <c r="BH70" s="668"/>
      <c r="BI70" s="668"/>
    </row>
    <row r="71" spans="1:61" x14ac:dyDescent="0.2">
      <c r="A71" s="1012">
        <v>14</v>
      </c>
      <c r="B71" s="1012" t="s">
        <v>484</v>
      </c>
      <c r="C71" s="1012"/>
      <c r="D71" s="667"/>
      <c r="E71" s="667"/>
      <c r="F71" s="667"/>
      <c r="G71" s="667">
        <v>10</v>
      </c>
      <c r="H71" s="667">
        <v>26</v>
      </c>
      <c r="I71" s="667"/>
      <c r="J71" s="667"/>
      <c r="K71" s="667"/>
      <c r="L71" s="667"/>
      <c r="M71" s="667"/>
      <c r="N71" s="667"/>
      <c r="O71" s="667"/>
      <c r="P71" s="667"/>
      <c r="Q71" s="1014">
        <v>80</v>
      </c>
      <c r="R71" s="667"/>
      <c r="S71" s="667"/>
      <c r="T71" s="667"/>
      <c r="U71" s="1012">
        <v>12</v>
      </c>
      <c r="V71" s="668">
        <f t="shared" ref="V71:V141" si="20">+U71*D71</f>
        <v>0</v>
      </c>
      <c r="W71" s="668">
        <f t="shared" ref="W71:W141" si="21">+U71*G71</f>
        <v>120</v>
      </c>
      <c r="X71" s="668">
        <f t="shared" ref="X71:X141" si="22">+U71*H71</f>
        <v>312</v>
      </c>
      <c r="Y71" s="668">
        <f t="shared" ref="Y71:Y141" si="23">+U71*J71</f>
        <v>0</v>
      </c>
      <c r="Z71" s="668">
        <f t="shared" si="7"/>
        <v>0</v>
      </c>
      <c r="AA71" s="668">
        <f t="shared" si="8"/>
        <v>0</v>
      </c>
      <c r="AB71" s="668">
        <f t="shared" si="9"/>
        <v>0</v>
      </c>
      <c r="AC71" s="668">
        <f t="shared" si="19"/>
        <v>0</v>
      </c>
      <c r="AD71" s="668">
        <f t="shared" si="10"/>
        <v>80</v>
      </c>
      <c r="AE71" s="668">
        <f t="shared" si="11"/>
        <v>0</v>
      </c>
      <c r="AF71" s="668">
        <f t="shared" ref="AF71:AF141" si="24">+L71*U71</f>
        <v>0</v>
      </c>
      <c r="AG71" s="668">
        <f t="shared" si="12"/>
        <v>0</v>
      </c>
      <c r="AH71" s="668"/>
      <c r="AI71" s="668"/>
      <c r="AJ71" s="668"/>
      <c r="AK71" s="668"/>
      <c r="AL71" s="668"/>
      <c r="AM71" s="668">
        <f t="shared" si="13"/>
        <v>0</v>
      </c>
      <c r="AN71" s="668">
        <f t="shared" si="14"/>
        <v>0</v>
      </c>
      <c r="AO71" s="668">
        <f t="shared" si="15"/>
        <v>0</v>
      </c>
      <c r="AP71" s="668">
        <f t="shared" si="16"/>
        <v>0</v>
      </c>
      <c r="AQ71" s="668">
        <f t="shared" si="17"/>
        <v>0</v>
      </c>
      <c r="AR71" s="668">
        <f t="shared" si="18"/>
        <v>0</v>
      </c>
      <c r="AS71" s="668"/>
      <c r="AT71" s="668"/>
      <c r="AU71" s="668"/>
      <c r="AV71" s="668"/>
      <c r="AW71" s="668"/>
      <c r="AX71" s="668"/>
      <c r="AY71" s="668"/>
      <c r="AZ71" s="668"/>
      <c r="BA71" s="668"/>
      <c r="BB71" s="668"/>
      <c r="BC71" s="668"/>
      <c r="BD71" s="668"/>
      <c r="BE71" s="668"/>
      <c r="BF71" s="668"/>
      <c r="BG71" s="668"/>
      <c r="BH71" s="668"/>
      <c r="BI71" s="668"/>
    </row>
    <row r="72" spans="1:61" x14ac:dyDescent="0.2">
      <c r="A72" s="1012">
        <v>15</v>
      </c>
      <c r="B72" s="1012" t="s">
        <v>486</v>
      </c>
      <c r="C72" s="1012"/>
      <c r="D72" s="667"/>
      <c r="E72" s="667"/>
      <c r="F72" s="667"/>
      <c r="G72" s="667">
        <v>37</v>
      </c>
      <c r="H72" s="667">
        <v>36</v>
      </c>
      <c r="I72" s="667"/>
      <c r="J72" s="667"/>
      <c r="K72" s="667"/>
      <c r="L72" s="667"/>
      <c r="M72" s="667"/>
      <c r="N72" s="667"/>
      <c r="O72" s="667"/>
      <c r="P72" s="667"/>
      <c r="Q72" s="1014">
        <v>271</v>
      </c>
      <c r="R72" s="667"/>
      <c r="S72" s="667"/>
      <c r="T72" s="667"/>
      <c r="U72" s="1012">
        <v>12</v>
      </c>
      <c r="V72" s="668">
        <f t="shared" si="20"/>
        <v>0</v>
      </c>
      <c r="W72" s="668">
        <f t="shared" si="21"/>
        <v>444</v>
      </c>
      <c r="X72" s="668">
        <f t="shared" si="22"/>
        <v>432</v>
      </c>
      <c r="Y72" s="668">
        <f t="shared" si="23"/>
        <v>0</v>
      </c>
      <c r="Z72" s="668">
        <f t="shared" ref="Z72:Z142" si="25">IF(C72="y",V72+W72+X72+Y72,0)</f>
        <v>0</v>
      </c>
      <c r="AA72" s="668">
        <f t="shared" ref="AA72:AA142" si="26">+S72</f>
        <v>0</v>
      </c>
      <c r="AB72" s="668">
        <f t="shared" ref="AB72:AB142" si="27">+T72</f>
        <v>0</v>
      </c>
      <c r="AC72" s="668">
        <f t="shared" si="19"/>
        <v>0</v>
      </c>
      <c r="AD72" s="668">
        <f t="shared" ref="AD72:AD142" si="28">+Q72</f>
        <v>271</v>
      </c>
      <c r="AE72" s="668">
        <f t="shared" ref="AE72:AE142" si="29">+U72*M72</f>
        <v>0</v>
      </c>
      <c r="AF72" s="668">
        <f t="shared" si="24"/>
        <v>0</v>
      </c>
      <c r="AG72" s="668">
        <f t="shared" ref="AG72:AG142" si="30">+$AG$4*N72</f>
        <v>0</v>
      </c>
      <c r="AH72" s="668"/>
      <c r="AI72" s="668"/>
      <c r="AJ72" s="668"/>
      <c r="AK72" s="668"/>
      <c r="AL72" s="668"/>
      <c r="AM72" s="668">
        <f t="shared" ref="AM72:AM79" si="31">+I72</f>
        <v>0</v>
      </c>
      <c r="AN72" s="668">
        <f t="shared" ref="AN72:AN135" si="32">+U72*E72</f>
        <v>0</v>
      </c>
      <c r="AO72" s="668">
        <f t="shared" ref="AO72:AO135" si="33">+U72*O72</f>
        <v>0</v>
      </c>
      <c r="AP72" s="668">
        <f t="shared" ref="AP72:AP80" si="34">+U72*F72</f>
        <v>0</v>
      </c>
      <c r="AQ72" s="668">
        <f t="shared" ref="AQ72:AQ135" si="35">+$AQ$4*K72</f>
        <v>0</v>
      </c>
      <c r="AR72" s="668">
        <f t="shared" ref="AR72:AR135" si="36">+$AR$4*K72</f>
        <v>0</v>
      </c>
      <c r="AS72" s="668"/>
      <c r="AT72" s="668"/>
      <c r="AU72" s="668"/>
      <c r="AV72" s="668"/>
      <c r="AW72" s="668"/>
      <c r="AX72" s="668"/>
      <c r="AY72" s="668"/>
      <c r="AZ72" s="668"/>
      <c r="BA72" s="668"/>
      <c r="BB72" s="668"/>
      <c r="BC72" s="668"/>
      <c r="BD72" s="668"/>
      <c r="BE72" s="668"/>
      <c r="BF72" s="668"/>
      <c r="BG72" s="668"/>
      <c r="BH72" s="668"/>
      <c r="BI72" s="668"/>
    </row>
    <row r="73" spans="1:61" x14ac:dyDescent="0.2">
      <c r="A73" s="1012">
        <v>16</v>
      </c>
      <c r="B73" s="1012" t="s">
        <v>486</v>
      </c>
      <c r="C73" s="1012"/>
      <c r="D73" s="667"/>
      <c r="E73" s="667"/>
      <c r="F73" s="667"/>
      <c r="G73" s="667">
        <v>26</v>
      </c>
      <c r="H73" s="667">
        <v>47</v>
      </c>
      <c r="I73" s="667"/>
      <c r="J73" s="667"/>
      <c r="K73" s="667"/>
      <c r="L73" s="667"/>
      <c r="M73" s="667"/>
      <c r="N73" s="667"/>
      <c r="O73" s="667"/>
      <c r="P73" s="667"/>
      <c r="Q73" s="1014">
        <v>271</v>
      </c>
      <c r="R73" s="667"/>
      <c r="S73" s="667"/>
      <c r="T73" s="667"/>
      <c r="U73" s="1012">
        <v>12</v>
      </c>
      <c r="V73" s="668">
        <f t="shared" si="20"/>
        <v>0</v>
      </c>
      <c r="W73" s="668">
        <f t="shared" si="21"/>
        <v>312</v>
      </c>
      <c r="X73" s="668">
        <f t="shared" si="22"/>
        <v>564</v>
      </c>
      <c r="Y73" s="668">
        <f t="shared" si="23"/>
        <v>0</v>
      </c>
      <c r="Z73" s="668">
        <f t="shared" si="25"/>
        <v>0</v>
      </c>
      <c r="AA73" s="668">
        <f t="shared" si="26"/>
        <v>0</v>
      </c>
      <c r="AB73" s="668">
        <f t="shared" si="27"/>
        <v>0</v>
      </c>
      <c r="AC73" s="668">
        <f t="shared" si="19"/>
        <v>0</v>
      </c>
      <c r="AD73" s="668">
        <f t="shared" si="28"/>
        <v>271</v>
      </c>
      <c r="AE73" s="668">
        <f t="shared" si="29"/>
        <v>0</v>
      </c>
      <c r="AF73" s="668">
        <f t="shared" si="24"/>
        <v>0</v>
      </c>
      <c r="AG73" s="668">
        <f t="shared" si="30"/>
        <v>0</v>
      </c>
      <c r="AH73" s="668"/>
      <c r="AI73" s="668"/>
      <c r="AJ73" s="668"/>
      <c r="AK73" s="668"/>
      <c r="AL73" s="668"/>
      <c r="AM73" s="668">
        <f t="shared" si="31"/>
        <v>0</v>
      </c>
      <c r="AN73" s="668">
        <f t="shared" si="32"/>
        <v>0</v>
      </c>
      <c r="AO73" s="668">
        <f t="shared" si="33"/>
        <v>0</v>
      </c>
      <c r="AP73" s="668">
        <f t="shared" si="34"/>
        <v>0</v>
      </c>
      <c r="AQ73" s="668">
        <f t="shared" si="35"/>
        <v>0</v>
      </c>
      <c r="AR73" s="668">
        <f t="shared" si="36"/>
        <v>0</v>
      </c>
      <c r="AS73" s="668"/>
      <c r="AT73" s="668"/>
      <c r="AU73" s="668"/>
      <c r="AV73" s="668"/>
      <c r="AW73" s="668"/>
      <c r="AX73" s="668"/>
      <c r="AY73" s="668"/>
      <c r="AZ73" s="668"/>
      <c r="BA73" s="668"/>
      <c r="BB73" s="668"/>
      <c r="BC73" s="668"/>
      <c r="BD73" s="668"/>
      <c r="BE73" s="668"/>
      <c r="BF73" s="668"/>
      <c r="BG73" s="668"/>
      <c r="BH73" s="668"/>
      <c r="BI73" s="668"/>
    </row>
    <row r="74" spans="1:61" x14ac:dyDescent="0.2">
      <c r="A74" s="1012">
        <v>17</v>
      </c>
      <c r="B74" s="1012" t="s">
        <v>501</v>
      </c>
      <c r="C74" s="1012"/>
      <c r="D74" s="667"/>
      <c r="E74" s="667"/>
      <c r="F74" s="667"/>
      <c r="G74" s="667">
        <v>41</v>
      </c>
      <c r="H74" s="667">
        <v>95</v>
      </c>
      <c r="I74" s="667"/>
      <c r="J74" s="667"/>
      <c r="K74" s="667"/>
      <c r="L74" s="667"/>
      <c r="M74" s="667"/>
      <c r="N74" s="667"/>
      <c r="O74" s="667"/>
      <c r="P74" s="667"/>
      <c r="Q74" s="667"/>
      <c r="R74" s="667"/>
      <c r="S74" s="667"/>
      <c r="T74" s="667"/>
      <c r="U74" s="1012">
        <v>12</v>
      </c>
      <c r="V74" s="668">
        <f t="shared" si="20"/>
        <v>0</v>
      </c>
      <c r="W74" s="668">
        <f t="shared" si="21"/>
        <v>492</v>
      </c>
      <c r="X74" s="668">
        <f t="shared" si="22"/>
        <v>1140</v>
      </c>
      <c r="Y74" s="668">
        <f t="shared" si="23"/>
        <v>0</v>
      </c>
      <c r="Z74" s="668">
        <f t="shared" si="25"/>
        <v>0</v>
      </c>
      <c r="AA74" s="668">
        <f t="shared" si="26"/>
        <v>0</v>
      </c>
      <c r="AB74" s="668">
        <f t="shared" si="27"/>
        <v>0</v>
      </c>
      <c r="AC74" s="668">
        <f t="shared" ref="AC74:AC137" si="37">+U74*P74</f>
        <v>0</v>
      </c>
      <c r="AD74" s="668">
        <f t="shared" si="28"/>
        <v>0</v>
      </c>
      <c r="AE74" s="668">
        <f t="shared" si="29"/>
        <v>0</v>
      </c>
      <c r="AF74" s="668">
        <f t="shared" si="24"/>
        <v>0</v>
      </c>
      <c r="AG74" s="668">
        <f t="shared" si="30"/>
        <v>0</v>
      </c>
      <c r="AH74" s="668"/>
      <c r="AI74" s="668"/>
      <c r="AJ74" s="668"/>
      <c r="AK74" s="668"/>
      <c r="AL74" s="668"/>
      <c r="AM74" s="668">
        <f t="shared" si="31"/>
        <v>0</v>
      </c>
      <c r="AN74" s="668">
        <f t="shared" si="32"/>
        <v>0</v>
      </c>
      <c r="AO74" s="668">
        <f t="shared" si="33"/>
        <v>0</v>
      </c>
      <c r="AP74" s="668">
        <f t="shared" si="34"/>
        <v>0</v>
      </c>
      <c r="AQ74" s="668">
        <f t="shared" si="35"/>
        <v>0</v>
      </c>
      <c r="AR74" s="668">
        <f t="shared" si="36"/>
        <v>0</v>
      </c>
      <c r="AS74" s="668"/>
      <c r="AT74" s="668"/>
      <c r="AU74" s="668"/>
      <c r="AV74" s="668"/>
      <c r="AW74" s="668"/>
      <c r="AX74" s="668"/>
      <c r="AY74" s="668"/>
      <c r="AZ74" s="668"/>
      <c r="BA74" s="668"/>
      <c r="BB74" s="668"/>
      <c r="BC74" s="668"/>
      <c r="BD74" s="668"/>
      <c r="BE74" s="668"/>
      <c r="BF74" s="668"/>
      <c r="BG74" s="668"/>
      <c r="BH74" s="668"/>
      <c r="BI74" s="668"/>
    </row>
    <row r="75" spans="1:61" x14ac:dyDescent="0.2">
      <c r="A75" s="1012">
        <v>18</v>
      </c>
      <c r="B75" s="1012" t="s">
        <v>478</v>
      </c>
      <c r="C75" s="1012"/>
      <c r="D75" s="667"/>
      <c r="E75" s="667"/>
      <c r="F75" s="667"/>
      <c r="G75" s="667">
        <v>40</v>
      </c>
      <c r="H75" s="667">
        <v>76</v>
      </c>
      <c r="I75" s="667"/>
      <c r="J75" s="667"/>
      <c r="K75" s="667"/>
      <c r="L75" s="667"/>
      <c r="M75" s="667"/>
      <c r="N75" s="667"/>
      <c r="O75" s="667"/>
      <c r="P75" s="667"/>
      <c r="Q75" s="1014">
        <v>648</v>
      </c>
      <c r="R75" s="667"/>
      <c r="S75" s="667"/>
      <c r="T75" s="667"/>
      <c r="U75" s="1012">
        <v>12</v>
      </c>
      <c r="V75" s="668">
        <f t="shared" si="20"/>
        <v>0</v>
      </c>
      <c r="W75" s="668">
        <f t="shared" si="21"/>
        <v>480</v>
      </c>
      <c r="X75" s="668">
        <f t="shared" si="22"/>
        <v>912</v>
      </c>
      <c r="Y75" s="668">
        <f t="shared" si="23"/>
        <v>0</v>
      </c>
      <c r="Z75" s="668">
        <f t="shared" si="25"/>
        <v>0</v>
      </c>
      <c r="AA75" s="668">
        <f t="shared" si="26"/>
        <v>0</v>
      </c>
      <c r="AB75" s="668">
        <f t="shared" si="27"/>
        <v>0</v>
      </c>
      <c r="AC75" s="668">
        <f t="shared" si="37"/>
        <v>0</v>
      </c>
      <c r="AD75" s="668">
        <f t="shared" si="28"/>
        <v>648</v>
      </c>
      <c r="AE75" s="668">
        <f t="shared" si="29"/>
        <v>0</v>
      </c>
      <c r="AF75" s="668">
        <f t="shared" si="24"/>
        <v>0</v>
      </c>
      <c r="AG75" s="668">
        <f t="shared" si="30"/>
        <v>0</v>
      </c>
      <c r="AH75" s="668"/>
      <c r="AI75" s="668"/>
      <c r="AJ75" s="668"/>
      <c r="AK75" s="668"/>
      <c r="AL75" s="668"/>
      <c r="AM75" s="668">
        <f t="shared" si="31"/>
        <v>0</v>
      </c>
      <c r="AN75" s="668">
        <f t="shared" si="32"/>
        <v>0</v>
      </c>
      <c r="AO75" s="668">
        <f t="shared" si="33"/>
        <v>0</v>
      </c>
      <c r="AP75" s="668">
        <f t="shared" si="34"/>
        <v>0</v>
      </c>
      <c r="AQ75" s="668">
        <f t="shared" si="35"/>
        <v>0</v>
      </c>
      <c r="AR75" s="668">
        <f t="shared" si="36"/>
        <v>0</v>
      </c>
      <c r="AS75" s="668"/>
      <c r="AT75" s="668"/>
      <c r="AU75" s="668"/>
      <c r="AV75" s="668"/>
      <c r="AW75" s="668"/>
      <c r="AX75" s="668"/>
      <c r="AY75" s="668"/>
      <c r="AZ75" s="668"/>
      <c r="BA75" s="668"/>
      <c r="BB75" s="668"/>
      <c r="BC75" s="668"/>
      <c r="BD75" s="668"/>
      <c r="BE75" s="668"/>
      <c r="BF75" s="668"/>
      <c r="BG75" s="668"/>
      <c r="BH75" s="668"/>
      <c r="BI75" s="668"/>
    </row>
    <row r="76" spans="1:61" x14ac:dyDescent="0.2">
      <c r="A76" s="1012">
        <v>19</v>
      </c>
      <c r="B76" s="1012" t="s">
        <v>502</v>
      </c>
      <c r="C76" s="1012"/>
      <c r="D76" s="667"/>
      <c r="E76" s="667"/>
      <c r="F76" s="667"/>
      <c r="G76" s="667">
        <v>46</v>
      </c>
      <c r="H76" s="667">
        <v>59</v>
      </c>
      <c r="I76" s="667"/>
      <c r="J76" s="667"/>
      <c r="K76" s="667"/>
      <c r="L76" s="667"/>
      <c r="M76" s="667"/>
      <c r="N76" s="667"/>
      <c r="O76" s="667"/>
      <c r="P76" s="667"/>
      <c r="Q76" s="1014">
        <v>311</v>
      </c>
      <c r="R76" s="667"/>
      <c r="S76" s="667"/>
      <c r="T76" s="667"/>
      <c r="U76" s="1012"/>
      <c r="V76" s="668">
        <f t="shared" si="20"/>
        <v>0</v>
      </c>
      <c r="W76" s="668">
        <f t="shared" si="21"/>
        <v>0</v>
      </c>
      <c r="X76" s="668">
        <f t="shared" si="22"/>
        <v>0</v>
      </c>
      <c r="Y76" s="668">
        <f t="shared" si="23"/>
        <v>0</v>
      </c>
      <c r="Z76" s="668">
        <f t="shared" si="25"/>
        <v>0</v>
      </c>
      <c r="AA76" s="668">
        <f t="shared" si="26"/>
        <v>0</v>
      </c>
      <c r="AB76" s="668">
        <f t="shared" si="27"/>
        <v>0</v>
      </c>
      <c r="AC76" s="668">
        <f t="shared" si="37"/>
        <v>0</v>
      </c>
      <c r="AD76" s="668">
        <f t="shared" si="28"/>
        <v>311</v>
      </c>
      <c r="AE76" s="668">
        <f t="shared" si="29"/>
        <v>0</v>
      </c>
      <c r="AF76" s="668">
        <f t="shared" si="24"/>
        <v>0</v>
      </c>
      <c r="AG76" s="668">
        <f t="shared" si="30"/>
        <v>0</v>
      </c>
      <c r="AH76" s="668"/>
      <c r="AI76" s="668"/>
      <c r="AJ76" s="668"/>
      <c r="AK76" s="668"/>
      <c r="AL76" s="668"/>
      <c r="AM76" s="668">
        <f t="shared" si="31"/>
        <v>0</v>
      </c>
      <c r="AN76" s="668">
        <f t="shared" si="32"/>
        <v>0</v>
      </c>
      <c r="AO76" s="668">
        <f t="shared" si="33"/>
        <v>0</v>
      </c>
      <c r="AP76" s="668">
        <f t="shared" si="34"/>
        <v>0</v>
      </c>
      <c r="AQ76" s="668">
        <f t="shared" si="35"/>
        <v>0</v>
      </c>
      <c r="AR76" s="668">
        <f t="shared" si="36"/>
        <v>0</v>
      </c>
      <c r="AS76" s="668"/>
      <c r="AT76" s="668"/>
      <c r="AU76" s="668"/>
      <c r="AV76" s="668"/>
      <c r="AW76" s="668"/>
      <c r="AX76" s="668"/>
      <c r="AY76" s="668"/>
      <c r="AZ76" s="668"/>
      <c r="BA76" s="668"/>
      <c r="BB76" s="668"/>
      <c r="BC76" s="668"/>
      <c r="BD76" s="668"/>
      <c r="BE76" s="668"/>
      <c r="BF76" s="668"/>
      <c r="BG76" s="668"/>
      <c r="BH76" s="668"/>
      <c r="BI76" s="668"/>
    </row>
    <row r="77" spans="1:61" x14ac:dyDescent="0.2">
      <c r="A77" s="1012" t="s">
        <v>503</v>
      </c>
      <c r="B77" s="1012" t="s">
        <v>505</v>
      </c>
      <c r="C77" s="1012"/>
      <c r="D77" s="667"/>
      <c r="E77" s="667"/>
      <c r="F77" s="667"/>
      <c r="G77" s="667"/>
      <c r="H77" s="667"/>
      <c r="I77" s="667"/>
      <c r="J77" s="667">
        <v>68</v>
      </c>
      <c r="K77" s="667"/>
      <c r="L77" s="667"/>
      <c r="M77" s="667"/>
      <c r="N77" s="667"/>
      <c r="O77" s="667"/>
      <c r="P77" s="667"/>
      <c r="Q77" s="667"/>
      <c r="R77" s="667"/>
      <c r="S77" s="667"/>
      <c r="T77" s="667"/>
      <c r="U77" s="1012">
        <v>16</v>
      </c>
      <c r="V77" s="668">
        <f t="shared" si="20"/>
        <v>0</v>
      </c>
      <c r="W77" s="668">
        <f t="shared" si="21"/>
        <v>0</v>
      </c>
      <c r="X77" s="668">
        <f t="shared" si="22"/>
        <v>0</v>
      </c>
      <c r="Y77" s="668">
        <f t="shared" si="23"/>
        <v>1088</v>
      </c>
      <c r="Z77" s="668">
        <f t="shared" si="25"/>
        <v>0</v>
      </c>
      <c r="AA77" s="668">
        <f t="shared" si="26"/>
        <v>0</v>
      </c>
      <c r="AB77" s="668">
        <f t="shared" si="27"/>
        <v>0</v>
      </c>
      <c r="AC77" s="668">
        <f t="shared" si="37"/>
        <v>0</v>
      </c>
      <c r="AD77" s="668">
        <f t="shared" si="28"/>
        <v>0</v>
      </c>
      <c r="AE77" s="668">
        <f t="shared" si="29"/>
        <v>0</v>
      </c>
      <c r="AF77" s="668">
        <f t="shared" si="24"/>
        <v>0</v>
      </c>
      <c r="AG77" s="668">
        <f t="shared" si="30"/>
        <v>0</v>
      </c>
      <c r="AH77" s="668"/>
      <c r="AI77" s="668"/>
      <c r="AJ77" s="668"/>
      <c r="AK77" s="668"/>
      <c r="AL77" s="668"/>
      <c r="AM77" s="668">
        <f t="shared" si="31"/>
        <v>0</v>
      </c>
      <c r="AN77" s="668">
        <f t="shared" si="32"/>
        <v>0</v>
      </c>
      <c r="AO77" s="668">
        <f t="shared" si="33"/>
        <v>0</v>
      </c>
      <c r="AP77" s="668">
        <f t="shared" si="34"/>
        <v>0</v>
      </c>
      <c r="AQ77" s="668">
        <f t="shared" si="35"/>
        <v>0</v>
      </c>
      <c r="AR77" s="668">
        <f t="shared" si="36"/>
        <v>0</v>
      </c>
      <c r="AS77" s="668"/>
      <c r="AT77" s="668"/>
      <c r="AU77" s="668"/>
      <c r="AV77" s="668"/>
      <c r="AW77" s="668"/>
      <c r="AX77" s="668"/>
      <c r="AY77" s="668"/>
      <c r="AZ77" s="668"/>
      <c r="BA77" s="668"/>
      <c r="BB77" s="668"/>
      <c r="BC77" s="668"/>
      <c r="BD77" s="668"/>
      <c r="BE77" s="668"/>
      <c r="BF77" s="668"/>
      <c r="BG77" s="668"/>
      <c r="BH77" s="668"/>
      <c r="BI77" s="668"/>
    </row>
    <row r="78" spans="1:61" x14ac:dyDescent="0.2">
      <c r="A78" s="1012" t="s">
        <v>504</v>
      </c>
      <c r="B78" s="1012" t="s">
        <v>506</v>
      </c>
      <c r="C78" s="1012"/>
      <c r="D78" s="667"/>
      <c r="E78" s="667"/>
      <c r="F78" s="667"/>
      <c r="G78" s="667"/>
      <c r="H78" s="667"/>
      <c r="I78" s="667"/>
      <c r="J78" s="667">
        <v>65</v>
      </c>
      <c r="K78" s="667"/>
      <c r="L78" s="667"/>
      <c r="M78" s="667"/>
      <c r="N78" s="667"/>
      <c r="O78" s="667"/>
      <c r="P78" s="667"/>
      <c r="Q78" s="667"/>
      <c r="R78" s="667"/>
      <c r="S78" s="667"/>
      <c r="T78" s="667"/>
      <c r="U78" s="1012">
        <v>16</v>
      </c>
      <c r="V78" s="668">
        <f t="shared" si="20"/>
        <v>0</v>
      </c>
      <c r="W78" s="668">
        <f t="shared" si="21"/>
        <v>0</v>
      </c>
      <c r="X78" s="668">
        <f t="shared" si="22"/>
        <v>0</v>
      </c>
      <c r="Y78" s="668">
        <f t="shared" si="23"/>
        <v>1040</v>
      </c>
      <c r="Z78" s="668">
        <f t="shared" si="25"/>
        <v>0</v>
      </c>
      <c r="AA78" s="668">
        <f t="shared" si="26"/>
        <v>0</v>
      </c>
      <c r="AB78" s="668">
        <f t="shared" si="27"/>
        <v>0</v>
      </c>
      <c r="AC78" s="668">
        <f t="shared" si="37"/>
        <v>0</v>
      </c>
      <c r="AD78" s="668">
        <f t="shared" si="28"/>
        <v>0</v>
      </c>
      <c r="AE78" s="668">
        <f t="shared" si="29"/>
        <v>0</v>
      </c>
      <c r="AF78" s="668">
        <f t="shared" si="24"/>
        <v>0</v>
      </c>
      <c r="AG78" s="668">
        <f t="shared" si="30"/>
        <v>0</v>
      </c>
      <c r="AH78" s="668"/>
      <c r="AI78" s="668"/>
      <c r="AJ78" s="668"/>
      <c r="AK78" s="668"/>
      <c r="AL78" s="668"/>
      <c r="AM78" s="668">
        <f t="shared" si="31"/>
        <v>0</v>
      </c>
      <c r="AN78" s="668">
        <f t="shared" si="32"/>
        <v>0</v>
      </c>
      <c r="AO78" s="668">
        <f t="shared" si="33"/>
        <v>0</v>
      </c>
      <c r="AP78" s="668">
        <f t="shared" si="34"/>
        <v>0</v>
      </c>
      <c r="AQ78" s="668">
        <f t="shared" si="35"/>
        <v>0</v>
      </c>
      <c r="AR78" s="668">
        <f t="shared" si="36"/>
        <v>0</v>
      </c>
      <c r="AS78" s="668"/>
      <c r="AT78" s="668"/>
      <c r="AU78" s="668"/>
      <c r="AV78" s="668"/>
      <c r="AW78" s="668"/>
      <c r="AX78" s="668"/>
      <c r="AY78" s="668"/>
      <c r="AZ78" s="668"/>
      <c r="BA78" s="668"/>
      <c r="BB78" s="668"/>
      <c r="BC78" s="668"/>
      <c r="BD78" s="668"/>
      <c r="BE78" s="668"/>
      <c r="BF78" s="668"/>
      <c r="BG78" s="668"/>
      <c r="BH78" s="668"/>
      <c r="BI78" s="668"/>
    </row>
    <row r="79" spans="1:61" x14ac:dyDescent="0.2">
      <c r="A79" s="1012"/>
      <c r="B79" s="1012"/>
      <c r="C79" s="1012"/>
      <c r="D79" s="667"/>
      <c r="E79" s="667"/>
      <c r="F79" s="667"/>
      <c r="G79" s="667"/>
      <c r="H79" s="667"/>
      <c r="I79" s="667"/>
      <c r="J79" s="667"/>
      <c r="K79" s="667"/>
      <c r="L79" s="667"/>
      <c r="M79" s="667"/>
      <c r="N79" s="667"/>
      <c r="O79" s="667"/>
      <c r="P79" s="667"/>
      <c r="Q79" s="667"/>
      <c r="R79" s="667"/>
      <c r="S79" s="667"/>
      <c r="T79" s="667"/>
      <c r="U79" s="1012"/>
      <c r="V79" s="668">
        <f t="shared" si="20"/>
        <v>0</v>
      </c>
      <c r="W79" s="668">
        <f t="shared" si="21"/>
        <v>0</v>
      </c>
      <c r="X79" s="668">
        <f t="shared" si="22"/>
        <v>0</v>
      </c>
      <c r="Y79" s="668">
        <f t="shared" si="23"/>
        <v>0</v>
      </c>
      <c r="Z79" s="668">
        <f t="shared" si="25"/>
        <v>0</v>
      </c>
      <c r="AA79" s="668">
        <f t="shared" si="26"/>
        <v>0</v>
      </c>
      <c r="AB79" s="668">
        <f t="shared" si="27"/>
        <v>0</v>
      </c>
      <c r="AC79" s="668">
        <f t="shared" si="37"/>
        <v>0</v>
      </c>
      <c r="AD79" s="668">
        <f t="shared" si="28"/>
        <v>0</v>
      </c>
      <c r="AE79" s="668">
        <f t="shared" si="29"/>
        <v>0</v>
      </c>
      <c r="AF79" s="668">
        <f t="shared" si="24"/>
        <v>0</v>
      </c>
      <c r="AG79" s="668">
        <f t="shared" si="30"/>
        <v>0</v>
      </c>
      <c r="AH79" s="668"/>
      <c r="AI79" s="668"/>
      <c r="AJ79" s="668"/>
      <c r="AK79" s="668"/>
      <c r="AL79" s="668"/>
      <c r="AM79" s="668">
        <f t="shared" si="31"/>
        <v>0</v>
      </c>
      <c r="AN79" s="668">
        <f t="shared" si="32"/>
        <v>0</v>
      </c>
      <c r="AO79" s="668">
        <f t="shared" si="33"/>
        <v>0</v>
      </c>
      <c r="AP79" s="668">
        <f t="shared" si="34"/>
        <v>0</v>
      </c>
      <c r="AQ79" s="668">
        <f t="shared" si="35"/>
        <v>0</v>
      </c>
      <c r="AR79" s="668">
        <f t="shared" si="36"/>
        <v>0</v>
      </c>
      <c r="AS79" s="668"/>
      <c r="AT79" s="668"/>
      <c r="AU79" s="668"/>
      <c r="AV79" s="668"/>
      <c r="AW79" s="668"/>
      <c r="AX79" s="668"/>
      <c r="AY79" s="668"/>
      <c r="AZ79" s="668"/>
      <c r="BA79" s="668"/>
      <c r="BB79" s="668"/>
      <c r="BC79" s="668"/>
      <c r="BD79" s="668"/>
      <c r="BE79" s="668"/>
      <c r="BF79" s="668"/>
      <c r="BG79" s="668"/>
      <c r="BH79" s="668"/>
      <c r="BI79" s="668"/>
    </row>
    <row r="80" spans="1:61" x14ac:dyDescent="0.2">
      <c r="A80" s="1012"/>
      <c r="B80" s="1019" t="s">
        <v>510</v>
      </c>
      <c r="C80" s="1012"/>
      <c r="D80" s="667"/>
      <c r="E80" s="667"/>
      <c r="F80" s="667"/>
      <c r="G80" s="667"/>
      <c r="H80" s="667"/>
      <c r="I80" s="667"/>
      <c r="J80" s="667"/>
      <c r="K80" s="667"/>
      <c r="L80" s="667"/>
      <c r="M80" s="667"/>
      <c r="N80" s="667"/>
      <c r="O80" s="667"/>
      <c r="P80" s="667"/>
      <c r="Q80" s="667"/>
      <c r="R80" s="667"/>
      <c r="S80" s="667"/>
      <c r="T80" s="667"/>
      <c r="U80" s="1012"/>
      <c r="V80" s="668">
        <f t="shared" si="20"/>
        <v>0</v>
      </c>
      <c r="W80" s="668">
        <f t="shared" si="21"/>
        <v>0</v>
      </c>
      <c r="X80" s="668">
        <f t="shared" si="22"/>
        <v>0</v>
      </c>
      <c r="Y80" s="668">
        <f t="shared" si="23"/>
        <v>0</v>
      </c>
      <c r="Z80" s="668">
        <f t="shared" si="25"/>
        <v>0</v>
      </c>
      <c r="AA80" s="668">
        <f t="shared" si="26"/>
        <v>0</v>
      </c>
      <c r="AB80" s="668">
        <f t="shared" si="27"/>
        <v>0</v>
      </c>
      <c r="AC80" s="668">
        <f t="shared" si="37"/>
        <v>0</v>
      </c>
      <c r="AD80" s="668">
        <f t="shared" si="28"/>
        <v>0</v>
      </c>
      <c r="AE80" s="668">
        <f t="shared" si="29"/>
        <v>0</v>
      </c>
      <c r="AF80" s="668">
        <f t="shared" si="24"/>
        <v>0</v>
      </c>
      <c r="AG80" s="668">
        <f t="shared" si="30"/>
        <v>0</v>
      </c>
      <c r="AH80" s="668"/>
      <c r="AI80" s="668"/>
      <c r="AJ80" s="668"/>
      <c r="AK80" s="668"/>
      <c r="AL80" s="668"/>
      <c r="AM80" s="668">
        <f>+I80</f>
        <v>0</v>
      </c>
      <c r="AN80" s="668">
        <f t="shared" si="32"/>
        <v>0</v>
      </c>
      <c r="AO80" s="668">
        <f t="shared" si="33"/>
        <v>0</v>
      </c>
      <c r="AP80" s="668">
        <f t="shared" si="34"/>
        <v>0</v>
      </c>
      <c r="AQ80" s="668">
        <f t="shared" si="35"/>
        <v>0</v>
      </c>
      <c r="AR80" s="668">
        <f t="shared" si="36"/>
        <v>0</v>
      </c>
      <c r="AS80" s="668">
        <v>18</v>
      </c>
      <c r="AT80" s="668">
        <v>14</v>
      </c>
      <c r="AU80" s="668"/>
      <c r="AV80" s="668"/>
      <c r="AW80" s="668"/>
      <c r="AX80" s="668"/>
      <c r="AY80" s="668"/>
      <c r="AZ80" s="668"/>
      <c r="BA80" s="668"/>
      <c r="BB80" s="668"/>
      <c r="BC80" s="668"/>
      <c r="BD80" s="668"/>
      <c r="BE80" s="668"/>
      <c r="BF80" s="668"/>
      <c r="BG80" s="668"/>
      <c r="BH80" s="668"/>
      <c r="BI80" s="668"/>
    </row>
    <row r="81" spans="1:61" x14ac:dyDescent="0.2">
      <c r="A81" s="1012">
        <v>1020</v>
      </c>
      <c r="B81" s="1012" t="s">
        <v>513</v>
      </c>
      <c r="C81" s="1012"/>
      <c r="D81" s="667"/>
      <c r="E81" s="667"/>
      <c r="F81" s="667"/>
      <c r="G81" s="667"/>
      <c r="H81" s="667"/>
      <c r="I81" s="667"/>
      <c r="J81" s="667"/>
      <c r="K81" s="667"/>
      <c r="L81" s="667"/>
      <c r="M81" s="667"/>
      <c r="N81" s="667"/>
      <c r="O81" s="667"/>
      <c r="P81" s="667"/>
      <c r="Q81" s="667"/>
      <c r="R81" s="667"/>
      <c r="S81" s="667"/>
      <c r="T81" s="667"/>
      <c r="U81" s="1012"/>
      <c r="V81" s="668">
        <f t="shared" si="20"/>
        <v>0</v>
      </c>
      <c r="W81" s="668">
        <f t="shared" si="21"/>
        <v>0</v>
      </c>
      <c r="X81" s="668">
        <f t="shared" si="22"/>
        <v>0</v>
      </c>
      <c r="Y81" s="668">
        <f t="shared" si="23"/>
        <v>0</v>
      </c>
      <c r="Z81" s="668">
        <f t="shared" si="25"/>
        <v>0</v>
      </c>
      <c r="AA81" s="668">
        <f t="shared" si="26"/>
        <v>0</v>
      </c>
      <c r="AB81" s="668">
        <f t="shared" si="27"/>
        <v>0</v>
      </c>
      <c r="AC81" s="668">
        <f t="shared" si="37"/>
        <v>0</v>
      </c>
      <c r="AD81" s="668">
        <f t="shared" si="28"/>
        <v>0</v>
      </c>
      <c r="AE81" s="668">
        <f t="shared" si="29"/>
        <v>0</v>
      </c>
      <c r="AF81" s="668">
        <f t="shared" si="24"/>
        <v>0</v>
      </c>
      <c r="AG81" s="668">
        <f t="shared" si="30"/>
        <v>0</v>
      </c>
      <c r="AH81" s="668"/>
      <c r="AI81" s="668"/>
      <c r="AJ81" s="668"/>
      <c r="AK81" s="668"/>
      <c r="AL81" s="668"/>
      <c r="AM81" s="668">
        <f t="shared" ref="AM81:AM144" si="38">+I81</f>
        <v>0</v>
      </c>
      <c r="AN81" s="668">
        <f t="shared" si="32"/>
        <v>0</v>
      </c>
      <c r="AO81" s="668">
        <f t="shared" si="33"/>
        <v>0</v>
      </c>
      <c r="AP81" s="668">
        <f>+U81*F81</f>
        <v>0</v>
      </c>
      <c r="AQ81" s="668">
        <f t="shared" si="35"/>
        <v>0</v>
      </c>
      <c r="AR81" s="668">
        <f t="shared" si="36"/>
        <v>0</v>
      </c>
      <c r="AS81" s="668"/>
      <c r="AT81" s="668"/>
      <c r="AU81" s="668"/>
      <c r="AV81" s="668"/>
      <c r="AW81" s="668"/>
      <c r="AX81" s="668"/>
      <c r="AY81" s="668"/>
      <c r="AZ81" s="668"/>
      <c r="BA81" s="668"/>
      <c r="BB81" s="668">
        <f>+AP81</f>
        <v>0</v>
      </c>
      <c r="BC81" s="668"/>
      <c r="BD81" s="668"/>
      <c r="BE81" s="668"/>
      <c r="BF81" s="668"/>
      <c r="BG81" s="668"/>
      <c r="BH81" s="668"/>
      <c r="BI81" s="668"/>
    </row>
    <row r="82" spans="1:61" x14ac:dyDescent="0.2">
      <c r="A82" s="1012">
        <v>1021</v>
      </c>
      <c r="B82" s="1012" t="s">
        <v>514</v>
      </c>
      <c r="C82" s="1012" t="s">
        <v>984</v>
      </c>
      <c r="D82" s="667">
        <v>38</v>
      </c>
      <c r="E82" s="667"/>
      <c r="F82" s="667"/>
      <c r="G82" s="667"/>
      <c r="H82" s="667"/>
      <c r="I82" s="667"/>
      <c r="J82" s="667"/>
      <c r="K82" s="667"/>
      <c r="L82" s="667"/>
      <c r="M82" s="667"/>
      <c r="N82" s="667"/>
      <c r="O82" s="667"/>
      <c r="P82" s="667"/>
      <c r="Q82" s="667"/>
      <c r="R82" s="667"/>
      <c r="S82" s="667"/>
      <c r="T82" s="667"/>
      <c r="U82" s="1012">
        <v>25</v>
      </c>
      <c r="V82" s="668">
        <f t="shared" si="20"/>
        <v>950</v>
      </c>
      <c r="W82" s="668">
        <f t="shared" si="21"/>
        <v>0</v>
      </c>
      <c r="X82" s="668">
        <f t="shared" si="22"/>
        <v>0</v>
      </c>
      <c r="Y82" s="668">
        <f t="shared" si="23"/>
        <v>0</v>
      </c>
      <c r="Z82" s="668">
        <f t="shared" si="25"/>
        <v>950</v>
      </c>
      <c r="AA82" s="668">
        <f t="shared" si="26"/>
        <v>0</v>
      </c>
      <c r="AB82" s="668">
        <f t="shared" si="27"/>
        <v>0</v>
      </c>
      <c r="AC82" s="668">
        <f t="shared" si="37"/>
        <v>0</v>
      </c>
      <c r="AD82" s="668">
        <f t="shared" si="28"/>
        <v>0</v>
      </c>
      <c r="AE82" s="668">
        <f t="shared" si="29"/>
        <v>0</v>
      </c>
      <c r="AF82" s="668">
        <f t="shared" si="24"/>
        <v>0</v>
      </c>
      <c r="AG82" s="668">
        <f t="shared" si="30"/>
        <v>0</v>
      </c>
      <c r="AH82" s="668"/>
      <c r="AI82" s="668"/>
      <c r="AJ82" s="668"/>
      <c r="AK82" s="668"/>
      <c r="AL82" s="668"/>
      <c r="AM82" s="668">
        <f t="shared" si="38"/>
        <v>0</v>
      </c>
      <c r="AN82" s="668">
        <f t="shared" si="32"/>
        <v>0</v>
      </c>
      <c r="AO82" s="668">
        <f t="shared" si="33"/>
        <v>0</v>
      </c>
      <c r="AP82" s="668">
        <f t="shared" ref="AP82:AP145" si="39">+U82*F82</f>
        <v>0</v>
      </c>
      <c r="AQ82" s="668">
        <f t="shared" si="35"/>
        <v>0</v>
      </c>
      <c r="AR82" s="668">
        <f t="shared" si="36"/>
        <v>0</v>
      </c>
      <c r="AS82" s="668"/>
      <c r="AT82" s="668"/>
      <c r="AU82" s="668"/>
      <c r="AV82" s="668"/>
      <c r="AW82" s="668"/>
      <c r="AX82" s="668"/>
      <c r="AY82" s="668"/>
      <c r="AZ82" s="668"/>
      <c r="BA82" s="668"/>
      <c r="BB82" s="668">
        <f t="shared" ref="BB82:BB145" si="40">+AP82</f>
        <v>0</v>
      </c>
      <c r="BC82" s="668"/>
      <c r="BD82" s="668"/>
      <c r="BE82" s="668"/>
      <c r="BF82" s="668"/>
      <c r="BG82" s="668"/>
      <c r="BH82" s="668"/>
      <c r="BI82" s="668"/>
    </row>
    <row r="83" spans="1:61" x14ac:dyDescent="0.2">
      <c r="A83" s="1012">
        <v>1022</v>
      </c>
      <c r="B83" s="1012" t="s">
        <v>476</v>
      </c>
      <c r="C83" s="1012"/>
      <c r="D83" s="667">
        <v>35</v>
      </c>
      <c r="E83" s="667"/>
      <c r="F83" s="667"/>
      <c r="G83" s="667"/>
      <c r="H83" s="667"/>
      <c r="I83" s="667"/>
      <c r="J83" s="667"/>
      <c r="K83" s="667"/>
      <c r="L83" s="667">
        <v>2</v>
      </c>
      <c r="M83" s="667"/>
      <c r="N83" s="667"/>
      <c r="O83" s="667"/>
      <c r="P83" s="667"/>
      <c r="Q83" s="667"/>
      <c r="R83" s="667"/>
      <c r="S83" s="667"/>
      <c r="T83" s="667"/>
      <c r="U83" s="1012">
        <v>12</v>
      </c>
      <c r="V83" s="668">
        <f t="shared" si="20"/>
        <v>420</v>
      </c>
      <c r="W83" s="668">
        <f t="shared" si="21"/>
        <v>0</v>
      </c>
      <c r="X83" s="668">
        <f t="shared" si="22"/>
        <v>0</v>
      </c>
      <c r="Y83" s="668">
        <f t="shared" si="23"/>
        <v>0</v>
      </c>
      <c r="Z83" s="668">
        <f t="shared" si="25"/>
        <v>0</v>
      </c>
      <c r="AA83" s="668">
        <f t="shared" si="26"/>
        <v>0</v>
      </c>
      <c r="AB83" s="668">
        <f t="shared" si="27"/>
        <v>0</v>
      </c>
      <c r="AC83" s="668">
        <f t="shared" si="37"/>
        <v>0</v>
      </c>
      <c r="AD83" s="668">
        <f t="shared" si="28"/>
        <v>0</v>
      </c>
      <c r="AE83" s="668">
        <f t="shared" si="29"/>
        <v>0</v>
      </c>
      <c r="AF83" s="668">
        <f t="shared" si="24"/>
        <v>24</v>
      </c>
      <c r="AG83" s="668">
        <f t="shared" si="30"/>
        <v>0</v>
      </c>
      <c r="AH83" s="668"/>
      <c r="AI83" s="668"/>
      <c r="AJ83" s="668"/>
      <c r="AK83" s="668"/>
      <c r="AL83" s="668"/>
      <c r="AM83" s="668">
        <f t="shared" si="38"/>
        <v>0</v>
      </c>
      <c r="AN83" s="668">
        <f t="shared" si="32"/>
        <v>0</v>
      </c>
      <c r="AO83" s="668">
        <f t="shared" si="33"/>
        <v>0</v>
      </c>
      <c r="AP83" s="668">
        <f t="shared" si="39"/>
        <v>0</v>
      </c>
      <c r="AQ83" s="668">
        <f t="shared" si="35"/>
        <v>0</v>
      </c>
      <c r="AR83" s="668">
        <f t="shared" si="36"/>
        <v>0</v>
      </c>
      <c r="AS83" s="668"/>
      <c r="AT83" s="668"/>
      <c r="AU83" s="668"/>
      <c r="AV83" s="668"/>
      <c r="AW83" s="668"/>
      <c r="AX83" s="668"/>
      <c r="AY83" s="668"/>
      <c r="AZ83" s="668"/>
      <c r="BA83" s="668"/>
      <c r="BB83" s="668">
        <f t="shared" si="40"/>
        <v>0</v>
      </c>
      <c r="BC83" s="668"/>
      <c r="BD83" s="668"/>
      <c r="BE83" s="668"/>
      <c r="BF83" s="668"/>
      <c r="BG83" s="668"/>
      <c r="BH83" s="668"/>
      <c r="BI83" s="668"/>
    </row>
    <row r="84" spans="1:61" x14ac:dyDescent="0.2">
      <c r="A84" s="1012">
        <v>1023</v>
      </c>
      <c r="B84" s="1012" t="s">
        <v>515</v>
      </c>
      <c r="C84" s="1012"/>
      <c r="D84" s="667">
        <v>35</v>
      </c>
      <c r="E84" s="667"/>
      <c r="F84" s="667">
        <v>15</v>
      </c>
      <c r="G84" s="667"/>
      <c r="H84" s="667"/>
      <c r="I84" s="667"/>
      <c r="J84" s="667"/>
      <c r="K84" s="667"/>
      <c r="L84" s="667">
        <v>6</v>
      </c>
      <c r="M84" s="667"/>
      <c r="N84" s="667"/>
      <c r="O84" s="667"/>
      <c r="P84" s="667"/>
      <c r="Q84" s="667"/>
      <c r="R84" s="667"/>
      <c r="S84" s="667"/>
      <c r="T84" s="667">
        <v>1473</v>
      </c>
      <c r="U84" s="1012">
        <v>12</v>
      </c>
      <c r="V84" s="668">
        <f t="shared" si="20"/>
        <v>420</v>
      </c>
      <c r="W84" s="668">
        <f t="shared" si="21"/>
        <v>0</v>
      </c>
      <c r="X84" s="668">
        <f t="shared" si="22"/>
        <v>0</v>
      </c>
      <c r="Y84" s="668">
        <f t="shared" si="23"/>
        <v>0</v>
      </c>
      <c r="Z84" s="668">
        <f t="shared" si="25"/>
        <v>0</v>
      </c>
      <c r="AA84" s="668">
        <f t="shared" si="26"/>
        <v>0</v>
      </c>
      <c r="AB84" s="668">
        <f t="shared" si="27"/>
        <v>1473</v>
      </c>
      <c r="AC84" s="668">
        <f t="shared" si="37"/>
        <v>0</v>
      </c>
      <c r="AD84" s="668">
        <f t="shared" si="28"/>
        <v>0</v>
      </c>
      <c r="AE84" s="668">
        <f t="shared" si="29"/>
        <v>0</v>
      </c>
      <c r="AF84" s="668">
        <f t="shared" si="24"/>
        <v>72</v>
      </c>
      <c r="AG84" s="668">
        <f t="shared" si="30"/>
        <v>0</v>
      </c>
      <c r="AH84" s="668"/>
      <c r="AI84" s="668"/>
      <c r="AJ84" s="668"/>
      <c r="AK84" s="668"/>
      <c r="AL84" s="668"/>
      <c r="AM84" s="668">
        <f t="shared" si="38"/>
        <v>0</v>
      </c>
      <c r="AN84" s="668">
        <f t="shared" si="32"/>
        <v>0</v>
      </c>
      <c r="AO84" s="668">
        <f t="shared" si="33"/>
        <v>0</v>
      </c>
      <c r="AP84" s="668">
        <f t="shared" si="39"/>
        <v>180</v>
      </c>
      <c r="AQ84" s="668">
        <f t="shared" si="35"/>
        <v>0</v>
      </c>
      <c r="AR84" s="668">
        <f t="shared" si="36"/>
        <v>0</v>
      </c>
      <c r="AS84" s="668"/>
      <c r="AT84" s="668"/>
      <c r="AU84" s="668"/>
      <c r="AV84" s="668"/>
      <c r="AW84" s="668"/>
      <c r="AX84" s="668"/>
      <c r="AY84" s="668"/>
      <c r="AZ84" s="668"/>
      <c r="BA84" s="668"/>
      <c r="BB84" s="668">
        <f t="shared" si="40"/>
        <v>180</v>
      </c>
      <c r="BC84" s="668"/>
      <c r="BD84" s="668"/>
      <c r="BE84" s="668"/>
      <c r="BF84" s="668"/>
      <c r="BG84" s="668"/>
      <c r="BH84" s="668"/>
      <c r="BI84" s="668"/>
    </row>
    <row r="85" spans="1:61" x14ac:dyDescent="0.2">
      <c r="A85" s="1012">
        <v>1024</v>
      </c>
      <c r="B85" s="1012" t="s">
        <v>467</v>
      </c>
      <c r="C85" s="1012"/>
      <c r="D85" s="667">
        <v>80</v>
      </c>
      <c r="E85" s="667"/>
      <c r="F85" s="667"/>
      <c r="G85" s="667"/>
      <c r="H85" s="667"/>
      <c r="I85" s="667"/>
      <c r="J85" s="667"/>
      <c r="K85" s="667"/>
      <c r="L85" s="667"/>
      <c r="M85" s="667"/>
      <c r="N85" s="667"/>
      <c r="O85" s="667"/>
      <c r="P85" s="667"/>
      <c r="Q85" s="667"/>
      <c r="R85" s="667"/>
      <c r="S85" s="667"/>
      <c r="T85" s="667"/>
      <c r="U85" s="1012">
        <v>3</v>
      </c>
      <c r="V85" s="668">
        <f t="shared" si="20"/>
        <v>240</v>
      </c>
      <c r="W85" s="668">
        <f t="shared" si="21"/>
        <v>0</v>
      </c>
      <c r="X85" s="668">
        <f t="shared" si="22"/>
        <v>0</v>
      </c>
      <c r="Y85" s="668">
        <f t="shared" si="23"/>
        <v>0</v>
      </c>
      <c r="Z85" s="668">
        <f t="shared" si="25"/>
        <v>0</v>
      </c>
      <c r="AA85" s="668">
        <f t="shared" si="26"/>
        <v>0</v>
      </c>
      <c r="AB85" s="668">
        <f t="shared" si="27"/>
        <v>0</v>
      </c>
      <c r="AC85" s="668">
        <f t="shared" si="37"/>
        <v>0</v>
      </c>
      <c r="AD85" s="668">
        <f t="shared" si="28"/>
        <v>0</v>
      </c>
      <c r="AE85" s="668">
        <f t="shared" si="29"/>
        <v>0</v>
      </c>
      <c r="AF85" s="668">
        <f t="shared" si="24"/>
        <v>0</v>
      </c>
      <c r="AG85" s="668">
        <f t="shared" si="30"/>
        <v>0</v>
      </c>
      <c r="AH85" s="668"/>
      <c r="AI85" s="668"/>
      <c r="AJ85" s="668"/>
      <c r="AK85" s="668"/>
      <c r="AL85" s="668"/>
      <c r="AM85" s="668">
        <f t="shared" si="38"/>
        <v>0</v>
      </c>
      <c r="AN85" s="668">
        <f t="shared" si="32"/>
        <v>0</v>
      </c>
      <c r="AO85" s="668">
        <f t="shared" si="33"/>
        <v>0</v>
      </c>
      <c r="AP85" s="668">
        <f t="shared" si="39"/>
        <v>0</v>
      </c>
      <c r="AQ85" s="668">
        <f t="shared" si="35"/>
        <v>0</v>
      </c>
      <c r="AR85" s="668">
        <f t="shared" si="36"/>
        <v>0</v>
      </c>
      <c r="AS85" s="668"/>
      <c r="AT85" s="668"/>
      <c r="AU85" s="668"/>
      <c r="AV85" s="668"/>
      <c r="AW85" s="668"/>
      <c r="AX85" s="668"/>
      <c r="AY85" s="668"/>
      <c r="AZ85" s="668"/>
      <c r="BA85" s="668"/>
      <c r="BB85" s="668">
        <f t="shared" si="40"/>
        <v>0</v>
      </c>
      <c r="BC85" s="668"/>
      <c r="BD85" s="668"/>
      <c r="BE85" s="668"/>
      <c r="BF85" s="668"/>
      <c r="BG85" s="668"/>
      <c r="BH85" s="668"/>
      <c r="BI85" s="668"/>
    </row>
    <row r="86" spans="1:61" x14ac:dyDescent="0.2">
      <c r="A86" s="1012">
        <v>1025</v>
      </c>
      <c r="B86" s="1012" t="s">
        <v>466</v>
      </c>
      <c r="C86" s="1012"/>
      <c r="D86" s="667">
        <v>80</v>
      </c>
      <c r="E86" s="667"/>
      <c r="F86" s="667"/>
      <c r="G86" s="667"/>
      <c r="H86" s="667"/>
      <c r="I86" s="667"/>
      <c r="J86" s="667"/>
      <c r="K86" s="667"/>
      <c r="L86" s="667"/>
      <c r="M86" s="667"/>
      <c r="N86" s="667"/>
      <c r="O86" s="667"/>
      <c r="P86" s="667"/>
      <c r="Q86" s="667"/>
      <c r="R86" s="667"/>
      <c r="S86" s="667"/>
      <c r="T86" s="667"/>
      <c r="U86" s="1012">
        <v>3</v>
      </c>
      <c r="V86" s="668">
        <f t="shared" si="20"/>
        <v>240</v>
      </c>
      <c r="W86" s="668">
        <f t="shared" si="21"/>
        <v>0</v>
      </c>
      <c r="X86" s="668">
        <f t="shared" si="22"/>
        <v>0</v>
      </c>
      <c r="Y86" s="668">
        <f t="shared" si="23"/>
        <v>0</v>
      </c>
      <c r="Z86" s="668">
        <f t="shared" si="25"/>
        <v>0</v>
      </c>
      <c r="AA86" s="668">
        <f t="shared" si="26"/>
        <v>0</v>
      </c>
      <c r="AB86" s="668">
        <f t="shared" si="27"/>
        <v>0</v>
      </c>
      <c r="AC86" s="668">
        <f t="shared" si="37"/>
        <v>0</v>
      </c>
      <c r="AD86" s="668">
        <f t="shared" si="28"/>
        <v>0</v>
      </c>
      <c r="AE86" s="668">
        <f t="shared" si="29"/>
        <v>0</v>
      </c>
      <c r="AF86" s="668">
        <f t="shared" si="24"/>
        <v>0</v>
      </c>
      <c r="AG86" s="668">
        <f t="shared" si="30"/>
        <v>0</v>
      </c>
      <c r="AH86" s="668"/>
      <c r="AI86" s="668"/>
      <c r="AJ86" s="668"/>
      <c r="AK86" s="668"/>
      <c r="AL86" s="668"/>
      <c r="AM86" s="668">
        <f t="shared" si="38"/>
        <v>0</v>
      </c>
      <c r="AN86" s="668">
        <f t="shared" si="32"/>
        <v>0</v>
      </c>
      <c r="AO86" s="668">
        <f t="shared" si="33"/>
        <v>0</v>
      </c>
      <c r="AP86" s="668">
        <f t="shared" si="39"/>
        <v>0</v>
      </c>
      <c r="AQ86" s="668">
        <f t="shared" si="35"/>
        <v>0</v>
      </c>
      <c r="AR86" s="668">
        <f t="shared" si="36"/>
        <v>0</v>
      </c>
      <c r="AS86" s="668"/>
      <c r="AT86" s="668"/>
      <c r="AU86" s="668"/>
      <c r="AV86" s="668"/>
      <c r="AW86" s="668"/>
      <c r="AX86" s="668"/>
      <c r="AY86" s="668"/>
      <c r="AZ86" s="668"/>
      <c r="BA86" s="668"/>
      <c r="BB86" s="668">
        <f t="shared" si="40"/>
        <v>0</v>
      </c>
      <c r="BC86" s="668"/>
      <c r="BD86" s="668"/>
      <c r="BE86" s="668"/>
      <c r="BF86" s="668"/>
      <c r="BG86" s="668"/>
      <c r="BH86" s="668"/>
      <c r="BI86" s="668"/>
    </row>
    <row r="87" spans="1:61" x14ac:dyDescent="0.2">
      <c r="A87" s="1012">
        <v>1026</v>
      </c>
      <c r="B87" s="1012" t="s">
        <v>515</v>
      </c>
      <c r="C87" s="1012"/>
      <c r="D87" s="667">
        <v>35</v>
      </c>
      <c r="E87" s="667"/>
      <c r="F87" s="667">
        <v>15</v>
      </c>
      <c r="G87" s="667"/>
      <c r="H87" s="667"/>
      <c r="I87" s="667"/>
      <c r="J87" s="667"/>
      <c r="K87" s="667"/>
      <c r="L87" s="667">
        <v>6</v>
      </c>
      <c r="M87" s="667"/>
      <c r="N87" s="667"/>
      <c r="O87" s="667"/>
      <c r="P87" s="667"/>
      <c r="Q87" s="667"/>
      <c r="R87" s="667"/>
      <c r="S87" s="667"/>
      <c r="T87" s="667">
        <v>1473</v>
      </c>
      <c r="U87" s="1012">
        <v>12</v>
      </c>
      <c r="V87" s="668">
        <f t="shared" si="20"/>
        <v>420</v>
      </c>
      <c r="W87" s="668">
        <f t="shared" si="21"/>
        <v>0</v>
      </c>
      <c r="X87" s="668">
        <f t="shared" si="22"/>
        <v>0</v>
      </c>
      <c r="Y87" s="668">
        <f t="shared" si="23"/>
        <v>0</v>
      </c>
      <c r="Z87" s="668">
        <f t="shared" si="25"/>
        <v>0</v>
      </c>
      <c r="AA87" s="668">
        <f t="shared" si="26"/>
        <v>0</v>
      </c>
      <c r="AB87" s="668">
        <f t="shared" si="27"/>
        <v>1473</v>
      </c>
      <c r="AC87" s="668">
        <f t="shared" si="37"/>
        <v>0</v>
      </c>
      <c r="AD87" s="668">
        <f t="shared" si="28"/>
        <v>0</v>
      </c>
      <c r="AE87" s="668">
        <f t="shared" si="29"/>
        <v>0</v>
      </c>
      <c r="AF87" s="668">
        <f t="shared" si="24"/>
        <v>72</v>
      </c>
      <c r="AG87" s="668">
        <f t="shared" si="30"/>
        <v>0</v>
      </c>
      <c r="AH87" s="668"/>
      <c r="AI87" s="668"/>
      <c r="AJ87" s="668"/>
      <c r="AK87" s="668"/>
      <c r="AL87" s="668"/>
      <c r="AM87" s="668">
        <f t="shared" si="38"/>
        <v>0</v>
      </c>
      <c r="AN87" s="668">
        <f t="shared" si="32"/>
        <v>0</v>
      </c>
      <c r="AO87" s="668">
        <f t="shared" si="33"/>
        <v>0</v>
      </c>
      <c r="AP87" s="668">
        <f t="shared" si="39"/>
        <v>180</v>
      </c>
      <c r="AQ87" s="668">
        <f t="shared" si="35"/>
        <v>0</v>
      </c>
      <c r="AR87" s="668">
        <f t="shared" si="36"/>
        <v>0</v>
      </c>
      <c r="AS87" s="668"/>
      <c r="AT87" s="668"/>
      <c r="AU87" s="668"/>
      <c r="AV87" s="668"/>
      <c r="AW87" s="668"/>
      <c r="AX87" s="668"/>
      <c r="AY87" s="668"/>
      <c r="AZ87" s="668"/>
      <c r="BA87" s="668"/>
      <c r="BB87" s="668">
        <f t="shared" si="40"/>
        <v>180</v>
      </c>
      <c r="BC87" s="668"/>
      <c r="BD87" s="668"/>
      <c r="BE87" s="668"/>
      <c r="BF87" s="668"/>
      <c r="BG87" s="668"/>
      <c r="BH87" s="668"/>
      <c r="BI87" s="668"/>
    </row>
    <row r="88" spans="1:61" x14ac:dyDescent="0.2">
      <c r="A88" s="1012">
        <v>1027</v>
      </c>
      <c r="B88" s="1012" t="s">
        <v>479</v>
      </c>
      <c r="C88" s="1012"/>
      <c r="D88" s="667">
        <v>110</v>
      </c>
      <c r="E88" s="667"/>
      <c r="F88" s="667"/>
      <c r="G88" s="667"/>
      <c r="H88" s="667"/>
      <c r="I88" s="667"/>
      <c r="J88" s="667"/>
      <c r="K88" s="667"/>
      <c r="L88" s="667">
        <v>6</v>
      </c>
      <c r="M88" s="667"/>
      <c r="N88" s="667"/>
      <c r="O88" s="667"/>
      <c r="P88" s="667"/>
      <c r="Q88" s="1014">
        <v>626</v>
      </c>
      <c r="R88" s="667"/>
      <c r="S88" s="667"/>
      <c r="T88" s="667"/>
      <c r="U88" s="1012">
        <v>12</v>
      </c>
      <c r="V88" s="668">
        <f t="shared" si="20"/>
        <v>1320</v>
      </c>
      <c r="W88" s="668">
        <f t="shared" si="21"/>
        <v>0</v>
      </c>
      <c r="X88" s="668">
        <f t="shared" si="22"/>
        <v>0</v>
      </c>
      <c r="Y88" s="668">
        <f t="shared" si="23"/>
        <v>0</v>
      </c>
      <c r="Z88" s="668">
        <f t="shared" si="25"/>
        <v>0</v>
      </c>
      <c r="AA88" s="668">
        <f t="shared" si="26"/>
        <v>0</v>
      </c>
      <c r="AB88" s="668">
        <f t="shared" si="27"/>
        <v>0</v>
      </c>
      <c r="AC88" s="668">
        <f t="shared" si="37"/>
        <v>0</v>
      </c>
      <c r="AD88" s="668">
        <f t="shared" si="28"/>
        <v>626</v>
      </c>
      <c r="AE88" s="668">
        <f t="shared" si="29"/>
        <v>0</v>
      </c>
      <c r="AF88" s="668">
        <f t="shared" si="24"/>
        <v>72</v>
      </c>
      <c r="AG88" s="668">
        <f t="shared" si="30"/>
        <v>0</v>
      </c>
      <c r="AH88" s="668"/>
      <c r="AI88" s="668"/>
      <c r="AJ88" s="668"/>
      <c r="AK88" s="668"/>
      <c r="AL88" s="668"/>
      <c r="AM88" s="668">
        <f t="shared" si="38"/>
        <v>0</v>
      </c>
      <c r="AN88" s="668">
        <f t="shared" si="32"/>
        <v>0</v>
      </c>
      <c r="AO88" s="668">
        <f t="shared" si="33"/>
        <v>0</v>
      </c>
      <c r="AP88" s="668">
        <f t="shared" si="39"/>
        <v>0</v>
      </c>
      <c r="AQ88" s="668">
        <f t="shared" si="35"/>
        <v>0</v>
      </c>
      <c r="AR88" s="668">
        <f t="shared" si="36"/>
        <v>0</v>
      </c>
      <c r="AS88" s="668"/>
      <c r="AT88" s="668"/>
      <c r="AU88" s="668"/>
      <c r="AV88" s="668"/>
      <c r="AW88" s="668"/>
      <c r="AX88" s="668"/>
      <c r="AY88" s="668"/>
      <c r="AZ88" s="668"/>
      <c r="BA88" s="668"/>
      <c r="BB88" s="668">
        <f t="shared" si="40"/>
        <v>0</v>
      </c>
      <c r="BC88" s="668"/>
      <c r="BD88" s="668"/>
      <c r="BE88" s="668"/>
      <c r="BF88" s="668"/>
      <c r="BG88" s="668"/>
      <c r="BH88" s="668"/>
      <c r="BI88" s="668"/>
    </row>
    <row r="89" spans="1:61" x14ac:dyDescent="0.2">
      <c r="A89" s="1012">
        <v>1028</v>
      </c>
      <c r="B89" s="1012" t="s">
        <v>477</v>
      </c>
      <c r="C89" s="1012"/>
      <c r="D89" s="667">
        <v>50</v>
      </c>
      <c r="E89" s="667"/>
      <c r="F89" s="667"/>
      <c r="G89" s="667"/>
      <c r="H89" s="667"/>
      <c r="I89" s="667"/>
      <c r="J89" s="667"/>
      <c r="K89" s="667"/>
      <c r="L89" s="667"/>
      <c r="M89" s="667"/>
      <c r="N89" s="667"/>
      <c r="O89" s="667"/>
      <c r="P89" s="667"/>
      <c r="Q89" s="667"/>
      <c r="R89" s="667"/>
      <c r="S89" s="667"/>
      <c r="T89" s="667"/>
      <c r="U89" s="1012">
        <v>12</v>
      </c>
      <c r="V89" s="668">
        <f t="shared" si="20"/>
        <v>600</v>
      </c>
      <c r="W89" s="668">
        <f t="shared" si="21"/>
        <v>0</v>
      </c>
      <c r="X89" s="668">
        <f t="shared" si="22"/>
        <v>0</v>
      </c>
      <c r="Y89" s="668">
        <f t="shared" si="23"/>
        <v>0</v>
      </c>
      <c r="Z89" s="668">
        <f t="shared" si="25"/>
        <v>0</v>
      </c>
      <c r="AA89" s="668">
        <f t="shared" si="26"/>
        <v>0</v>
      </c>
      <c r="AB89" s="668">
        <f t="shared" si="27"/>
        <v>0</v>
      </c>
      <c r="AC89" s="668">
        <f t="shared" si="37"/>
        <v>0</v>
      </c>
      <c r="AD89" s="668">
        <f t="shared" si="28"/>
        <v>0</v>
      </c>
      <c r="AE89" s="668">
        <f t="shared" si="29"/>
        <v>0</v>
      </c>
      <c r="AF89" s="668">
        <f t="shared" si="24"/>
        <v>0</v>
      </c>
      <c r="AG89" s="668">
        <f t="shared" si="30"/>
        <v>0</v>
      </c>
      <c r="AH89" s="668"/>
      <c r="AI89" s="668"/>
      <c r="AJ89" s="668"/>
      <c r="AK89" s="668"/>
      <c r="AL89" s="668"/>
      <c r="AM89" s="668">
        <f t="shared" si="38"/>
        <v>0</v>
      </c>
      <c r="AN89" s="668">
        <f t="shared" si="32"/>
        <v>0</v>
      </c>
      <c r="AO89" s="668">
        <f t="shared" si="33"/>
        <v>0</v>
      </c>
      <c r="AP89" s="668">
        <f t="shared" si="39"/>
        <v>0</v>
      </c>
      <c r="AQ89" s="668">
        <f t="shared" si="35"/>
        <v>0</v>
      </c>
      <c r="AR89" s="668">
        <f t="shared" si="36"/>
        <v>0</v>
      </c>
      <c r="AS89" s="668"/>
      <c r="AT89" s="668"/>
      <c r="AU89" s="668"/>
      <c r="AV89" s="668"/>
      <c r="AW89" s="668"/>
      <c r="AX89" s="668"/>
      <c r="AY89" s="668"/>
      <c r="AZ89" s="668"/>
      <c r="BA89" s="668"/>
      <c r="BB89" s="668">
        <f t="shared" si="40"/>
        <v>0</v>
      </c>
      <c r="BC89" s="668"/>
      <c r="BD89" s="668"/>
      <c r="BE89" s="668"/>
      <c r="BF89" s="668"/>
      <c r="BG89" s="668"/>
      <c r="BH89" s="668"/>
      <c r="BI89" s="668"/>
    </row>
    <row r="90" spans="1:61" x14ac:dyDescent="0.2">
      <c r="A90" s="1012">
        <v>1029</v>
      </c>
      <c r="B90" s="1012" t="s">
        <v>516</v>
      </c>
      <c r="C90" s="1012"/>
      <c r="D90" s="667">
        <v>65</v>
      </c>
      <c r="E90" s="667"/>
      <c r="F90" s="667"/>
      <c r="G90" s="667"/>
      <c r="H90" s="667"/>
      <c r="I90" s="667"/>
      <c r="J90" s="667"/>
      <c r="K90" s="667"/>
      <c r="L90" s="667"/>
      <c r="M90" s="667"/>
      <c r="N90" s="667"/>
      <c r="O90" s="667"/>
      <c r="P90" s="667"/>
      <c r="Q90" s="667"/>
      <c r="R90" s="667"/>
      <c r="S90" s="667"/>
      <c r="T90" s="667"/>
      <c r="U90" s="1012">
        <v>12</v>
      </c>
      <c r="V90" s="668">
        <f t="shared" si="20"/>
        <v>780</v>
      </c>
      <c r="W90" s="668">
        <f t="shared" si="21"/>
        <v>0</v>
      </c>
      <c r="X90" s="668">
        <f t="shared" si="22"/>
        <v>0</v>
      </c>
      <c r="Y90" s="668">
        <f t="shared" si="23"/>
        <v>0</v>
      </c>
      <c r="Z90" s="668">
        <f t="shared" si="25"/>
        <v>0</v>
      </c>
      <c r="AA90" s="668">
        <f t="shared" si="26"/>
        <v>0</v>
      </c>
      <c r="AB90" s="668">
        <f t="shared" si="27"/>
        <v>0</v>
      </c>
      <c r="AC90" s="668">
        <f t="shared" si="37"/>
        <v>0</v>
      </c>
      <c r="AD90" s="668">
        <f t="shared" si="28"/>
        <v>0</v>
      </c>
      <c r="AE90" s="668">
        <f t="shared" si="29"/>
        <v>0</v>
      </c>
      <c r="AF90" s="668">
        <f t="shared" si="24"/>
        <v>0</v>
      </c>
      <c r="AG90" s="668">
        <f t="shared" si="30"/>
        <v>0</v>
      </c>
      <c r="AH90" s="668"/>
      <c r="AI90" s="668"/>
      <c r="AJ90" s="668"/>
      <c r="AK90" s="668"/>
      <c r="AL90" s="668"/>
      <c r="AM90" s="668">
        <f t="shared" si="38"/>
        <v>0</v>
      </c>
      <c r="AN90" s="668">
        <f t="shared" si="32"/>
        <v>0</v>
      </c>
      <c r="AO90" s="668">
        <f t="shared" si="33"/>
        <v>0</v>
      </c>
      <c r="AP90" s="668">
        <f t="shared" si="39"/>
        <v>0</v>
      </c>
      <c r="AQ90" s="668">
        <f t="shared" si="35"/>
        <v>0</v>
      </c>
      <c r="AR90" s="668">
        <f t="shared" si="36"/>
        <v>0</v>
      </c>
      <c r="AS90" s="668"/>
      <c r="AT90" s="668"/>
      <c r="AU90" s="668"/>
      <c r="AV90" s="668"/>
      <c r="AW90" s="668"/>
      <c r="AX90" s="668"/>
      <c r="AY90" s="668"/>
      <c r="AZ90" s="668"/>
      <c r="BA90" s="668"/>
      <c r="BB90" s="668">
        <f t="shared" si="40"/>
        <v>0</v>
      </c>
      <c r="BC90" s="668"/>
      <c r="BD90" s="668"/>
      <c r="BE90" s="668"/>
      <c r="BF90" s="668"/>
      <c r="BG90" s="668"/>
      <c r="BH90" s="668"/>
      <c r="BI90" s="668"/>
    </row>
    <row r="91" spans="1:61" x14ac:dyDescent="0.2">
      <c r="A91" s="1012">
        <v>1030</v>
      </c>
      <c r="B91" s="1012" t="s">
        <v>515</v>
      </c>
      <c r="C91" s="1012"/>
      <c r="D91" s="667">
        <v>95</v>
      </c>
      <c r="E91" s="667"/>
      <c r="F91" s="667"/>
      <c r="G91" s="667"/>
      <c r="H91" s="667"/>
      <c r="I91" s="667"/>
      <c r="J91" s="667"/>
      <c r="K91" s="667"/>
      <c r="L91" s="667">
        <v>5</v>
      </c>
      <c r="M91" s="667"/>
      <c r="N91" s="667"/>
      <c r="O91" s="667"/>
      <c r="P91" s="667"/>
      <c r="Q91" s="667"/>
      <c r="R91" s="667"/>
      <c r="S91" s="667"/>
      <c r="T91" s="667">
        <v>2481</v>
      </c>
      <c r="U91" s="1025">
        <v>12</v>
      </c>
      <c r="V91" s="668">
        <f t="shared" si="20"/>
        <v>1140</v>
      </c>
      <c r="W91" s="668">
        <f t="shared" si="21"/>
        <v>0</v>
      </c>
      <c r="X91" s="668">
        <f t="shared" si="22"/>
        <v>0</v>
      </c>
      <c r="Y91" s="668">
        <f t="shared" si="23"/>
        <v>0</v>
      </c>
      <c r="Z91" s="668">
        <f t="shared" si="25"/>
        <v>0</v>
      </c>
      <c r="AA91" s="668">
        <f t="shared" si="26"/>
        <v>0</v>
      </c>
      <c r="AB91" s="668">
        <f t="shared" si="27"/>
        <v>2481</v>
      </c>
      <c r="AC91" s="668">
        <f t="shared" si="37"/>
        <v>0</v>
      </c>
      <c r="AD91" s="668">
        <f t="shared" si="28"/>
        <v>0</v>
      </c>
      <c r="AE91" s="668">
        <f t="shared" si="29"/>
        <v>0</v>
      </c>
      <c r="AF91" s="668">
        <f t="shared" si="24"/>
        <v>60</v>
      </c>
      <c r="AG91" s="668">
        <f t="shared" si="30"/>
        <v>0</v>
      </c>
      <c r="AH91" s="668"/>
      <c r="AI91" s="668"/>
      <c r="AJ91" s="668"/>
      <c r="AK91" s="668"/>
      <c r="AL91" s="668"/>
      <c r="AM91" s="668">
        <f t="shared" si="38"/>
        <v>0</v>
      </c>
      <c r="AN91" s="668">
        <f t="shared" si="32"/>
        <v>0</v>
      </c>
      <c r="AO91" s="668">
        <f t="shared" si="33"/>
        <v>0</v>
      </c>
      <c r="AP91" s="668">
        <f t="shared" si="39"/>
        <v>0</v>
      </c>
      <c r="AQ91" s="668">
        <f t="shared" si="35"/>
        <v>0</v>
      </c>
      <c r="AR91" s="668">
        <f t="shared" si="36"/>
        <v>0</v>
      </c>
      <c r="AS91" s="668"/>
      <c r="AT91" s="668"/>
      <c r="AU91" s="668"/>
      <c r="AV91" s="668"/>
      <c r="AW91" s="668"/>
      <c r="AX91" s="668"/>
      <c r="AY91" s="668"/>
      <c r="AZ91" s="668"/>
      <c r="BA91" s="668"/>
      <c r="BB91" s="668">
        <f t="shared" si="40"/>
        <v>0</v>
      </c>
      <c r="BC91" s="668"/>
      <c r="BD91" s="668"/>
      <c r="BE91" s="668"/>
      <c r="BF91" s="668"/>
      <c r="BG91" s="668"/>
      <c r="BH91" s="668"/>
      <c r="BI91" s="668"/>
    </row>
    <row r="92" spans="1:61" x14ac:dyDescent="0.2">
      <c r="A92" s="1012" t="s">
        <v>511</v>
      </c>
      <c r="B92" s="1012" t="s">
        <v>517</v>
      </c>
      <c r="C92" s="1012"/>
      <c r="D92" s="667">
        <v>42</v>
      </c>
      <c r="E92" s="667"/>
      <c r="F92" s="667"/>
      <c r="G92" s="667"/>
      <c r="H92" s="667"/>
      <c r="I92" s="667"/>
      <c r="J92" s="667"/>
      <c r="K92" s="667"/>
      <c r="L92" s="667">
        <v>2</v>
      </c>
      <c r="M92" s="667"/>
      <c r="N92" s="667"/>
      <c r="O92" s="667"/>
      <c r="P92" s="667"/>
      <c r="Q92" s="667"/>
      <c r="R92" s="667"/>
      <c r="S92" s="667"/>
      <c r="T92" s="667"/>
      <c r="U92" s="1025">
        <v>12</v>
      </c>
      <c r="V92" s="668">
        <f t="shared" si="20"/>
        <v>504</v>
      </c>
      <c r="W92" s="668">
        <f t="shared" si="21"/>
        <v>0</v>
      </c>
      <c r="X92" s="668">
        <f t="shared" si="22"/>
        <v>0</v>
      </c>
      <c r="Y92" s="668">
        <f t="shared" si="23"/>
        <v>0</v>
      </c>
      <c r="Z92" s="668">
        <f t="shared" si="25"/>
        <v>0</v>
      </c>
      <c r="AA92" s="668">
        <f t="shared" si="26"/>
        <v>0</v>
      </c>
      <c r="AB92" s="668">
        <f t="shared" si="27"/>
        <v>0</v>
      </c>
      <c r="AC92" s="668">
        <f t="shared" si="37"/>
        <v>0</v>
      </c>
      <c r="AD92" s="668">
        <f t="shared" si="28"/>
        <v>0</v>
      </c>
      <c r="AE92" s="668">
        <f t="shared" si="29"/>
        <v>0</v>
      </c>
      <c r="AF92" s="668">
        <f t="shared" si="24"/>
        <v>24</v>
      </c>
      <c r="AG92" s="668">
        <f t="shared" si="30"/>
        <v>0</v>
      </c>
      <c r="AH92" s="668"/>
      <c r="AI92" s="668"/>
      <c r="AJ92" s="668"/>
      <c r="AK92" s="668"/>
      <c r="AL92" s="668"/>
      <c r="AM92" s="668">
        <f t="shared" si="38"/>
        <v>0</v>
      </c>
      <c r="AN92" s="668">
        <f t="shared" si="32"/>
        <v>0</v>
      </c>
      <c r="AO92" s="668">
        <f t="shared" si="33"/>
        <v>0</v>
      </c>
      <c r="AP92" s="668">
        <f t="shared" si="39"/>
        <v>0</v>
      </c>
      <c r="AQ92" s="668">
        <f t="shared" si="35"/>
        <v>0</v>
      </c>
      <c r="AR92" s="668">
        <f t="shared" si="36"/>
        <v>0</v>
      </c>
      <c r="AS92" s="668"/>
      <c r="AT92" s="668"/>
      <c r="AU92" s="668"/>
      <c r="AV92" s="668"/>
      <c r="AW92" s="668"/>
      <c r="AX92" s="668"/>
      <c r="AY92" s="668"/>
      <c r="AZ92" s="668"/>
      <c r="BA92" s="668"/>
      <c r="BB92" s="668">
        <f t="shared" si="40"/>
        <v>0</v>
      </c>
      <c r="BC92" s="668"/>
      <c r="BD92" s="668"/>
      <c r="BE92" s="668"/>
      <c r="BF92" s="668"/>
      <c r="BG92" s="668"/>
      <c r="BH92" s="668"/>
      <c r="BI92" s="668"/>
    </row>
    <row r="93" spans="1:61" x14ac:dyDescent="0.2">
      <c r="A93" s="1012" t="s">
        <v>512</v>
      </c>
      <c r="B93" s="1012" t="s">
        <v>517</v>
      </c>
      <c r="C93" s="1012"/>
      <c r="D93" s="667">
        <v>42</v>
      </c>
      <c r="E93" s="667"/>
      <c r="F93" s="667"/>
      <c r="G93" s="667"/>
      <c r="H93" s="667"/>
      <c r="I93" s="667"/>
      <c r="J93" s="667"/>
      <c r="K93" s="667"/>
      <c r="L93" s="667">
        <v>2</v>
      </c>
      <c r="M93" s="667"/>
      <c r="N93" s="667"/>
      <c r="O93" s="667"/>
      <c r="P93" s="667"/>
      <c r="Q93" s="667"/>
      <c r="R93" s="667"/>
      <c r="S93" s="667"/>
      <c r="T93" s="667"/>
      <c r="U93" s="1025">
        <v>12</v>
      </c>
      <c r="V93" s="668">
        <f t="shared" si="20"/>
        <v>504</v>
      </c>
      <c r="W93" s="668">
        <f t="shared" si="21"/>
        <v>0</v>
      </c>
      <c r="X93" s="668">
        <f t="shared" si="22"/>
        <v>0</v>
      </c>
      <c r="Y93" s="668">
        <f t="shared" si="23"/>
        <v>0</v>
      </c>
      <c r="Z93" s="668">
        <f t="shared" si="25"/>
        <v>0</v>
      </c>
      <c r="AA93" s="668">
        <f t="shared" si="26"/>
        <v>0</v>
      </c>
      <c r="AB93" s="668">
        <f t="shared" si="27"/>
        <v>0</v>
      </c>
      <c r="AC93" s="668">
        <f t="shared" si="37"/>
        <v>0</v>
      </c>
      <c r="AD93" s="668">
        <f t="shared" si="28"/>
        <v>0</v>
      </c>
      <c r="AE93" s="668">
        <f t="shared" si="29"/>
        <v>0</v>
      </c>
      <c r="AF93" s="668">
        <f t="shared" si="24"/>
        <v>24</v>
      </c>
      <c r="AG93" s="668">
        <f t="shared" si="30"/>
        <v>0</v>
      </c>
      <c r="AH93" s="668"/>
      <c r="AI93" s="668"/>
      <c r="AJ93" s="668"/>
      <c r="AK93" s="668"/>
      <c r="AL93" s="668"/>
      <c r="AM93" s="668">
        <f t="shared" si="38"/>
        <v>0</v>
      </c>
      <c r="AN93" s="668">
        <f t="shared" si="32"/>
        <v>0</v>
      </c>
      <c r="AO93" s="668">
        <f t="shared" si="33"/>
        <v>0</v>
      </c>
      <c r="AP93" s="668">
        <f t="shared" si="39"/>
        <v>0</v>
      </c>
      <c r="AQ93" s="668">
        <f t="shared" si="35"/>
        <v>0</v>
      </c>
      <c r="AR93" s="668">
        <f t="shared" si="36"/>
        <v>0</v>
      </c>
      <c r="AS93" s="668"/>
      <c r="AT93" s="668"/>
      <c r="AU93" s="668"/>
      <c r="AV93" s="668"/>
      <c r="AW93" s="668"/>
      <c r="AX93" s="668"/>
      <c r="AY93" s="668"/>
      <c r="AZ93" s="668"/>
      <c r="BA93" s="668"/>
      <c r="BB93" s="668">
        <f t="shared" si="40"/>
        <v>0</v>
      </c>
      <c r="BC93" s="668"/>
      <c r="BD93" s="668"/>
      <c r="BE93" s="668"/>
      <c r="BF93" s="668"/>
      <c r="BG93" s="668"/>
      <c r="BH93" s="668"/>
      <c r="BI93" s="668"/>
    </row>
    <row r="94" spans="1:61" x14ac:dyDescent="0.2">
      <c r="A94" s="1012">
        <v>1032</v>
      </c>
      <c r="B94" s="1012" t="s">
        <v>518</v>
      </c>
      <c r="C94" s="1012"/>
      <c r="D94" s="667">
        <v>86</v>
      </c>
      <c r="E94" s="667"/>
      <c r="F94" s="667"/>
      <c r="G94" s="667"/>
      <c r="H94" s="667"/>
      <c r="I94" s="667"/>
      <c r="J94" s="667"/>
      <c r="K94" s="667"/>
      <c r="L94" s="667"/>
      <c r="M94" s="667"/>
      <c r="N94" s="667"/>
      <c r="O94" s="667"/>
      <c r="P94" s="667"/>
      <c r="Q94" s="667"/>
      <c r="R94" s="667"/>
      <c r="S94" s="667"/>
      <c r="T94" s="667"/>
      <c r="U94" s="1025">
        <v>10</v>
      </c>
      <c r="V94" s="668">
        <f t="shared" si="20"/>
        <v>860</v>
      </c>
      <c r="W94" s="668">
        <f t="shared" si="21"/>
        <v>0</v>
      </c>
      <c r="X94" s="668">
        <f t="shared" si="22"/>
        <v>0</v>
      </c>
      <c r="Y94" s="668">
        <f t="shared" si="23"/>
        <v>0</v>
      </c>
      <c r="Z94" s="668">
        <f t="shared" si="25"/>
        <v>0</v>
      </c>
      <c r="AA94" s="668">
        <f t="shared" si="26"/>
        <v>0</v>
      </c>
      <c r="AB94" s="668">
        <f t="shared" si="27"/>
        <v>0</v>
      </c>
      <c r="AC94" s="668">
        <f t="shared" si="37"/>
        <v>0</v>
      </c>
      <c r="AD94" s="668">
        <f t="shared" si="28"/>
        <v>0</v>
      </c>
      <c r="AE94" s="668">
        <f t="shared" si="29"/>
        <v>0</v>
      </c>
      <c r="AF94" s="668">
        <f t="shared" si="24"/>
        <v>0</v>
      </c>
      <c r="AG94" s="668">
        <f t="shared" si="30"/>
        <v>0</v>
      </c>
      <c r="AH94" s="668"/>
      <c r="AI94" s="668"/>
      <c r="AJ94" s="668"/>
      <c r="AK94" s="668"/>
      <c r="AL94" s="668"/>
      <c r="AM94" s="668">
        <f t="shared" si="38"/>
        <v>0</v>
      </c>
      <c r="AN94" s="668">
        <f t="shared" si="32"/>
        <v>0</v>
      </c>
      <c r="AO94" s="668">
        <f t="shared" si="33"/>
        <v>0</v>
      </c>
      <c r="AP94" s="668">
        <f t="shared" si="39"/>
        <v>0</v>
      </c>
      <c r="AQ94" s="668">
        <f t="shared" si="35"/>
        <v>0</v>
      </c>
      <c r="AR94" s="668">
        <f t="shared" si="36"/>
        <v>0</v>
      </c>
      <c r="AS94" s="668"/>
      <c r="AT94" s="668"/>
      <c r="AU94" s="668"/>
      <c r="AV94" s="668"/>
      <c r="AW94" s="668"/>
      <c r="AX94" s="668"/>
      <c r="AY94" s="668"/>
      <c r="AZ94" s="668"/>
      <c r="BA94" s="668"/>
      <c r="BB94" s="668">
        <f t="shared" si="40"/>
        <v>0</v>
      </c>
      <c r="BC94" s="668"/>
      <c r="BD94" s="668"/>
      <c r="BE94" s="668"/>
      <c r="BF94" s="668"/>
      <c r="BG94" s="668"/>
      <c r="BH94" s="668"/>
      <c r="BI94" s="668"/>
    </row>
    <row r="95" spans="1:61" x14ac:dyDescent="0.2">
      <c r="A95" s="1012">
        <v>1033</v>
      </c>
      <c r="B95" s="1012" t="s">
        <v>519</v>
      </c>
      <c r="C95" s="1012"/>
      <c r="D95" s="667">
        <v>20</v>
      </c>
      <c r="E95" s="667"/>
      <c r="F95" s="667">
        <v>15</v>
      </c>
      <c r="G95" s="667"/>
      <c r="H95" s="667"/>
      <c r="I95" s="667"/>
      <c r="J95" s="667"/>
      <c r="K95" s="667"/>
      <c r="L95" s="667">
        <v>2</v>
      </c>
      <c r="M95" s="667"/>
      <c r="N95" s="667"/>
      <c r="O95" s="667"/>
      <c r="P95" s="667"/>
      <c r="Q95" s="667"/>
      <c r="R95" s="667"/>
      <c r="S95" s="667"/>
      <c r="T95" s="667">
        <v>162</v>
      </c>
      <c r="U95" s="1025">
        <v>12</v>
      </c>
      <c r="V95" s="668">
        <f t="shared" si="20"/>
        <v>240</v>
      </c>
      <c r="W95" s="668">
        <f t="shared" si="21"/>
        <v>0</v>
      </c>
      <c r="X95" s="668">
        <f t="shared" si="22"/>
        <v>0</v>
      </c>
      <c r="Y95" s="668">
        <f t="shared" si="23"/>
        <v>0</v>
      </c>
      <c r="Z95" s="668">
        <f t="shared" si="25"/>
        <v>0</v>
      </c>
      <c r="AA95" s="668">
        <f t="shared" si="26"/>
        <v>0</v>
      </c>
      <c r="AB95" s="668">
        <f t="shared" si="27"/>
        <v>162</v>
      </c>
      <c r="AC95" s="668">
        <f t="shared" si="37"/>
        <v>0</v>
      </c>
      <c r="AD95" s="668">
        <f t="shared" si="28"/>
        <v>0</v>
      </c>
      <c r="AE95" s="668">
        <f t="shared" si="29"/>
        <v>0</v>
      </c>
      <c r="AF95" s="668">
        <f t="shared" si="24"/>
        <v>24</v>
      </c>
      <c r="AG95" s="668">
        <f t="shared" si="30"/>
        <v>0</v>
      </c>
      <c r="AH95" s="668"/>
      <c r="AI95" s="668"/>
      <c r="AJ95" s="668"/>
      <c r="AK95" s="668"/>
      <c r="AL95" s="668"/>
      <c r="AM95" s="668">
        <f t="shared" si="38"/>
        <v>0</v>
      </c>
      <c r="AN95" s="668">
        <f t="shared" si="32"/>
        <v>0</v>
      </c>
      <c r="AO95" s="668">
        <f t="shared" si="33"/>
        <v>0</v>
      </c>
      <c r="AP95" s="668">
        <f t="shared" si="39"/>
        <v>180</v>
      </c>
      <c r="AQ95" s="668">
        <f t="shared" si="35"/>
        <v>0</v>
      </c>
      <c r="AR95" s="668">
        <f t="shared" si="36"/>
        <v>0</v>
      </c>
      <c r="AS95" s="668"/>
      <c r="AT95" s="668"/>
      <c r="AU95" s="668"/>
      <c r="AV95" s="668"/>
      <c r="AW95" s="668"/>
      <c r="AX95" s="668"/>
      <c r="AY95" s="668"/>
      <c r="AZ95" s="668"/>
      <c r="BA95" s="668"/>
      <c r="BB95" s="668">
        <f t="shared" si="40"/>
        <v>180</v>
      </c>
      <c r="BC95" s="668"/>
      <c r="BD95" s="668"/>
      <c r="BE95" s="668"/>
      <c r="BF95" s="668"/>
      <c r="BG95" s="668"/>
      <c r="BH95" s="668"/>
      <c r="BI95" s="668"/>
    </row>
    <row r="96" spans="1:61" x14ac:dyDescent="0.2">
      <c r="A96" s="1012">
        <v>1034</v>
      </c>
      <c r="B96" s="1012" t="s">
        <v>519</v>
      </c>
      <c r="C96" s="1012"/>
      <c r="D96" s="667">
        <v>35</v>
      </c>
      <c r="E96" s="667"/>
      <c r="F96" s="667">
        <v>15</v>
      </c>
      <c r="G96" s="667"/>
      <c r="H96" s="667"/>
      <c r="I96" s="667"/>
      <c r="J96" s="667"/>
      <c r="K96" s="667"/>
      <c r="L96" s="667">
        <v>1</v>
      </c>
      <c r="M96" s="667"/>
      <c r="N96" s="667"/>
      <c r="O96" s="667"/>
      <c r="P96" s="667"/>
      <c r="Q96" s="667"/>
      <c r="R96" s="667"/>
      <c r="S96" s="667"/>
      <c r="T96" s="667">
        <v>178</v>
      </c>
      <c r="U96" s="1025">
        <v>12</v>
      </c>
      <c r="V96" s="668">
        <f t="shared" si="20"/>
        <v>420</v>
      </c>
      <c r="W96" s="668">
        <f t="shared" si="21"/>
        <v>0</v>
      </c>
      <c r="X96" s="668">
        <f t="shared" si="22"/>
        <v>0</v>
      </c>
      <c r="Y96" s="668">
        <f t="shared" si="23"/>
        <v>0</v>
      </c>
      <c r="Z96" s="668">
        <f t="shared" si="25"/>
        <v>0</v>
      </c>
      <c r="AA96" s="668">
        <f t="shared" si="26"/>
        <v>0</v>
      </c>
      <c r="AB96" s="668">
        <f t="shared" si="27"/>
        <v>178</v>
      </c>
      <c r="AC96" s="668">
        <f t="shared" si="37"/>
        <v>0</v>
      </c>
      <c r="AD96" s="668">
        <f t="shared" si="28"/>
        <v>0</v>
      </c>
      <c r="AE96" s="668">
        <f t="shared" si="29"/>
        <v>0</v>
      </c>
      <c r="AF96" s="668">
        <f t="shared" si="24"/>
        <v>12</v>
      </c>
      <c r="AG96" s="668">
        <f t="shared" si="30"/>
        <v>0</v>
      </c>
      <c r="AH96" s="668"/>
      <c r="AI96" s="668"/>
      <c r="AJ96" s="668"/>
      <c r="AK96" s="668"/>
      <c r="AL96" s="668"/>
      <c r="AM96" s="668">
        <f t="shared" si="38"/>
        <v>0</v>
      </c>
      <c r="AN96" s="668">
        <f t="shared" si="32"/>
        <v>0</v>
      </c>
      <c r="AO96" s="668">
        <f t="shared" si="33"/>
        <v>0</v>
      </c>
      <c r="AP96" s="668">
        <f t="shared" si="39"/>
        <v>180</v>
      </c>
      <c r="AQ96" s="668">
        <f t="shared" si="35"/>
        <v>0</v>
      </c>
      <c r="AR96" s="668">
        <f t="shared" si="36"/>
        <v>0</v>
      </c>
      <c r="AS96" s="668"/>
      <c r="AT96" s="668"/>
      <c r="AU96" s="668"/>
      <c r="AV96" s="668"/>
      <c r="AW96" s="668"/>
      <c r="AX96" s="668"/>
      <c r="AY96" s="668"/>
      <c r="AZ96" s="668"/>
      <c r="BA96" s="668"/>
      <c r="BB96" s="668">
        <f t="shared" si="40"/>
        <v>180</v>
      </c>
      <c r="BC96" s="668"/>
      <c r="BD96" s="668"/>
      <c r="BE96" s="668"/>
      <c r="BF96" s="668"/>
      <c r="BG96" s="668"/>
      <c r="BH96" s="668"/>
      <c r="BI96" s="668"/>
    </row>
    <row r="97" spans="1:61" x14ac:dyDescent="0.2">
      <c r="A97" s="1012">
        <v>1035</v>
      </c>
      <c r="B97" s="1012" t="s">
        <v>515</v>
      </c>
      <c r="C97" s="1012"/>
      <c r="D97" s="667">
        <v>95</v>
      </c>
      <c r="E97" s="667"/>
      <c r="F97" s="667"/>
      <c r="G97" s="667"/>
      <c r="H97" s="667"/>
      <c r="I97" s="667"/>
      <c r="J97" s="667"/>
      <c r="K97" s="667"/>
      <c r="L97" s="667">
        <v>5</v>
      </c>
      <c r="M97" s="667"/>
      <c r="N97" s="667"/>
      <c r="O97" s="667"/>
      <c r="P97" s="667"/>
      <c r="Q97" s="667"/>
      <c r="R97" s="667"/>
      <c r="S97" s="667"/>
      <c r="T97" s="667">
        <v>2481</v>
      </c>
      <c r="U97" s="1025">
        <v>12</v>
      </c>
      <c r="V97" s="668">
        <f t="shared" si="20"/>
        <v>1140</v>
      </c>
      <c r="W97" s="668">
        <f t="shared" si="21"/>
        <v>0</v>
      </c>
      <c r="X97" s="668">
        <f t="shared" si="22"/>
        <v>0</v>
      </c>
      <c r="Y97" s="668">
        <f t="shared" si="23"/>
        <v>0</v>
      </c>
      <c r="Z97" s="668">
        <f t="shared" si="25"/>
        <v>0</v>
      </c>
      <c r="AA97" s="668">
        <f t="shared" si="26"/>
        <v>0</v>
      </c>
      <c r="AB97" s="668">
        <f t="shared" si="27"/>
        <v>2481</v>
      </c>
      <c r="AC97" s="668">
        <f t="shared" si="37"/>
        <v>0</v>
      </c>
      <c r="AD97" s="668">
        <f t="shared" si="28"/>
        <v>0</v>
      </c>
      <c r="AE97" s="668">
        <f t="shared" si="29"/>
        <v>0</v>
      </c>
      <c r="AF97" s="668">
        <f t="shared" si="24"/>
        <v>60</v>
      </c>
      <c r="AG97" s="668">
        <f t="shared" si="30"/>
        <v>0</v>
      </c>
      <c r="AH97" s="668"/>
      <c r="AI97" s="668"/>
      <c r="AJ97" s="668"/>
      <c r="AK97" s="668"/>
      <c r="AL97" s="668"/>
      <c r="AM97" s="668">
        <f t="shared" si="38"/>
        <v>0</v>
      </c>
      <c r="AN97" s="668">
        <f t="shared" si="32"/>
        <v>0</v>
      </c>
      <c r="AO97" s="668">
        <f t="shared" si="33"/>
        <v>0</v>
      </c>
      <c r="AP97" s="668">
        <f t="shared" si="39"/>
        <v>0</v>
      </c>
      <c r="AQ97" s="668">
        <f t="shared" si="35"/>
        <v>0</v>
      </c>
      <c r="AR97" s="668">
        <f t="shared" si="36"/>
        <v>0</v>
      </c>
      <c r="AS97" s="668"/>
      <c r="AT97" s="668"/>
      <c r="AU97" s="668"/>
      <c r="AV97" s="668"/>
      <c r="AW97" s="668"/>
      <c r="AX97" s="668"/>
      <c r="AY97" s="668"/>
      <c r="AZ97" s="668"/>
      <c r="BA97" s="668"/>
      <c r="BB97" s="668">
        <f t="shared" si="40"/>
        <v>0</v>
      </c>
      <c r="BC97" s="668"/>
      <c r="BD97" s="668"/>
      <c r="BE97" s="668"/>
      <c r="BF97" s="668"/>
      <c r="BG97" s="668"/>
      <c r="BH97" s="668"/>
      <c r="BI97" s="668"/>
    </row>
    <row r="98" spans="1:61" x14ac:dyDescent="0.2">
      <c r="A98" s="1012">
        <v>1036</v>
      </c>
      <c r="B98" s="1012" t="s">
        <v>520</v>
      </c>
      <c r="C98" s="1012"/>
      <c r="D98" s="667">
        <v>25</v>
      </c>
      <c r="E98" s="667"/>
      <c r="F98" s="667">
        <v>25</v>
      </c>
      <c r="G98" s="667"/>
      <c r="H98" s="667"/>
      <c r="I98" s="667"/>
      <c r="J98" s="667"/>
      <c r="K98" s="667"/>
      <c r="L98" s="667"/>
      <c r="M98" s="667"/>
      <c r="N98" s="667"/>
      <c r="O98" s="667"/>
      <c r="P98" s="667"/>
      <c r="Q98" s="667"/>
      <c r="R98" s="667"/>
      <c r="S98" s="667"/>
      <c r="T98" s="667">
        <v>221</v>
      </c>
      <c r="U98" s="1025">
        <v>12</v>
      </c>
      <c r="V98" s="668">
        <f t="shared" si="20"/>
        <v>300</v>
      </c>
      <c r="W98" s="668">
        <f t="shared" si="21"/>
        <v>0</v>
      </c>
      <c r="X98" s="668">
        <f t="shared" si="22"/>
        <v>0</v>
      </c>
      <c r="Y98" s="668">
        <f t="shared" si="23"/>
        <v>0</v>
      </c>
      <c r="Z98" s="668">
        <f t="shared" si="25"/>
        <v>0</v>
      </c>
      <c r="AA98" s="668">
        <f t="shared" si="26"/>
        <v>0</v>
      </c>
      <c r="AB98" s="668">
        <f t="shared" si="27"/>
        <v>221</v>
      </c>
      <c r="AC98" s="668">
        <f t="shared" si="37"/>
        <v>0</v>
      </c>
      <c r="AD98" s="668">
        <f t="shared" si="28"/>
        <v>0</v>
      </c>
      <c r="AE98" s="668">
        <f t="shared" si="29"/>
        <v>0</v>
      </c>
      <c r="AF98" s="668">
        <f t="shared" si="24"/>
        <v>0</v>
      </c>
      <c r="AG98" s="668">
        <f t="shared" si="30"/>
        <v>0</v>
      </c>
      <c r="AH98" s="668"/>
      <c r="AI98" s="668"/>
      <c r="AJ98" s="668"/>
      <c r="AK98" s="668"/>
      <c r="AL98" s="668"/>
      <c r="AM98" s="668">
        <f t="shared" si="38"/>
        <v>0</v>
      </c>
      <c r="AN98" s="668">
        <f t="shared" si="32"/>
        <v>0</v>
      </c>
      <c r="AO98" s="668">
        <f t="shared" si="33"/>
        <v>0</v>
      </c>
      <c r="AP98" s="668">
        <f t="shared" si="39"/>
        <v>300</v>
      </c>
      <c r="AQ98" s="668">
        <f t="shared" si="35"/>
        <v>0</v>
      </c>
      <c r="AR98" s="668">
        <f t="shared" si="36"/>
        <v>0</v>
      </c>
      <c r="AS98" s="668"/>
      <c r="AT98" s="668"/>
      <c r="AU98" s="668"/>
      <c r="AV98" s="668"/>
      <c r="AW98" s="668"/>
      <c r="AX98" s="668"/>
      <c r="AY98" s="668"/>
      <c r="AZ98" s="668"/>
      <c r="BA98" s="668"/>
      <c r="BB98" s="668">
        <f t="shared" si="40"/>
        <v>300</v>
      </c>
      <c r="BC98" s="668"/>
      <c r="BD98" s="668"/>
      <c r="BE98" s="668"/>
      <c r="BF98" s="668"/>
      <c r="BG98" s="668"/>
      <c r="BH98" s="668"/>
      <c r="BI98" s="668"/>
    </row>
    <row r="99" spans="1:61" x14ac:dyDescent="0.2">
      <c r="A99" s="1012">
        <v>1037</v>
      </c>
      <c r="B99" s="1012" t="s">
        <v>519</v>
      </c>
      <c r="C99" s="1012"/>
      <c r="D99" s="667">
        <v>25</v>
      </c>
      <c r="E99" s="667"/>
      <c r="F99" s="667">
        <v>15</v>
      </c>
      <c r="G99" s="667"/>
      <c r="H99" s="667"/>
      <c r="I99" s="667"/>
      <c r="J99" s="667"/>
      <c r="K99" s="667"/>
      <c r="L99" s="667"/>
      <c r="M99" s="667"/>
      <c r="N99" s="667"/>
      <c r="O99" s="667"/>
      <c r="P99" s="667"/>
      <c r="Q99" s="667"/>
      <c r="R99" s="667"/>
      <c r="S99" s="667"/>
      <c r="T99" s="667">
        <v>161</v>
      </c>
      <c r="U99" s="1025">
        <v>12</v>
      </c>
      <c r="V99" s="668">
        <f t="shared" si="20"/>
        <v>300</v>
      </c>
      <c r="W99" s="668">
        <f t="shared" si="21"/>
        <v>0</v>
      </c>
      <c r="X99" s="668">
        <f t="shared" si="22"/>
        <v>0</v>
      </c>
      <c r="Y99" s="668">
        <f t="shared" si="23"/>
        <v>0</v>
      </c>
      <c r="Z99" s="668">
        <f t="shared" si="25"/>
        <v>0</v>
      </c>
      <c r="AA99" s="668">
        <f t="shared" si="26"/>
        <v>0</v>
      </c>
      <c r="AB99" s="668">
        <f t="shared" si="27"/>
        <v>161</v>
      </c>
      <c r="AC99" s="668">
        <f t="shared" si="37"/>
        <v>0</v>
      </c>
      <c r="AD99" s="668">
        <f t="shared" si="28"/>
        <v>0</v>
      </c>
      <c r="AE99" s="668">
        <f t="shared" si="29"/>
        <v>0</v>
      </c>
      <c r="AF99" s="668">
        <f t="shared" si="24"/>
        <v>0</v>
      </c>
      <c r="AG99" s="668">
        <f t="shared" si="30"/>
        <v>0</v>
      </c>
      <c r="AH99" s="668"/>
      <c r="AI99" s="668"/>
      <c r="AJ99" s="668"/>
      <c r="AK99" s="668"/>
      <c r="AL99" s="668"/>
      <c r="AM99" s="668">
        <f t="shared" si="38"/>
        <v>0</v>
      </c>
      <c r="AN99" s="668">
        <f t="shared" si="32"/>
        <v>0</v>
      </c>
      <c r="AO99" s="668">
        <f t="shared" si="33"/>
        <v>0</v>
      </c>
      <c r="AP99" s="668">
        <f t="shared" si="39"/>
        <v>180</v>
      </c>
      <c r="AQ99" s="668">
        <f t="shared" si="35"/>
        <v>0</v>
      </c>
      <c r="AR99" s="668">
        <f t="shared" si="36"/>
        <v>0</v>
      </c>
      <c r="AS99" s="668"/>
      <c r="AT99" s="668"/>
      <c r="AU99" s="668"/>
      <c r="AV99" s="668"/>
      <c r="AW99" s="668"/>
      <c r="AX99" s="668"/>
      <c r="AY99" s="668"/>
      <c r="AZ99" s="668"/>
      <c r="BA99" s="668"/>
      <c r="BB99" s="668">
        <f t="shared" si="40"/>
        <v>180</v>
      </c>
      <c r="BC99" s="668"/>
      <c r="BD99" s="668"/>
      <c r="BE99" s="668"/>
      <c r="BF99" s="668"/>
      <c r="BG99" s="668"/>
      <c r="BH99" s="668"/>
      <c r="BI99" s="668"/>
    </row>
    <row r="100" spans="1:61" x14ac:dyDescent="0.2">
      <c r="A100" s="1012">
        <v>1038</v>
      </c>
      <c r="B100" s="1012" t="s">
        <v>519</v>
      </c>
      <c r="C100" s="1012"/>
      <c r="D100" s="667">
        <v>20</v>
      </c>
      <c r="E100" s="667"/>
      <c r="F100" s="667">
        <v>15</v>
      </c>
      <c r="G100" s="667"/>
      <c r="H100" s="667"/>
      <c r="I100" s="667"/>
      <c r="J100" s="667"/>
      <c r="K100" s="667"/>
      <c r="L100" s="667">
        <v>2</v>
      </c>
      <c r="M100" s="667"/>
      <c r="N100" s="667"/>
      <c r="O100" s="667"/>
      <c r="P100" s="667"/>
      <c r="Q100" s="667"/>
      <c r="R100" s="667"/>
      <c r="S100" s="667"/>
      <c r="T100" s="667">
        <v>162</v>
      </c>
      <c r="U100" s="1025">
        <v>12</v>
      </c>
      <c r="V100" s="668">
        <f t="shared" si="20"/>
        <v>240</v>
      </c>
      <c r="W100" s="668">
        <f t="shared" si="21"/>
        <v>0</v>
      </c>
      <c r="X100" s="668">
        <f t="shared" si="22"/>
        <v>0</v>
      </c>
      <c r="Y100" s="668">
        <f t="shared" si="23"/>
        <v>0</v>
      </c>
      <c r="Z100" s="668">
        <f t="shared" si="25"/>
        <v>0</v>
      </c>
      <c r="AA100" s="668">
        <f t="shared" si="26"/>
        <v>0</v>
      </c>
      <c r="AB100" s="668">
        <f t="shared" si="27"/>
        <v>162</v>
      </c>
      <c r="AC100" s="668">
        <f t="shared" si="37"/>
        <v>0</v>
      </c>
      <c r="AD100" s="668">
        <f t="shared" si="28"/>
        <v>0</v>
      </c>
      <c r="AE100" s="668">
        <f t="shared" si="29"/>
        <v>0</v>
      </c>
      <c r="AF100" s="668">
        <f t="shared" si="24"/>
        <v>24</v>
      </c>
      <c r="AG100" s="668">
        <f t="shared" si="30"/>
        <v>0</v>
      </c>
      <c r="AH100" s="668"/>
      <c r="AI100" s="668"/>
      <c r="AJ100" s="668"/>
      <c r="AK100" s="668"/>
      <c r="AL100" s="668"/>
      <c r="AM100" s="668">
        <f t="shared" si="38"/>
        <v>0</v>
      </c>
      <c r="AN100" s="668">
        <f t="shared" si="32"/>
        <v>0</v>
      </c>
      <c r="AO100" s="668">
        <f t="shared" si="33"/>
        <v>0</v>
      </c>
      <c r="AP100" s="668">
        <f t="shared" si="39"/>
        <v>180</v>
      </c>
      <c r="AQ100" s="668">
        <f t="shared" si="35"/>
        <v>0</v>
      </c>
      <c r="AR100" s="668">
        <f t="shared" si="36"/>
        <v>0</v>
      </c>
      <c r="AS100" s="668"/>
      <c r="AT100" s="668"/>
      <c r="AU100" s="668"/>
      <c r="AV100" s="668"/>
      <c r="AW100" s="668"/>
      <c r="AX100" s="668"/>
      <c r="AY100" s="668"/>
      <c r="AZ100" s="668"/>
      <c r="BA100" s="668"/>
      <c r="BB100" s="668">
        <f t="shared" si="40"/>
        <v>180</v>
      </c>
      <c r="BC100" s="668"/>
      <c r="BD100" s="668"/>
      <c r="BE100" s="668"/>
      <c r="BF100" s="668"/>
      <c r="BG100" s="668"/>
      <c r="BH100" s="668"/>
      <c r="BI100" s="668"/>
    </row>
    <row r="101" spans="1:61" x14ac:dyDescent="0.2">
      <c r="A101" s="1012">
        <v>1039</v>
      </c>
      <c r="B101" s="1012" t="s">
        <v>465</v>
      </c>
      <c r="C101" s="1012" t="s">
        <v>984</v>
      </c>
      <c r="D101" s="667">
        <v>162</v>
      </c>
      <c r="E101" s="667"/>
      <c r="F101" s="667"/>
      <c r="G101" s="667"/>
      <c r="H101" s="667"/>
      <c r="I101" s="667"/>
      <c r="J101" s="667"/>
      <c r="K101" s="667"/>
      <c r="L101" s="667"/>
      <c r="M101" s="667"/>
      <c r="N101" s="667"/>
      <c r="O101" s="667"/>
      <c r="P101" s="667"/>
      <c r="Q101" s="667"/>
      <c r="R101" s="667"/>
      <c r="S101" s="667"/>
      <c r="T101" s="667"/>
      <c r="U101" s="1012">
        <v>12</v>
      </c>
      <c r="V101" s="668">
        <f t="shared" si="20"/>
        <v>1944</v>
      </c>
      <c r="W101" s="668">
        <f t="shared" si="21"/>
        <v>0</v>
      </c>
      <c r="X101" s="668">
        <f t="shared" si="22"/>
        <v>0</v>
      </c>
      <c r="Y101" s="668">
        <f t="shared" si="23"/>
        <v>0</v>
      </c>
      <c r="Z101" s="668">
        <f t="shared" si="25"/>
        <v>1944</v>
      </c>
      <c r="AA101" s="668">
        <f t="shared" si="26"/>
        <v>0</v>
      </c>
      <c r="AB101" s="668">
        <f t="shared" si="27"/>
        <v>0</v>
      </c>
      <c r="AC101" s="668">
        <f t="shared" si="37"/>
        <v>0</v>
      </c>
      <c r="AD101" s="668">
        <f t="shared" si="28"/>
        <v>0</v>
      </c>
      <c r="AE101" s="668">
        <f t="shared" si="29"/>
        <v>0</v>
      </c>
      <c r="AF101" s="668">
        <f t="shared" si="24"/>
        <v>0</v>
      </c>
      <c r="AG101" s="668">
        <f t="shared" si="30"/>
        <v>0</v>
      </c>
      <c r="AH101" s="668"/>
      <c r="AI101" s="668"/>
      <c r="AJ101" s="668"/>
      <c r="AK101" s="668"/>
      <c r="AL101" s="668"/>
      <c r="AM101" s="668">
        <f t="shared" si="38"/>
        <v>0</v>
      </c>
      <c r="AN101" s="668">
        <f t="shared" si="32"/>
        <v>0</v>
      </c>
      <c r="AO101" s="668">
        <f t="shared" si="33"/>
        <v>0</v>
      </c>
      <c r="AP101" s="668">
        <f t="shared" si="39"/>
        <v>0</v>
      </c>
      <c r="AQ101" s="668">
        <f t="shared" si="35"/>
        <v>0</v>
      </c>
      <c r="AR101" s="668">
        <f t="shared" si="36"/>
        <v>0</v>
      </c>
      <c r="AS101" s="668"/>
      <c r="AT101" s="668"/>
      <c r="AU101" s="668"/>
      <c r="AV101" s="668"/>
      <c r="AW101" s="668"/>
      <c r="AX101" s="668"/>
      <c r="AY101" s="668"/>
      <c r="AZ101" s="668"/>
      <c r="BA101" s="668"/>
      <c r="BB101" s="668">
        <f t="shared" si="40"/>
        <v>0</v>
      </c>
      <c r="BC101" s="668"/>
      <c r="BD101" s="668"/>
      <c r="BE101" s="668"/>
      <c r="BF101" s="668"/>
      <c r="BG101" s="668"/>
      <c r="BH101" s="668"/>
      <c r="BI101" s="668"/>
    </row>
    <row r="102" spans="1:61" x14ac:dyDescent="0.2">
      <c r="A102" s="1012" t="s">
        <v>521</v>
      </c>
      <c r="B102" s="1012" t="s">
        <v>522</v>
      </c>
      <c r="C102" s="1012"/>
      <c r="D102" s="667"/>
      <c r="E102" s="667"/>
      <c r="F102" s="667"/>
      <c r="G102" s="667"/>
      <c r="H102" s="667"/>
      <c r="I102" s="667"/>
      <c r="J102" s="667">
        <v>63</v>
      </c>
      <c r="K102" s="667"/>
      <c r="L102" s="667"/>
      <c r="M102" s="667"/>
      <c r="N102" s="667"/>
      <c r="O102" s="667"/>
      <c r="P102" s="667"/>
      <c r="Q102" s="667"/>
      <c r="R102" s="667"/>
      <c r="S102" s="667"/>
      <c r="T102" s="667"/>
      <c r="U102" s="1012">
        <v>12</v>
      </c>
      <c r="V102" s="668">
        <f t="shared" si="20"/>
        <v>0</v>
      </c>
      <c r="W102" s="668">
        <f t="shared" si="21"/>
        <v>0</v>
      </c>
      <c r="X102" s="668">
        <f t="shared" si="22"/>
        <v>0</v>
      </c>
      <c r="Y102" s="668">
        <f t="shared" si="23"/>
        <v>756</v>
      </c>
      <c r="Z102" s="668">
        <f t="shared" si="25"/>
        <v>0</v>
      </c>
      <c r="AA102" s="668">
        <f t="shared" si="26"/>
        <v>0</v>
      </c>
      <c r="AB102" s="668">
        <f t="shared" si="27"/>
        <v>0</v>
      </c>
      <c r="AC102" s="668">
        <f t="shared" si="37"/>
        <v>0</v>
      </c>
      <c r="AD102" s="668">
        <f t="shared" si="28"/>
        <v>0</v>
      </c>
      <c r="AE102" s="668">
        <f t="shared" si="29"/>
        <v>0</v>
      </c>
      <c r="AF102" s="668">
        <f t="shared" si="24"/>
        <v>0</v>
      </c>
      <c r="AG102" s="668">
        <f t="shared" si="30"/>
        <v>0</v>
      </c>
      <c r="AH102" s="668"/>
      <c r="AI102" s="668"/>
      <c r="AJ102" s="668"/>
      <c r="AK102" s="668"/>
      <c r="AL102" s="668"/>
      <c r="AM102" s="668">
        <f t="shared" si="38"/>
        <v>0</v>
      </c>
      <c r="AN102" s="668">
        <f t="shared" si="32"/>
        <v>0</v>
      </c>
      <c r="AO102" s="668">
        <f t="shared" si="33"/>
        <v>0</v>
      </c>
      <c r="AP102" s="668">
        <f t="shared" si="39"/>
        <v>0</v>
      </c>
      <c r="AQ102" s="668">
        <f t="shared" si="35"/>
        <v>0</v>
      </c>
      <c r="AR102" s="668">
        <f t="shared" si="36"/>
        <v>0</v>
      </c>
      <c r="AS102" s="668"/>
      <c r="AT102" s="668"/>
      <c r="AU102" s="668"/>
      <c r="AV102" s="668"/>
      <c r="AW102" s="668"/>
      <c r="AX102" s="668"/>
      <c r="AY102" s="668"/>
      <c r="AZ102" s="668"/>
      <c r="BA102" s="668"/>
      <c r="BB102" s="668">
        <f t="shared" si="40"/>
        <v>0</v>
      </c>
      <c r="BC102" s="668"/>
      <c r="BD102" s="668"/>
      <c r="BE102" s="668"/>
      <c r="BF102" s="668"/>
      <c r="BG102" s="668"/>
      <c r="BH102" s="668"/>
      <c r="BI102" s="668"/>
    </row>
    <row r="103" spans="1:61" x14ac:dyDescent="0.2">
      <c r="A103" s="1012" t="s">
        <v>523</v>
      </c>
      <c r="B103" s="1012" t="s">
        <v>524</v>
      </c>
      <c r="C103" s="1012"/>
      <c r="D103" s="667"/>
      <c r="E103" s="667"/>
      <c r="F103" s="667"/>
      <c r="G103" s="667"/>
      <c r="H103" s="667"/>
      <c r="I103" s="667"/>
      <c r="J103" s="667">
        <v>88</v>
      </c>
      <c r="K103" s="667"/>
      <c r="L103" s="667"/>
      <c r="M103" s="667"/>
      <c r="N103" s="667"/>
      <c r="O103" s="667"/>
      <c r="P103" s="667"/>
      <c r="Q103" s="667"/>
      <c r="R103" s="667"/>
      <c r="S103" s="667"/>
      <c r="T103" s="667"/>
      <c r="U103" s="1012">
        <v>12</v>
      </c>
      <c r="V103" s="668">
        <f t="shared" si="20"/>
        <v>0</v>
      </c>
      <c r="W103" s="668">
        <f t="shared" si="21"/>
        <v>0</v>
      </c>
      <c r="X103" s="668">
        <f t="shared" si="22"/>
        <v>0</v>
      </c>
      <c r="Y103" s="668">
        <f t="shared" si="23"/>
        <v>1056</v>
      </c>
      <c r="Z103" s="668">
        <f t="shared" si="25"/>
        <v>0</v>
      </c>
      <c r="AA103" s="668">
        <f t="shared" si="26"/>
        <v>0</v>
      </c>
      <c r="AB103" s="668">
        <f t="shared" si="27"/>
        <v>0</v>
      </c>
      <c r="AC103" s="668">
        <f t="shared" si="37"/>
        <v>0</v>
      </c>
      <c r="AD103" s="668">
        <f t="shared" si="28"/>
        <v>0</v>
      </c>
      <c r="AE103" s="668">
        <f t="shared" si="29"/>
        <v>0</v>
      </c>
      <c r="AF103" s="668">
        <f t="shared" si="24"/>
        <v>0</v>
      </c>
      <c r="AG103" s="668">
        <f t="shared" si="30"/>
        <v>0</v>
      </c>
      <c r="AH103" s="668"/>
      <c r="AI103" s="668"/>
      <c r="AJ103" s="668"/>
      <c r="AK103" s="668"/>
      <c r="AL103" s="668"/>
      <c r="AM103" s="668">
        <f t="shared" si="38"/>
        <v>0</v>
      </c>
      <c r="AN103" s="668">
        <f t="shared" si="32"/>
        <v>0</v>
      </c>
      <c r="AO103" s="668">
        <f t="shared" si="33"/>
        <v>0</v>
      </c>
      <c r="AP103" s="668">
        <f t="shared" si="39"/>
        <v>0</v>
      </c>
      <c r="AQ103" s="668">
        <f t="shared" si="35"/>
        <v>0</v>
      </c>
      <c r="AR103" s="668">
        <f t="shared" si="36"/>
        <v>0</v>
      </c>
      <c r="AS103" s="668"/>
      <c r="AT103" s="668"/>
      <c r="AU103" s="668"/>
      <c r="AV103" s="668"/>
      <c r="AW103" s="668"/>
      <c r="AX103" s="668"/>
      <c r="AY103" s="668"/>
      <c r="AZ103" s="668"/>
      <c r="BA103" s="668"/>
      <c r="BB103" s="668">
        <f t="shared" si="40"/>
        <v>0</v>
      </c>
      <c r="BC103" s="668"/>
      <c r="BD103" s="668"/>
      <c r="BE103" s="668"/>
      <c r="BF103" s="668"/>
      <c r="BG103" s="668"/>
      <c r="BH103" s="668"/>
      <c r="BI103" s="668"/>
    </row>
    <row r="104" spans="1:61" x14ac:dyDescent="0.2">
      <c r="A104" s="1012" t="s">
        <v>525</v>
      </c>
      <c r="B104" s="1012" t="s">
        <v>526</v>
      </c>
      <c r="C104" s="1012"/>
      <c r="D104" s="667"/>
      <c r="E104" s="667"/>
      <c r="F104" s="667"/>
      <c r="G104" s="667"/>
      <c r="H104" s="667"/>
      <c r="I104" s="667"/>
      <c r="J104" s="667">
        <v>60</v>
      </c>
      <c r="K104" s="667"/>
      <c r="L104" s="667"/>
      <c r="M104" s="667"/>
      <c r="N104" s="667"/>
      <c r="O104" s="667"/>
      <c r="P104" s="667"/>
      <c r="Q104" s="667"/>
      <c r="R104" s="667"/>
      <c r="S104" s="667"/>
      <c r="T104" s="667"/>
      <c r="U104" s="1012">
        <v>12</v>
      </c>
      <c r="V104" s="668">
        <f t="shared" si="20"/>
        <v>0</v>
      </c>
      <c r="W104" s="668">
        <f t="shared" si="21"/>
        <v>0</v>
      </c>
      <c r="X104" s="668">
        <f t="shared" si="22"/>
        <v>0</v>
      </c>
      <c r="Y104" s="668">
        <f t="shared" si="23"/>
        <v>720</v>
      </c>
      <c r="Z104" s="668">
        <f t="shared" si="25"/>
        <v>0</v>
      </c>
      <c r="AA104" s="668">
        <f t="shared" si="26"/>
        <v>0</v>
      </c>
      <c r="AB104" s="668">
        <f t="shared" si="27"/>
        <v>0</v>
      </c>
      <c r="AC104" s="668">
        <f t="shared" si="37"/>
        <v>0</v>
      </c>
      <c r="AD104" s="668">
        <f t="shared" si="28"/>
        <v>0</v>
      </c>
      <c r="AE104" s="668">
        <f t="shared" si="29"/>
        <v>0</v>
      </c>
      <c r="AF104" s="668">
        <f t="shared" si="24"/>
        <v>0</v>
      </c>
      <c r="AG104" s="668">
        <f t="shared" si="30"/>
        <v>0</v>
      </c>
      <c r="AH104" s="668"/>
      <c r="AI104" s="668"/>
      <c r="AJ104" s="668"/>
      <c r="AK104" s="668"/>
      <c r="AL104" s="668"/>
      <c r="AM104" s="668">
        <f t="shared" si="38"/>
        <v>0</v>
      </c>
      <c r="AN104" s="668">
        <f t="shared" si="32"/>
        <v>0</v>
      </c>
      <c r="AO104" s="668">
        <f t="shared" si="33"/>
        <v>0</v>
      </c>
      <c r="AP104" s="668">
        <f t="shared" si="39"/>
        <v>0</v>
      </c>
      <c r="AQ104" s="668">
        <f t="shared" si="35"/>
        <v>0</v>
      </c>
      <c r="AR104" s="668">
        <f t="shared" si="36"/>
        <v>0</v>
      </c>
      <c r="AS104" s="668"/>
      <c r="AT104" s="668"/>
      <c r="AU104" s="668"/>
      <c r="AV104" s="668"/>
      <c r="AW104" s="668"/>
      <c r="AX104" s="668"/>
      <c r="AY104" s="668"/>
      <c r="AZ104" s="668"/>
      <c r="BA104" s="668"/>
      <c r="BB104" s="668">
        <f t="shared" si="40"/>
        <v>0</v>
      </c>
      <c r="BC104" s="668"/>
      <c r="BD104" s="668"/>
      <c r="BE104" s="668"/>
      <c r="BF104" s="668"/>
      <c r="BG104" s="668"/>
      <c r="BH104" s="668"/>
      <c r="BI104" s="668"/>
    </row>
    <row r="105" spans="1:61" x14ac:dyDescent="0.2">
      <c r="A105" s="1012" t="s">
        <v>527</v>
      </c>
      <c r="B105" s="1012" t="s">
        <v>486</v>
      </c>
      <c r="C105" s="1012"/>
      <c r="D105" s="667"/>
      <c r="E105" s="667"/>
      <c r="F105" s="667"/>
      <c r="G105" s="667"/>
      <c r="H105" s="667"/>
      <c r="I105" s="667"/>
      <c r="J105" s="667"/>
      <c r="K105" s="667"/>
      <c r="L105" s="667"/>
      <c r="M105" s="667"/>
      <c r="N105" s="667"/>
      <c r="O105" s="667"/>
      <c r="P105" s="667"/>
      <c r="Q105" s="667"/>
      <c r="R105" s="667"/>
      <c r="S105" s="667"/>
      <c r="T105" s="667"/>
      <c r="U105" s="1012"/>
      <c r="V105" s="668">
        <f t="shared" si="20"/>
        <v>0</v>
      </c>
      <c r="W105" s="668">
        <f t="shared" si="21"/>
        <v>0</v>
      </c>
      <c r="X105" s="668">
        <f t="shared" si="22"/>
        <v>0</v>
      </c>
      <c r="Y105" s="668">
        <f t="shared" si="23"/>
        <v>0</v>
      </c>
      <c r="Z105" s="668">
        <f t="shared" si="25"/>
        <v>0</v>
      </c>
      <c r="AA105" s="668">
        <f t="shared" si="26"/>
        <v>0</v>
      </c>
      <c r="AB105" s="668">
        <f t="shared" si="27"/>
        <v>0</v>
      </c>
      <c r="AC105" s="668">
        <f t="shared" si="37"/>
        <v>0</v>
      </c>
      <c r="AD105" s="668">
        <f t="shared" si="28"/>
        <v>0</v>
      </c>
      <c r="AE105" s="668">
        <f t="shared" si="29"/>
        <v>0</v>
      </c>
      <c r="AF105" s="668">
        <f t="shared" si="24"/>
        <v>0</v>
      </c>
      <c r="AG105" s="668">
        <f t="shared" si="30"/>
        <v>0</v>
      </c>
      <c r="AH105" s="668"/>
      <c r="AI105" s="668"/>
      <c r="AJ105" s="668"/>
      <c r="AK105" s="668"/>
      <c r="AL105" s="668"/>
      <c r="AM105" s="668">
        <f t="shared" si="38"/>
        <v>0</v>
      </c>
      <c r="AN105" s="668">
        <f t="shared" si="32"/>
        <v>0</v>
      </c>
      <c r="AO105" s="668">
        <f t="shared" si="33"/>
        <v>0</v>
      </c>
      <c r="AP105" s="668">
        <f t="shared" si="39"/>
        <v>0</v>
      </c>
      <c r="AQ105" s="668">
        <f t="shared" si="35"/>
        <v>0</v>
      </c>
      <c r="AR105" s="668">
        <f t="shared" si="36"/>
        <v>0</v>
      </c>
      <c r="AS105" s="668"/>
      <c r="AT105" s="668"/>
      <c r="AU105" s="668"/>
      <c r="AV105" s="668"/>
      <c r="AW105" s="668"/>
      <c r="AX105" s="668"/>
      <c r="AY105" s="668"/>
      <c r="AZ105" s="668"/>
      <c r="BA105" s="668"/>
      <c r="BB105" s="668">
        <f t="shared" si="40"/>
        <v>0</v>
      </c>
      <c r="BC105" s="668"/>
      <c r="BD105" s="668"/>
      <c r="BE105" s="668"/>
      <c r="BF105" s="668"/>
      <c r="BG105" s="668"/>
      <c r="BH105" s="668"/>
      <c r="BI105" s="668"/>
    </row>
    <row r="106" spans="1:61" x14ac:dyDescent="0.2">
      <c r="A106" s="1022" t="s">
        <v>963</v>
      </c>
      <c r="B106" s="1022" t="s">
        <v>962</v>
      </c>
      <c r="C106" s="1022"/>
      <c r="D106" s="667"/>
      <c r="E106" s="667"/>
      <c r="F106" s="667"/>
      <c r="G106" s="667"/>
      <c r="H106" s="667"/>
      <c r="I106" s="667"/>
      <c r="J106" s="667"/>
      <c r="K106" s="667"/>
      <c r="L106" s="667"/>
      <c r="M106" s="667"/>
      <c r="N106" s="667"/>
      <c r="O106" s="667"/>
      <c r="P106" s="667"/>
      <c r="Q106" s="667"/>
      <c r="R106" s="667"/>
      <c r="S106" s="667">
        <v>6898</v>
      </c>
      <c r="T106" s="667"/>
      <c r="U106" s="1022"/>
      <c r="V106" s="668"/>
      <c r="W106" s="668"/>
      <c r="X106" s="668"/>
      <c r="Y106" s="668"/>
      <c r="Z106" s="668"/>
      <c r="AA106" s="668">
        <f t="shared" si="26"/>
        <v>6898</v>
      </c>
      <c r="AB106" s="668"/>
      <c r="AC106" s="668">
        <f t="shared" si="37"/>
        <v>0</v>
      </c>
      <c r="AD106" s="668"/>
      <c r="AE106" s="668"/>
      <c r="AF106" s="668"/>
      <c r="AG106" s="668"/>
      <c r="AH106" s="668"/>
      <c r="AI106" s="668"/>
      <c r="AJ106" s="668"/>
      <c r="AK106" s="668"/>
      <c r="AL106" s="668"/>
      <c r="AM106" s="668">
        <f t="shared" si="38"/>
        <v>0</v>
      </c>
      <c r="AN106" s="668">
        <f t="shared" si="32"/>
        <v>0</v>
      </c>
      <c r="AO106" s="668">
        <f t="shared" si="33"/>
        <v>0</v>
      </c>
      <c r="AP106" s="668">
        <f t="shared" si="39"/>
        <v>0</v>
      </c>
      <c r="AQ106" s="668">
        <f t="shared" si="35"/>
        <v>0</v>
      </c>
      <c r="AR106" s="668">
        <f t="shared" si="36"/>
        <v>0</v>
      </c>
      <c r="AS106" s="668"/>
      <c r="AT106" s="668"/>
      <c r="AU106" s="668"/>
      <c r="AV106" s="668"/>
      <c r="AW106" s="668"/>
      <c r="AX106" s="668"/>
      <c r="AY106" s="668"/>
      <c r="AZ106" s="668"/>
      <c r="BA106" s="668"/>
      <c r="BB106" s="668">
        <f t="shared" si="40"/>
        <v>0</v>
      </c>
      <c r="BC106" s="668"/>
      <c r="BD106" s="668"/>
      <c r="BE106" s="668"/>
      <c r="BF106" s="668"/>
      <c r="BG106" s="668"/>
      <c r="BH106" s="668"/>
      <c r="BI106" s="668"/>
    </row>
    <row r="107" spans="1:61" x14ac:dyDescent="0.2">
      <c r="A107" s="1022" t="s">
        <v>964</v>
      </c>
      <c r="B107" s="1022" t="s">
        <v>962</v>
      </c>
      <c r="C107" s="1022"/>
      <c r="D107" s="667"/>
      <c r="E107" s="667"/>
      <c r="F107" s="667"/>
      <c r="G107" s="667"/>
      <c r="H107" s="667"/>
      <c r="I107" s="667"/>
      <c r="J107" s="667"/>
      <c r="K107" s="667"/>
      <c r="L107" s="667"/>
      <c r="M107" s="667"/>
      <c r="N107" s="667"/>
      <c r="O107" s="667"/>
      <c r="P107" s="667"/>
      <c r="Q107" s="667"/>
      <c r="R107" s="667"/>
      <c r="S107" s="667">
        <v>3608</v>
      </c>
      <c r="T107" s="667"/>
      <c r="U107" s="1022"/>
      <c r="V107" s="668"/>
      <c r="W107" s="668"/>
      <c r="X107" s="668"/>
      <c r="Y107" s="668"/>
      <c r="Z107" s="668"/>
      <c r="AA107" s="668">
        <f t="shared" si="26"/>
        <v>3608</v>
      </c>
      <c r="AB107" s="668"/>
      <c r="AC107" s="668">
        <f t="shared" si="37"/>
        <v>0</v>
      </c>
      <c r="AD107" s="668"/>
      <c r="AE107" s="668"/>
      <c r="AF107" s="668"/>
      <c r="AG107" s="668"/>
      <c r="AH107" s="668"/>
      <c r="AI107" s="668"/>
      <c r="AJ107" s="668"/>
      <c r="AK107" s="668"/>
      <c r="AL107" s="668"/>
      <c r="AM107" s="668">
        <f t="shared" si="38"/>
        <v>0</v>
      </c>
      <c r="AN107" s="668">
        <f t="shared" si="32"/>
        <v>0</v>
      </c>
      <c r="AO107" s="668">
        <f t="shared" si="33"/>
        <v>0</v>
      </c>
      <c r="AP107" s="668">
        <f t="shared" si="39"/>
        <v>0</v>
      </c>
      <c r="AQ107" s="668">
        <f t="shared" si="35"/>
        <v>0</v>
      </c>
      <c r="AR107" s="668">
        <f t="shared" si="36"/>
        <v>0</v>
      </c>
      <c r="AS107" s="668"/>
      <c r="AT107" s="668"/>
      <c r="AU107" s="668"/>
      <c r="AV107" s="668"/>
      <c r="AW107" s="668"/>
      <c r="AX107" s="668"/>
      <c r="AY107" s="668"/>
      <c r="AZ107" s="668"/>
      <c r="BA107" s="668"/>
      <c r="BB107" s="668">
        <f t="shared" si="40"/>
        <v>0</v>
      </c>
      <c r="BC107" s="668"/>
      <c r="BD107" s="668"/>
      <c r="BE107" s="668"/>
      <c r="BF107" s="668"/>
      <c r="BG107" s="668"/>
      <c r="BH107" s="668"/>
      <c r="BI107" s="668"/>
    </row>
    <row r="108" spans="1:61" x14ac:dyDescent="0.2">
      <c r="A108" s="1022" t="s">
        <v>965</v>
      </c>
      <c r="B108" s="1022" t="s">
        <v>962</v>
      </c>
      <c r="C108" s="1022"/>
      <c r="D108" s="667"/>
      <c r="E108" s="667"/>
      <c r="F108" s="667"/>
      <c r="G108" s="667"/>
      <c r="H108" s="667"/>
      <c r="I108" s="667"/>
      <c r="J108" s="667"/>
      <c r="K108" s="667"/>
      <c r="L108" s="667"/>
      <c r="M108" s="667"/>
      <c r="N108" s="667"/>
      <c r="O108" s="667"/>
      <c r="P108" s="667"/>
      <c r="Q108" s="667"/>
      <c r="R108" s="667"/>
      <c r="S108" s="667">
        <v>6164</v>
      </c>
      <c r="T108" s="667"/>
      <c r="U108" s="1022"/>
      <c r="V108" s="668"/>
      <c r="W108" s="668"/>
      <c r="X108" s="668"/>
      <c r="Y108" s="668"/>
      <c r="Z108" s="668"/>
      <c r="AA108" s="668">
        <f t="shared" si="26"/>
        <v>6164</v>
      </c>
      <c r="AB108" s="668"/>
      <c r="AC108" s="668">
        <f t="shared" si="37"/>
        <v>0</v>
      </c>
      <c r="AD108" s="668"/>
      <c r="AE108" s="668"/>
      <c r="AF108" s="668"/>
      <c r="AG108" s="668"/>
      <c r="AH108" s="668"/>
      <c r="AI108" s="668"/>
      <c r="AJ108" s="668"/>
      <c r="AK108" s="668"/>
      <c r="AL108" s="668"/>
      <c r="AM108" s="668">
        <f t="shared" si="38"/>
        <v>0</v>
      </c>
      <c r="AN108" s="668">
        <f t="shared" si="32"/>
        <v>0</v>
      </c>
      <c r="AO108" s="668">
        <f t="shared" si="33"/>
        <v>0</v>
      </c>
      <c r="AP108" s="668">
        <f t="shared" si="39"/>
        <v>0</v>
      </c>
      <c r="AQ108" s="668">
        <f t="shared" si="35"/>
        <v>0</v>
      </c>
      <c r="AR108" s="668">
        <f t="shared" si="36"/>
        <v>0</v>
      </c>
      <c r="AS108" s="668"/>
      <c r="AT108" s="668"/>
      <c r="AU108" s="668"/>
      <c r="AV108" s="668"/>
      <c r="AW108" s="668"/>
      <c r="AX108" s="668"/>
      <c r="AY108" s="668"/>
      <c r="AZ108" s="668"/>
      <c r="BA108" s="668"/>
      <c r="BB108" s="668">
        <f t="shared" si="40"/>
        <v>0</v>
      </c>
      <c r="BC108" s="668"/>
      <c r="BD108" s="668"/>
      <c r="BE108" s="668"/>
      <c r="BF108" s="668"/>
      <c r="BG108" s="668"/>
      <c r="BH108" s="668"/>
      <c r="BI108" s="668"/>
    </row>
    <row r="109" spans="1:61" x14ac:dyDescent="0.2">
      <c r="A109" s="1022" t="s">
        <v>966</v>
      </c>
      <c r="B109" s="1022" t="s">
        <v>962</v>
      </c>
      <c r="C109" s="1022"/>
      <c r="D109" s="667"/>
      <c r="E109" s="667"/>
      <c r="F109" s="667"/>
      <c r="G109" s="667"/>
      <c r="H109" s="667"/>
      <c r="I109" s="667"/>
      <c r="J109" s="667"/>
      <c r="K109" s="667"/>
      <c r="L109" s="667"/>
      <c r="M109" s="667"/>
      <c r="N109" s="667"/>
      <c r="O109" s="667"/>
      <c r="P109" s="667"/>
      <c r="Q109" s="667"/>
      <c r="R109" s="667"/>
      <c r="S109" s="667">
        <v>4228</v>
      </c>
      <c r="T109" s="667"/>
      <c r="U109" s="1022"/>
      <c r="V109" s="668"/>
      <c r="W109" s="668"/>
      <c r="X109" s="668"/>
      <c r="Y109" s="668"/>
      <c r="Z109" s="668"/>
      <c r="AA109" s="668">
        <f t="shared" si="26"/>
        <v>4228</v>
      </c>
      <c r="AB109" s="668"/>
      <c r="AC109" s="668">
        <f t="shared" si="37"/>
        <v>0</v>
      </c>
      <c r="AD109" s="668"/>
      <c r="AE109" s="668"/>
      <c r="AF109" s="668"/>
      <c r="AG109" s="668"/>
      <c r="AH109" s="668"/>
      <c r="AI109" s="668"/>
      <c r="AJ109" s="668"/>
      <c r="AK109" s="668"/>
      <c r="AL109" s="668"/>
      <c r="AM109" s="668">
        <f t="shared" si="38"/>
        <v>0</v>
      </c>
      <c r="AN109" s="668">
        <f t="shared" si="32"/>
        <v>0</v>
      </c>
      <c r="AO109" s="668">
        <f t="shared" si="33"/>
        <v>0</v>
      </c>
      <c r="AP109" s="668">
        <f t="shared" si="39"/>
        <v>0</v>
      </c>
      <c r="AQ109" s="668">
        <f t="shared" si="35"/>
        <v>0</v>
      </c>
      <c r="AR109" s="668">
        <f t="shared" si="36"/>
        <v>0</v>
      </c>
      <c r="AS109" s="668"/>
      <c r="AT109" s="668"/>
      <c r="AU109" s="668"/>
      <c r="AV109" s="668"/>
      <c r="AW109" s="668"/>
      <c r="AX109" s="668"/>
      <c r="AY109" s="668"/>
      <c r="AZ109" s="668"/>
      <c r="BA109" s="668"/>
      <c r="BB109" s="668">
        <f t="shared" si="40"/>
        <v>0</v>
      </c>
      <c r="BC109" s="668"/>
      <c r="BD109" s="668"/>
      <c r="BE109" s="668"/>
      <c r="BF109" s="668"/>
      <c r="BG109" s="668"/>
      <c r="BH109" s="668"/>
      <c r="BI109" s="668"/>
    </row>
    <row r="110" spans="1:61" x14ac:dyDescent="0.2">
      <c r="A110" s="1022" t="s">
        <v>967</v>
      </c>
      <c r="B110" s="1022" t="s">
        <v>962</v>
      </c>
      <c r="C110" s="1022"/>
      <c r="D110" s="667"/>
      <c r="E110" s="667"/>
      <c r="F110" s="667"/>
      <c r="G110" s="667"/>
      <c r="H110" s="667"/>
      <c r="I110" s="667"/>
      <c r="J110" s="667"/>
      <c r="K110" s="667"/>
      <c r="L110" s="667"/>
      <c r="M110" s="667"/>
      <c r="N110" s="667"/>
      <c r="O110" s="667"/>
      <c r="P110" s="667"/>
      <c r="Q110" s="667"/>
      <c r="R110" s="667"/>
      <c r="S110" s="667">
        <v>1587</v>
      </c>
      <c r="T110" s="667"/>
      <c r="U110" s="1022"/>
      <c r="V110" s="668"/>
      <c r="W110" s="668"/>
      <c r="X110" s="668"/>
      <c r="Y110" s="668"/>
      <c r="Z110" s="668"/>
      <c r="AA110" s="668">
        <f t="shared" si="26"/>
        <v>1587</v>
      </c>
      <c r="AB110" s="668"/>
      <c r="AC110" s="668">
        <f t="shared" si="37"/>
        <v>0</v>
      </c>
      <c r="AD110" s="668"/>
      <c r="AE110" s="668"/>
      <c r="AF110" s="668"/>
      <c r="AG110" s="668"/>
      <c r="AH110" s="668"/>
      <c r="AI110" s="668"/>
      <c r="AJ110" s="668"/>
      <c r="AK110" s="668"/>
      <c r="AL110" s="668"/>
      <c r="AM110" s="668">
        <f t="shared" si="38"/>
        <v>0</v>
      </c>
      <c r="AN110" s="668">
        <f t="shared" si="32"/>
        <v>0</v>
      </c>
      <c r="AO110" s="668">
        <f t="shared" si="33"/>
        <v>0</v>
      </c>
      <c r="AP110" s="668">
        <f t="shared" si="39"/>
        <v>0</v>
      </c>
      <c r="AQ110" s="668">
        <f t="shared" si="35"/>
        <v>0</v>
      </c>
      <c r="AR110" s="668">
        <f t="shared" si="36"/>
        <v>0</v>
      </c>
      <c r="AS110" s="668"/>
      <c r="AT110" s="668"/>
      <c r="AU110" s="668"/>
      <c r="AV110" s="668"/>
      <c r="AW110" s="668"/>
      <c r="AX110" s="668"/>
      <c r="AY110" s="668"/>
      <c r="AZ110" s="668"/>
      <c r="BA110" s="668"/>
      <c r="BB110" s="668">
        <f t="shared" si="40"/>
        <v>0</v>
      </c>
      <c r="BC110" s="668"/>
      <c r="BD110" s="668"/>
      <c r="BE110" s="668"/>
      <c r="BF110" s="668"/>
      <c r="BG110" s="668"/>
      <c r="BH110" s="668"/>
      <c r="BI110" s="668"/>
    </row>
    <row r="111" spans="1:61" x14ac:dyDescent="0.2">
      <c r="A111" s="1022" t="s">
        <v>969</v>
      </c>
      <c r="B111" s="1022" t="s">
        <v>962</v>
      </c>
      <c r="C111" s="1022"/>
      <c r="D111" s="667"/>
      <c r="E111" s="667"/>
      <c r="F111" s="667"/>
      <c r="G111" s="667"/>
      <c r="H111" s="667"/>
      <c r="I111" s="667"/>
      <c r="J111" s="667"/>
      <c r="K111" s="667"/>
      <c r="L111" s="667"/>
      <c r="M111" s="667"/>
      <c r="N111" s="667"/>
      <c r="O111" s="667"/>
      <c r="P111" s="667"/>
      <c r="Q111" s="667"/>
      <c r="R111" s="667"/>
      <c r="S111" s="667">
        <v>873</v>
      </c>
      <c r="T111" s="667"/>
      <c r="U111" s="1022"/>
      <c r="V111" s="668"/>
      <c r="W111" s="668"/>
      <c r="X111" s="668"/>
      <c r="Y111" s="668"/>
      <c r="Z111" s="668"/>
      <c r="AA111" s="668">
        <f t="shared" si="26"/>
        <v>873</v>
      </c>
      <c r="AB111" s="668"/>
      <c r="AC111" s="668">
        <f t="shared" si="37"/>
        <v>0</v>
      </c>
      <c r="AD111" s="668"/>
      <c r="AE111" s="668"/>
      <c r="AF111" s="668"/>
      <c r="AG111" s="668"/>
      <c r="AH111" s="668"/>
      <c r="AI111" s="668"/>
      <c r="AJ111" s="668"/>
      <c r="AK111" s="668"/>
      <c r="AL111" s="668"/>
      <c r="AM111" s="668">
        <f t="shared" si="38"/>
        <v>0</v>
      </c>
      <c r="AN111" s="668">
        <f t="shared" si="32"/>
        <v>0</v>
      </c>
      <c r="AO111" s="668">
        <f t="shared" si="33"/>
        <v>0</v>
      </c>
      <c r="AP111" s="668">
        <f t="shared" si="39"/>
        <v>0</v>
      </c>
      <c r="AQ111" s="668">
        <f t="shared" si="35"/>
        <v>0</v>
      </c>
      <c r="AR111" s="668">
        <f t="shared" si="36"/>
        <v>0</v>
      </c>
      <c r="AS111" s="668"/>
      <c r="AT111" s="668"/>
      <c r="AU111" s="668"/>
      <c r="AV111" s="668"/>
      <c r="AW111" s="668"/>
      <c r="AX111" s="668">
        <v>800</v>
      </c>
      <c r="AY111" s="668"/>
      <c r="AZ111" s="668"/>
      <c r="BA111" s="668"/>
      <c r="BB111" s="668">
        <f t="shared" si="40"/>
        <v>0</v>
      </c>
      <c r="BC111" s="668"/>
      <c r="BD111" s="668"/>
      <c r="BE111" s="668"/>
      <c r="BF111" s="668"/>
      <c r="BG111" s="668"/>
      <c r="BH111" s="668"/>
      <c r="BI111" s="668"/>
    </row>
    <row r="112" spans="1:61" x14ac:dyDescent="0.2">
      <c r="A112" s="1022" t="s">
        <v>969</v>
      </c>
      <c r="B112" s="1022" t="s">
        <v>970</v>
      </c>
      <c r="C112" s="1022"/>
      <c r="D112" s="667"/>
      <c r="E112" s="667"/>
      <c r="F112" s="667"/>
      <c r="G112" s="667"/>
      <c r="H112" s="667"/>
      <c r="I112" s="667"/>
      <c r="J112" s="667"/>
      <c r="K112" s="667"/>
      <c r="L112" s="667"/>
      <c r="M112" s="667"/>
      <c r="N112" s="667"/>
      <c r="O112" s="667"/>
      <c r="P112" s="667"/>
      <c r="Q112" s="667"/>
      <c r="R112" s="667"/>
      <c r="S112" s="667">
        <v>1515</v>
      </c>
      <c r="T112" s="667"/>
      <c r="U112" s="1022"/>
      <c r="V112" s="668"/>
      <c r="W112" s="668"/>
      <c r="X112" s="668"/>
      <c r="Y112" s="668"/>
      <c r="Z112" s="668"/>
      <c r="AA112" s="668">
        <f t="shared" si="26"/>
        <v>1515</v>
      </c>
      <c r="AB112" s="668"/>
      <c r="AC112" s="668">
        <f t="shared" si="37"/>
        <v>0</v>
      </c>
      <c r="AD112" s="668"/>
      <c r="AE112" s="668"/>
      <c r="AF112" s="668"/>
      <c r="AG112" s="668"/>
      <c r="AH112" s="668"/>
      <c r="AI112" s="668"/>
      <c r="AJ112" s="668"/>
      <c r="AK112" s="668"/>
      <c r="AL112" s="668"/>
      <c r="AM112" s="668">
        <f t="shared" si="38"/>
        <v>0</v>
      </c>
      <c r="AN112" s="668">
        <f t="shared" si="32"/>
        <v>0</v>
      </c>
      <c r="AO112" s="668">
        <f t="shared" si="33"/>
        <v>0</v>
      </c>
      <c r="AP112" s="668">
        <f t="shared" si="39"/>
        <v>0</v>
      </c>
      <c r="AQ112" s="668">
        <f t="shared" si="35"/>
        <v>0</v>
      </c>
      <c r="AR112" s="668">
        <f t="shared" si="36"/>
        <v>0</v>
      </c>
      <c r="AS112" s="668"/>
      <c r="AT112" s="668"/>
      <c r="AU112" s="668"/>
      <c r="AV112" s="668"/>
      <c r="AW112" s="668"/>
      <c r="AX112" s="668">
        <v>800</v>
      </c>
      <c r="AY112" s="668"/>
      <c r="AZ112" s="668"/>
      <c r="BA112" s="668"/>
      <c r="BB112" s="668">
        <f t="shared" si="40"/>
        <v>0</v>
      </c>
      <c r="BC112" s="668"/>
      <c r="BD112" s="668"/>
      <c r="BE112" s="668"/>
      <c r="BF112" s="668"/>
      <c r="BG112" s="668"/>
      <c r="BH112" s="668"/>
      <c r="BI112" s="668"/>
    </row>
    <row r="113" spans="1:61" x14ac:dyDescent="0.2">
      <c r="A113" s="1012"/>
      <c r="B113" s="1012"/>
      <c r="C113" s="1012"/>
      <c r="D113" s="667"/>
      <c r="E113" s="667"/>
      <c r="F113" s="667"/>
      <c r="G113" s="667"/>
      <c r="H113" s="667"/>
      <c r="I113" s="667"/>
      <c r="J113" s="667"/>
      <c r="K113" s="667"/>
      <c r="L113" s="667"/>
      <c r="M113" s="667"/>
      <c r="N113" s="667"/>
      <c r="O113" s="667"/>
      <c r="P113" s="667"/>
      <c r="Q113" s="667"/>
      <c r="R113" s="667"/>
      <c r="S113" s="667"/>
      <c r="T113" s="667"/>
      <c r="U113" s="1012"/>
      <c r="V113" s="668">
        <f t="shared" si="20"/>
        <v>0</v>
      </c>
      <c r="W113" s="668">
        <f t="shared" si="21"/>
        <v>0</v>
      </c>
      <c r="X113" s="668">
        <f t="shared" si="22"/>
        <v>0</v>
      </c>
      <c r="Y113" s="668">
        <f t="shared" si="23"/>
        <v>0</v>
      </c>
      <c r="Z113" s="668">
        <f t="shared" si="25"/>
        <v>0</v>
      </c>
      <c r="AA113" s="668">
        <f t="shared" si="26"/>
        <v>0</v>
      </c>
      <c r="AB113" s="668">
        <f t="shared" si="27"/>
        <v>0</v>
      </c>
      <c r="AC113" s="668">
        <f t="shared" si="37"/>
        <v>0</v>
      </c>
      <c r="AD113" s="668">
        <f t="shared" si="28"/>
        <v>0</v>
      </c>
      <c r="AE113" s="668">
        <f t="shared" si="29"/>
        <v>0</v>
      </c>
      <c r="AF113" s="668">
        <f t="shared" si="24"/>
        <v>0</v>
      </c>
      <c r="AG113" s="668">
        <f t="shared" si="30"/>
        <v>0</v>
      </c>
      <c r="AH113" s="668"/>
      <c r="AI113" s="668"/>
      <c r="AJ113" s="668"/>
      <c r="AK113" s="668"/>
      <c r="AL113" s="668"/>
      <c r="AM113" s="668">
        <f t="shared" si="38"/>
        <v>0</v>
      </c>
      <c r="AN113" s="668">
        <f t="shared" si="32"/>
        <v>0</v>
      </c>
      <c r="AO113" s="668">
        <f t="shared" si="33"/>
        <v>0</v>
      </c>
      <c r="AP113" s="668">
        <f t="shared" si="39"/>
        <v>0</v>
      </c>
      <c r="AQ113" s="668">
        <f t="shared" si="35"/>
        <v>0</v>
      </c>
      <c r="AR113" s="668">
        <f t="shared" si="36"/>
        <v>0</v>
      </c>
      <c r="AS113" s="668"/>
      <c r="AT113" s="668"/>
      <c r="AU113" s="668"/>
      <c r="AV113" s="668"/>
      <c r="AW113" s="668"/>
      <c r="AX113" s="668"/>
      <c r="AY113" s="668"/>
      <c r="AZ113" s="668"/>
      <c r="BA113" s="668"/>
      <c r="BB113" s="668">
        <f t="shared" si="40"/>
        <v>0</v>
      </c>
      <c r="BC113" s="668"/>
      <c r="BD113" s="668"/>
      <c r="BE113" s="668"/>
      <c r="BF113" s="668"/>
      <c r="BG113" s="668"/>
      <c r="BH113" s="668"/>
      <c r="BI113" s="668"/>
    </row>
    <row r="114" spans="1:61" x14ac:dyDescent="0.2">
      <c r="A114" s="1012"/>
      <c r="B114" s="1019" t="s">
        <v>528</v>
      </c>
      <c r="C114" s="1012"/>
      <c r="D114" s="667"/>
      <c r="E114" s="667"/>
      <c r="F114" s="667"/>
      <c r="G114" s="667"/>
      <c r="H114" s="667"/>
      <c r="I114" s="667"/>
      <c r="J114" s="667"/>
      <c r="K114" s="667"/>
      <c r="L114" s="667"/>
      <c r="M114" s="667"/>
      <c r="N114" s="667"/>
      <c r="O114" s="667"/>
      <c r="P114" s="667"/>
      <c r="Q114" s="667"/>
      <c r="R114" s="667"/>
      <c r="S114" s="667"/>
      <c r="T114" s="667"/>
      <c r="U114" s="1012"/>
      <c r="V114" s="668">
        <f t="shared" si="20"/>
        <v>0</v>
      </c>
      <c r="W114" s="668">
        <f t="shared" si="21"/>
        <v>0</v>
      </c>
      <c r="X114" s="668">
        <f t="shared" si="22"/>
        <v>0</v>
      </c>
      <c r="Y114" s="668">
        <f t="shared" si="23"/>
        <v>0</v>
      </c>
      <c r="Z114" s="668">
        <f t="shared" si="25"/>
        <v>0</v>
      </c>
      <c r="AA114" s="668">
        <f t="shared" si="26"/>
        <v>0</v>
      </c>
      <c r="AB114" s="668">
        <f t="shared" si="27"/>
        <v>0</v>
      </c>
      <c r="AC114" s="668">
        <f t="shared" si="37"/>
        <v>0</v>
      </c>
      <c r="AD114" s="668">
        <f t="shared" si="28"/>
        <v>0</v>
      </c>
      <c r="AE114" s="668">
        <f t="shared" si="29"/>
        <v>0</v>
      </c>
      <c r="AF114" s="668">
        <f t="shared" si="24"/>
        <v>0</v>
      </c>
      <c r="AG114" s="668">
        <f t="shared" si="30"/>
        <v>0</v>
      </c>
      <c r="AH114" s="668"/>
      <c r="AI114" s="668"/>
      <c r="AJ114" s="668"/>
      <c r="AK114" s="668"/>
      <c r="AL114" s="668"/>
      <c r="AM114" s="668">
        <f t="shared" si="38"/>
        <v>0</v>
      </c>
      <c r="AN114" s="668">
        <f t="shared" si="32"/>
        <v>0</v>
      </c>
      <c r="AO114" s="668">
        <f t="shared" si="33"/>
        <v>0</v>
      </c>
      <c r="AP114" s="668">
        <f t="shared" si="39"/>
        <v>0</v>
      </c>
      <c r="AQ114" s="668">
        <f t="shared" si="35"/>
        <v>0</v>
      </c>
      <c r="AR114" s="668">
        <f t="shared" si="36"/>
        <v>0</v>
      </c>
      <c r="AS114" s="668"/>
      <c r="AT114" s="668"/>
      <c r="AU114" s="668"/>
      <c r="AV114" s="668"/>
      <c r="AW114" s="668"/>
      <c r="AX114" s="668"/>
      <c r="AY114" s="668"/>
      <c r="AZ114" s="668"/>
      <c r="BA114" s="668"/>
      <c r="BB114" s="668">
        <f t="shared" si="40"/>
        <v>0</v>
      </c>
      <c r="BC114" s="668"/>
      <c r="BD114" s="668"/>
      <c r="BE114" s="668"/>
      <c r="BF114" s="668"/>
      <c r="BG114" s="668"/>
      <c r="BH114" s="668"/>
      <c r="BI114" s="668"/>
    </row>
    <row r="115" spans="1:61" x14ac:dyDescent="0.2">
      <c r="A115" s="1012" t="s">
        <v>529</v>
      </c>
      <c r="B115" s="1012" t="s">
        <v>513</v>
      </c>
      <c r="C115" s="1012"/>
      <c r="D115" s="667"/>
      <c r="E115" s="667"/>
      <c r="F115" s="667"/>
      <c r="G115" s="667"/>
      <c r="H115" s="667"/>
      <c r="I115" s="667"/>
      <c r="J115" s="667"/>
      <c r="K115" s="667"/>
      <c r="L115" s="667"/>
      <c r="M115" s="667"/>
      <c r="N115" s="667"/>
      <c r="O115" s="667">
        <v>6</v>
      </c>
      <c r="P115" s="667"/>
      <c r="Q115" s="667"/>
      <c r="R115" s="667"/>
      <c r="S115" s="667"/>
      <c r="T115" s="667"/>
      <c r="U115" s="1012">
        <v>30</v>
      </c>
      <c r="V115" s="668">
        <f t="shared" si="20"/>
        <v>0</v>
      </c>
      <c r="W115" s="668">
        <f t="shared" si="21"/>
        <v>0</v>
      </c>
      <c r="X115" s="668">
        <f t="shared" si="22"/>
        <v>0</v>
      </c>
      <c r="Y115" s="668">
        <f t="shared" si="23"/>
        <v>0</v>
      </c>
      <c r="Z115" s="668">
        <f t="shared" si="25"/>
        <v>0</v>
      </c>
      <c r="AA115" s="668">
        <f t="shared" si="26"/>
        <v>0</v>
      </c>
      <c r="AB115" s="668">
        <f t="shared" si="27"/>
        <v>0</v>
      </c>
      <c r="AC115" s="668">
        <f t="shared" si="37"/>
        <v>0</v>
      </c>
      <c r="AD115" s="668">
        <f t="shared" si="28"/>
        <v>0</v>
      </c>
      <c r="AE115" s="668">
        <f t="shared" si="29"/>
        <v>0</v>
      </c>
      <c r="AF115" s="668">
        <f t="shared" si="24"/>
        <v>0</v>
      </c>
      <c r="AG115" s="668">
        <f t="shared" si="30"/>
        <v>0</v>
      </c>
      <c r="AH115" s="668"/>
      <c r="AI115" s="668"/>
      <c r="AJ115" s="668"/>
      <c r="AK115" s="668"/>
      <c r="AL115" s="668"/>
      <c r="AM115" s="668">
        <f t="shared" si="38"/>
        <v>0</v>
      </c>
      <c r="AN115" s="668">
        <f t="shared" si="32"/>
        <v>0</v>
      </c>
      <c r="AO115" s="668">
        <f t="shared" si="33"/>
        <v>180</v>
      </c>
      <c r="AP115" s="668">
        <f t="shared" si="39"/>
        <v>0</v>
      </c>
      <c r="AQ115" s="668">
        <f t="shared" si="35"/>
        <v>0</v>
      </c>
      <c r="AR115" s="668">
        <f t="shared" si="36"/>
        <v>0</v>
      </c>
      <c r="AS115" s="668"/>
      <c r="AT115" s="668"/>
      <c r="AU115" s="668"/>
      <c r="AV115" s="668"/>
      <c r="AW115" s="668"/>
      <c r="AX115" s="668"/>
      <c r="AY115" s="668"/>
      <c r="AZ115" s="668"/>
      <c r="BA115" s="668"/>
      <c r="BB115" s="668">
        <f t="shared" si="40"/>
        <v>0</v>
      </c>
      <c r="BC115" s="668"/>
      <c r="BD115" s="668"/>
      <c r="BE115" s="668"/>
      <c r="BF115" s="668"/>
      <c r="BG115" s="668"/>
      <c r="BH115" s="668"/>
      <c r="BI115" s="668"/>
    </row>
    <row r="116" spans="1:61" x14ac:dyDescent="0.2">
      <c r="A116" s="1012" t="s">
        <v>530</v>
      </c>
      <c r="B116" s="1012" t="s">
        <v>531</v>
      </c>
      <c r="C116" s="1012"/>
      <c r="D116" s="667"/>
      <c r="E116" s="667"/>
      <c r="F116" s="667"/>
      <c r="G116" s="667"/>
      <c r="H116" s="667"/>
      <c r="I116" s="667"/>
      <c r="J116" s="667"/>
      <c r="K116" s="667"/>
      <c r="L116" s="667"/>
      <c r="M116" s="667"/>
      <c r="N116" s="667"/>
      <c r="O116" s="667"/>
      <c r="P116" s="667"/>
      <c r="Q116" s="667"/>
      <c r="R116" s="667"/>
      <c r="S116" s="667"/>
      <c r="T116" s="667"/>
      <c r="U116" s="1012"/>
      <c r="V116" s="668">
        <v>400</v>
      </c>
      <c r="W116" s="668">
        <f t="shared" si="21"/>
        <v>0</v>
      </c>
      <c r="X116" s="668">
        <f t="shared" si="22"/>
        <v>0</v>
      </c>
      <c r="Y116" s="668">
        <f t="shared" si="23"/>
        <v>0</v>
      </c>
      <c r="Z116" s="668">
        <f t="shared" si="25"/>
        <v>0</v>
      </c>
      <c r="AA116" s="668">
        <f t="shared" si="26"/>
        <v>0</v>
      </c>
      <c r="AB116" s="668">
        <f t="shared" si="27"/>
        <v>0</v>
      </c>
      <c r="AC116" s="668">
        <f t="shared" si="37"/>
        <v>0</v>
      </c>
      <c r="AD116" s="668">
        <f t="shared" si="28"/>
        <v>0</v>
      </c>
      <c r="AE116" s="668">
        <f t="shared" si="29"/>
        <v>0</v>
      </c>
      <c r="AF116" s="668">
        <f t="shared" si="24"/>
        <v>0</v>
      </c>
      <c r="AG116" s="668">
        <f t="shared" si="30"/>
        <v>0</v>
      </c>
      <c r="AH116" s="668"/>
      <c r="AI116" s="668"/>
      <c r="AJ116" s="668"/>
      <c r="AK116" s="668"/>
      <c r="AL116" s="668"/>
      <c r="AM116" s="668">
        <f t="shared" si="38"/>
        <v>0</v>
      </c>
      <c r="AN116" s="668">
        <f t="shared" si="32"/>
        <v>0</v>
      </c>
      <c r="AO116" s="668">
        <f t="shared" si="33"/>
        <v>0</v>
      </c>
      <c r="AP116" s="668">
        <f t="shared" si="39"/>
        <v>0</v>
      </c>
      <c r="AQ116" s="668">
        <f t="shared" si="35"/>
        <v>0</v>
      </c>
      <c r="AR116" s="668">
        <f t="shared" si="36"/>
        <v>0</v>
      </c>
      <c r="AS116" s="668"/>
      <c r="AT116" s="668"/>
      <c r="AU116" s="668"/>
      <c r="AV116" s="668"/>
      <c r="AW116" s="668"/>
      <c r="AX116" s="668"/>
      <c r="AY116" s="668"/>
      <c r="AZ116" s="668"/>
      <c r="BA116" s="668"/>
      <c r="BB116" s="668">
        <f t="shared" si="40"/>
        <v>0</v>
      </c>
      <c r="BC116" s="668"/>
      <c r="BD116" s="668"/>
      <c r="BE116" s="668"/>
      <c r="BF116" s="668"/>
      <c r="BG116" s="668"/>
      <c r="BH116" s="668"/>
      <c r="BI116" s="668"/>
    </row>
    <row r="117" spans="1:61" x14ac:dyDescent="0.2">
      <c r="A117" s="1012">
        <v>1001</v>
      </c>
      <c r="B117" s="1012" t="s">
        <v>532</v>
      </c>
      <c r="C117" s="1012" t="s">
        <v>984</v>
      </c>
      <c r="D117" s="667">
        <v>180</v>
      </c>
      <c r="E117" s="667"/>
      <c r="F117" s="667"/>
      <c r="G117" s="667"/>
      <c r="H117" s="667"/>
      <c r="I117" s="667"/>
      <c r="J117" s="667"/>
      <c r="K117" s="667"/>
      <c r="L117" s="667"/>
      <c r="M117" s="667"/>
      <c r="N117" s="667"/>
      <c r="O117" s="667"/>
      <c r="P117" s="667"/>
      <c r="Q117" s="667"/>
      <c r="R117" s="667"/>
      <c r="S117" s="667"/>
      <c r="T117" s="667"/>
      <c r="U117" s="1012">
        <v>10</v>
      </c>
      <c r="V117" s="668">
        <f t="shared" si="20"/>
        <v>1800</v>
      </c>
      <c r="W117" s="668">
        <f t="shared" si="21"/>
        <v>0</v>
      </c>
      <c r="X117" s="668">
        <f t="shared" si="22"/>
        <v>0</v>
      </c>
      <c r="Y117" s="668">
        <f t="shared" si="23"/>
        <v>0</v>
      </c>
      <c r="Z117" s="668">
        <f t="shared" si="25"/>
        <v>1800</v>
      </c>
      <c r="AA117" s="668">
        <f t="shared" si="26"/>
        <v>0</v>
      </c>
      <c r="AB117" s="668">
        <f t="shared" si="27"/>
        <v>0</v>
      </c>
      <c r="AC117" s="668">
        <f t="shared" si="37"/>
        <v>0</v>
      </c>
      <c r="AD117" s="668">
        <f t="shared" si="28"/>
        <v>0</v>
      </c>
      <c r="AE117" s="668">
        <f t="shared" si="29"/>
        <v>0</v>
      </c>
      <c r="AF117" s="668">
        <f t="shared" si="24"/>
        <v>0</v>
      </c>
      <c r="AG117" s="668">
        <f t="shared" si="30"/>
        <v>0</v>
      </c>
      <c r="AH117" s="668"/>
      <c r="AI117" s="668"/>
      <c r="AJ117" s="668"/>
      <c r="AK117" s="668"/>
      <c r="AL117" s="668"/>
      <c r="AM117" s="668">
        <f t="shared" si="38"/>
        <v>0</v>
      </c>
      <c r="AN117" s="668">
        <f t="shared" si="32"/>
        <v>0</v>
      </c>
      <c r="AO117" s="668">
        <f t="shared" si="33"/>
        <v>0</v>
      </c>
      <c r="AP117" s="668">
        <f t="shared" si="39"/>
        <v>0</v>
      </c>
      <c r="AQ117" s="668">
        <f t="shared" si="35"/>
        <v>0</v>
      </c>
      <c r="AR117" s="668">
        <f t="shared" si="36"/>
        <v>0</v>
      </c>
      <c r="AS117" s="668"/>
      <c r="AT117" s="668"/>
      <c r="AU117" s="668"/>
      <c r="AV117" s="668"/>
      <c r="AW117" s="668"/>
      <c r="AX117" s="668"/>
      <c r="AY117" s="668"/>
      <c r="AZ117" s="668"/>
      <c r="BA117" s="668"/>
      <c r="BB117" s="668">
        <f t="shared" si="40"/>
        <v>0</v>
      </c>
      <c r="BC117" s="668"/>
      <c r="BD117" s="668"/>
      <c r="BE117" s="668"/>
      <c r="BF117" s="668"/>
      <c r="BG117" s="668"/>
      <c r="BH117" s="668"/>
      <c r="BI117" s="668"/>
    </row>
    <row r="118" spans="1:61" x14ac:dyDescent="0.2">
      <c r="A118" s="1012">
        <v>1002</v>
      </c>
      <c r="B118" s="1012" t="s">
        <v>513</v>
      </c>
      <c r="C118" s="1012"/>
      <c r="D118" s="667"/>
      <c r="E118" s="667"/>
      <c r="F118" s="667"/>
      <c r="G118" s="667"/>
      <c r="H118" s="667"/>
      <c r="I118" s="667"/>
      <c r="J118" s="667"/>
      <c r="K118" s="667"/>
      <c r="L118" s="667"/>
      <c r="M118" s="667"/>
      <c r="N118" s="667"/>
      <c r="O118" s="667"/>
      <c r="P118" s="667"/>
      <c r="Q118" s="667"/>
      <c r="R118" s="667"/>
      <c r="S118" s="667"/>
      <c r="T118" s="667"/>
      <c r="U118" s="1012"/>
      <c r="V118" s="668">
        <f t="shared" si="20"/>
        <v>0</v>
      </c>
      <c r="W118" s="668">
        <f t="shared" si="21"/>
        <v>0</v>
      </c>
      <c r="X118" s="668">
        <f t="shared" si="22"/>
        <v>0</v>
      </c>
      <c r="Y118" s="668">
        <f t="shared" si="23"/>
        <v>0</v>
      </c>
      <c r="Z118" s="668">
        <f t="shared" si="25"/>
        <v>0</v>
      </c>
      <c r="AA118" s="668">
        <f t="shared" si="26"/>
        <v>0</v>
      </c>
      <c r="AB118" s="668">
        <f t="shared" si="27"/>
        <v>0</v>
      </c>
      <c r="AC118" s="668">
        <f t="shared" si="37"/>
        <v>0</v>
      </c>
      <c r="AD118" s="668">
        <f t="shared" si="28"/>
        <v>0</v>
      </c>
      <c r="AE118" s="668">
        <f t="shared" si="29"/>
        <v>0</v>
      </c>
      <c r="AF118" s="668">
        <f t="shared" si="24"/>
        <v>0</v>
      </c>
      <c r="AG118" s="668">
        <f t="shared" si="30"/>
        <v>0</v>
      </c>
      <c r="AH118" s="668"/>
      <c r="AI118" s="668"/>
      <c r="AJ118" s="668"/>
      <c r="AK118" s="668"/>
      <c r="AL118" s="668"/>
      <c r="AM118" s="668">
        <f t="shared" si="38"/>
        <v>0</v>
      </c>
      <c r="AN118" s="668">
        <f t="shared" si="32"/>
        <v>0</v>
      </c>
      <c r="AO118" s="668">
        <f t="shared" si="33"/>
        <v>0</v>
      </c>
      <c r="AP118" s="668">
        <f t="shared" si="39"/>
        <v>0</v>
      </c>
      <c r="AQ118" s="668">
        <f t="shared" si="35"/>
        <v>0</v>
      </c>
      <c r="AR118" s="668">
        <f t="shared" si="36"/>
        <v>0</v>
      </c>
      <c r="AS118" s="668"/>
      <c r="AT118" s="668"/>
      <c r="AU118" s="668"/>
      <c r="AV118" s="668"/>
      <c r="AW118" s="668"/>
      <c r="AX118" s="668"/>
      <c r="AY118" s="668"/>
      <c r="AZ118" s="668"/>
      <c r="BA118" s="668"/>
      <c r="BB118" s="668">
        <f t="shared" si="40"/>
        <v>0</v>
      </c>
      <c r="BC118" s="668"/>
      <c r="BD118" s="668"/>
      <c r="BE118" s="668"/>
      <c r="BF118" s="668"/>
      <c r="BG118" s="668"/>
      <c r="BH118" s="668"/>
      <c r="BI118" s="668"/>
    </row>
    <row r="119" spans="1:61" x14ac:dyDescent="0.2">
      <c r="A119" s="1012">
        <v>1003</v>
      </c>
      <c r="B119" s="1012" t="s">
        <v>533</v>
      </c>
      <c r="C119" s="1012"/>
      <c r="D119" s="667"/>
      <c r="E119" s="667"/>
      <c r="F119" s="667"/>
      <c r="G119" s="667"/>
      <c r="H119" s="667"/>
      <c r="I119" s="667"/>
      <c r="J119" s="667"/>
      <c r="K119" s="667"/>
      <c r="L119" s="667"/>
      <c r="M119" s="667"/>
      <c r="N119" s="667"/>
      <c r="O119" s="667"/>
      <c r="P119" s="667"/>
      <c r="Q119" s="667"/>
      <c r="R119" s="667"/>
      <c r="S119" s="667"/>
      <c r="T119" s="667"/>
      <c r="U119" s="1012"/>
      <c r="V119" s="668">
        <f t="shared" si="20"/>
        <v>0</v>
      </c>
      <c r="W119" s="668">
        <f t="shared" si="21"/>
        <v>0</v>
      </c>
      <c r="X119" s="668">
        <f t="shared" si="22"/>
        <v>0</v>
      </c>
      <c r="Y119" s="668">
        <f t="shared" si="23"/>
        <v>0</v>
      </c>
      <c r="Z119" s="668">
        <f t="shared" si="25"/>
        <v>0</v>
      </c>
      <c r="AA119" s="668">
        <f t="shared" si="26"/>
        <v>0</v>
      </c>
      <c r="AB119" s="668">
        <f t="shared" si="27"/>
        <v>0</v>
      </c>
      <c r="AC119" s="668">
        <f t="shared" si="37"/>
        <v>0</v>
      </c>
      <c r="AD119" s="668">
        <f t="shared" si="28"/>
        <v>0</v>
      </c>
      <c r="AE119" s="668">
        <f t="shared" si="29"/>
        <v>0</v>
      </c>
      <c r="AF119" s="668">
        <f t="shared" si="24"/>
        <v>0</v>
      </c>
      <c r="AG119" s="668">
        <f t="shared" si="30"/>
        <v>0</v>
      </c>
      <c r="AH119" s="668"/>
      <c r="AI119" s="668"/>
      <c r="AJ119" s="668"/>
      <c r="AK119" s="668"/>
      <c r="AL119" s="668"/>
      <c r="AM119" s="668">
        <f t="shared" si="38"/>
        <v>0</v>
      </c>
      <c r="AN119" s="668">
        <f t="shared" si="32"/>
        <v>0</v>
      </c>
      <c r="AO119" s="668">
        <f t="shared" si="33"/>
        <v>0</v>
      </c>
      <c r="AP119" s="668">
        <f t="shared" si="39"/>
        <v>0</v>
      </c>
      <c r="AQ119" s="668">
        <f t="shared" si="35"/>
        <v>0</v>
      </c>
      <c r="AR119" s="668">
        <f t="shared" si="36"/>
        <v>0</v>
      </c>
      <c r="AS119" s="668"/>
      <c r="AT119" s="668"/>
      <c r="AU119" s="668"/>
      <c r="AV119" s="668"/>
      <c r="AW119" s="668"/>
      <c r="AX119" s="668"/>
      <c r="AY119" s="668"/>
      <c r="AZ119" s="668"/>
      <c r="BA119" s="668"/>
      <c r="BB119" s="668">
        <f t="shared" si="40"/>
        <v>0</v>
      </c>
      <c r="BC119" s="668"/>
      <c r="BD119" s="668"/>
      <c r="BE119" s="668"/>
      <c r="BF119" s="668"/>
      <c r="BG119" s="668"/>
      <c r="BH119" s="668"/>
      <c r="BI119" s="668"/>
    </row>
    <row r="120" spans="1:61" x14ac:dyDescent="0.2">
      <c r="A120" s="1012">
        <v>1004</v>
      </c>
      <c r="B120" s="1012" t="s">
        <v>486</v>
      </c>
      <c r="C120" s="1012"/>
      <c r="D120" s="667">
        <v>67</v>
      </c>
      <c r="E120" s="667"/>
      <c r="F120" s="667"/>
      <c r="G120" s="667"/>
      <c r="H120" s="667"/>
      <c r="I120" s="667"/>
      <c r="J120" s="667"/>
      <c r="K120" s="667"/>
      <c r="L120" s="667">
        <v>4</v>
      </c>
      <c r="M120" s="667"/>
      <c r="N120" s="667"/>
      <c r="O120" s="667"/>
      <c r="P120" s="667"/>
      <c r="Q120" s="1014">
        <v>181</v>
      </c>
      <c r="R120" s="667"/>
      <c r="S120" s="667"/>
      <c r="T120" s="667">
        <v>181</v>
      </c>
      <c r="U120" s="1012">
        <v>17</v>
      </c>
      <c r="V120" s="668">
        <f t="shared" si="20"/>
        <v>1139</v>
      </c>
      <c r="W120" s="668">
        <f t="shared" si="21"/>
        <v>0</v>
      </c>
      <c r="X120" s="668">
        <f t="shared" si="22"/>
        <v>0</v>
      </c>
      <c r="Y120" s="668">
        <f t="shared" si="23"/>
        <v>0</v>
      </c>
      <c r="Z120" s="668">
        <f t="shared" si="25"/>
        <v>0</v>
      </c>
      <c r="AA120" s="668">
        <f t="shared" si="26"/>
        <v>0</v>
      </c>
      <c r="AB120" s="668">
        <f t="shared" si="27"/>
        <v>181</v>
      </c>
      <c r="AC120" s="668">
        <f t="shared" si="37"/>
        <v>0</v>
      </c>
      <c r="AD120" s="668">
        <f t="shared" si="28"/>
        <v>181</v>
      </c>
      <c r="AE120" s="668">
        <f t="shared" si="29"/>
        <v>0</v>
      </c>
      <c r="AF120" s="668">
        <f t="shared" si="24"/>
        <v>68</v>
      </c>
      <c r="AG120" s="668">
        <f t="shared" si="30"/>
        <v>0</v>
      </c>
      <c r="AH120" s="668"/>
      <c r="AI120" s="668"/>
      <c r="AJ120" s="668"/>
      <c r="AK120" s="668"/>
      <c r="AL120" s="668"/>
      <c r="AM120" s="668">
        <f t="shared" si="38"/>
        <v>0</v>
      </c>
      <c r="AN120" s="668">
        <f t="shared" si="32"/>
        <v>0</v>
      </c>
      <c r="AO120" s="668">
        <f t="shared" si="33"/>
        <v>0</v>
      </c>
      <c r="AP120" s="668">
        <f t="shared" si="39"/>
        <v>0</v>
      </c>
      <c r="AQ120" s="668">
        <f t="shared" si="35"/>
        <v>0</v>
      </c>
      <c r="AR120" s="668">
        <f t="shared" si="36"/>
        <v>0</v>
      </c>
      <c r="AS120" s="668"/>
      <c r="AT120" s="668"/>
      <c r="AU120" s="668"/>
      <c r="AV120" s="668"/>
      <c r="AW120" s="668"/>
      <c r="AX120" s="668"/>
      <c r="AY120" s="668"/>
      <c r="AZ120" s="668"/>
      <c r="BA120" s="668"/>
      <c r="BB120" s="668">
        <f t="shared" si="40"/>
        <v>0</v>
      </c>
      <c r="BC120" s="668"/>
      <c r="BD120" s="668"/>
      <c r="BE120" s="668"/>
      <c r="BF120" s="668"/>
      <c r="BG120" s="668"/>
      <c r="BH120" s="668"/>
      <c r="BI120" s="668"/>
    </row>
    <row r="121" spans="1:61" x14ac:dyDescent="0.2">
      <c r="A121" s="1012">
        <v>1006</v>
      </c>
      <c r="B121" s="1012" t="s">
        <v>473</v>
      </c>
      <c r="C121" s="1012"/>
      <c r="D121" s="667">
        <v>57</v>
      </c>
      <c r="E121" s="667"/>
      <c r="F121" s="667"/>
      <c r="G121" s="667"/>
      <c r="H121" s="667"/>
      <c r="I121" s="667"/>
      <c r="J121" s="667"/>
      <c r="K121" s="667"/>
      <c r="L121" s="667">
        <v>2</v>
      </c>
      <c r="M121" s="667"/>
      <c r="N121" s="667"/>
      <c r="O121" s="667"/>
      <c r="P121" s="667"/>
      <c r="Q121" s="667"/>
      <c r="R121" s="667"/>
      <c r="S121" s="667"/>
      <c r="T121" s="667"/>
      <c r="U121" s="1012">
        <v>12</v>
      </c>
      <c r="V121" s="668">
        <f t="shared" si="20"/>
        <v>684</v>
      </c>
      <c r="W121" s="668">
        <f t="shared" si="21"/>
        <v>0</v>
      </c>
      <c r="X121" s="668">
        <f t="shared" si="22"/>
        <v>0</v>
      </c>
      <c r="Y121" s="668">
        <f t="shared" si="23"/>
        <v>0</v>
      </c>
      <c r="Z121" s="668">
        <f t="shared" si="25"/>
        <v>0</v>
      </c>
      <c r="AA121" s="668">
        <f t="shared" si="26"/>
        <v>0</v>
      </c>
      <c r="AB121" s="668">
        <f t="shared" si="27"/>
        <v>0</v>
      </c>
      <c r="AC121" s="668">
        <f t="shared" si="37"/>
        <v>0</v>
      </c>
      <c r="AD121" s="668">
        <f t="shared" si="28"/>
        <v>0</v>
      </c>
      <c r="AE121" s="668">
        <f t="shared" si="29"/>
        <v>0</v>
      </c>
      <c r="AF121" s="668">
        <f t="shared" si="24"/>
        <v>24</v>
      </c>
      <c r="AG121" s="668">
        <f t="shared" si="30"/>
        <v>0</v>
      </c>
      <c r="AH121" s="668"/>
      <c r="AI121" s="668"/>
      <c r="AJ121" s="668"/>
      <c r="AK121" s="668"/>
      <c r="AL121" s="668"/>
      <c r="AM121" s="668">
        <f t="shared" si="38"/>
        <v>0</v>
      </c>
      <c r="AN121" s="668">
        <f t="shared" si="32"/>
        <v>0</v>
      </c>
      <c r="AO121" s="668">
        <f t="shared" si="33"/>
        <v>0</v>
      </c>
      <c r="AP121" s="668">
        <f t="shared" si="39"/>
        <v>0</v>
      </c>
      <c r="AQ121" s="668">
        <f t="shared" si="35"/>
        <v>0</v>
      </c>
      <c r="AR121" s="668">
        <f t="shared" si="36"/>
        <v>0</v>
      </c>
      <c r="AS121" s="668"/>
      <c r="AT121" s="668"/>
      <c r="AU121" s="668"/>
      <c r="AV121" s="668"/>
      <c r="AW121" s="668"/>
      <c r="AX121" s="668"/>
      <c r="AY121" s="668"/>
      <c r="AZ121" s="668"/>
      <c r="BA121" s="668"/>
      <c r="BB121" s="668">
        <f t="shared" si="40"/>
        <v>0</v>
      </c>
      <c r="BC121" s="668"/>
      <c r="BD121" s="668"/>
      <c r="BE121" s="668"/>
      <c r="BF121" s="668"/>
      <c r="BG121" s="668"/>
      <c r="BH121" s="668"/>
      <c r="BI121" s="668"/>
    </row>
    <row r="122" spans="1:61" x14ac:dyDescent="0.2">
      <c r="A122" s="1012">
        <v>1008</v>
      </c>
      <c r="B122" s="1012" t="s">
        <v>534</v>
      </c>
      <c r="C122" s="1012"/>
      <c r="D122" s="667"/>
      <c r="E122" s="667"/>
      <c r="F122" s="667"/>
      <c r="G122" s="667"/>
      <c r="H122" s="667"/>
      <c r="I122" s="667"/>
      <c r="J122" s="667"/>
      <c r="K122" s="667"/>
      <c r="L122" s="667"/>
      <c r="M122" s="667"/>
      <c r="N122" s="667"/>
      <c r="O122" s="667"/>
      <c r="P122" s="667"/>
      <c r="Q122" s="667"/>
      <c r="R122" s="667"/>
      <c r="S122" s="667"/>
      <c r="T122" s="667"/>
      <c r="U122" s="1012"/>
      <c r="V122" s="668">
        <f t="shared" si="20"/>
        <v>0</v>
      </c>
      <c r="W122" s="668">
        <f t="shared" si="21"/>
        <v>0</v>
      </c>
      <c r="X122" s="668">
        <f t="shared" si="22"/>
        <v>0</v>
      </c>
      <c r="Y122" s="668">
        <f t="shared" si="23"/>
        <v>0</v>
      </c>
      <c r="Z122" s="668">
        <f t="shared" si="25"/>
        <v>0</v>
      </c>
      <c r="AA122" s="668">
        <f t="shared" si="26"/>
        <v>0</v>
      </c>
      <c r="AB122" s="668">
        <f t="shared" si="27"/>
        <v>0</v>
      </c>
      <c r="AC122" s="668">
        <f t="shared" si="37"/>
        <v>0</v>
      </c>
      <c r="AD122" s="668">
        <f t="shared" si="28"/>
        <v>0</v>
      </c>
      <c r="AE122" s="668">
        <f t="shared" si="29"/>
        <v>0</v>
      </c>
      <c r="AF122" s="668">
        <f t="shared" si="24"/>
        <v>0</v>
      </c>
      <c r="AG122" s="668">
        <f t="shared" si="30"/>
        <v>0</v>
      </c>
      <c r="AH122" s="668"/>
      <c r="AI122" s="668"/>
      <c r="AJ122" s="668"/>
      <c r="AK122" s="668"/>
      <c r="AL122" s="668"/>
      <c r="AM122" s="668">
        <f t="shared" si="38"/>
        <v>0</v>
      </c>
      <c r="AN122" s="668">
        <f t="shared" si="32"/>
        <v>0</v>
      </c>
      <c r="AO122" s="668">
        <f t="shared" si="33"/>
        <v>0</v>
      </c>
      <c r="AP122" s="668">
        <f t="shared" si="39"/>
        <v>0</v>
      </c>
      <c r="AQ122" s="668">
        <f t="shared" si="35"/>
        <v>0</v>
      </c>
      <c r="AR122" s="668">
        <f t="shared" si="36"/>
        <v>0</v>
      </c>
      <c r="AS122" s="668"/>
      <c r="AT122" s="668"/>
      <c r="AU122" s="668"/>
      <c r="AV122" s="668"/>
      <c r="AW122" s="668"/>
      <c r="AX122" s="668"/>
      <c r="AY122" s="668"/>
      <c r="AZ122" s="668"/>
      <c r="BA122" s="668"/>
      <c r="BB122" s="668">
        <f t="shared" si="40"/>
        <v>0</v>
      </c>
      <c r="BC122" s="668"/>
      <c r="BD122" s="668"/>
      <c r="BE122" s="668"/>
      <c r="BF122" s="668"/>
      <c r="BG122" s="668"/>
      <c r="BH122" s="668"/>
      <c r="BI122" s="668"/>
    </row>
    <row r="123" spans="1:61" x14ac:dyDescent="0.2">
      <c r="A123" s="1012">
        <v>1009</v>
      </c>
      <c r="B123" s="1012" t="s">
        <v>535</v>
      </c>
      <c r="C123" s="1012"/>
      <c r="D123" s="667">
        <v>141</v>
      </c>
      <c r="E123" s="667"/>
      <c r="F123" s="667"/>
      <c r="G123" s="667"/>
      <c r="H123" s="667"/>
      <c r="I123" s="667">
        <v>141</v>
      </c>
      <c r="J123" s="667"/>
      <c r="K123" s="667"/>
      <c r="L123" s="667"/>
      <c r="M123" s="667"/>
      <c r="N123" s="667"/>
      <c r="O123" s="667"/>
      <c r="P123" s="667"/>
      <c r="Q123" s="667"/>
      <c r="R123" s="667"/>
      <c r="S123" s="667"/>
      <c r="T123" s="667"/>
      <c r="U123" s="1012">
        <v>8</v>
      </c>
      <c r="V123" s="668">
        <f t="shared" si="20"/>
        <v>1128</v>
      </c>
      <c r="W123" s="668">
        <f t="shared" si="21"/>
        <v>0</v>
      </c>
      <c r="X123" s="668">
        <f t="shared" si="22"/>
        <v>0</v>
      </c>
      <c r="Y123" s="668">
        <f t="shared" si="23"/>
        <v>0</v>
      </c>
      <c r="Z123" s="668">
        <f t="shared" si="25"/>
        <v>0</v>
      </c>
      <c r="AA123" s="668">
        <f t="shared" si="26"/>
        <v>0</v>
      </c>
      <c r="AB123" s="668">
        <f t="shared" si="27"/>
        <v>0</v>
      </c>
      <c r="AC123" s="668">
        <f t="shared" si="37"/>
        <v>0</v>
      </c>
      <c r="AD123" s="668">
        <f t="shared" si="28"/>
        <v>0</v>
      </c>
      <c r="AE123" s="668">
        <f t="shared" si="29"/>
        <v>0</v>
      </c>
      <c r="AF123" s="668">
        <f t="shared" si="24"/>
        <v>0</v>
      </c>
      <c r="AG123" s="668">
        <f t="shared" si="30"/>
        <v>0</v>
      </c>
      <c r="AH123" s="668"/>
      <c r="AI123" s="668"/>
      <c r="AJ123" s="668"/>
      <c r="AK123" s="668"/>
      <c r="AL123" s="668"/>
      <c r="AM123" s="668">
        <f t="shared" si="38"/>
        <v>141</v>
      </c>
      <c r="AN123" s="668">
        <f t="shared" si="32"/>
        <v>0</v>
      </c>
      <c r="AO123" s="668">
        <f t="shared" si="33"/>
        <v>0</v>
      </c>
      <c r="AP123" s="668">
        <f t="shared" si="39"/>
        <v>0</v>
      </c>
      <c r="AQ123" s="668">
        <f t="shared" si="35"/>
        <v>0</v>
      </c>
      <c r="AR123" s="668">
        <f t="shared" si="36"/>
        <v>0</v>
      </c>
      <c r="AS123" s="668"/>
      <c r="AT123" s="668"/>
      <c r="AU123" s="668"/>
      <c r="AV123" s="668"/>
      <c r="AW123" s="668"/>
      <c r="AX123" s="668"/>
      <c r="AY123" s="668"/>
      <c r="AZ123" s="668"/>
      <c r="BA123" s="668"/>
      <c r="BB123" s="668">
        <f t="shared" si="40"/>
        <v>0</v>
      </c>
      <c r="BC123" s="668"/>
      <c r="BD123" s="668"/>
      <c r="BE123" s="668"/>
      <c r="BF123" s="668"/>
      <c r="BG123" s="668"/>
      <c r="BH123" s="668"/>
      <c r="BI123" s="668"/>
    </row>
    <row r="124" spans="1:61" x14ac:dyDescent="0.2">
      <c r="A124" s="1012">
        <v>1010</v>
      </c>
      <c r="B124" s="1012" t="s">
        <v>467</v>
      </c>
      <c r="C124" s="1012"/>
      <c r="D124" s="667">
        <v>79</v>
      </c>
      <c r="E124" s="667"/>
      <c r="F124" s="667"/>
      <c r="G124" s="667"/>
      <c r="H124" s="667"/>
      <c r="I124" s="667"/>
      <c r="J124" s="667"/>
      <c r="K124" s="667"/>
      <c r="L124" s="667"/>
      <c r="M124" s="667"/>
      <c r="N124" s="667"/>
      <c r="O124" s="667"/>
      <c r="P124" s="667"/>
      <c r="Q124" s="667"/>
      <c r="R124" s="667"/>
      <c r="S124" s="667"/>
      <c r="T124" s="667"/>
      <c r="U124" s="1012">
        <v>3</v>
      </c>
      <c r="V124" s="668">
        <f t="shared" si="20"/>
        <v>237</v>
      </c>
      <c r="W124" s="668">
        <f t="shared" si="21"/>
        <v>0</v>
      </c>
      <c r="X124" s="668">
        <f t="shared" si="22"/>
        <v>0</v>
      </c>
      <c r="Y124" s="668">
        <f t="shared" si="23"/>
        <v>0</v>
      </c>
      <c r="Z124" s="668">
        <f t="shared" si="25"/>
        <v>0</v>
      </c>
      <c r="AA124" s="668">
        <f t="shared" si="26"/>
        <v>0</v>
      </c>
      <c r="AB124" s="668">
        <f t="shared" si="27"/>
        <v>0</v>
      </c>
      <c r="AC124" s="668">
        <f t="shared" si="37"/>
        <v>0</v>
      </c>
      <c r="AD124" s="668">
        <f t="shared" si="28"/>
        <v>0</v>
      </c>
      <c r="AE124" s="668">
        <f t="shared" si="29"/>
        <v>0</v>
      </c>
      <c r="AF124" s="668">
        <f t="shared" si="24"/>
        <v>0</v>
      </c>
      <c r="AG124" s="668">
        <f t="shared" si="30"/>
        <v>0</v>
      </c>
      <c r="AH124" s="668"/>
      <c r="AI124" s="668"/>
      <c r="AJ124" s="668"/>
      <c r="AK124" s="668"/>
      <c r="AL124" s="668"/>
      <c r="AM124" s="668">
        <f t="shared" si="38"/>
        <v>0</v>
      </c>
      <c r="AN124" s="668">
        <f t="shared" si="32"/>
        <v>0</v>
      </c>
      <c r="AO124" s="668">
        <f t="shared" si="33"/>
        <v>0</v>
      </c>
      <c r="AP124" s="668">
        <f t="shared" si="39"/>
        <v>0</v>
      </c>
      <c r="AQ124" s="668">
        <f t="shared" si="35"/>
        <v>0</v>
      </c>
      <c r="AR124" s="668">
        <f t="shared" si="36"/>
        <v>0</v>
      </c>
      <c r="AS124" s="668"/>
      <c r="AT124" s="668"/>
      <c r="AU124" s="668"/>
      <c r="AV124" s="668"/>
      <c r="AW124" s="668"/>
      <c r="AX124" s="668"/>
      <c r="AY124" s="668"/>
      <c r="AZ124" s="668"/>
      <c r="BA124" s="668"/>
      <c r="BB124" s="668">
        <f t="shared" si="40"/>
        <v>0</v>
      </c>
      <c r="BC124" s="668"/>
      <c r="BD124" s="668"/>
      <c r="BE124" s="668"/>
      <c r="BF124" s="668"/>
      <c r="BG124" s="668"/>
      <c r="BH124" s="668"/>
      <c r="BI124" s="668"/>
    </row>
    <row r="125" spans="1:61" x14ac:dyDescent="0.2">
      <c r="A125" s="1012">
        <v>1011</v>
      </c>
      <c r="B125" s="1012" t="s">
        <v>466</v>
      </c>
      <c r="C125" s="1012"/>
      <c r="D125" s="667">
        <v>87</v>
      </c>
      <c r="E125" s="667"/>
      <c r="F125" s="667"/>
      <c r="G125" s="667"/>
      <c r="H125" s="667"/>
      <c r="I125" s="667"/>
      <c r="J125" s="667"/>
      <c r="K125" s="667"/>
      <c r="L125" s="667"/>
      <c r="M125" s="667"/>
      <c r="N125" s="667"/>
      <c r="O125" s="667"/>
      <c r="P125" s="667"/>
      <c r="Q125" s="667"/>
      <c r="R125" s="667"/>
      <c r="S125" s="667"/>
      <c r="T125" s="667"/>
      <c r="U125" s="1012">
        <v>3</v>
      </c>
      <c r="V125" s="668">
        <f t="shared" si="20"/>
        <v>261</v>
      </c>
      <c r="W125" s="668">
        <f t="shared" si="21"/>
        <v>0</v>
      </c>
      <c r="X125" s="668">
        <f t="shared" si="22"/>
        <v>0</v>
      </c>
      <c r="Y125" s="668">
        <f t="shared" si="23"/>
        <v>0</v>
      </c>
      <c r="Z125" s="668">
        <f t="shared" si="25"/>
        <v>0</v>
      </c>
      <c r="AA125" s="668">
        <f t="shared" si="26"/>
        <v>0</v>
      </c>
      <c r="AB125" s="668">
        <f t="shared" si="27"/>
        <v>0</v>
      </c>
      <c r="AC125" s="668">
        <f t="shared" si="37"/>
        <v>0</v>
      </c>
      <c r="AD125" s="668">
        <f t="shared" si="28"/>
        <v>0</v>
      </c>
      <c r="AE125" s="668">
        <f t="shared" si="29"/>
        <v>0</v>
      </c>
      <c r="AF125" s="668">
        <f t="shared" si="24"/>
        <v>0</v>
      </c>
      <c r="AG125" s="668">
        <f t="shared" si="30"/>
        <v>0</v>
      </c>
      <c r="AH125" s="668"/>
      <c r="AI125" s="668"/>
      <c r="AJ125" s="668"/>
      <c r="AK125" s="668"/>
      <c r="AL125" s="668"/>
      <c r="AM125" s="668">
        <f t="shared" si="38"/>
        <v>0</v>
      </c>
      <c r="AN125" s="668">
        <f t="shared" si="32"/>
        <v>0</v>
      </c>
      <c r="AO125" s="668">
        <f t="shared" si="33"/>
        <v>0</v>
      </c>
      <c r="AP125" s="668">
        <f t="shared" si="39"/>
        <v>0</v>
      </c>
      <c r="AQ125" s="668">
        <f t="shared" si="35"/>
        <v>0</v>
      </c>
      <c r="AR125" s="668">
        <f t="shared" si="36"/>
        <v>0</v>
      </c>
      <c r="AS125" s="668"/>
      <c r="AT125" s="668"/>
      <c r="AU125" s="668"/>
      <c r="AV125" s="668"/>
      <c r="AW125" s="668"/>
      <c r="AX125" s="668"/>
      <c r="AY125" s="668"/>
      <c r="AZ125" s="668"/>
      <c r="BA125" s="668"/>
      <c r="BB125" s="668">
        <f t="shared" si="40"/>
        <v>0</v>
      </c>
      <c r="BC125" s="668"/>
      <c r="BD125" s="668"/>
      <c r="BE125" s="668"/>
      <c r="BF125" s="668"/>
      <c r="BG125" s="668"/>
      <c r="BH125" s="668"/>
      <c r="BI125" s="668"/>
    </row>
    <row r="126" spans="1:61" x14ac:dyDescent="0.2">
      <c r="A126" s="1012">
        <v>1013</v>
      </c>
      <c r="B126" s="1012" t="s">
        <v>468</v>
      </c>
      <c r="C126" s="1012"/>
      <c r="D126" s="667">
        <v>87</v>
      </c>
      <c r="E126" s="667"/>
      <c r="F126" s="667"/>
      <c r="G126" s="667"/>
      <c r="H126" s="667"/>
      <c r="I126" s="667"/>
      <c r="J126" s="667"/>
      <c r="K126" s="667"/>
      <c r="L126" s="667">
        <v>6</v>
      </c>
      <c r="M126" s="667"/>
      <c r="N126" s="667"/>
      <c r="O126" s="667"/>
      <c r="P126" s="667"/>
      <c r="Q126" s="1014">
        <v>300</v>
      </c>
      <c r="R126" s="667"/>
      <c r="S126" s="667"/>
      <c r="T126" s="667"/>
      <c r="U126" s="1012">
        <v>13</v>
      </c>
      <c r="V126" s="668">
        <f t="shared" si="20"/>
        <v>1131</v>
      </c>
      <c r="W126" s="668">
        <f t="shared" si="21"/>
        <v>0</v>
      </c>
      <c r="X126" s="668">
        <f t="shared" si="22"/>
        <v>0</v>
      </c>
      <c r="Y126" s="668">
        <f t="shared" si="23"/>
        <v>0</v>
      </c>
      <c r="Z126" s="668">
        <f t="shared" si="25"/>
        <v>0</v>
      </c>
      <c r="AA126" s="668">
        <f t="shared" si="26"/>
        <v>0</v>
      </c>
      <c r="AB126" s="668">
        <f t="shared" si="27"/>
        <v>0</v>
      </c>
      <c r="AC126" s="668">
        <f t="shared" si="37"/>
        <v>0</v>
      </c>
      <c r="AD126" s="668">
        <f t="shared" si="28"/>
        <v>300</v>
      </c>
      <c r="AE126" s="668">
        <f t="shared" si="29"/>
        <v>0</v>
      </c>
      <c r="AF126" s="668">
        <f t="shared" si="24"/>
        <v>78</v>
      </c>
      <c r="AG126" s="668">
        <f t="shared" si="30"/>
        <v>0</v>
      </c>
      <c r="AH126" s="668"/>
      <c r="AI126" s="668"/>
      <c r="AJ126" s="668"/>
      <c r="AK126" s="668"/>
      <c r="AL126" s="668"/>
      <c r="AM126" s="668">
        <f t="shared" si="38"/>
        <v>0</v>
      </c>
      <c r="AN126" s="668">
        <f t="shared" si="32"/>
        <v>0</v>
      </c>
      <c r="AO126" s="668">
        <f t="shared" si="33"/>
        <v>0</v>
      </c>
      <c r="AP126" s="668">
        <f t="shared" si="39"/>
        <v>0</v>
      </c>
      <c r="AQ126" s="668">
        <f t="shared" si="35"/>
        <v>0</v>
      </c>
      <c r="AR126" s="668">
        <f t="shared" si="36"/>
        <v>0</v>
      </c>
      <c r="AS126" s="668"/>
      <c r="AT126" s="668"/>
      <c r="AU126" s="668"/>
      <c r="AV126" s="668"/>
      <c r="AW126" s="668"/>
      <c r="AX126" s="668"/>
      <c r="AY126" s="668"/>
      <c r="AZ126" s="668"/>
      <c r="BA126" s="668"/>
      <c r="BB126" s="668">
        <f t="shared" si="40"/>
        <v>0</v>
      </c>
      <c r="BC126" s="668"/>
      <c r="BD126" s="668"/>
      <c r="BE126" s="668"/>
      <c r="BF126" s="668"/>
      <c r="BG126" s="668"/>
      <c r="BH126" s="668"/>
      <c r="BI126" s="668"/>
    </row>
    <row r="127" spans="1:61" x14ac:dyDescent="0.2">
      <c r="A127" s="1012">
        <v>1015</v>
      </c>
      <c r="B127" s="1012" t="s">
        <v>536</v>
      </c>
      <c r="C127" s="1012"/>
      <c r="D127" s="667"/>
      <c r="E127" s="667"/>
      <c r="F127" s="667"/>
      <c r="G127" s="667"/>
      <c r="H127" s="667"/>
      <c r="I127" s="667"/>
      <c r="J127" s="667"/>
      <c r="K127" s="667"/>
      <c r="L127" s="667"/>
      <c r="M127" s="667"/>
      <c r="N127" s="667"/>
      <c r="O127" s="667"/>
      <c r="P127" s="667"/>
      <c r="Q127" s="667"/>
      <c r="R127" s="667"/>
      <c r="S127" s="667"/>
      <c r="T127" s="667"/>
      <c r="U127" s="1012"/>
      <c r="V127" s="668">
        <f t="shared" si="20"/>
        <v>0</v>
      </c>
      <c r="W127" s="668">
        <f t="shared" si="21"/>
        <v>0</v>
      </c>
      <c r="X127" s="668">
        <f t="shared" si="22"/>
        <v>0</v>
      </c>
      <c r="Y127" s="668">
        <f t="shared" si="23"/>
        <v>0</v>
      </c>
      <c r="Z127" s="668">
        <f t="shared" si="25"/>
        <v>0</v>
      </c>
      <c r="AA127" s="668">
        <f t="shared" si="26"/>
        <v>0</v>
      </c>
      <c r="AB127" s="668">
        <f t="shared" si="27"/>
        <v>0</v>
      </c>
      <c r="AC127" s="668">
        <f t="shared" si="37"/>
        <v>0</v>
      </c>
      <c r="AD127" s="668">
        <f t="shared" si="28"/>
        <v>0</v>
      </c>
      <c r="AE127" s="668">
        <f t="shared" si="29"/>
        <v>0</v>
      </c>
      <c r="AF127" s="668">
        <f t="shared" si="24"/>
        <v>0</v>
      </c>
      <c r="AG127" s="668">
        <f t="shared" si="30"/>
        <v>0</v>
      </c>
      <c r="AH127" s="668"/>
      <c r="AI127" s="668"/>
      <c r="AJ127" s="668"/>
      <c r="AK127" s="668"/>
      <c r="AL127" s="668"/>
      <c r="AM127" s="668">
        <f t="shared" si="38"/>
        <v>0</v>
      </c>
      <c r="AN127" s="668">
        <f t="shared" si="32"/>
        <v>0</v>
      </c>
      <c r="AO127" s="668">
        <f t="shared" si="33"/>
        <v>0</v>
      </c>
      <c r="AP127" s="668">
        <f t="shared" si="39"/>
        <v>0</v>
      </c>
      <c r="AQ127" s="668">
        <f t="shared" si="35"/>
        <v>0</v>
      </c>
      <c r="AR127" s="668">
        <f t="shared" si="36"/>
        <v>0</v>
      </c>
      <c r="AS127" s="668"/>
      <c r="AT127" s="668"/>
      <c r="AU127" s="668"/>
      <c r="AV127" s="668"/>
      <c r="AW127" s="668"/>
      <c r="AX127" s="668"/>
      <c r="AY127" s="668"/>
      <c r="AZ127" s="668"/>
      <c r="BA127" s="668"/>
      <c r="BB127" s="668">
        <f t="shared" si="40"/>
        <v>0</v>
      </c>
      <c r="BC127" s="668"/>
      <c r="BD127" s="668"/>
      <c r="BE127" s="668"/>
      <c r="BF127" s="668"/>
      <c r="BG127" s="668"/>
      <c r="BH127" s="668"/>
      <c r="BI127" s="668"/>
    </row>
    <row r="128" spans="1:61" x14ac:dyDescent="0.2">
      <c r="A128" s="1012">
        <v>1016</v>
      </c>
      <c r="B128" s="1012" t="s">
        <v>537</v>
      </c>
      <c r="C128" s="1012"/>
      <c r="D128" s="667">
        <v>411</v>
      </c>
      <c r="E128" s="667"/>
      <c r="F128" s="667"/>
      <c r="G128" s="667"/>
      <c r="H128" s="667"/>
      <c r="I128" s="667"/>
      <c r="J128" s="667"/>
      <c r="K128" s="667"/>
      <c r="L128" s="667"/>
      <c r="M128" s="667"/>
      <c r="N128" s="667"/>
      <c r="O128" s="667"/>
      <c r="P128" s="667"/>
      <c r="Q128" s="667"/>
      <c r="R128" s="667"/>
      <c r="S128" s="667"/>
      <c r="T128" s="667"/>
      <c r="U128" s="1012">
        <v>3</v>
      </c>
      <c r="V128" s="668">
        <f t="shared" si="20"/>
        <v>1233</v>
      </c>
      <c r="W128" s="668">
        <f t="shared" si="21"/>
        <v>0</v>
      </c>
      <c r="X128" s="668">
        <f t="shared" si="22"/>
        <v>0</v>
      </c>
      <c r="Y128" s="668">
        <f t="shared" si="23"/>
        <v>0</v>
      </c>
      <c r="Z128" s="668">
        <f t="shared" si="25"/>
        <v>0</v>
      </c>
      <c r="AA128" s="668">
        <f t="shared" si="26"/>
        <v>0</v>
      </c>
      <c r="AB128" s="668">
        <f t="shared" si="27"/>
        <v>0</v>
      </c>
      <c r="AC128" s="668">
        <f t="shared" si="37"/>
        <v>0</v>
      </c>
      <c r="AD128" s="668">
        <f t="shared" si="28"/>
        <v>0</v>
      </c>
      <c r="AE128" s="668">
        <f t="shared" si="29"/>
        <v>0</v>
      </c>
      <c r="AF128" s="668">
        <f t="shared" si="24"/>
        <v>0</v>
      </c>
      <c r="AG128" s="668">
        <f t="shared" si="30"/>
        <v>0</v>
      </c>
      <c r="AH128" s="668"/>
      <c r="AI128" s="668"/>
      <c r="AJ128" s="668"/>
      <c r="AK128" s="668"/>
      <c r="AL128" s="668"/>
      <c r="AM128" s="668">
        <f t="shared" si="38"/>
        <v>0</v>
      </c>
      <c r="AN128" s="668">
        <f t="shared" si="32"/>
        <v>0</v>
      </c>
      <c r="AO128" s="668">
        <f t="shared" si="33"/>
        <v>0</v>
      </c>
      <c r="AP128" s="668">
        <f t="shared" si="39"/>
        <v>0</v>
      </c>
      <c r="AQ128" s="668">
        <f t="shared" si="35"/>
        <v>0</v>
      </c>
      <c r="AR128" s="668">
        <f t="shared" si="36"/>
        <v>0</v>
      </c>
      <c r="AS128" s="668"/>
      <c r="AT128" s="668"/>
      <c r="AU128" s="668"/>
      <c r="AV128" s="668"/>
      <c r="AW128" s="668"/>
      <c r="AX128" s="668"/>
      <c r="AY128" s="668"/>
      <c r="AZ128" s="668"/>
      <c r="BA128" s="668"/>
      <c r="BB128" s="668">
        <f t="shared" si="40"/>
        <v>0</v>
      </c>
      <c r="BC128" s="668"/>
      <c r="BD128" s="668"/>
      <c r="BE128" s="668"/>
      <c r="BF128" s="668"/>
      <c r="BG128" s="668"/>
      <c r="BH128" s="668"/>
      <c r="BI128" s="668"/>
    </row>
    <row r="129" spans="1:61" x14ac:dyDescent="0.2">
      <c r="A129" s="1012">
        <v>1018</v>
      </c>
      <c r="B129" s="1012" t="s">
        <v>538</v>
      </c>
      <c r="C129" s="1012"/>
      <c r="D129" s="667"/>
      <c r="E129" s="667"/>
      <c r="F129" s="667"/>
      <c r="G129" s="667"/>
      <c r="H129" s="667"/>
      <c r="I129" s="667"/>
      <c r="J129" s="667"/>
      <c r="K129" s="667"/>
      <c r="L129" s="667"/>
      <c r="M129" s="667"/>
      <c r="N129" s="667"/>
      <c r="O129" s="667"/>
      <c r="P129" s="667"/>
      <c r="Q129" s="667"/>
      <c r="R129" s="667"/>
      <c r="S129" s="667"/>
      <c r="T129" s="667"/>
      <c r="U129" s="1012"/>
      <c r="V129" s="668">
        <f t="shared" si="20"/>
        <v>0</v>
      </c>
      <c r="W129" s="668">
        <f t="shared" si="21"/>
        <v>0</v>
      </c>
      <c r="X129" s="668">
        <f t="shared" si="22"/>
        <v>0</v>
      </c>
      <c r="Y129" s="668">
        <f t="shared" si="23"/>
        <v>0</v>
      </c>
      <c r="Z129" s="668">
        <f t="shared" si="25"/>
        <v>0</v>
      </c>
      <c r="AA129" s="668">
        <f t="shared" si="26"/>
        <v>0</v>
      </c>
      <c r="AB129" s="668">
        <f t="shared" si="27"/>
        <v>0</v>
      </c>
      <c r="AC129" s="668">
        <f t="shared" si="37"/>
        <v>0</v>
      </c>
      <c r="AD129" s="668">
        <f t="shared" si="28"/>
        <v>0</v>
      </c>
      <c r="AE129" s="668">
        <f t="shared" si="29"/>
        <v>0</v>
      </c>
      <c r="AF129" s="668">
        <f t="shared" si="24"/>
        <v>0</v>
      </c>
      <c r="AG129" s="668">
        <f t="shared" si="30"/>
        <v>0</v>
      </c>
      <c r="AH129" s="668"/>
      <c r="AI129" s="668"/>
      <c r="AJ129" s="668"/>
      <c r="AK129" s="668"/>
      <c r="AL129" s="668"/>
      <c r="AM129" s="668">
        <f t="shared" si="38"/>
        <v>0</v>
      </c>
      <c r="AN129" s="668">
        <f t="shared" si="32"/>
        <v>0</v>
      </c>
      <c r="AO129" s="668">
        <f t="shared" si="33"/>
        <v>0</v>
      </c>
      <c r="AP129" s="668">
        <f t="shared" si="39"/>
        <v>0</v>
      </c>
      <c r="AQ129" s="668">
        <f t="shared" si="35"/>
        <v>0</v>
      </c>
      <c r="AR129" s="668">
        <f t="shared" si="36"/>
        <v>0</v>
      </c>
      <c r="AS129" s="668"/>
      <c r="AT129" s="668"/>
      <c r="AU129" s="668"/>
      <c r="AV129" s="668"/>
      <c r="AW129" s="668"/>
      <c r="AX129" s="668"/>
      <c r="AY129" s="668"/>
      <c r="AZ129" s="668"/>
      <c r="BA129" s="668"/>
      <c r="BB129" s="668">
        <f t="shared" si="40"/>
        <v>0</v>
      </c>
      <c r="BC129" s="668"/>
      <c r="BD129" s="668"/>
      <c r="BE129" s="668"/>
      <c r="BF129" s="668"/>
      <c r="BG129" s="668"/>
      <c r="BH129" s="668"/>
      <c r="BI129" s="668"/>
    </row>
    <row r="130" spans="1:61" x14ac:dyDescent="0.2">
      <c r="A130" s="1012">
        <v>1019</v>
      </c>
      <c r="B130" s="1012" t="s">
        <v>539</v>
      </c>
      <c r="C130" s="1012"/>
      <c r="D130" s="667">
        <v>106</v>
      </c>
      <c r="E130" s="667"/>
      <c r="F130" s="667"/>
      <c r="G130" s="667"/>
      <c r="H130" s="667"/>
      <c r="I130" s="667">
        <v>372</v>
      </c>
      <c r="J130" s="667"/>
      <c r="K130" s="667"/>
      <c r="L130" s="667"/>
      <c r="M130" s="667"/>
      <c r="N130" s="667"/>
      <c r="O130" s="667"/>
      <c r="P130" s="667"/>
      <c r="Q130" s="667"/>
      <c r="R130" s="667"/>
      <c r="S130" s="667"/>
      <c r="T130" s="667"/>
      <c r="U130" s="1012">
        <v>5</v>
      </c>
      <c r="V130" s="668">
        <f t="shared" si="20"/>
        <v>530</v>
      </c>
      <c r="W130" s="668">
        <f t="shared" si="21"/>
        <v>0</v>
      </c>
      <c r="X130" s="668">
        <f t="shared" si="22"/>
        <v>0</v>
      </c>
      <c r="Y130" s="668">
        <f t="shared" si="23"/>
        <v>0</v>
      </c>
      <c r="Z130" s="668">
        <f t="shared" si="25"/>
        <v>0</v>
      </c>
      <c r="AA130" s="668">
        <f t="shared" si="26"/>
        <v>0</v>
      </c>
      <c r="AB130" s="668">
        <f t="shared" si="27"/>
        <v>0</v>
      </c>
      <c r="AC130" s="668">
        <f t="shared" si="37"/>
        <v>0</v>
      </c>
      <c r="AD130" s="668">
        <f t="shared" si="28"/>
        <v>0</v>
      </c>
      <c r="AE130" s="668">
        <f t="shared" si="29"/>
        <v>0</v>
      </c>
      <c r="AF130" s="668">
        <f t="shared" si="24"/>
        <v>0</v>
      </c>
      <c r="AG130" s="668">
        <f t="shared" si="30"/>
        <v>0</v>
      </c>
      <c r="AH130" s="668"/>
      <c r="AI130" s="668"/>
      <c r="AJ130" s="668"/>
      <c r="AK130" s="668"/>
      <c r="AL130" s="668"/>
      <c r="AM130" s="668">
        <f t="shared" si="38"/>
        <v>372</v>
      </c>
      <c r="AN130" s="668">
        <f t="shared" si="32"/>
        <v>0</v>
      </c>
      <c r="AO130" s="668">
        <f t="shared" si="33"/>
        <v>0</v>
      </c>
      <c r="AP130" s="668">
        <f t="shared" si="39"/>
        <v>0</v>
      </c>
      <c r="AQ130" s="668">
        <f t="shared" si="35"/>
        <v>0</v>
      </c>
      <c r="AR130" s="668">
        <f t="shared" si="36"/>
        <v>0</v>
      </c>
      <c r="AS130" s="668"/>
      <c r="AT130" s="668"/>
      <c r="AU130" s="668"/>
      <c r="AV130" s="668"/>
      <c r="AW130" s="668"/>
      <c r="AX130" s="668"/>
      <c r="AY130" s="668"/>
      <c r="AZ130" s="668"/>
      <c r="BA130" s="668"/>
      <c r="BB130" s="668">
        <f t="shared" si="40"/>
        <v>0</v>
      </c>
      <c r="BC130" s="668"/>
      <c r="BD130" s="668"/>
      <c r="BE130" s="668"/>
      <c r="BF130" s="668"/>
      <c r="BG130" s="668"/>
      <c r="BH130" s="668"/>
      <c r="BI130" s="668"/>
    </row>
    <row r="131" spans="1:61" x14ac:dyDescent="0.2">
      <c r="A131" s="1012">
        <v>1021</v>
      </c>
      <c r="B131" s="1012" t="s">
        <v>514</v>
      </c>
      <c r="C131" s="1012" t="s">
        <v>984</v>
      </c>
      <c r="D131" s="667">
        <v>38</v>
      </c>
      <c r="E131" s="667"/>
      <c r="F131" s="667"/>
      <c r="G131" s="667"/>
      <c r="H131" s="667"/>
      <c r="I131" s="667"/>
      <c r="J131" s="667"/>
      <c r="K131" s="667"/>
      <c r="L131" s="667"/>
      <c r="M131" s="667"/>
      <c r="N131" s="667"/>
      <c r="O131" s="667"/>
      <c r="P131" s="667"/>
      <c r="Q131" s="667"/>
      <c r="R131" s="667"/>
      <c r="S131" s="667"/>
      <c r="T131" s="667"/>
      <c r="U131" s="1012">
        <v>25</v>
      </c>
      <c r="V131" s="668">
        <f t="shared" si="20"/>
        <v>950</v>
      </c>
      <c r="W131" s="668">
        <f t="shared" si="21"/>
        <v>0</v>
      </c>
      <c r="X131" s="668">
        <f t="shared" si="22"/>
        <v>0</v>
      </c>
      <c r="Y131" s="668">
        <f t="shared" si="23"/>
        <v>0</v>
      </c>
      <c r="Z131" s="668">
        <f t="shared" si="25"/>
        <v>950</v>
      </c>
      <c r="AA131" s="668">
        <f t="shared" si="26"/>
        <v>0</v>
      </c>
      <c r="AB131" s="668">
        <f t="shared" si="27"/>
        <v>0</v>
      </c>
      <c r="AC131" s="668">
        <f t="shared" si="37"/>
        <v>0</v>
      </c>
      <c r="AD131" s="668">
        <f t="shared" si="28"/>
        <v>0</v>
      </c>
      <c r="AE131" s="668">
        <f t="shared" si="29"/>
        <v>0</v>
      </c>
      <c r="AF131" s="668">
        <f t="shared" si="24"/>
        <v>0</v>
      </c>
      <c r="AG131" s="668">
        <f t="shared" si="30"/>
        <v>0</v>
      </c>
      <c r="AH131" s="668"/>
      <c r="AI131" s="668"/>
      <c r="AJ131" s="668"/>
      <c r="AK131" s="668"/>
      <c r="AL131" s="668"/>
      <c r="AM131" s="668">
        <f t="shared" si="38"/>
        <v>0</v>
      </c>
      <c r="AN131" s="668">
        <f t="shared" si="32"/>
        <v>0</v>
      </c>
      <c r="AO131" s="668">
        <f t="shared" si="33"/>
        <v>0</v>
      </c>
      <c r="AP131" s="668">
        <f t="shared" si="39"/>
        <v>0</v>
      </c>
      <c r="AQ131" s="668">
        <f t="shared" si="35"/>
        <v>0</v>
      </c>
      <c r="AR131" s="668">
        <f t="shared" si="36"/>
        <v>0</v>
      </c>
      <c r="AS131" s="668"/>
      <c r="AT131" s="668"/>
      <c r="AU131" s="668"/>
      <c r="AV131" s="668"/>
      <c r="AW131" s="668"/>
      <c r="AX131" s="668"/>
      <c r="AY131" s="668"/>
      <c r="AZ131" s="668"/>
      <c r="BA131" s="668"/>
      <c r="BB131" s="668">
        <f t="shared" si="40"/>
        <v>0</v>
      </c>
      <c r="BC131" s="668"/>
      <c r="BD131" s="668"/>
      <c r="BE131" s="668"/>
      <c r="BF131" s="668"/>
      <c r="BG131" s="668"/>
      <c r="BH131" s="668"/>
      <c r="BI131" s="668"/>
    </row>
    <row r="132" spans="1:61" x14ac:dyDescent="0.2">
      <c r="A132" s="1012">
        <v>1040</v>
      </c>
      <c r="B132" s="1012" t="s">
        <v>540</v>
      </c>
      <c r="C132" s="1012"/>
      <c r="D132" s="667"/>
      <c r="E132" s="667"/>
      <c r="F132" s="667"/>
      <c r="G132" s="667"/>
      <c r="H132" s="667"/>
      <c r="I132" s="667"/>
      <c r="J132" s="667"/>
      <c r="K132" s="667"/>
      <c r="L132" s="667"/>
      <c r="M132" s="667"/>
      <c r="N132" s="667"/>
      <c r="O132" s="667"/>
      <c r="P132" s="667"/>
      <c r="Q132" s="1014"/>
      <c r="R132" s="667"/>
      <c r="S132" s="667"/>
      <c r="T132" s="667"/>
      <c r="U132" s="1012"/>
      <c r="V132" s="668">
        <f t="shared" si="20"/>
        <v>0</v>
      </c>
      <c r="W132" s="668">
        <f t="shared" si="21"/>
        <v>0</v>
      </c>
      <c r="X132" s="668">
        <f t="shared" si="22"/>
        <v>0</v>
      </c>
      <c r="Y132" s="668">
        <f t="shared" si="23"/>
        <v>0</v>
      </c>
      <c r="Z132" s="668">
        <f t="shared" si="25"/>
        <v>0</v>
      </c>
      <c r="AA132" s="668">
        <f t="shared" si="26"/>
        <v>0</v>
      </c>
      <c r="AB132" s="668">
        <f t="shared" si="27"/>
        <v>0</v>
      </c>
      <c r="AC132" s="668">
        <f t="shared" si="37"/>
        <v>0</v>
      </c>
      <c r="AD132" s="668">
        <f t="shared" si="28"/>
        <v>0</v>
      </c>
      <c r="AE132" s="668">
        <f t="shared" si="29"/>
        <v>0</v>
      </c>
      <c r="AF132" s="668">
        <f t="shared" si="24"/>
        <v>0</v>
      </c>
      <c r="AG132" s="668">
        <f t="shared" si="30"/>
        <v>0</v>
      </c>
      <c r="AH132" s="668"/>
      <c r="AI132" s="668"/>
      <c r="AJ132" s="668"/>
      <c r="AK132" s="668"/>
      <c r="AL132" s="668"/>
      <c r="AM132" s="668">
        <f t="shared" si="38"/>
        <v>0</v>
      </c>
      <c r="AN132" s="668">
        <f t="shared" si="32"/>
        <v>0</v>
      </c>
      <c r="AO132" s="668">
        <f t="shared" si="33"/>
        <v>0</v>
      </c>
      <c r="AP132" s="668">
        <f t="shared" si="39"/>
        <v>0</v>
      </c>
      <c r="AQ132" s="668">
        <f t="shared" si="35"/>
        <v>0</v>
      </c>
      <c r="AR132" s="668">
        <f t="shared" si="36"/>
        <v>0</v>
      </c>
      <c r="AS132" s="668"/>
      <c r="AT132" s="668"/>
      <c r="AU132" s="668"/>
      <c r="AV132" s="668"/>
      <c r="AW132" s="668"/>
      <c r="AX132" s="668"/>
      <c r="AY132" s="668"/>
      <c r="AZ132" s="668"/>
      <c r="BA132" s="668"/>
      <c r="BB132" s="668">
        <f t="shared" si="40"/>
        <v>0</v>
      </c>
      <c r="BC132" s="668"/>
      <c r="BD132" s="668"/>
      <c r="BE132" s="668"/>
      <c r="BF132" s="668"/>
      <c r="BG132" s="668"/>
      <c r="BH132" s="668"/>
      <c r="BI132" s="668"/>
    </row>
    <row r="133" spans="1:61" x14ac:dyDescent="0.2">
      <c r="A133" s="1012">
        <v>1070</v>
      </c>
      <c r="B133" s="1012" t="s">
        <v>541</v>
      </c>
      <c r="C133" s="1012"/>
      <c r="D133" s="667"/>
      <c r="E133" s="667"/>
      <c r="F133" s="667"/>
      <c r="G133" s="667"/>
      <c r="H133" s="667"/>
      <c r="I133" s="667"/>
      <c r="J133" s="667"/>
      <c r="K133" s="667"/>
      <c r="L133" s="667"/>
      <c r="M133" s="667"/>
      <c r="N133" s="667"/>
      <c r="O133" s="667"/>
      <c r="P133" s="667"/>
      <c r="Q133" s="1014"/>
      <c r="R133" s="667"/>
      <c r="S133" s="667"/>
      <c r="T133" s="667"/>
      <c r="U133" s="1012"/>
      <c r="V133" s="668">
        <f t="shared" si="20"/>
        <v>0</v>
      </c>
      <c r="W133" s="668">
        <f t="shared" si="21"/>
        <v>0</v>
      </c>
      <c r="X133" s="668">
        <f t="shared" si="22"/>
        <v>0</v>
      </c>
      <c r="Y133" s="668">
        <f t="shared" si="23"/>
        <v>0</v>
      </c>
      <c r="Z133" s="668">
        <f t="shared" si="25"/>
        <v>0</v>
      </c>
      <c r="AA133" s="668">
        <f t="shared" si="26"/>
        <v>0</v>
      </c>
      <c r="AB133" s="668">
        <f t="shared" si="27"/>
        <v>0</v>
      </c>
      <c r="AC133" s="668">
        <f t="shared" si="37"/>
        <v>0</v>
      </c>
      <c r="AD133" s="668">
        <f t="shared" si="28"/>
        <v>0</v>
      </c>
      <c r="AE133" s="668">
        <f t="shared" si="29"/>
        <v>0</v>
      </c>
      <c r="AF133" s="668">
        <f t="shared" si="24"/>
        <v>0</v>
      </c>
      <c r="AG133" s="668">
        <f t="shared" si="30"/>
        <v>0</v>
      </c>
      <c r="AH133" s="668"/>
      <c r="AI133" s="668"/>
      <c r="AJ133" s="668"/>
      <c r="AK133" s="668"/>
      <c r="AL133" s="668"/>
      <c r="AM133" s="668">
        <f t="shared" si="38"/>
        <v>0</v>
      </c>
      <c r="AN133" s="668">
        <f t="shared" si="32"/>
        <v>0</v>
      </c>
      <c r="AO133" s="668">
        <f t="shared" si="33"/>
        <v>0</v>
      </c>
      <c r="AP133" s="668">
        <f t="shared" si="39"/>
        <v>0</v>
      </c>
      <c r="AQ133" s="668">
        <f t="shared" si="35"/>
        <v>0</v>
      </c>
      <c r="AR133" s="668">
        <f t="shared" si="36"/>
        <v>0</v>
      </c>
      <c r="AS133" s="668"/>
      <c r="AT133" s="668"/>
      <c r="AU133" s="668"/>
      <c r="AV133" s="668"/>
      <c r="AW133" s="668"/>
      <c r="AX133" s="668"/>
      <c r="AY133" s="668"/>
      <c r="AZ133" s="668"/>
      <c r="BA133" s="668"/>
      <c r="BB133" s="668">
        <f t="shared" si="40"/>
        <v>0</v>
      </c>
      <c r="BC133" s="668"/>
      <c r="BD133" s="668"/>
      <c r="BE133" s="668"/>
      <c r="BF133" s="668"/>
      <c r="BG133" s="668"/>
      <c r="BH133" s="668"/>
      <c r="BI133" s="668"/>
    </row>
    <row r="134" spans="1:61" x14ac:dyDescent="0.2">
      <c r="A134" s="1012">
        <v>1100</v>
      </c>
      <c r="B134" s="1012" t="s">
        <v>513</v>
      </c>
      <c r="C134" s="1012"/>
      <c r="D134" s="667"/>
      <c r="E134" s="667"/>
      <c r="F134" s="667"/>
      <c r="G134" s="667"/>
      <c r="H134" s="667"/>
      <c r="I134" s="667"/>
      <c r="J134" s="667"/>
      <c r="K134" s="667"/>
      <c r="L134" s="667"/>
      <c r="M134" s="667"/>
      <c r="N134" s="667"/>
      <c r="O134" s="667"/>
      <c r="P134" s="667"/>
      <c r="Q134" s="667"/>
      <c r="R134" s="667"/>
      <c r="S134" s="667"/>
      <c r="T134" s="667"/>
      <c r="U134" s="1012"/>
      <c r="V134" s="668">
        <f t="shared" si="20"/>
        <v>0</v>
      </c>
      <c r="W134" s="668">
        <f t="shared" si="21"/>
        <v>0</v>
      </c>
      <c r="X134" s="668">
        <f t="shared" si="22"/>
        <v>0</v>
      </c>
      <c r="Y134" s="668">
        <f t="shared" si="23"/>
        <v>0</v>
      </c>
      <c r="Z134" s="668">
        <f t="shared" si="25"/>
        <v>0</v>
      </c>
      <c r="AA134" s="668">
        <f t="shared" si="26"/>
        <v>0</v>
      </c>
      <c r="AB134" s="668">
        <f t="shared" si="27"/>
        <v>0</v>
      </c>
      <c r="AC134" s="668">
        <f t="shared" si="37"/>
        <v>0</v>
      </c>
      <c r="AD134" s="668">
        <f t="shared" si="28"/>
        <v>0</v>
      </c>
      <c r="AE134" s="668">
        <f t="shared" si="29"/>
        <v>0</v>
      </c>
      <c r="AF134" s="668">
        <f t="shared" si="24"/>
        <v>0</v>
      </c>
      <c r="AG134" s="668">
        <f t="shared" si="30"/>
        <v>0</v>
      </c>
      <c r="AH134" s="668"/>
      <c r="AI134" s="668"/>
      <c r="AJ134" s="668"/>
      <c r="AK134" s="668"/>
      <c r="AL134" s="668"/>
      <c r="AM134" s="668">
        <f t="shared" si="38"/>
        <v>0</v>
      </c>
      <c r="AN134" s="668">
        <f t="shared" si="32"/>
        <v>0</v>
      </c>
      <c r="AO134" s="668">
        <f t="shared" si="33"/>
        <v>0</v>
      </c>
      <c r="AP134" s="668">
        <f t="shared" si="39"/>
        <v>0</v>
      </c>
      <c r="AQ134" s="668">
        <f t="shared" si="35"/>
        <v>0</v>
      </c>
      <c r="AR134" s="668">
        <f t="shared" si="36"/>
        <v>0</v>
      </c>
      <c r="AS134" s="668"/>
      <c r="AT134" s="668"/>
      <c r="AU134" s="668"/>
      <c r="AV134" s="668"/>
      <c r="AW134" s="668"/>
      <c r="AX134" s="668"/>
      <c r="AY134" s="668"/>
      <c r="AZ134" s="668"/>
      <c r="BA134" s="668"/>
      <c r="BB134" s="668">
        <f t="shared" si="40"/>
        <v>0</v>
      </c>
      <c r="BC134" s="668"/>
      <c r="BD134" s="668"/>
      <c r="BE134" s="668"/>
      <c r="BF134" s="668"/>
      <c r="BG134" s="668"/>
      <c r="BH134" s="668"/>
      <c r="BI134" s="668"/>
    </row>
    <row r="135" spans="1:61" x14ac:dyDescent="0.2">
      <c r="A135" s="1012">
        <v>1101</v>
      </c>
      <c r="B135" s="1012" t="s">
        <v>542</v>
      </c>
      <c r="C135" s="1012" t="s">
        <v>984</v>
      </c>
      <c r="D135" s="667"/>
      <c r="E135" s="667"/>
      <c r="F135" s="667"/>
      <c r="G135" s="667"/>
      <c r="H135" s="667"/>
      <c r="I135" s="667"/>
      <c r="J135" s="667"/>
      <c r="K135" s="667"/>
      <c r="L135" s="667"/>
      <c r="M135" s="667"/>
      <c r="N135" s="667"/>
      <c r="O135" s="667">
        <v>8</v>
      </c>
      <c r="P135" s="667">
        <v>12</v>
      </c>
      <c r="Q135" s="667"/>
      <c r="R135" s="667"/>
      <c r="S135" s="667"/>
      <c r="T135" s="667"/>
      <c r="U135" s="1012">
        <v>30</v>
      </c>
      <c r="V135" s="668">
        <f t="shared" si="20"/>
        <v>0</v>
      </c>
      <c r="W135" s="668">
        <f t="shared" si="21"/>
        <v>0</v>
      </c>
      <c r="X135" s="668">
        <f t="shared" si="22"/>
        <v>0</v>
      </c>
      <c r="Y135" s="668">
        <f t="shared" si="23"/>
        <v>0</v>
      </c>
      <c r="Z135" s="668">
        <f t="shared" si="25"/>
        <v>0</v>
      </c>
      <c r="AA135" s="668">
        <f t="shared" si="26"/>
        <v>0</v>
      </c>
      <c r="AB135" s="668">
        <f t="shared" si="27"/>
        <v>0</v>
      </c>
      <c r="AC135" s="668">
        <f t="shared" si="37"/>
        <v>360</v>
      </c>
      <c r="AD135" s="668">
        <f t="shared" si="28"/>
        <v>0</v>
      </c>
      <c r="AE135" s="668">
        <f t="shared" si="29"/>
        <v>0</v>
      </c>
      <c r="AF135" s="668">
        <f t="shared" si="24"/>
        <v>0</v>
      </c>
      <c r="AG135" s="668">
        <f t="shared" si="30"/>
        <v>0</v>
      </c>
      <c r="AH135" s="668"/>
      <c r="AI135" s="668"/>
      <c r="AJ135" s="668"/>
      <c r="AK135" s="668"/>
      <c r="AL135" s="668"/>
      <c r="AM135" s="668">
        <f t="shared" si="38"/>
        <v>0</v>
      </c>
      <c r="AN135" s="668">
        <f t="shared" si="32"/>
        <v>0</v>
      </c>
      <c r="AO135" s="668">
        <f t="shared" si="33"/>
        <v>240</v>
      </c>
      <c r="AP135" s="668">
        <f t="shared" si="39"/>
        <v>0</v>
      </c>
      <c r="AQ135" s="668">
        <f t="shared" si="35"/>
        <v>0</v>
      </c>
      <c r="AR135" s="668">
        <f t="shared" si="36"/>
        <v>0</v>
      </c>
      <c r="AS135" s="668"/>
      <c r="AT135" s="668"/>
      <c r="AU135" s="668"/>
      <c r="AV135" s="668"/>
      <c r="AW135" s="668"/>
      <c r="AX135" s="668"/>
      <c r="AY135" s="668"/>
      <c r="AZ135" s="668"/>
      <c r="BA135" s="668"/>
      <c r="BB135" s="668">
        <f t="shared" si="40"/>
        <v>0</v>
      </c>
      <c r="BC135" s="668"/>
      <c r="BD135" s="668"/>
      <c r="BE135" s="668"/>
      <c r="BF135" s="668"/>
      <c r="BG135" s="668"/>
      <c r="BH135" s="668"/>
      <c r="BI135" s="668"/>
    </row>
    <row r="136" spans="1:61" x14ac:dyDescent="0.2">
      <c r="A136" s="1012">
        <v>1102</v>
      </c>
      <c r="B136" s="1012" t="s">
        <v>543</v>
      </c>
      <c r="C136" s="1012"/>
      <c r="D136" s="667"/>
      <c r="E136" s="667"/>
      <c r="F136" s="667"/>
      <c r="G136" s="667"/>
      <c r="H136" s="667"/>
      <c r="I136" s="667"/>
      <c r="J136" s="667"/>
      <c r="K136" s="667"/>
      <c r="L136" s="667"/>
      <c r="M136" s="667"/>
      <c r="N136" s="667"/>
      <c r="O136" s="667"/>
      <c r="P136" s="667"/>
      <c r="Q136" s="667"/>
      <c r="R136" s="667"/>
      <c r="S136" s="667"/>
      <c r="T136" s="667"/>
      <c r="U136" s="1012"/>
      <c r="V136" s="668">
        <f t="shared" si="20"/>
        <v>0</v>
      </c>
      <c r="W136" s="668">
        <f t="shared" si="21"/>
        <v>0</v>
      </c>
      <c r="X136" s="668">
        <f t="shared" si="22"/>
        <v>0</v>
      </c>
      <c r="Y136" s="668">
        <f t="shared" si="23"/>
        <v>0</v>
      </c>
      <c r="Z136" s="668">
        <f t="shared" si="25"/>
        <v>0</v>
      </c>
      <c r="AA136" s="668">
        <f t="shared" si="26"/>
        <v>0</v>
      </c>
      <c r="AB136" s="668">
        <f t="shared" si="27"/>
        <v>0</v>
      </c>
      <c r="AC136" s="668">
        <f t="shared" si="37"/>
        <v>0</v>
      </c>
      <c r="AD136" s="668">
        <f t="shared" si="28"/>
        <v>0</v>
      </c>
      <c r="AE136" s="668">
        <f t="shared" si="29"/>
        <v>0</v>
      </c>
      <c r="AF136" s="668">
        <f t="shared" si="24"/>
        <v>0</v>
      </c>
      <c r="AG136" s="668">
        <f t="shared" si="30"/>
        <v>0</v>
      </c>
      <c r="AH136" s="668"/>
      <c r="AI136" s="668"/>
      <c r="AJ136" s="668"/>
      <c r="AK136" s="668"/>
      <c r="AL136" s="668"/>
      <c r="AM136" s="668">
        <f t="shared" si="38"/>
        <v>0</v>
      </c>
      <c r="AN136" s="668">
        <f t="shared" ref="AN136:AN199" si="41">+U136*E136</f>
        <v>0</v>
      </c>
      <c r="AO136" s="668">
        <f t="shared" ref="AO136:AO199" si="42">+U136*O136</f>
        <v>0</v>
      </c>
      <c r="AP136" s="668">
        <f t="shared" si="39"/>
        <v>0</v>
      </c>
      <c r="AQ136" s="668">
        <f t="shared" ref="AQ136:AQ199" si="43">+$AQ$4*K136</f>
        <v>0</v>
      </c>
      <c r="AR136" s="668">
        <f t="shared" ref="AR136:AR199" si="44">+$AR$4*K136</f>
        <v>0</v>
      </c>
      <c r="AS136" s="668"/>
      <c r="AT136" s="668"/>
      <c r="AU136" s="668"/>
      <c r="AV136" s="668"/>
      <c r="AW136" s="668"/>
      <c r="AX136" s="668"/>
      <c r="AY136" s="668"/>
      <c r="AZ136" s="668"/>
      <c r="BA136" s="668"/>
      <c r="BB136" s="668">
        <f t="shared" si="40"/>
        <v>0</v>
      </c>
      <c r="BC136" s="668"/>
      <c r="BD136" s="668"/>
      <c r="BE136" s="668"/>
      <c r="BF136" s="668"/>
      <c r="BG136" s="668"/>
      <c r="BH136" s="668"/>
      <c r="BI136" s="668"/>
    </row>
    <row r="137" spans="1:61" x14ac:dyDescent="0.2">
      <c r="A137" s="1012">
        <v>1103</v>
      </c>
      <c r="B137" s="1012" t="s">
        <v>533</v>
      </c>
      <c r="C137" s="1012" t="s">
        <v>984</v>
      </c>
      <c r="D137" s="667">
        <v>21</v>
      </c>
      <c r="E137" s="667"/>
      <c r="F137" s="667"/>
      <c r="G137" s="667"/>
      <c r="H137" s="667"/>
      <c r="I137" s="667"/>
      <c r="J137" s="667"/>
      <c r="K137" s="667"/>
      <c r="L137" s="667"/>
      <c r="M137" s="667"/>
      <c r="N137" s="667"/>
      <c r="O137" s="667"/>
      <c r="P137" s="667"/>
      <c r="Q137" s="667"/>
      <c r="R137" s="667"/>
      <c r="S137" s="667"/>
      <c r="T137" s="667"/>
      <c r="U137" s="1012">
        <v>12</v>
      </c>
      <c r="V137" s="668">
        <f t="shared" si="20"/>
        <v>252</v>
      </c>
      <c r="W137" s="668">
        <f t="shared" si="21"/>
        <v>0</v>
      </c>
      <c r="X137" s="668">
        <f t="shared" si="22"/>
        <v>0</v>
      </c>
      <c r="Y137" s="668">
        <f t="shared" si="23"/>
        <v>0</v>
      </c>
      <c r="Z137" s="668">
        <f t="shared" si="25"/>
        <v>252</v>
      </c>
      <c r="AA137" s="668">
        <f t="shared" si="26"/>
        <v>0</v>
      </c>
      <c r="AB137" s="668">
        <f t="shared" si="27"/>
        <v>0</v>
      </c>
      <c r="AC137" s="668">
        <f t="shared" si="37"/>
        <v>0</v>
      </c>
      <c r="AD137" s="668">
        <f t="shared" si="28"/>
        <v>0</v>
      </c>
      <c r="AE137" s="668">
        <f t="shared" si="29"/>
        <v>0</v>
      </c>
      <c r="AF137" s="668">
        <f t="shared" si="24"/>
        <v>0</v>
      </c>
      <c r="AG137" s="668">
        <f t="shared" si="30"/>
        <v>0</v>
      </c>
      <c r="AH137" s="668"/>
      <c r="AI137" s="668"/>
      <c r="AJ137" s="668"/>
      <c r="AK137" s="668"/>
      <c r="AL137" s="668"/>
      <c r="AM137" s="668">
        <f t="shared" si="38"/>
        <v>0</v>
      </c>
      <c r="AN137" s="668">
        <f t="shared" si="41"/>
        <v>0</v>
      </c>
      <c r="AO137" s="668">
        <f t="shared" si="42"/>
        <v>0</v>
      </c>
      <c r="AP137" s="668">
        <f t="shared" si="39"/>
        <v>0</v>
      </c>
      <c r="AQ137" s="668">
        <f t="shared" si="43"/>
        <v>0</v>
      </c>
      <c r="AR137" s="668">
        <f t="shared" si="44"/>
        <v>0</v>
      </c>
      <c r="AS137" s="668"/>
      <c r="AT137" s="668"/>
      <c r="AU137" s="668"/>
      <c r="AV137" s="668"/>
      <c r="AW137" s="668"/>
      <c r="AX137" s="668"/>
      <c r="AY137" s="668"/>
      <c r="AZ137" s="668"/>
      <c r="BA137" s="668"/>
      <c r="BB137" s="668">
        <f t="shared" si="40"/>
        <v>0</v>
      </c>
      <c r="BC137" s="668"/>
      <c r="BD137" s="668"/>
      <c r="BE137" s="668"/>
      <c r="BF137" s="668"/>
      <c r="BG137" s="668"/>
      <c r="BH137" s="668"/>
      <c r="BI137" s="668"/>
    </row>
    <row r="138" spans="1:61" x14ac:dyDescent="0.2">
      <c r="A138" s="1012">
        <v>1104</v>
      </c>
      <c r="B138" s="1012" t="s">
        <v>544</v>
      </c>
      <c r="C138" s="1012"/>
      <c r="D138" s="667">
        <v>82</v>
      </c>
      <c r="E138" s="667"/>
      <c r="F138" s="667"/>
      <c r="G138" s="667"/>
      <c r="H138" s="667"/>
      <c r="I138" s="667"/>
      <c r="J138" s="667"/>
      <c r="K138" s="667"/>
      <c r="L138" s="667"/>
      <c r="M138" s="667"/>
      <c r="N138" s="667"/>
      <c r="O138" s="667"/>
      <c r="P138" s="667"/>
      <c r="Q138" s="667"/>
      <c r="R138" s="667"/>
      <c r="S138" s="667"/>
      <c r="T138" s="667"/>
      <c r="U138" s="1012">
        <v>3</v>
      </c>
      <c r="V138" s="668">
        <f t="shared" si="20"/>
        <v>246</v>
      </c>
      <c r="W138" s="668">
        <f t="shared" si="21"/>
        <v>0</v>
      </c>
      <c r="X138" s="668">
        <f t="shared" si="22"/>
        <v>0</v>
      </c>
      <c r="Y138" s="668">
        <f t="shared" si="23"/>
        <v>0</v>
      </c>
      <c r="Z138" s="668">
        <f t="shared" si="25"/>
        <v>0</v>
      </c>
      <c r="AA138" s="668">
        <f t="shared" si="26"/>
        <v>0</v>
      </c>
      <c r="AB138" s="668">
        <f t="shared" si="27"/>
        <v>0</v>
      </c>
      <c r="AC138" s="668">
        <f t="shared" ref="AC138:AC201" si="45">+U138*P138</f>
        <v>0</v>
      </c>
      <c r="AD138" s="668">
        <f t="shared" si="28"/>
        <v>0</v>
      </c>
      <c r="AE138" s="668">
        <f t="shared" si="29"/>
        <v>0</v>
      </c>
      <c r="AF138" s="668">
        <f t="shared" si="24"/>
        <v>0</v>
      </c>
      <c r="AG138" s="668">
        <f t="shared" si="30"/>
        <v>0</v>
      </c>
      <c r="AH138" s="668"/>
      <c r="AI138" s="668"/>
      <c r="AJ138" s="668"/>
      <c r="AK138" s="668"/>
      <c r="AL138" s="668"/>
      <c r="AM138" s="668">
        <f t="shared" si="38"/>
        <v>0</v>
      </c>
      <c r="AN138" s="668">
        <f t="shared" si="41"/>
        <v>0</v>
      </c>
      <c r="AO138" s="668">
        <f t="shared" si="42"/>
        <v>0</v>
      </c>
      <c r="AP138" s="668">
        <f t="shared" si="39"/>
        <v>0</v>
      </c>
      <c r="AQ138" s="668">
        <f t="shared" si="43"/>
        <v>0</v>
      </c>
      <c r="AR138" s="668">
        <f t="shared" si="44"/>
        <v>0</v>
      </c>
      <c r="AS138" s="668"/>
      <c r="AT138" s="668"/>
      <c r="AU138" s="668"/>
      <c r="AV138" s="668"/>
      <c r="AW138" s="668"/>
      <c r="AX138" s="668"/>
      <c r="AY138" s="668"/>
      <c r="AZ138" s="668"/>
      <c r="BA138" s="668"/>
      <c r="BB138" s="668">
        <f t="shared" si="40"/>
        <v>0</v>
      </c>
      <c r="BC138" s="668"/>
      <c r="BD138" s="668"/>
      <c r="BE138" s="668"/>
      <c r="BF138" s="668"/>
      <c r="BG138" s="668"/>
      <c r="BH138" s="668"/>
      <c r="BI138" s="668"/>
    </row>
    <row r="139" spans="1:61" x14ac:dyDescent="0.2">
      <c r="A139" s="1012">
        <v>1105</v>
      </c>
      <c r="B139" s="1012" t="s">
        <v>545</v>
      </c>
      <c r="C139" s="1012"/>
      <c r="D139" s="667">
        <v>82</v>
      </c>
      <c r="E139" s="667"/>
      <c r="F139" s="667"/>
      <c r="G139" s="667"/>
      <c r="H139" s="667"/>
      <c r="I139" s="667"/>
      <c r="J139" s="667"/>
      <c r="K139" s="667"/>
      <c r="L139" s="667"/>
      <c r="M139" s="667"/>
      <c r="N139" s="667"/>
      <c r="O139" s="667"/>
      <c r="P139" s="667"/>
      <c r="Q139" s="667"/>
      <c r="R139" s="667"/>
      <c r="S139" s="667"/>
      <c r="T139" s="667"/>
      <c r="U139" s="1012">
        <v>3</v>
      </c>
      <c r="V139" s="668">
        <f t="shared" si="20"/>
        <v>246</v>
      </c>
      <c r="W139" s="668">
        <f t="shared" si="21"/>
        <v>0</v>
      </c>
      <c r="X139" s="668">
        <f t="shared" si="22"/>
        <v>0</v>
      </c>
      <c r="Y139" s="668">
        <f t="shared" si="23"/>
        <v>0</v>
      </c>
      <c r="Z139" s="668">
        <f t="shared" si="25"/>
        <v>0</v>
      </c>
      <c r="AA139" s="668">
        <f t="shared" si="26"/>
        <v>0</v>
      </c>
      <c r="AB139" s="668">
        <f t="shared" si="27"/>
        <v>0</v>
      </c>
      <c r="AC139" s="668">
        <f t="shared" si="45"/>
        <v>0</v>
      </c>
      <c r="AD139" s="668">
        <f t="shared" si="28"/>
        <v>0</v>
      </c>
      <c r="AE139" s="668">
        <f t="shared" si="29"/>
        <v>0</v>
      </c>
      <c r="AF139" s="668">
        <f t="shared" si="24"/>
        <v>0</v>
      </c>
      <c r="AG139" s="668">
        <f t="shared" si="30"/>
        <v>0</v>
      </c>
      <c r="AH139" s="668"/>
      <c r="AI139" s="668"/>
      <c r="AJ139" s="668"/>
      <c r="AK139" s="668"/>
      <c r="AL139" s="668"/>
      <c r="AM139" s="668">
        <f t="shared" si="38"/>
        <v>0</v>
      </c>
      <c r="AN139" s="668">
        <f t="shared" si="41"/>
        <v>0</v>
      </c>
      <c r="AO139" s="668">
        <f t="shared" si="42"/>
        <v>0</v>
      </c>
      <c r="AP139" s="668">
        <f t="shared" si="39"/>
        <v>0</v>
      </c>
      <c r="AQ139" s="668">
        <f t="shared" si="43"/>
        <v>0</v>
      </c>
      <c r="AR139" s="668">
        <f t="shared" si="44"/>
        <v>0</v>
      </c>
      <c r="AS139" s="668"/>
      <c r="AT139" s="668"/>
      <c r="AU139" s="668"/>
      <c r="AV139" s="668"/>
      <c r="AW139" s="668"/>
      <c r="AX139" s="668"/>
      <c r="AY139" s="668"/>
      <c r="AZ139" s="668"/>
      <c r="BA139" s="668"/>
      <c r="BB139" s="668">
        <f t="shared" si="40"/>
        <v>0</v>
      </c>
      <c r="BC139" s="668"/>
      <c r="BD139" s="668"/>
      <c r="BE139" s="668"/>
      <c r="BF139" s="668"/>
      <c r="BG139" s="668"/>
      <c r="BH139" s="668"/>
      <c r="BI139" s="668"/>
    </row>
    <row r="140" spans="1:61" x14ac:dyDescent="0.2">
      <c r="A140" s="1012">
        <v>1106</v>
      </c>
      <c r="B140" s="1012" t="s">
        <v>468</v>
      </c>
      <c r="C140" s="1012"/>
      <c r="D140" s="667">
        <v>33</v>
      </c>
      <c r="E140" s="667"/>
      <c r="F140" s="667"/>
      <c r="G140" s="667"/>
      <c r="H140" s="667"/>
      <c r="I140" s="667"/>
      <c r="J140" s="667"/>
      <c r="K140" s="667"/>
      <c r="L140" s="667"/>
      <c r="M140" s="667"/>
      <c r="N140" s="667"/>
      <c r="O140" s="667"/>
      <c r="P140" s="667"/>
      <c r="Q140" s="1014">
        <v>65</v>
      </c>
      <c r="R140" s="667"/>
      <c r="S140" s="667"/>
      <c r="T140" s="667"/>
      <c r="U140" s="1012">
        <v>13</v>
      </c>
      <c r="V140" s="668">
        <f t="shared" si="20"/>
        <v>429</v>
      </c>
      <c r="W140" s="668">
        <f t="shared" si="21"/>
        <v>0</v>
      </c>
      <c r="X140" s="668">
        <f t="shared" si="22"/>
        <v>0</v>
      </c>
      <c r="Y140" s="668">
        <f t="shared" si="23"/>
        <v>0</v>
      </c>
      <c r="Z140" s="668">
        <f t="shared" si="25"/>
        <v>0</v>
      </c>
      <c r="AA140" s="668">
        <f t="shared" si="26"/>
        <v>0</v>
      </c>
      <c r="AB140" s="668">
        <f t="shared" si="27"/>
        <v>0</v>
      </c>
      <c r="AC140" s="668">
        <f t="shared" si="45"/>
        <v>0</v>
      </c>
      <c r="AD140" s="668">
        <f t="shared" si="28"/>
        <v>65</v>
      </c>
      <c r="AE140" s="668">
        <f t="shared" si="29"/>
        <v>0</v>
      </c>
      <c r="AF140" s="668">
        <f t="shared" si="24"/>
        <v>0</v>
      </c>
      <c r="AG140" s="668">
        <f t="shared" si="30"/>
        <v>0</v>
      </c>
      <c r="AH140" s="668"/>
      <c r="AI140" s="668"/>
      <c r="AJ140" s="668"/>
      <c r="AK140" s="668"/>
      <c r="AL140" s="668"/>
      <c r="AM140" s="668">
        <f t="shared" si="38"/>
        <v>0</v>
      </c>
      <c r="AN140" s="668">
        <f t="shared" si="41"/>
        <v>0</v>
      </c>
      <c r="AO140" s="668">
        <f t="shared" si="42"/>
        <v>0</v>
      </c>
      <c r="AP140" s="668">
        <f t="shared" si="39"/>
        <v>0</v>
      </c>
      <c r="AQ140" s="668">
        <f t="shared" si="43"/>
        <v>0</v>
      </c>
      <c r="AR140" s="668">
        <f t="shared" si="44"/>
        <v>0</v>
      </c>
      <c r="AS140" s="668"/>
      <c r="AT140" s="668"/>
      <c r="AU140" s="668"/>
      <c r="AV140" s="668"/>
      <c r="AW140" s="668"/>
      <c r="AX140" s="668"/>
      <c r="AY140" s="668"/>
      <c r="AZ140" s="668"/>
      <c r="BA140" s="668"/>
      <c r="BB140" s="668">
        <f t="shared" si="40"/>
        <v>0</v>
      </c>
      <c r="BC140" s="668"/>
      <c r="BD140" s="668"/>
      <c r="BE140" s="668"/>
      <c r="BF140" s="668"/>
      <c r="BG140" s="668"/>
      <c r="BH140" s="668"/>
      <c r="BI140" s="668"/>
    </row>
    <row r="141" spans="1:61" x14ac:dyDescent="0.2">
      <c r="A141" s="1012">
        <v>1107</v>
      </c>
      <c r="B141" s="1012" t="s">
        <v>546</v>
      </c>
      <c r="C141" s="1012"/>
      <c r="D141" s="667"/>
      <c r="E141" s="667"/>
      <c r="F141" s="667"/>
      <c r="G141" s="667"/>
      <c r="H141" s="667"/>
      <c r="I141" s="667"/>
      <c r="J141" s="667"/>
      <c r="K141" s="667"/>
      <c r="L141" s="667"/>
      <c r="M141" s="667"/>
      <c r="N141" s="667"/>
      <c r="O141" s="667"/>
      <c r="P141" s="667"/>
      <c r="Q141" s="667"/>
      <c r="R141" s="667"/>
      <c r="S141" s="667"/>
      <c r="T141" s="667"/>
      <c r="U141" s="1012"/>
      <c r="V141" s="668">
        <f t="shared" si="20"/>
        <v>0</v>
      </c>
      <c r="W141" s="668">
        <f t="shared" si="21"/>
        <v>0</v>
      </c>
      <c r="X141" s="668">
        <f t="shared" si="22"/>
        <v>0</v>
      </c>
      <c r="Y141" s="668">
        <f t="shared" si="23"/>
        <v>0</v>
      </c>
      <c r="Z141" s="668">
        <f t="shared" si="25"/>
        <v>0</v>
      </c>
      <c r="AA141" s="668">
        <f t="shared" si="26"/>
        <v>0</v>
      </c>
      <c r="AB141" s="668">
        <f t="shared" si="27"/>
        <v>0</v>
      </c>
      <c r="AC141" s="668">
        <f t="shared" si="45"/>
        <v>0</v>
      </c>
      <c r="AD141" s="668">
        <f t="shared" si="28"/>
        <v>0</v>
      </c>
      <c r="AE141" s="668">
        <f t="shared" si="29"/>
        <v>0</v>
      </c>
      <c r="AF141" s="668">
        <f t="shared" si="24"/>
        <v>0</v>
      </c>
      <c r="AG141" s="668">
        <f t="shared" si="30"/>
        <v>0</v>
      </c>
      <c r="AH141" s="668"/>
      <c r="AI141" s="668"/>
      <c r="AJ141" s="668"/>
      <c r="AK141" s="668"/>
      <c r="AL141" s="668"/>
      <c r="AM141" s="668">
        <f t="shared" si="38"/>
        <v>0</v>
      </c>
      <c r="AN141" s="668">
        <f t="shared" si="41"/>
        <v>0</v>
      </c>
      <c r="AO141" s="668">
        <f t="shared" si="42"/>
        <v>0</v>
      </c>
      <c r="AP141" s="668">
        <f t="shared" si="39"/>
        <v>0</v>
      </c>
      <c r="AQ141" s="668">
        <f t="shared" si="43"/>
        <v>0</v>
      </c>
      <c r="AR141" s="668">
        <f t="shared" si="44"/>
        <v>0</v>
      </c>
      <c r="AS141" s="668"/>
      <c r="AT141" s="668"/>
      <c r="AU141" s="668"/>
      <c r="AV141" s="668"/>
      <c r="AW141" s="668"/>
      <c r="AX141" s="668"/>
      <c r="AY141" s="668"/>
      <c r="AZ141" s="668"/>
      <c r="BA141" s="668"/>
      <c r="BB141" s="668">
        <f t="shared" si="40"/>
        <v>0</v>
      </c>
      <c r="BC141" s="668"/>
      <c r="BD141" s="668"/>
      <c r="BE141" s="668"/>
      <c r="BF141" s="668"/>
      <c r="BG141" s="668"/>
      <c r="BH141" s="668"/>
      <c r="BI141" s="668"/>
    </row>
    <row r="142" spans="1:61" x14ac:dyDescent="0.2">
      <c r="A142" s="1012">
        <v>1108</v>
      </c>
      <c r="B142" s="1012" t="s">
        <v>486</v>
      </c>
      <c r="C142" s="1012"/>
      <c r="D142" s="667">
        <v>53</v>
      </c>
      <c r="E142" s="667"/>
      <c r="F142" s="667"/>
      <c r="G142" s="667"/>
      <c r="H142" s="667"/>
      <c r="I142" s="667"/>
      <c r="J142" s="667"/>
      <c r="K142" s="667"/>
      <c r="L142" s="667"/>
      <c r="M142" s="667"/>
      <c r="N142" s="667"/>
      <c r="O142" s="667"/>
      <c r="P142" s="667">
        <v>16</v>
      </c>
      <c r="Q142" s="1014">
        <v>117</v>
      </c>
      <c r="R142" s="667"/>
      <c r="S142" s="667"/>
      <c r="T142" s="667">
        <v>117</v>
      </c>
      <c r="U142" s="1012">
        <v>17</v>
      </c>
      <c r="V142" s="668">
        <f t="shared" ref="V142:V205" si="46">+U142*D142</f>
        <v>901</v>
      </c>
      <c r="W142" s="668">
        <f t="shared" ref="W142:W205" si="47">+U142*G142</f>
        <v>0</v>
      </c>
      <c r="X142" s="668">
        <f t="shared" ref="X142:X205" si="48">+U142*H142</f>
        <v>0</v>
      </c>
      <c r="Y142" s="668">
        <f t="shared" ref="Y142:Y205" si="49">+U142*J142</f>
        <v>0</v>
      </c>
      <c r="Z142" s="668">
        <f t="shared" si="25"/>
        <v>0</v>
      </c>
      <c r="AA142" s="668">
        <f t="shared" si="26"/>
        <v>0</v>
      </c>
      <c r="AB142" s="668">
        <f t="shared" si="27"/>
        <v>117</v>
      </c>
      <c r="AC142" s="668">
        <f t="shared" si="45"/>
        <v>272</v>
      </c>
      <c r="AD142" s="668">
        <f t="shared" si="28"/>
        <v>117</v>
      </c>
      <c r="AE142" s="668">
        <f t="shared" si="29"/>
        <v>0</v>
      </c>
      <c r="AF142" s="668">
        <f t="shared" ref="AF142:AF205" si="50">+L142*U142</f>
        <v>0</v>
      </c>
      <c r="AG142" s="668">
        <f t="shared" si="30"/>
        <v>0</v>
      </c>
      <c r="AH142" s="668"/>
      <c r="AI142" s="668"/>
      <c r="AJ142" s="668"/>
      <c r="AK142" s="668"/>
      <c r="AL142" s="668"/>
      <c r="AM142" s="668">
        <f t="shared" si="38"/>
        <v>0</v>
      </c>
      <c r="AN142" s="668">
        <f t="shared" si="41"/>
        <v>0</v>
      </c>
      <c r="AO142" s="668">
        <f t="shared" si="42"/>
        <v>0</v>
      </c>
      <c r="AP142" s="668">
        <f t="shared" si="39"/>
        <v>0</v>
      </c>
      <c r="AQ142" s="668">
        <f t="shared" si="43"/>
        <v>0</v>
      </c>
      <c r="AR142" s="668">
        <f t="shared" si="44"/>
        <v>0</v>
      </c>
      <c r="AS142" s="668"/>
      <c r="AT142" s="668"/>
      <c r="AU142" s="668"/>
      <c r="AV142" s="668"/>
      <c r="AW142" s="668"/>
      <c r="AX142" s="668"/>
      <c r="AY142" s="668"/>
      <c r="AZ142" s="668"/>
      <c r="BA142" s="668"/>
      <c r="BB142" s="668">
        <f t="shared" si="40"/>
        <v>0</v>
      </c>
      <c r="BC142" s="668"/>
      <c r="BD142" s="668"/>
      <c r="BE142" s="668"/>
      <c r="BF142" s="668"/>
      <c r="BG142" s="668"/>
      <c r="BH142" s="668"/>
      <c r="BI142" s="668"/>
    </row>
    <row r="143" spans="1:61" x14ac:dyDescent="0.2">
      <c r="A143" s="1012">
        <v>1109</v>
      </c>
      <c r="B143" s="1012" t="s">
        <v>473</v>
      </c>
      <c r="C143" s="1012"/>
      <c r="D143" s="667">
        <v>92</v>
      </c>
      <c r="E143" s="667"/>
      <c r="F143" s="667"/>
      <c r="G143" s="667"/>
      <c r="H143" s="667"/>
      <c r="I143" s="667"/>
      <c r="J143" s="667"/>
      <c r="K143" s="667"/>
      <c r="L143" s="667">
        <v>2</v>
      </c>
      <c r="M143" s="667"/>
      <c r="N143" s="667"/>
      <c r="O143" s="667"/>
      <c r="P143" s="667"/>
      <c r="Q143" s="667"/>
      <c r="R143" s="667"/>
      <c r="S143" s="667"/>
      <c r="T143" s="667"/>
      <c r="U143" s="1012">
        <v>12.5</v>
      </c>
      <c r="V143" s="668">
        <f t="shared" si="46"/>
        <v>1150</v>
      </c>
      <c r="W143" s="668">
        <f t="shared" si="47"/>
        <v>0</v>
      </c>
      <c r="X143" s="668">
        <f t="shared" si="48"/>
        <v>0</v>
      </c>
      <c r="Y143" s="668">
        <f t="shared" si="49"/>
        <v>0</v>
      </c>
      <c r="Z143" s="668">
        <f t="shared" ref="Z143:Z206" si="51">IF(C143="y",V143+W143+X143+Y143,0)</f>
        <v>0</v>
      </c>
      <c r="AA143" s="668">
        <f t="shared" ref="AA143:AA206" si="52">+S143</f>
        <v>0</v>
      </c>
      <c r="AB143" s="668">
        <f t="shared" ref="AB143:AB206" si="53">+T143</f>
        <v>0</v>
      </c>
      <c r="AC143" s="668">
        <f t="shared" si="45"/>
        <v>0</v>
      </c>
      <c r="AD143" s="668">
        <f t="shared" ref="AD143:AD206" si="54">+Q143</f>
        <v>0</v>
      </c>
      <c r="AE143" s="668">
        <f t="shared" ref="AE143:AE206" si="55">+U143*M143</f>
        <v>0</v>
      </c>
      <c r="AF143" s="668">
        <f t="shared" si="50"/>
        <v>25</v>
      </c>
      <c r="AG143" s="668">
        <f t="shared" ref="AG143:AG206" si="56">+$AG$4*N143</f>
        <v>0</v>
      </c>
      <c r="AH143" s="668"/>
      <c r="AI143" s="668"/>
      <c r="AJ143" s="668"/>
      <c r="AK143" s="668"/>
      <c r="AL143" s="668"/>
      <c r="AM143" s="668">
        <f t="shared" si="38"/>
        <v>0</v>
      </c>
      <c r="AN143" s="668">
        <f t="shared" si="41"/>
        <v>0</v>
      </c>
      <c r="AO143" s="668">
        <f t="shared" si="42"/>
        <v>0</v>
      </c>
      <c r="AP143" s="668">
        <f t="shared" si="39"/>
        <v>0</v>
      </c>
      <c r="AQ143" s="668">
        <f t="shared" si="43"/>
        <v>0</v>
      </c>
      <c r="AR143" s="668">
        <f t="shared" si="44"/>
        <v>0</v>
      </c>
      <c r="AS143" s="668"/>
      <c r="AT143" s="668"/>
      <c r="AU143" s="668"/>
      <c r="AV143" s="668"/>
      <c r="AW143" s="668"/>
      <c r="AX143" s="668"/>
      <c r="AY143" s="668"/>
      <c r="AZ143" s="668"/>
      <c r="BA143" s="668"/>
      <c r="BB143" s="668">
        <f t="shared" si="40"/>
        <v>0</v>
      </c>
      <c r="BC143" s="668"/>
      <c r="BD143" s="668"/>
      <c r="BE143" s="668"/>
      <c r="BF143" s="668"/>
      <c r="BG143" s="668"/>
      <c r="BH143" s="668"/>
      <c r="BI143" s="668"/>
    </row>
    <row r="144" spans="1:61" x14ac:dyDescent="0.2">
      <c r="A144" s="1012">
        <v>1110</v>
      </c>
      <c r="B144" s="1012" t="s">
        <v>461</v>
      </c>
      <c r="C144" s="1012"/>
      <c r="D144" s="667">
        <v>36</v>
      </c>
      <c r="E144" s="667"/>
      <c r="F144" s="667"/>
      <c r="G144" s="667"/>
      <c r="H144" s="667"/>
      <c r="I144" s="667"/>
      <c r="J144" s="667"/>
      <c r="K144" s="667"/>
      <c r="L144" s="667"/>
      <c r="M144" s="667"/>
      <c r="N144" s="667"/>
      <c r="O144" s="667"/>
      <c r="P144" s="667"/>
      <c r="Q144" s="667">
        <v>82</v>
      </c>
      <c r="R144" s="667"/>
      <c r="S144" s="667"/>
      <c r="T144" s="667"/>
      <c r="U144" s="1012">
        <v>17</v>
      </c>
      <c r="V144" s="668">
        <f t="shared" si="46"/>
        <v>612</v>
      </c>
      <c r="W144" s="668">
        <f t="shared" si="47"/>
        <v>0</v>
      </c>
      <c r="X144" s="668">
        <f t="shared" si="48"/>
        <v>0</v>
      </c>
      <c r="Y144" s="668">
        <f t="shared" si="49"/>
        <v>0</v>
      </c>
      <c r="Z144" s="668">
        <f t="shared" si="51"/>
        <v>0</v>
      </c>
      <c r="AA144" s="668">
        <f t="shared" si="52"/>
        <v>0</v>
      </c>
      <c r="AB144" s="668">
        <f t="shared" si="53"/>
        <v>0</v>
      </c>
      <c r="AC144" s="668">
        <f t="shared" si="45"/>
        <v>0</v>
      </c>
      <c r="AD144" s="668">
        <f t="shared" si="54"/>
        <v>82</v>
      </c>
      <c r="AE144" s="668">
        <f t="shared" si="55"/>
        <v>0</v>
      </c>
      <c r="AF144" s="668">
        <f t="shared" si="50"/>
        <v>0</v>
      </c>
      <c r="AG144" s="668">
        <f t="shared" si="56"/>
        <v>0</v>
      </c>
      <c r="AH144" s="668"/>
      <c r="AI144" s="668"/>
      <c r="AJ144" s="668"/>
      <c r="AK144" s="668"/>
      <c r="AL144" s="668"/>
      <c r="AM144" s="668">
        <f t="shared" si="38"/>
        <v>0</v>
      </c>
      <c r="AN144" s="668">
        <f t="shared" si="41"/>
        <v>0</v>
      </c>
      <c r="AO144" s="668">
        <f t="shared" si="42"/>
        <v>0</v>
      </c>
      <c r="AP144" s="668">
        <f t="shared" si="39"/>
        <v>0</v>
      </c>
      <c r="AQ144" s="668">
        <f t="shared" si="43"/>
        <v>0</v>
      </c>
      <c r="AR144" s="668">
        <f t="shared" si="44"/>
        <v>0</v>
      </c>
      <c r="AS144" s="668"/>
      <c r="AT144" s="668"/>
      <c r="AU144" s="668"/>
      <c r="AV144" s="668"/>
      <c r="AW144" s="668"/>
      <c r="AX144" s="668"/>
      <c r="AY144" s="668"/>
      <c r="AZ144" s="668"/>
      <c r="BA144" s="668"/>
      <c r="BB144" s="668">
        <f t="shared" si="40"/>
        <v>0</v>
      </c>
      <c r="BC144" s="668"/>
      <c r="BD144" s="668"/>
      <c r="BE144" s="668"/>
      <c r="BF144" s="668"/>
      <c r="BG144" s="668"/>
      <c r="BH144" s="668"/>
      <c r="BI144" s="668"/>
    </row>
    <row r="145" spans="1:61" x14ac:dyDescent="0.2">
      <c r="A145" s="1012">
        <v>1111</v>
      </c>
      <c r="B145" s="1012" t="s">
        <v>547</v>
      </c>
      <c r="C145" s="1012"/>
      <c r="D145" s="667">
        <v>220</v>
      </c>
      <c r="E145" s="667"/>
      <c r="F145" s="667"/>
      <c r="G145" s="667"/>
      <c r="H145" s="667"/>
      <c r="I145" s="667">
        <v>220</v>
      </c>
      <c r="J145" s="667"/>
      <c r="K145" s="667"/>
      <c r="L145" s="667">
        <v>6</v>
      </c>
      <c r="M145" s="667"/>
      <c r="N145" s="667"/>
      <c r="O145" s="667"/>
      <c r="P145" s="667"/>
      <c r="Q145" s="667"/>
      <c r="R145" s="667"/>
      <c r="S145" s="667"/>
      <c r="T145" s="667"/>
      <c r="U145" s="1012">
        <v>17</v>
      </c>
      <c r="V145" s="668">
        <f t="shared" si="46"/>
        <v>3740</v>
      </c>
      <c r="W145" s="668">
        <f t="shared" si="47"/>
        <v>0</v>
      </c>
      <c r="X145" s="668">
        <f t="shared" si="48"/>
        <v>0</v>
      </c>
      <c r="Y145" s="668">
        <f t="shared" si="49"/>
        <v>0</v>
      </c>
      <c r="Z145" s="668">
        <f t="shared" si="51"/>
        <v>0</v>
      </c>
      <c r="AA145" s="668">
        <f t="shared" si="52"/>
        <v>0</v>
      </c>
      <c r="AB145" s="668">
        <f t="shared" si="53"/>
        <v>0</v>
      </c>
      <c r="AC145" s="668">
        <f t="shared" si="45"/>
        <v>0</v>
      </c>
      <c r="AD145" s="668">
        <f t="shared" si="54"/>
        <v>0</v>
      </c>
      <c r="AE145" s="668">
        <f t="shared" si="55"/>
        <v>0</v>
      </c>
      <c r="AF145" s="668">
        <f t="shared" si="50"/>
        <v>102</v>
      </c>
      <c r="AG145" s="668">
        <f t="shared" si="56"/>
        <v>0</v>
      </c>
      <c r="AH145" s="668"/>
      <c r="AI145" s="668"/>
      <c r="AJ145" s="668"/>
      <c r="AK145" s="668"/>
      <c r="AL145" s="668"/>
      <c r="AM145" s="668">
        <f t="shared" ref="AM145:AM208" si="57">+I145</f>
        <v>220</v>
      </c>
      <c r="AN145" s="668">
        <f t="shared" si="41"/>
        <v>0</v>
      </c>
      <c r="AO145" s="668">
        <f t="shared" si="42"/>
        <v>0</v>
      </c>
      <c r="AP145" s="668">
        <f t="shared" si="39"/>
        <v>0</v>
      </c>
      <c r="AQ145" s="668">
        <f t="shared" si="43"/>
        <v>0</v>
      </c>
      <c r="AR145" s="668">
        <f t="shared" si="44"/>
        <v>0</v>
      </c>
      <c r="AS145" s="668"/>
      <c r="AT145" s="668"/>
      <c r="AU145" s="668"/>
      <c r="AV145" s="668"/>
      <c r="AW145" s="668"/>
      <c r="AX145" s="668"/>
      <c r="AY145" s="668"/>
      <c r="AZ145" s="668"/>
      <c r="BA145" s="668"/>
      <c r="BB145" s="668">
        <f t="shared" si="40"/>
        <v>0</v>
      </c>
      <c r="BC145" s="668"/>
      <c r="BD145" s="668"/>
      <c r="BE145" s="668"/>
      <c r="BF145" s="668"/>
      <c r="BG145" s="668"/>
      <c r="BH145" s="668"/>
      <c r="BI145" s="668"/>
    </row>
    <row r="146" spans="1:61" x14ac:dyDescent="0.2">
      <c r="A146" s="1012">
        <v>1112</v>
      </c>
      <c r="B146" s="1012" t="s">
        <v>548</v>
      </c>
      <c r="C146" s="1012"/>
      <c r="D146" s="667">
        <v>87</v>
      </c>
      <c r="E146" s="667"/>
      <c r="F146" s="667"/>
      <c r="G146" s="667"/>
      <c r="H146" s="667"/>
      <c r="I146" s="667"/>
      <c r="J146" s="667"/>
      <c r="K146" s="667"/>
      <c r="L146" s="667"/>
      <c r="M146" s="667"/>
      <c r="N146" s="667"/>
      <c r="O146" s="667"/>
      <c r="P146" s="667"/>
      <c r="Q146" s="667"/>
      <c r="R146" s="667"/>
      <c r="S146" s="667"/>
      <c r="T146" s="667"/>
      <c r="U146" s="1012">
        <v>17</v>
      </c>
      <c r="V146" s="668">
        <f t="shared" si="46"/>
        <v>1479</v>
      </c>
      <c r="W146" s="668">
        <f t="shared" si="47"/>
        <v>0</v>
      </c>
      <c r="X146" s="668">
        <f t="shared" si="48"/>
        <v>0</v>
      </c>
      <c r="Y146" s="668">
        <f t="shared" si="49"/>
        <v>0</v>
      </c>
      <c r="Z146" s="668">
        <f t="shared" si="51"/>
        <v>0</v>
      </c>
      <c r="AA146" s="668">
        <f t="shared" si="52"/>
        <v>0</v>
      </c>
      <c r="AB146" s="668">
        <f t="shared" si="53"/>
        <v>0</v>
      </c>
      <c r="AC146" s="668">
        <f t="shared" si="45"/>
        <v>0</v>
      </c>
      <c r="AD146" s="668">
        <f t="shared" si="54"/>
        <v>0</v>
      </c>
      <c r="AE146" s="668">
        <f t="shared" si="55"/>
        <v>0</v>
      </c>
      <c r="AF146" s="668">
        <f t="shared" si="50"/>
        <v>0</v>
      </c>
      <c r="AG146" s="668">
        <f t="shared" si="56"/>
        <v>0</v>
      </c>
      <c r="AH146" s="668"/>
      <c r="AI146" s="668"/>
      <c r="AJ146" s="668"/>
      <c r="AK146" s="668"/>
      <c r="AL146" s="668"/>
      <c r="AM146" s="668">
        <f t="shared" si="57"/>
        <v>0</v>
      </c>
      <c r="AN146" s="668">
        <f t="shared" si="41"/>
        <v>0</v>
      </c>
      <c r="AO146" s="668">
        <f t="shared" si="42"/>
        <v>0</v>
      </c>
      <c r="AP146" s="668">
        <f t="shared" ref="AP146:AP209" si="58">+U146*F146</f>
        <v>0</v>
      </c>
      <c r="AQ146" s="668">
        <f t="shared" si="43"/>
        <v>0</v>
      </c>
      <c r="AR146" s="668">
        <f t="shared" si="44"/>
        <v>0</v>
      </c>
      <c r="AS146" s="668"/>
      <c r="AT146" s="668"/>
      <c r="AU146" s="668"/>
      <c r="AV146" s="668"/>
      <c r="AW146" s="668"/>
      <c r="AX146" s="668"/>
      <c r="AY146" s="668"/>
      <c r="AZ146" s="668"/>
      <c r="BA146" s="668"/>
      <c r="BB146" s="668">
        <f t="shared" ref="BB146:BB209" si="59">+AP146</f>
        <v>0</v>
      </c>
      <c r="BC146" s="668"/>
      <c r="BD146" s="668"/>
      <c r="BE146" s="668"/>
      <c r="BF146" s="668"/>
      <c r="BG146" s="668"/>
      <c r="BH146" s="668"/>
      <c r="BI146" s="668"/>
    </row>
    <row r="147" spans="1:61" x14ac:dyDescent="0.2">
      <c r="A147" s="1012">
        <v>1113</v>
      </c>
      <c r="B147" s="1012" t="s">
        <v>486</v>
      </c>
      <c r="C147" s="1012"/>
      <c r="D147" s="667">
        <v>55</v>
      </c>
      <c r="E147" s="667"/>
      <c r="F147" s="667"/>
      <c r="G147" s="667"/>
      <c r="H147" s="667"/>
      <c r="I147" s="667"/>
      <c r="J147" s="667"/>
      <c r="K147" s="667"/>
      <c r="L147" s="667">
        <v>2</v>
      </c>
      <c r="M147" s="667"/>
      <c r="N147" s="667"/>
      <c r="O147" s="667"/>
      <c r="P147" s="667">
        <v>19</v>
      </c>
      <c r="Q147" s="1014">
        <v>241</v>
      </c>
      <c r="R147" s="667"/>
      <c r="S147" s="667"/>
      <c r="T147" s="667"/>
      <c r="U147" s="1012">
        <v>17</v>
      </c>
      <c r="V147" s="668">
        <f t="shared" si="46"/>
        <v>935</v>
      </c>
      <c r="W147" s="668">
        <f t="shared" si="47"/>
        <v>0</v>
      </c>
      <c r="X147" s="668">
        <f t="shared" si="48"/>
        <v>0</v>
      </c>
      <c r="Y147" s="668">
        <f t="shared" si="49"/>
        <v>0</v>
      </c>
      <c r="Z147" s="668">
        <f t="shared" si="51"/>
        <v>0</v>
      </c>
      <c r="AA147" s="668">
        <f t="shared" si="52"/>
        <v>0</v>
      </c>
      <c r="AB147" s="668">
        <f t="shared" si="53"/>
        <v>0</v>
      </c>
      <c r="AC147" s="668">
        <f t="shared" si="45"/>
        <v>323</v>
      </c>
      <c r="AD147" s="668">
        <f t="shared" si="54"/>
        <v>241</v>
      </c>
      <c r="AE147" s="668">
        <f t="shared" si="55"/>
        <v>0</v>
      </c>
      <c r="AF147" s="668">
        <f t="shared" si="50"/>
        <v>34</v>
      </c>
      <c r="AG147" s="668">
        <f t="shared" si="56"/>
        <v>0</v>
      </c>
      <c r="AH147" s="668"/>
      <c r="AI147" s="668"/>
      <c r="AJ147" s="668"/>
      <c r="AK147" s="668"/>
      <c r="AL147" s="668"/>
      <c r="AM147" s="668">
        <f t="shared" si="57"/>
        <v>0</v>
      </c>
      <c r="AN147" s="668">
        <f t="shared" si="41"/>
        <v>0</v>
      </c>
      <c r="AO147" s="668">
        <f t="shared" si="42"/>
        <v>0</v>
      </c>
      <c r="AP147" s="668">
        <f t="shared" si="58"/>
        <v>0</v>
      </c>
      <c r="AQ147" s="668">
        <f t="shared" si="43"/>
        <v>0</v>
      </c>
      <c r="AR147" s="668">
        <f t="shared" si="44"/>
        <v>0</v>
      </c>
      <c r="AS147" s="668"/>
      <c r="AT147" s="668"/>
      <c r="AU147" s="668"/>
      <c r="AV147" s="668"/>
      <c r="AW147" s="668"/>
      <c r="AX147" s="668"/>
      <c r="AY147" s="668"/>
      <c r="AZ147" s="668"/>
      <c r="BA147" s="668"/>
      <c r="BB147" s="668">
        <f t="shared" si="59"/>
        <v>0</v>
      </c>
      <c r="BC147" s="668"/>
      <c r="BD147" s="668"/>
      <c r="BE147" s="668"/>
      <c r="BF147" s="668"/>
      <c r="BG147" s="668"/>
      <c r="BH147" s="668"/>
      <c r="BI147" s="668"/>
    </row>
    <row r="148" spans="1:61" x14ac:dyDescent="0.2">
      <c r="A148" s="1012" t="s">
        <v>549</v>
      </c>
      <c r="B148" s="1012" t="s">
        <v>486</v>
      </c>
      <c r="C148" s="1012"/>
      <c r="D148" s="667">
        <v>35</v>
      </c>
      <c r="E148" s="667"/>
      <c r="F148" s="667"/>
      <c r="G148" s="667"/>
      <c r="H148" s="667"/>
      <c r="I148" s="667"/>
      <c r="J148" s="667"/>
      <c r="K148" s="667"/>
      <c r="L148" s="667"/>
      <c r="M148" s="667"/>
      <c r="N148" s="667"/>
      <c r="O148" s="667"/>
      <c r="P148" s="667"/>
      <c r="Q148" s="1014">
        <v>52</v>
      </c>
      <c r="R148" s="667"/>
      <c r="S148" s="667"/>
      <c r="T148" s="667"/>
      <c r="U148" s="1012">
        <v>17</v>
      </c>
      <c r="V148" s="668">
        <f t="shared" si="46"/>
        <v>595</v>
      </c>
      <c r="W148" s="668">
        <f t="shared" si="47"/>
        <v>0</v>
      </c>
      <c r="X148" s="668">
        <f t="shared" si="48"/>
        <v>0</v>
      </c>
      <c r="Y148" s="668">
        <f t="shared" si="49"/>
        <v>0</v>
      </c>
      <c r="Z148" s="668">
        <f t="shared" si="51"/>
        <v>0</v>
      </c>
      <c r="AA148" s="668">
        <f t="shared" si="52"/>
        <v>0</v>
      </c>
      <c r="AB148" s="668">
        <f t="shared" si="53"/>
        <v>0</v>
      </c>
      <c r="AC148" s="668">
        <f t="shared" si="45"/>
        <v>0</v>
      </c>
      <c r="AD148" s="668">
        <f t="shared" si="54"/>
        <v>52</v>
      </c>
      <c r="AE148" s="668">
        <f t="shared" si="55"/>
        <v>0</v>
      </c>
      <c r="AF148" s="668">
        <f t="shared" si="50"/>
        <v>0</v>
      </c>
      <c r="AG148" s="668">
        <f t="shared" si="56"/>
        <v>0</v>
      </c>
      <c r="AH148" s="668"/>
      <c r="AI148" s="668"/>
      <c r="AJ148" s="668"/>
      <c r="AK148" s="668"/>
      <c r="AL148" s="668"/>
      <c r="AM148" s="668">
        <f t="shared" si="57"/>
        <v>0</v>
      </c>
      <c r="AN148" s="668">
        <f t="shared" si="41"/>
        <v>0</v>
      </c>
      <c r="AO148" s="668">
        <f t="shared" si="42"/>
        <v>0</v>
      </c>
      <c r="AP148" s="668">
        <f t="shared" si="58"/>
        <v>0</v>
      </c>
      <c r="AQ148" s="668">
        <f t="shared" si="43"/>
        <v>0</v>
      </c>
      <c r="AR148" s="668">
        <f t="shared" si="44"/>
        <v>0</v>
      </c>
      <c r="AS148" s="668"/>
      <c r="AT148" s="668"/>
      <c r="AU148" s="668"/>
      <c r="AV148" s="668"/>
      <c r="AW148" s="668"/>
      <c r="AX148" s="668"/>
      <c r="AY148" s="668"/>
      <c r="AZ148" s="668"/>
      <c r="BA148" s="668"/>
      <c r="BB148" s="668">
        <f t="shared" si="59"/>
        <v>0</v>
      </c>
      <c r="BC148" s="668"/>
      <c r="BD148" s="668"/>
      <c r="BE148" s="668"/>
      <c r="BF148" s="668"/>
      <c r="BG148" s="668"/>
      <c r="BH148" s="668"/>
      <c r="BI148" s="668"/>
    </row>
    <row r="149" spans="1:61" x14ac:dyDescent="0.2">
      <c r="A149" s="1012">
        <v>1114</v>
      </c>
      <c r="B149" s="1012" t="s">
        <v>550</v>
      </c>
      <c r="C149" s="1012" t="s">
        <v>984</v>
      </c>
      <c r="D149" s="667">
        <v>140</v>
      </c>
      <c r="E149" s="667"/>
      <c r="F149" s="667"/>
      <c r="G149" s="667"/>
      <c r="H149" s="667"/>
      <c r="I149" s="667"/>
      <c r="J149" s="667"/>
      <c r="K149" s="667"/>
      <c r="L149" s="667">
        <v>2</v>
      </c>
      <c r="M149" s="667"/>
      <c r="N149" s="667"/>
      <c r="O149" s="667"/>
      <c r="P149" s="667"/>
      <c r="Q149" s="1014">
        <v>457</v>
      </c>
      <c r="R149" s="667"/>
      <c r="S149" s="667"/>
      <c r="T149" s="667"/>
      <c r="U149" s="1012">
        <v>17</v>
      </c>
      <c r="V149" s="668">
        <f t="shared" si="46"/>
        <v>2380</v>
      </c>
      <c r="W149" s="668">
        <f t="shared" si="47"/>
        <v>0</v>
      </c>
      <c r="X149" s="668">
        <f t="shared" si="48"/>
        <v>0</v>
      </c>
      <c r="Y149" s="668">
        <f t="shared" si="49"/>
        <v>0</v>
      </c>
      <c r="Z149" s="668">
        <f t="shared" si="51"/>
        <v>2380</v>
      </c>
      <c r="AA149" s="668">
        <f t="shared" si="52"/>
        <v>0</v>
      </c>
      <c r="AB149" s="668">
        <f t="shared" si="53"/>
        <v>0</v>
      </c>
      <c r="AC149" s="668">
        <f t="shared" si="45"/>
        <v>0</v>
      </c>
      <c r="AD149" s="668">
        <f t="shared" si="54"/>
        <v>457</v>
      </c>
      <c r="AE149" s="668">
        <f t="shared" si="55"/>
        <v>0</v>
      </c>
      <c r="AF149" s="668">
        <f t="shared" si="50"/>
        <v>34</v>
      </c>
      <c r="AG149" s="668">
        <f t="shared" si="56"/>
        <v>0</v>
      </c>
      <c r="AH149" s="668"/>
      <c r="AI149" s="668"/>
      <c r="AJ149" s="668"/>
      <c r="AK149" s="668"/>
      <c r="AL149" s="668"/>
      <c r="AM149" s="668">
        <f t="shared" si="57"/>
        <v>0</v>
      </c>
      <c r="AN149" s="668">
        <f t="shared" si="41"/>
        <v>0</v>
      </c>
      <c r="AO149" s="668">
        <f t="shared" si="42"/>
        <v>0</v>
      </c>
      <c r="AP149" s="668">
        <f t="shared" si="58"/>
        <v>0</v>
      </c>
      <c r="AQ149" s="668">
        <f t="shared" si="43"/>
        <v>0</v>
      </c>
      <c r="AR149" s="668">
        <f t="shared" si="44"/>
        <v>0</v>
      </c>
      <c r="AS149" s="668"/>
      <c r="AT149" s="668"/>
      <c r="AU149" s="668"/>
      <c r="AV149" s="668"/>
      <c r="AW149" s="668"/>
      <c r="AX149" s="668"/>
      <c r="AY149" s="668"/>
      <c r="AZ149" s="668"/>
      <c r="BA149" s="668"/>
      <c r="BB149" s="668">
        <f t="shared" si="59"/>
        <v>0</v>
      </c>
      <c r="BC149" s="668"/>
      <c r="BD149" s="668"/>
      <c r="BE149" s="668"/>
      <c r="BF149" s="668"/>
      <c r="BG149" s="668"/>
      <c r="BH149" s="668"/>
      <c r="BI149" s="668"/>
    </row>
    <row r="150" spans="1:61" x14ac:dyDescent="0.2">
      <c r="A150" s="1012">
        <v>1115</v>
      </c>
      <c r="B150" s="1012" t="s">
        <v>536</v>
      </c>
      <c r="C150" s="1012"/>
      <c r="D150" s="667"/>
      <c r="E150" s="667"/>
      <c r="F150" s="667"/>
      <c r="G150" s="667"/>
      <c r="H150" s="667"/>
      <c r="I150" s="667"/>
      <c r="J150" s="667"/>
      <c r="K150" s="667"/>
      <c r="L150" s="667"/>
      <c r="M150" s="667"/>
      <c r="N150" s="667"/>
      <c r="O150" s="667"/>
      <c r="P150" s="667"/>
      <c r="Q150" s="667"/>
      <c r="R150" s="667"/>
      <c r="S150" s="667"/>
      <c r="T150" s="667"/>
      <c r="U150" s="1012"/>
      <c r="V150" s="668">
        <f t="shared" si="46"/>
        <v>0</v>
      </c>
      <c r="W150" s="668">
        <f t="shared" si="47"/>
        <v>0</v>
      </c>
      <c r="X150" s="668">
        <f t="shared" si="48"/>
        <v>0</v>
      </c>
      <c r="Y150" s="668">
        <f t="shared" si="49"/>
        <v>0</v>
      </c>
      <c r="Z150" s="668">
        <f t="shared" si="51"/>
        <v>0</v>
      </c>
      <c r="AA150" s="668">
        <f t="shared" si="52"/>
        <v>0</v>
      </c>
      <c r="AB150" s="668">
        <f t="shared" si="53"/>
        <v>0</v>
      </c>
      <c r="AC150" s="668">
        <f t="shared" si="45"/>
        <v>0</v>
      </c>
      <c r="AD150" s="668">
        <f t="shared" si="54"/>
        <v>0</v>
      </c>
      <c r="AE150" s="668">
        <f t="shared" si="55"/>
        <v>0</v>
      </c>
      <c r="AF150" s="668">
        <f t="shared" si="50"/>
        <v>0</v>
      </c>
      <c r="AG150" s="668">
        <f t="shared" si="56"/>
        <v>0</v>
      </c>
      <c r="AH150" s="668"/>
      <c r="AI150" s="668"/>
      <c r="AJ150" s="668"/>
      <c r="AK150" s="668"/>
      <c r="AL150" s="668"/>
      <c r="AM150" s="668">
        <f t="shared" si="57"/>
        <v>0</v>
      </c>
      <c r="AN150" s="668">
        <f t="shared" si="41"/>
        <v>0</v>
      </c>
      <c r="AO150" s="668">
        <f t="shared" si="42"/>
        <v>0</v>
      </c>
      <c r="AP150" s="668">
        <f t="shared" si="58"/>
        <v>0</v>
      </c>
      <c r="AQ150" s="668">
        <f t="shared" si="43"/>
        <v>0</v>
      </c>
      <c r="AR150" s="668">
        <f t="shared" si="44"/>
        <v>0</v>
      </c>
      <c r="AS150" s="668"/>
      <c r="AT150" s="668"/>
      <c r="AU150" s="668"/>
      <c r="AV150" s="668"/>
      <c r="AW150" s="668"/>
      <c r="AX150" s="668"/>
      <c r="AY150" s="668"/>
      <c r="AZ150" s="668"/>
      <c r="BA150" s="668"/>
      <c r="BB150" s="668">
        <f t="shared" si="59"/>
        <v>0</v>
      </c>
      <c r="BC150" s="668"/>
      <c r="BD150" s="668"/>
      <c r="BE150" s="668"/>
      <c r="BF150" s="668"/>
      <c r="BG150" s="668"/>
      <c r="BH150" s="668"/>
      <c r="BI150" s="668"/>
    </row>
    <row r="151" spans="1:61" x14ac:dyDescent="0.2">
      <c r="A151" s="1012">
        <v>1116</v>
      </c>
      <c r="B151" s="1012" t="s">
        <v>551</v>
      </c>
      <c r="C151" s="1012"/>
      <c r="D151" s="667">
        <v>114</v>
      </c>
      <c r="E151" s="667"/>
      <c r="F151" s="667"/>
      <c r="G151" s="667"/>
      <c r="H151" s="667"/>
      <c r="I151" s="667"/>
      <c r="J151" s="667"/>
      <c r="K151" s="667"/>
      <c r="L151" s="667"/>
      <c r="M151" s="667"/>
      <c r="N151" s="667"/>
      <c r="O151" s="667"/>
      <c r="P151" s="667">
        <v>16</v>
      </c>
      <c r="Q151" s="667"/>
      <c r="R151" s="667"/>
      <c r="S151" s="667"/>
      <c r="T151" s="667"/>
      <c r="U151" s="1012">
        <v>13</v>
      </c>
      <c r="V151" s="668">
        <f t="shared" si="46"/>
        <v>1482</v>
      </c>
      <c r="W151" s="668">
        <f t="shared" si="47"/>
        <v>0</v>
      </c>
      <c r="X151" s="668">
        <f t="shared" si="48"/>
        <v>0</v>
      </c>
      <c r="Y151" s="668">
        <f t="shared" si="49"/>
        <v>0</v>
      </c>
      <c r="Z151" s="668">
        <f t="shared" si="51"/>
        <v>0</v>
      </c>
      <c r="AA151" s="668">
        <f t="shared" si="52"/>
        <v>0</v>
      </c>
      <c r="AB151" s="668">
        <f t="shared" si="53"/>
        <v>0</v>
      </c>
      <c r="AC151" s="668">
        <f t="shared" si="45"/>
        <v>208</v>
      </c>
      <c r="AD151" s="668">
        <f t="shared" si="54"/>
        <v>0</v>
      </c>
      <c r="AE151" s="668">
        <f t="shared" si="55"/>
        <v>0</v>
      </c>
      <c r="AF151" s="668">
        <f t="shared" si="50"/>
        <v>0</v>
      </c>
      <c r="AG151" s="668">
        <f t="shared" si="56"/>
        <v>0</v>
      </c>
      <c r="AH151" s="668"/>
      <c r="AI151" s="668"/>
      <c r="AJ151" s="668"/>
      <c r="AK151" s="668"/>
      <c r="AL151" s="668"/>
      <c r="AM151" s="668">
        <f t="shared" si="57"/>
        <v>0</v>
      </c>
      <c r="AN151" s="668">
        <f t="shared" si="41"/>
        <v>0</v>
      </c>
      <c r="AO151" s="668">
        <f t="shared" si="42"/>
        <v>0</v>
      </c>
      <c r="AP151" s="668">
        <f t="shared" si="58"/>
        <v>0</v>
      </c>
      <c r="AQ151" s="668">
        <f t="shared" si="43"/>
        <v>0</v>
      </c>
      <c r="AR151" s="668">
        <f t="shared" si="44"/>
        <v>0</v>
      </c>
      <c r="AS151" s="668"/>
      <c r="AT151" s="668"/>
      <c r="AU151" s="668"/>
      <c r="AV151" s="668"/>
      <c r="AW151" s="668"/>
      <c r="AX151" s="668"/>
      <c r="AY151" s="668"/>
      <c r="AZ151" s="668"/>
      <c r="BA151" s="668"/>
      <c r="BB151" s="668">
        <f t="shared" si="59"/>
        <v>0</v>
      </c>
      <c r="BC151" s="668"/>
      <c r="BD151" s="668"/>
      <c r="BE151" s="668"/>
      <c r="BF151" s="668"/>
      <c r="BG151" s="668"/>
      <c r="BH151" s="668"/>
      <c r="BI151" s="668"/>
    </row>
    <row r="152" spans="1:61" x14ac:dyDescent="0.2">
      <c r="A152" s="1012">
        <v>1118</v>
      </c>
      <c r="B152" s="1012" t="s">
        <v>467</v>
      </c>
      <c r="C152" s="1012"/>
      <c r="D152" s="667">
        <v>112</v>
      </c>
      <c r="E152" s="667"/>
      <c r="F152" s="667"/>
      <c r="G152" s="667"/>
      <c r="H152" s="667"/>
      <c r="I152" s="667"/>
      <c r="J152" s="667"/>
      <c r="K152" s="667"/>
      <c r="L152" s="667"/>
      <c r="M152" s="667"/>
      <c r="N152" s="667"/>
      <c r="O152" s="667"/>
      <c r="P152" s="667"/>
      <c r="Q152" s="667"/>
      <c r="R152" s="667"/>
      <c r="S152" s="667"/>
      <c r="T152" s="667"/>
      <c r="U152" s="1012">
        <v>3</v>
      </c>
      <c r="V152" s="668">
        <f t="shared" si="46"/>
        <v>336</v>
      </c>
      <c r="W152" s="668">
        <f t="shared" si="47"/>
        <v>0</v>
      </c>
      <c r="X152" s="668">
        <f t="shared" si="48"/>
        <v>0</v>
      </c>
      <c r="Y152" s="668">
        <f t="shared" si="49"/>
        <v>0</v>
      </c>
      <c r="Z152" s="668">
        <f t="shared" si="51"/>
        <v>0</v>
      </c>
      <c r="AA152" s="668">
        <f t="shared" si="52"/>
        <v>0</v>
      </c>
      <c r="AB152" s="668">
        <f t="shared" si="53"/>
        <v>0</v>
      </c>
      <c r="AC152" s="668">
        <f t="shared" si="45"/>
        <v>0</v>
      </c>
      <c r="AD152" s="668">
        <f t="shared" si="54"/>
        <v>0</v>
      </c>
      <c r="AE152" s="668">
        <f t="shared" si="55"/>
        <v>0</v>
      </c>
      <c r="AF152" s="668">
        <f t="shared" si="50"/>
        <v>0</v>
      </c>
      <c r="AG152" s="668">
        <f t="shared" si="56"/>
        <v>0</v>
      </c>
      <c r="AH152" s="668"/>
      <c r="AI152" s="668"/>
      <c r="AJ152" s="668"/>
      <c r="AK152" s="668"/>
      <c r="AL152" s="668"/>
      <c r="AM152" s="668">
        <f t="shared" si="57"/>
        <v>0</v>
      </c>
      <c r="AN152" s="668">
        <f t="shared" si="41"/>
        <v>0</v>
      </c>
      <c r="AO152" s="668">
        <f t="shared" si="42"/>
        <v>0</v>
      </c>
      <c r="AP152" s="668">
        <f t="shared" si="58"/>
        <v>0</v>
      </c>
      <c r="AQ152" s="668">
        <f t="shared" si="43"/>
        <v>0</v>
      </c>
      <c r="AR152" s="668">
        <f t="shared" si="44"/>
        <v>0</v>
      </c>
      <c r="AS152" s="668"/>
      <c r="AT152" s="668"/>
      <c r="AU152" s="668"/>
      <c r="AV152" s="668"/>
      <c r="AW152" s="668"/>
      <c r="AX152" s="668"/>
      <c r="AY152" s="668"/>
      <c r="AZ152" s="668"/>
      <c r="BA152" s="668"/>
      <c r="BB152" s="668">
        <f t="shared" si="59"/>
        <v>0</v>
      </c>
      <c r="BC152" s="668"/>
      <c r="BD152" s="668"/>
      <c r="BE152" s="668"/>
      <c r="BF152" s="668"/>
      <c r="BG152" s="668"/>
      <c r="BH152" s="668"/>
      <c r="BI152" s="668"/>
    </row>
    <row r="153" spans="1:61" x14ac:dyDescent="0.2">
      <c r="A153" s="1012" t="s">
        <v>552</v>
      </c>
      <c r="B153" s="1012" t="s">
        <v>553</v>
      </c>
      <c r="C153" s="1012"/>
      <c r="D153" s="667">
        <v>31</v>
      </c>
      <c r="E153" s="667"/>
      <c r="F153" s="667"/>
      <c r="G153" s="667"/>
      <c r="H153" s="667"/>
      <c r="I153" s="667"/>
      <c r="J153" s="667"/>
      <c r="K153" s="667"/>
      <c r="L153" s="667"/>
      <c r="M153" s="667"/>
      <c r="N153" s="667"/>
      <c r="O153" s="667"/>
      <c r="P153" s="667"/>
      <c r="Q153" s="1014">
        <v>55</v>
      </c>
      <c r="R153" s="667"/>
      <c r="S153" s="667"/>
      <c r="T153" s="667"/>
      <c r="U153" s="1012">
        <v>13</v>
      </c>
      <c r="V153" s="668">
        <f t="shared" si="46"/>
        <v>403</v>
      </c>
      <c r="W153" s="668">
        <f t="shared" si="47"/>
        <v>0</v>
      </c>
      <c r="X153" s="668">
        <f t="shared" si="48"/>
        <v>0</v>
      </c>
      <c r="Y153" s="668">
        <f t="shared" si="49"/>
        <v>0</v>
      </c>
      <c r="Z153" s="668">
        <f t="shared" si="51"/>
        <v>0</v>
      </c>
      <c r="AA153" s="668">
        <f t="shared" si="52"/>
        <v>0</v>
      </c>
      <c r="AB153" s="668">
        <f t="shared" si="53"/>
        <v>0</v>
      </c>
      <c r="AC153" s="668">
        <f t="shared" si="45"/>
        <v>0</v>
      </c>
      <c r="AD153" s="668">
        <f t="shared" si="54"/>
        <v>55</v>
      </c>
      <c r="AE153" s="668">
        <f t="shared" si="55"/>
        <v>0</v>
      </c>
      <c r="AF153" s="668">
        <f t="shared" si="50"/>
        <v>0</v>
      </c>
      <c r="AG153" s="668">
        <f t="shared" si="56"/>
        <v>0</v>
      </c>
      <c r="AH153" s="668"/>
      <c r="AI153" s="668"/>
      <c r="AJ153" s="668"/>
      <c r="AK153" s="668"/>
      <c r="AL153" s="668"/>
      <c r="AM153" s="668">
        <f t="shared" si="57"/>
        <v>0</v>
      </c>
      <c r="AN153" s="668">
        <f t="shared" si="41"/>
        <v>0</v>
      </c>
      <c r="AO153" s="668">
        <f t="shared" si="42"/>
        <v>0</v>
      </c>
      <c r="AP153" s="668">
        <f t="shared" si="58"/>
        <v>0</v>
      </c>
      <c r="AQ153" s="668">
        <f t="shared" si="43"/>
        <v>0</v>
      </c>
      <c r="AR153" s="668">
        <f t="shared" si="44"/>
        <v>0</v>
      </c>
      <c r="AS153" s="668"/>
      <c r="AT153" s="668"/>
      <c r="AU153" s="668"/>
      <c r="AV153" s="668"/>
      <c r="AW153" s="668"/>
      <c r="AX153" s="668"/>
      <c r="AY153" s="668"/>
      <c r="AZ153" s="668"/>
      <c r="BA153" s="668"/>
      <c r="BB153" s="668">
        <f t="shared" si="59"/>
        <v>0</v>
      </c>
      <c r="BC153" s="668"/>
      <c r="BD153" s="668"/>
      <c r="BE153" s="668"/>
      <c r="BF153" s="668"/>
      <c r="BG153" s="668"/>
      <c r="BH153" s="668"/>
      <c r="BI153" s="668"/>
    </row>
    <row r="154" spans="1:61" x14ac:dyDescent="0.2">
      <c r="A154" s="1012">
        <v>1120</v>
      </c>
      <c r="B154" s="1012" t="s">
        <v>466</v>
      </c>
      <c r="C154" s="1012"/>
      <c r="D154" s="667">
        <v>112</v>
      </c>
      <c r="E154" s="667"/>
      <c r="F154" s="667"/>
      <c r="G154" s="667"/>
      <c r="H154" s="667"/>
      <c r="I154" s="667"/>
      <c r="J154" s="667"/>
      <c r="K154" s="667"/>
      <c r="L154" s="667"/>
      <c r="M154" s="667"/>
      <c r="N154" s="667"/>
      <c r="O154" s="667"/>
      <c r="P154" s="667"/>
      <c r="Q154" s="667"/>
      <c r="R154" s="667"/>
      <c r="S154" s="667"/>
      <c r="T154" s="667"/>
      <c r="U154" s="1012">
        <v>3</v>
      </c>
      <c r="V154" s="668">
        <f t="shared" si="46"/>
        <v>336</v>
      </c>
      <c r="W154" s="668">
        <f t="shared" si="47"/>
        <v>0</v>
      </c>
      <c r="X154" s="668">
        <f t="shared" si="48"/>
        <v>0</v>
      </c>
      <c r="Y154" s="668">
        <f t="shared" si="49"/>
        <v>0</v>
      </c>
      <c r="Z154" s="668">
        <f t="shared" si="51"/>
        <v>0</v>
      </c>
      <c r="AA154" s="668">
        <f t="shared" si="52"/>
        <v>0</v>
      </c>
      <c r="AB154" s="668">
        <f t="shared" si="53"/>
        <v>0</v>
      </c>
      <c r="AC154" s="668">
        <f t="shared" si="45"/>
        <v>0</v>
      </c>
      <c r="AD154" s="668">
        <f t="shared" si="54"/>
        <v>0</v>
      </c>
      <c r="AE154" s="668">
        <f t="shared" si="55"/>
        <v>0</v>
      </c>
      <c r="AF154" s="668">
        <f t="shared" si="50"/>
        <v>0</v>
      </c>
      <c r="AG154" s="668">
        <f t="shared" si="56"/>
        <v>0</v>
      </c>
      <c r="AH154" s="668"/>
      <c r="AI154" s="668"/>
      <c r="AJ154" s="668"/>
      <c r="AK154" s="668"/>
      <c r="AL154" s="668"/>
      <c r="AM154" s="668">
        <f t="shared" si="57"/>
        <v>0</v>
      </c>
      <c r="AN154" s="668">
        <f t="shared" si="41"/>
        <v>0</v>
      </c>
      <c r="AO154" s="668">
        <f t="shared" si="42"/>
        <v>0</v>
      </c>
      <c r="AP154" s="668">
        <f t="shared" si="58"/>
        <v>0</v>
      </c>
      <c r="AQ154" s="668">
        <f t="shared" si="43"/>
        <v>0</v>
      </c>
      <c r="AR154" s="668">
        <f t="shared" si="44"/>
        <v>0</v>
      </c>
      <c r="AS154" s="668"/>
      <c r="AT154" s="668"/>
      <c r="AU154" s="668"/>
      <c r="AV154" s="668"/>
      <c r="AW154" s="668"/>
      <c r="AX154" s="668"/>
      <c r="AY154" s="668"/>
      <c r="AZ154" s="668"/>
      <c r="BA154" s="668"/>
      <c r="BB154" s="668">
        <f t="shared" si="59"/>
        <v>0</v>
      </c>
      <c r="BC154" s="668"/>
      <c r="BD154" s="668"/>
      <c r="BE154" s="668"/>
      <c r="BF154" s="668"/>
      <c r="BG154" s="668"/>
      <c r="BH154" s="668"/>
      <c r="BI154" s="668"/>
    </row>
    <row r="155" spans="1:61" x14ac:dyDescent="0.2">
      <c r="A155" s="1012">
        <v>1121</v>
      </c>
      <c r="B155" s="1012" t="s">
        <v>554</v>
      </c>
      <c r="C155" s="1012" t="s">
        <v>984</v>
      </c>
      <c r="D155" s="667">
        <v>163</v>
      </c>
      <c r="E155" s="667"/>
      <c r="F155" s="667"/>
      <c r="G155" s="667"/>
      <c r="H155" s="667"/>
      <c r="I155" s="667"/>
      <c r="J155" s="667"/>
      <c r="K155" s="667"/>
      <c r="L155" s="667"/>
      <c r="M155" s="667"/>
      <c r="N155" s="667"/>
      <c r="O155" s="667"/>
      <c r="P155" s="667"/>
      <c r="Q155" s="667"/>
      <c r="R155" s="667"/>
      <c r="S155" s="667"/>
      <c r="T155" s="667"/>
      <c r="U155" s="1012">
        <v>30</v>
      </c>
      <c r="V155" s="668">
        <f t="shared" si="46"/>
        <v>4890</v>
      </c>
      <c r="W155" s="668">
        <f t="shared" si="47"/>
        <v>0</v>
      </c>
      <c r="X155" s="668">
        <f t="shared" si="48"/>
        <v>0</v>
      </c>
      <c r="Y155" s="668">
        <f t="shared" si="49"/>
        <v>0</v>
      </c>
      <c r="Z155" s="668">
        <f t="shared" si="51"/>
        <v>4890</v>
      </c>
      <c r="AA155" s="668">
        <f t="shared" si="52"/>
        <v>0</v>
      </c>
      <c r="AB155" s="668">
        <f t="shared" si="53"/>
        <v>0</v>
      </c>
      <c r="AC155" s="668">
        <f t="shared" si="45"/>
        <v>0</v>
      </c>
      <c r="AD155" s="668">
        <f t="shared" si="54"/>
        <v>0</v>
      </c>
      <c r="AE155" s="668">
        <f t="shared" si="55"/>
        <v>0</v>
      </c>
      <c r="AF155" s="668">
        <f t="shared" si="50"/>
        <v>0</v>
      </c>
      <c r="AG155" s="668">
        <f t="shared" si="56"/>
        <v>0</v>
      </c>
      <c r="AH155" s="668"/>
      <c r="AI155" s="668"/>
      <c r="AJ155" s="668"/>
      <c r="AK155" s="668"/>
      <c r="AL155" s="668"/>
      <c r="AM155" s="668">
        <f t="shared" si="57"/>
        <v>0</v>
      </c>
      <c r="AN155" s="668">
        <f t="shared" si="41"/>
        <v>0</v>
      </c>
      <c r="AO155" s="668">
        <f t="shared" si="42"/>
        <v>0</v>
      </c>
      <c r="AP155" s="668">
        <f t="shared" si="58"/>
        <v>0</v>
      </c>
      <c r="AQ155" s="668">
        <f t="shared" si="43"/>
        <v>0</v>
      </c>
      <c r="AR155" s="668">
        <f t="shared" si="44"/>
        <v>0</v>
      </c>
      <c r="AS155" s="668"/>
      <c r="AT155" s="668"/>
      <c r="AU155" s="668"/>
      <c r="AV155" s="668"/>
      <c r="AW155" s="668"/>
      <c r="AX155" s="668"/>
      <c r="AY155" s="668"/>
      <c r="AZ155" s="668"/>
      <c r="BA155" s="668"/>
      <c r="BB155" s="668">
        <f t="shared" si="59"/>
        <v>0</v>
      </c>
      <c r="BC155" s="668"/>
      <c r="BD155" s="668"/>
      <c r="BE155" s="668"/>
      <c r="BF155" s="668"/>
      <c r="BG155" s="668"/>
      <c r="BH155" s="668"/>
      <c r="BI155" s="668"/>
    </row>
    <row r="156" spans="1:61" x14ac:dyDescent="0.2">
      <c r="A156" s="1012">
        <v>1122</v>
      </c>
      <c r="B156" s="1012" t="s">
        <v>555</v>
      </c>
      <c r="C156" s="1012" t="s">
        <v>984</v>
      </c>
      <c r="D156" s="667">
        <v>265</v>
      </c>
      <c r="E156" s="667"/>
      <c r="F156" s="667"/>
      <c r="G156" s="667"/>
      <c r="H156" s="667"/>
      <c r="I156" s="667"/>
      <c r="J156" s="667"/>
      <c r="K156" s="667"/>
      <c r="L156" s="667"/>
      <c r="M156" s="667"/>
      <c r="N156" s="667"/>
      <c r="O156" s="667"/>
      <c r="P156" s="667"/>
      <c r="Q156" s="667"/>
      <c r="R156" s="667"/>
      <c r="S156" s="667"/>
      <c r="T156" s="667"/>
      <c r="U156" s="1012">
        <v>30</v>
      </c>
      <c r="V156" s="668">
        <f t="shared" si="46"/>
        <v>7950</v>
      </c>
      <c r="W156" s="668">
        <f t="shared" si="47"/>
        <v>0</v>
      </c>
      <c r="X156" s="668">
        <f t="shared" si="48"/>
        <v>0</v>
      </c>
      <c r="Y156" s="668">
        <f t="shared" si="49"/>
        <v>0</v>
      </c>
      <c r="Z156" s="668">
        <f t="shared" si="51"/>
        <v>7950</v>
      </c>
      <c r="AA156" s="668">
        <f t="shared" si="52"/>
        <v>0</v>
      </c>
      <c r="AB156" s="668">
        <f t="shared" si="53"/>
        <v>0</v>
      </c>
      <c r="AC156" s="668">
        <f t="shared" si="45"/>
        <v>0</v>
      </c>
      <c r="AD156" s="668">
        <f t="shared" si="54"/>
        <v>0</v>
      </c>
      <c r="AE156" s="668">
        <f t="shared" si="55"/>
        <v>0</v>
      </c>
      <c r="AF156" s="668">
        <f t="shared" si="50"/>
        <v>0</v>
      </c>
      <c r="AG156" s="668">
        <f t="shared" si="56"/>
        <v>0</v>
      </c>
      <c r="AH156" s="668"/>
      <c r="AI156" s="668"/>
      <c r="AJ156" s="668"/>
      <c r="AK156" s="668"/>
      <c r="AL156" s="668"/>
      <c r="AM156" s="668">
        <f t="shared" si="57"/>
        <v>0</v>
      </c>
      <c r="AN156" s="668">
        <f t="shared" si="41"/>
        <v>0</v>
      </c>
      <c r="AO156" s="668">
        <f t="shared" si="42"/>
        <v>0</v>
      </c>
      <c r="AP156" s="668">
        <f t="shared" si="58"/>
        <v>0</v>
      </c>
      <c r="AQ156" s="668">
        <f t="shared" si="43"/>
        <v>0</v>
      </c>
      <c r="AR156" s="668">
        <f t="shared" si="44"/>
        <v>0</v>
      </c>
      <c r="AS156" s="668"/>
      <c r="AT156" s="668"/>
      <c r="AU156" s="668"/>
      <c r="AV156" s="668"/>
      <c r="AW156" s="668"/>
      <c r="AX156" s="668"/>
      <c r="AY156" s="668"/>
      <c r="AZ156" s="668"/>
      <c r="BA156" s="668"/>
      <c r="BB156" s="668">
        <f t="shared" si="59"/>
        <v>0</v>
      </c>
      <c r="BC156" s="668"/>
      <c r="BD156" s="668"/>
      <c r="BE156" s="668"/>
      <c r="BF156" s="668"/>
      <c r="BG156" s="668"/>
      <c r="BH156" s="668"/>
      <c r="BI156" s="668"/>
    </row>
    <row r="157" spans="1:61" x14ac:dyDescent="0.2">
      <c r="A157" s="1012">
        <v>1123</v>
      </c>
      <c r="B157" s="1012" t="s">
        <v>555</v>
      </c>
      <c r="C157" s="1012" t="s">
        <v>984</v>
      </c>
      <c r="D157" s="667">
        <v>538</v>
      </c>
      <c r="E157" s="667"/>
      <c r="F157" s="667"/>
      <c r="G157" s="667"/>
      <c r="H157" s="667"/>
      <c r="I157" s="667"/>
      <c r="J157" s="667"/>
      <c r="K157" s="667"/>
      <c r="L157" s="667"/>
      <c r="M157" s="667"/>
      <c r="N157" s="667"/>
      <c r="O157" s="667"/>
      <c r="P157" s="667"/>
      <c r="Q157" s="667"/>
      <c r="R157" s="667"/>
      <c r="S157" s="667"/>
      <c r="T157" s="667"/>
      <c r="U157" s="1012">
        <v>30</v>
      </c>
      <c r="V157" s="668">
        <f t="shared" si="46"/>
        <v>16140</v>
      </c>
      <c r="W157" s="668">
        <f t="shared" si="47"/>
        <v>0</v>
      </c>
      <c r="X157" s="668">
        <f t="shared" si="48"/>
        <v>0</v>
      </c>
      <c r="Y157" s="668">
        <f t="shared" si="49"/>
        <v>0</v>
      </c>
      <c r="Z157" s="668">
        <f t="shared" si="51"/>
        <v>16140</v>
      </c>
      <c r="AA157" s="668">
        <f t="shared" si="52"/>
        <v>0</v>
      </c>
      <c r="AB157" s="668">
        <f t="shared" si="53"/>
        <v>0</v>
      </c>
      <c r="AC157" s="668">
        <f t="shared" si="45"/>
        <v>0</v>
      </c>
      <c r="AD157" s="668">
        <f t="shared" si="54"/>
        <v>0</v>
      </c>
      <c r="AE157" s="668">
        <f t="shared" si="55"/>
        <v>0</v>
      </c>
      <c r="AF157" s="668">
        <f t="shared" si="50"/>
        <v>0</v>
      </c>
      <c r="AG157" s="668">
        <f t="shared" si="56"/>
        <v>0</v>
      </c>
      <c r="AH157" s="668"/>
      <c r="AI157" s="668"/>
      <c r="AJ157" s="668"/>
      <c r="AK157" s="668"/>
      <c r="AL157" s="668"/>
      <c r="AM157" s="668">
        <f t="shared" si="57"/>
        <v>0</v>
      </c>
      <c r="AN157" s="668">
        <f t="shared" si="41"/>
        <v>0</v>
      </c>
      <c r="AO157" s="668">
        <f t="shared" si="42"/>
        <v>0</v>
      </c>
      <c r="AP157" s="668">
        <f t="shared" si="58"/>
        <v>0</v>
      </c>
      <c r="AQ157" s="668">
        <f t="shared" si="43"/>
        <v>0</v>
      </c>
      <c r="AR157" s="668">
        <f t="shared" si="44"/>
        <v>0</v>
      </c>
      <c r="AS157" s="668"/>
      <c r="AT157" s="668"/>
      <c r="AU157" s="668"/>
      <c r="AV157" s="668"/>
      <c r="AW157" s="668"/>
      <c r="AX157" s="668"/>
      <c r="AY157" s="668"/>
      <c r="AZ157" s="668"/>
      <c r="BA157" s="668"/>
      <c r="BB157" s="668">
        <f t="shared" si="59"/>
        <v>0</v>
      </c>
      <c r="BC157" s="668"/>
      <c r="BD157" s="668"/>
      <c r="BE157" s="668"/>
      <c r="BF157" s="668"/>
      <c r="BG157" s="668"/>
      <c r="BH157" s="668"/>
      <c r="BI157" s="668"/>
    </row>
    <row r="158" spans="1:61" x14ac:dyDescent="0.2">
      <c r="A158" s="1012">
        <v>1124</v>
      </c>
      <c r="B158" s="1012" t="s">
        <v>983</v>
      </c>
      <c r="C158" s="1012"/>
      <c r="D158" s="667"/>
      <c r="E158" s="667"/>
      <c r="F158" s="667"/>
      <c r="G158" s="667"/>
      <c r="H158" s="667"/>
      <c r="I158" s="667"/>
      <c r="J158" s="667"/>
      <c r="K158" s="667"/>
      <c r="L158" s="667"/>
      <c r="M158" s="667"/>
      <c r="N158" s="667"/>
      <c r="O158" s="667"/>
      <c r="P158" s="667"/>
      <c r="Q158" s="667"/>
      <c r="R158" s="667"/>
      <c r="S158" s="667"/>
      <c r="T158" s="667"/>
      <c r="U158" s="1012"/>
      <c r="V158" s="668">
        <f t="shared" si="46"/>
        <v>0</v>
      </c>
      <c r="W158" s="668">
        <f t="shared" si="47"/>
        <v>0</v>
      </c>
      <c r="X158" s="668">
        <f t="shared" si="48"/>
        <v>0</v>
      </c>
      <c r="Y158" s="668">
        <f t="shared" si="49"/>
        <v>0</v>
      </c>
      <c r="Z158" s="668">
        <f t="shared" si="51"/>
        <v>0</v>
      </c>
      <c r="AA158" s="668">
        <f t="shared" si="52"/>
        <v>0</v>
      </c>
      <c r="AB158" s="668">
        <f t="shared" si="53"/>
        <v>0</v>
      </c>
      <c r="AC158" s="668">
        <f t="shared" si="45"/>
        <v>0</v>
      </c>
      <c r="AD158" s="668">
        <f t="shared" si="54"/>
        <v>0</v>
      </c>
      <c r="AE158" s="668">
        <f t="shared" si="55"/>
        <v>0</v>
      </c>
      <c r="AF158" s="668">
        <f t="shared" si="50"/>
        <v>0</v>
      </c>
      <c r="AG158" s="668">
        <f t="shared" si="56"/>
        <v>0</v>
      </c>
      <c r="AH158" s="668"/>
      <c r="AI158" s="668"/>
      <c r="AJ158" s="668"/>
      <c r="AK158" s="668"/>
      <c r="AL158" s="668"/>
      <c r="AM158" s="668">
        <f t="shared" si="57"/>
        <v>0</v>
      </c>
      <c r="AN158" s="668">
        <f t="shared" si="41"/>
        <v>0</v>
      </c>
      <c r="AO158" s="668">
        <f t="shared" si="42"/>
        <v>0</v>
      </c>
      <c r="AP158" s="668">
        <f t="shared" si="58"/>
        <v>0</v>
      </c>
      <c r="AQ158" s="668">
        <f t="shared" si="43"/>
        <v>0</v>
      </c>
      <c r="AR158" s="668">
        <f t="shared" si="44"/>
        <v>0</v>
      </c>
      <c r="AS158" s="668"/>
      <c r="AT158" s="668"/>
      <c r="AU158" s="668"/>
      <c r="AV158" s="668"/>
      <c r="AW158" s="668"/>
      <c r="AX158" s="668"/>
      <c r="AY158" s="668"/>
      <c r="AZ158" s="668"/>
      <c r="BA158" s="668"/>
      <c r="BB158" s="668">
        <f t="shared" si="59"/>
        <v>0</v>
      </c>
      <c r="BC158" s="668"/>
      <c r="BD158" s="668"/>
      <c r="BE158" s="668"/>
      <c r="BF158" s="668"/>
      <c r="BG158" s="668"/>
      <c r="BH158" s="668"/>
      <c r="BI158" s="668"/>
    </row>
    <row r="159" spans="1:61" x14ac:dyDescent="0.2">
      <c r="A159" s="1012">
        <v>1125</v>
      </c>
      <c r="B159" s="1012" t="s">
        <v>556</v>
      </c>
      <c r="C159" s="1012" t="s">
        <v>984</v>
      </c>
      <c r="D159" s="667">
        <v>258</v>
      </c>
      <c r="E159" s="667"/>
      <c r="F159" s="667"/>
      <c r="G159" s="667"/>
      <c r="H159" s="667"/>
      <c r="I159" s="667"/>
      <c r="J159" s="667"/>
      <c r="K159" s="667"/>
      <c r="L159" s="667"/>
      <c r="M159" s="667"/>
      <c r="N159" s="667"/>
      <c r="O159" s="667"/>
      <c r="P159" s="667"/>
      <c r="Q159" s="667"/>
      <c r="R159" s="667"/>
      <c r="S159" s="667"/>
      <c r="T159" s="667"/>
      <c r="U159" s="1012">
        <v>10.5</v>
      </c>
      <c r="V159" s="668">
        <f t="shared" si="46"/>
        <v>2709</v>
      </c>
      <c r="W159" s="668">
        <f t="shared" si="47"/>
        <v>0</v>
      </c>
      <c r="X159" s="668">
        <f t="shared" si="48"/>
        <v>0</v>
      </c>
      <c r="Y159" s="668">
        <f t="shared" si="49"/>
        <v>0</v>
      </c>
      <c r="Z159" s="668">
        <f t="shared" si="51"/>
        <v>2709</v>
      </c>
      <c r="AA159" s="668">
        <f t="shared" si="52"/>
        <v>0</v>
      </c>
      <c r="AB159" s="668">
        <f t="shared" si="53"/>
        <v>0</v>
      </c>
      <c r="AC159" s="668">
        <f t="shared" si="45"/>
        <v>0</v>
      </c>
      <c r="AD159" s="668">
        <f t="shared" si="54"/>
        <v>0</v>
      </c>
      <c r="AE159" s="668">
        <f t="shared" si="55"/>
        <v>0</v>
      </c>
      <c r="AF159" s="668">
        <f t="shared" si="50"/>
        <v>0</v>
      </c>
      <c r="AG159" s="668">
        <f t="shared" si="56"/>
        <v>0</v>
      </c>
      <c r="AH159" s="668"/>
      <c r="AI159" s="668"/>
      <c r="AJ159" s="668"/>
      <c r="AK159" s="668"/>
      <c r="AL159" s="668"/>
      <c r="AM159" s="668">
        <f t="shared" si="57"/>
        <v>0</v>
      </c>
      <c r="AN159" s="668">
        <f t="shared" si="41"/>
        <v>0</v>
      </c>
      <c r="AO159" s="668">
        <f t="shared" si="42"/>
        <v>0</v>
      </c>
      <c r="AP159" s="668">
        <f t="shared" si="58"/>
        <v>0</v>
      </c>
      <c r="AQ159" s="668">
        <f t="shared" si="43"/>
        <v>0</v>
      </c>
      <c r="AR159" s="668">
        <f t="shared" si="44"/>
        <v>0</v>
      </c>
      <c r="AS159" s="668"/>
      <c r="AT159" s="668"/>
      <c r="AU159" s="668"/>
      <c r="AV159" s="668"/>
      <c r="AW159" s="668"/>
      <c r="AX159" s="668"/>
      <c r="AY159" s="668"/>
      <c r="AZ159" s="668"/>
      <c r="BA159" s="668"/>
      <c r="BB159" s="668">
        <f t="shared" si="59"/>
        <v>0</v>
      </c>
      <c r="BC159" s="668"/>
      <c r="BD159" s="668"/>
      <c r="BE159" s="668"/>
      <c r="BF159" s="668"/>
      <c r="BG159" s="668"/>
      <c r="BH159" s="668"/>
      <c r="BI159" s="668"/>
    </row>
    <row r="160" spans="1:61" x14ac:dyDescent="0.2">
      <c r="A160" s="1012">
        <v>1126</v>
      </c>
      <c r="B160" s="1012" t="s">
        <v>557</v>
      </c>
      <c r="C160" s="1012" t="s">
        <v>984</v>
      </c>
      <c r="D160" s="667">
        <v>260</v>
      </c>
      <c r="E160" s="667"/>
      <c r="F160" s="667"/>
      <c r="G160" s="667"/>
      <c r="H160" s="667"/>
      <c r="I160" s="667"/>
      <c r="J160" s="667"/>
      <c r="K160" s="667"/>
      <c r="L160" s="667"/>
      <c r="M160" s="667"/>
      <c r="N160" s="667"/>
      <c r="O160" s="667"/>
      <c r="P160" s="667"/>
      <c r="Q160" s="667"/>
      <c r="R160" s="667"/>
      <c r="S160" s="667"/>
      <c r="T160" s="667"/>
      <c r="U160" s="1012">
        <v>10.5</v>
      </c>
      <c r="V160" s="668">
        <f t="shared" si="46"/>
        <v>2730</v>
      </c>
      <c r="W160" s="668">
        <f t="shared" si="47"/>
        <v>0</v>
      </c>
      <c r="X160" s="668">
        <f t="shared" si="48"/>
        <v>0</v>
      </c>
      <c r="Y160" s="668">
        <f t="shared" si="49"/>
        <v>0</v>
      </c>
      <c r="Z160" s="668">
        <f t="shared" si="51"/>
        <v>2730</v>
      </c>
      <c r="AA160" s="668">
        <f t="shared" si="52"/>
        <v>0</v>
      </c>
      <c r="AB160" s="668">
        <f t="shared" si="53"/>
        <v>0</v>
      </c>
      <c r="AC160" s="668">
        <f t="shared" si="45"/>
        <v>0</v>
      </c>
      <c r="AD160" s="668">
        <f t="shared" si="54"/>
        <v>0</v>
      </c>
      <c r="AE160" s="668">
        <f t="shared" si="55"/>
        <v>0</v>
      </c>
      <c r="AF160" s="668">
        <f t="shared" si="50"/>
        <v>0</v>
      </c>
      <c r="AG160" s="668">
        <f t="shared" si="56"/>
        <v>0</v>
      </c>
      <c r="AH160" s="668"/>
      <c r="AI160" s="668"/>
      <c r="AJ160" s="668"/>
      <c r="AK160" s="668"/>
      <c r="AL160" s="668"/>
      <c r="AM160" s="668">
        <f t="shared" si="57"/>
        <v>0</v>
      </c>
      <c r="AN160" s="668">
        <f t="shared" si="41"/>
        <v>0</v>
      </c>
      <c r="AO160" s="668">
        <f t="shared" si="42"/>
        <v>0</v>
      </c>
      <c r="AP160" s="668">
        <f t="shared" si="58"/>
        <v>0</v>
      </c>
      <c r="AQ160" s="668">
        <f t="shared" si="43"/>
        <v>0</v>
      </c>
      <c r="AR160" s="668">
        <f t="shared" si="44"/>
        <v>0</v>
      </c>
      <c r="AS160" s="668"/>
      <c r="AT160" s="668"/>
      <c r="AU160" s="668"/>
      <c r="AV160" s="668"/>
      <c r="AW160" s="668"/>
      <c r="AX160" s="668"/>
      <c r="AY160" s="668"/>
      <c r="AZ160" s="668"/>
      <c r="BA160" s="668"/>
      <c r="BB160" s="668">
        <f t="shared" si="59"/>
        <v>0</v>
      </c>
      <c r="BC160" s="668"/>
      <c r="BD160" s="668"/>
      <c r="BE160" s="668"/>
      <c r="BF160" s="668"/>
      <c r="BG160" s="668"/>
      <c r="BH160" s="668"/>
      <c r="BI160" s="668"/>
    </row>
    <row r="161" spans="1:61" x14ac:dyDescent="0.2">
      <c r="A161" s="1012">
        <v>1127</v>
      </c>
      <c r="B161" s="1012" t="s">
        <v>558</v>
      </c>
      <c r="C161" s="1012"/>
      <c r="D161" s="667">
        <v>550</v>
      </c>
      <c r="E161" s="667"/>
      <c r="F161" s="667"/>
      <c r="G161" s="667"/>
      <c r="H161" s="667"/>
      <c r="I161" s="667">
        <v>550</v>
      </c>
      <c r="J161" s="667"/>
      <c r="K161" s="667"/>
      <c r="L161" s="667">
        <v>14</v>
      </c>
      <c r="M161" s="667"/>
      <c r="N161" s="667"/>
      <c r="O161" s="667"/>
      <c r="P161" s="667"/>
      <c r="Q161" s="667"/>
      <c r="R161" s="667"/>
      <c r="S161" s="667"/>
      <c r="T161" s="667">
        <v>15302</v>
      </c>
      <c r="U161" s="1012">
        <v>17</v>
      </c>
      <c r="V161" s="668">
        <f t="shared" si="46"/>
        <v>9350</v>
      </c>
      <c r="W161" s="668">
        <f t="shared" si="47"/>
        <v>0</v>
      </c>
      <c r="X161" s="668">
        <f t="shared" si="48"/>
        <v>0</v>
      </c>
      <c r="Y161" s="668">
        <f t="shared" si="49"/>
        <v>0</v>
      </c>
      <c r="Z161" s="668">
        <f t="shared" si="51"/>
        <v>0</v>
      </c>
      <c r="AA161" s="668">
        <f t="shared" si="52"/>
        <v>0</v>
      </c>
      <c r="AB161" s="668">
        <f t="shared" si="53"/>
        <v>15302</v>
      </c>
      <c r="AC161" s="668">
        <f t="shared" si="45"/>
        <v>0</v>
      </c>
      <c r="AD161" s="668">
        <f t="shared" si="54"/>
        <v>0</v>
      </c>
      <c r="AE161" s="668">
        <f t="shared" si="55"/>
        <v>0</v>
      </c>
      <c r="AF161" s="668">
        <f t="shared" si="50"/>
        <v>238</v>
      </c>
      <c r="AG161" s="668">
        <f t="shared" si="56"/>
        <v>0</v>
      </c>
      <c r="AH161" s="668"/>
      <c r="AI161" s="668"/>
      <c r="AJ161" s="668"/>
      <c r="AK161" s="668"/>
      <c r="AL161" s="668"/>
      <c r="AM161" s="668">
        <f t="shared" si="57"/>
        <v>550</v>
      </c>
      <c r="AN161" s="668">
        <f t="shared" si="41"/>
        <v>0</v>
      </c>
      <c r="AO161" s="668">
        <f t="shared" si="42"/>
        <v>0</v>
      </c>
      <c r="AP161" s="668">
        <f t="shared" si="58"/>
        <v>0</v>
      </c>
      <c r="AQ161" s="668">
        <f t="shared" si="43"/>
        <v>0</v>
      </c>
      <c r="AR161" s="668">
        <f t="shared" si="44"/>
        <v>0</v>
      </c>
      <c r="AS161" s="668"/>
      <c r="AT161" s="668"/>
      <c r="AU161" s="668"/>
      <c r="AV161" s="668"/>
      <c r="AW161" s="668"/>
      <c r="AX161" s="668"/>
      <c r="AY161" s="668"/>
      <c r="AZ161" s="668"/>
      <c r="BA161" s="668"/>
      <c r="BB161" s="668">
        <f t="shared" si="59"/>
        <v>0</v>
      </c>
      <c r="BC161" s="668"/>
      <c r="BD161" s="668"/>
      <c r="BE161" s="668"/>
      <c r="BF161" s="668"/>
      <c r="BG161" s="668"/>
      <c r="BH161" s="668"/>
      <c r="BI161" s="668"/>
    </row>
    <row r="162" spans="1:61" x14ac:dyDescent="0.2">
      <c r="A162" s="1012">
        <v>1128</v>
      </c>
      <c r="B162" s="1012" t="s">
        <v>486</v>
      </c>
      <c r="C162" s="1012"/>
      <c r="D162" s="667">
        <v>57</v>
      </c>
      <c r="E162" s="667"/>
      <c r="F162" s="667"/>
      <c r="G162" s="667"/>
      <c r="H162" s="667"/>
      <c r="I162" s="667"/>
      <c r="J162" s="667"/>
      <c r="K162" s="667"/>
      <c r="L162" s="667">
        <v>2</v>
      </c>
      <c r="M162" s="667"/>
      <c r="N162" s="667"/>
      <c r="O162" s="667"/>
      <c r="P162" s="667">
        <v>8</v>
      </c>
      <c r="Q162" s="1014">
        <v>144</v>
      </c>
      <c r="R162" s="667"/>
      <c r="S162" s="667"/>
      <c r="T162" s="667"/>
      <c r="U162" s="1012">
        <v>17</v>
      </c>
      <c r="V162" s="668">
        <f t="shared" si="46"/>
        <v>969</v>
      </c>
      <c r="W162" s="668">
        <f t="shared" si="47"/>
        <v>0</v>
      </c>
      <c r="X162" s="668">
        <f t="shared" si="48"/>
        <v>0</v>
      </c>
      <c r="Y162" s="668">
        <f t="shared" si="49"/>
        <v>0</v>
      </c>
      <c r="Z162" s="668">
        <f t="shared" si="51"/>
        <v>0</v>
      </c>
      <c r="AA162" s="668">
        <f t="shared" si="52"/>
        <v>0</v>
      </c>
      <c r="AB162" s="668">
        <f t="shared" si="53"/>
        <v>0</v>
      </c>
      <c r="AC162" s="668">
        <f t="shared" si="45"/>
        <v>136</v>
      </c>
      <c r="AD162" s="668">
        <f t="shared" si="54"/>
        <v>144</v>
      </c>
      <c r="AE162" s="668">
        <f t="shared" si="55"/>
        <v>0</v>
      </c>
      <c r="AF162" s="668">
        <f t="shared" si="50"/>
        <v>34</v>
      </c>
      <c r="AG162" s="668">
        <f t="shared" si="56"/>
        <v>0</v>
      </c>
      <c r="AH162" s="668"/>
      <c r="AI162" s="668"/>
      <c r="AJ162" s="668"/>
      <c r="AK162" s="668"/>
      <c r="AL162" s="668"/>
      <c r="AM162" s="668">
        <f t="shared" si="57"/>
        <v>0</v>
      </c>
      <c r="AN162" s="668">
        <f t="shared" si="41"/>
        <v>0</v>
      </c>
      <c r="AO162" s="668">
        <f t="shared" si="42"/>
        <v>0</v>
      </c>
      <c r="AP162" s="668">
        <f t="shared" si="58"/>
        <v>0</v>
      </c>
      <c r="AQ162" s="668">
        <f t="shared" si="43"/>
        <v>0</v>
      </c>
      <c r="AR162" s="668">
        <f t="shared" si="44"/>
        <v>0</v>
      </c>
      <c r="AS162" s="668"/>
      <c r="AT162" s="668"/>
      <c r="AU162" s="668"/>
      <c r="AV162" s="668"/>
      <c r="AW162" s="668"/>
      <c r="AX162" s="668"/>
      <c r="AY162" s="668"/>
      <c r="AZ162" s="668"/>
      <c r="BA162" s="668"/>
      <c r="BB162" s="668">
        <f t="shared" si="59"/>
        <v>0</v>
      </c>
      <c r="BC162" s="668"/>
      <c r="BD162" s="668"/>
      <c r="BE162" s="668"/>
      <c r="BF162" s="668"/>
      <c r="BG162" s="668"/>
      <c r="BH162" s="668"/>
      <c r="BI162" s="668"/>
    </row>
    <row r="163" spans="1:61" x14ac:dyDescent="0.2">
      <c r="A163" s="1012">
        <v>1129</v>
      </c>
      <c r="B163" s="1012" t="s">
        <v>559</v>
      </c>
      <c r="C163" s="1012"/>
      <c r="D163" s="667">
        <v>60</v>
      </c>
      <c r="E163" s="667"/>
      <c r="F163" s="667"/>
      <c r="G163" s="667"/>
      <c r="H163" s="667"/>
      <c r="I163" s="667"/>
      <c r="J163" s="667"/>
      <c r="K163" s="667"/>
      <c r="L163" s="667"/>
      <c r="M163" s="667"/>
      <c r="N163" s="667"/>
      <c r="O163" s="667"/>
      <c r="P163" s="667"/>
      <c r="Q163" s="667"/>
      <c r="R163" s="667"/>
      <c r="S163" s="667"/>
      <c r="T163" s="667"/>
      <c r="U163" s="1012">
        <v>17</v>
      </c>
      <c r="V163" s="668">
        <f t="shared" si="46"/>
        <v>1020</v>
      </c>
      <c r="W163" s="668">
        <f t="shared" si="47"/>
        <v>0</v>
      </c>
      <c r="X163" s="668">
        <f t="shared" si="48"/>
        <v>0</v>
      </c>
      <c r="Y163" s="668">
        <f t="shared" si="49"/>
        <v>0</v>
      </c>
      <c r="Z163" s="668">
        <f t="shared" si="51"/>
        <v>0</v>
      </c>
      <c r="AA163" s="668">
        <f t="shared" si="52"/>
        <v>0</v>
      </c>
      <c r="AB163" s="668">
        <f t="shared" si="53"/>
        <v>0</v>
      </c>
      <c r="AC163" s="668">
        <f t="shared" si="45"/>
        <v>0</v>
      </c>
      <c r="AD163" s="668">
        <f t="shared" si="54"/>
        <v>0</v>
      </c>
      <c r="AE163" s="668">
        <f t="shared" si="55"/>
        <v>0</v>
      </c>
      <c r="AF163" s="668">
        <f t="shared" si="50"/>
        <v>0</v>
      </c>
      <c r="AG163" s="668">
        <f t="shared" si="56"/>
        <v>0</v>
      </c>
      <c r="AH163" s="668"/>
      <c r="AI163" s="668"/>
      <c r="AJ163" s="668"/>
      <c r="AK163" s="668"/>
      <c r="AL163" s="668"/>
      <c r="AM163" s="668">
        <f t="shared" si="57"/>
        <v>0</v>
      </c>
      <c r="AN163" s="668">
        <f t="shared" si="41"/>
        <v>0</v>
      </c>
      <c r="AO163" s="668">
        <f t="shared" si="42"/>
        <v>0</v>
      </c>
      <c r="AP163" s="668">
        <f t="shared" si="58"/>
        <v>0</v>
      </c>
      <c r="AQ163" s="668">
        <f t="shared" si="43"/>
        <v>0</v>
      </c>
      <c r="AR163" s="668">
        <f t="shared" si="44"/>
        <v>0</v>
      </c>
      <c r="AS163" s="668"/>
      <c r="AT163" s="668"/>
      <c r="AU163" s="668"/>
      <c r="AV163" s="668"/>
      <c r="AW163" s="668"/>
      <c r="AX163" s="668"/>
      <c r="AY163" s="668"/>
      <c r="AZ163" s="668"/>
      <c r="BA163" s="668"/>
      <c r="BB163" s="668">
        <f t="shared" si="59"/>
        <v>0</v>
      </c>
      <c r="BC163" s="668"/>
      <c r="BD163" s="668"/>
      <c r="BE163" s="668"/>
      <c r="BF163" s="668"/>
      <c r="BG163" s="668"/>
      <c r="BH163" s="668"/>
      <c r="BI163" s="668"/>
    </row>
    <row r="164" spans="1:61" x14ac:dyDescent="0.2">
      <c r="A164" s="1012">
        <v>1130</v>
      </c>
      <c r="B164" s="1012" t="s">
        <v>476</v>
      </c>
      <c r="C164" s="1012"/>
      <c r="D164" s="667">
        <v>67</v>
      </c>
      <c r="E164" s="667"/>
      <c r="F164" s="667"/>
      <c r="G164" s="667"/>
      <c r="H164" s="667"/>
      <c r="I164" s="667"/>
      <c r="J164" s="667"/>
      <c r="K164" s="667"/>
      <c r="L164" s="667">
        <v>2</v>
      </c>
      <c r="M164" s="667"/>
      <c r="N164" s="667"/>
      <c r="O164" s="667"/>
      <c r="P164" s="667">
        <v>16</v>
      </c>
      <c r="Q164" s="667"/>
      <c r="R164" s="667"/>
      <c r="S164" s="667"/>
      <c r="T164" s="667"/>
      <c r="U164" s="1012">
        <v>17</v>
      </c>
      <c r="V164" s="668">
        <f t="shared" si="46"/>
        <v>1139</v>
      </c>
      <c r="W164" s="668">
        <f t="shared" si="47"/>
        <v>0</v>
      </c>
      <c r="X164" s="668">
        <f t="shared" si="48"/>
        <v>0</v>
      </c>
      <c r="Y164" s="668">
        <f t="shared" si="49"/>
        <v>0</v>
      </c>
      <c r="Z164" s="668">
        <f t="shared" si="51"/>
        <v>0</v>
      </c>
      <c r="AA164" s="668">
        <f t="shared" si="52"/>
        <v>0</v>
      </c>
      <c r="AB164" s="668">
        <f t="shared" si="53"/>
        <v>0</v>
      </c>
      <c r="AC164" s="668">
        <f t="shared" si="45"/>
        <v>272</v>
      </c>
      <c r="AD164" s="668">
        <f t="shared" si="54"/>
        <v>0</v>
      </c>
      <c r="AE164" s="668">
        <f t="shared" si="55"/>
        <v>0</v>
      </c>
      <c r="AF164" s="668">
        <f t="shared" si="50"/>
        <v>34</v>
      </c>
      <c r="AG164" s="668">
        <f t="shared" si="56"/>
        <v>0</v>
      </c>
      <c r="AH164" s="668"/>
      <c r="AI164" s="668"/>
      <c r="AJ164" s="668"/>
      <c r="AK164" s="668"/>
      <c r="AL164" s="668"/>
      <c r="AM164" s="668">
        <f t="shared" si="57"/>
        <v>0</v>
      </c>
      <c r="AN164" s="668">
        <f t="shared" si="41"/>
        <v>0</v>
      </c>
      <c r="AO164" s="668">
        <f t="shared" si="42"/>
        <v>0</v>
      </c>
      <c r="AP164" s="668">
        <f t="shared" si="58"/>
        <v>0</v>
      </c>
      <c r="AQ164" s="668">
        <f t="shared" si="43"/>
        <v>0</v>
      </c>
      <c r="AR164" s="668">
        <f t="shared" si="44"/>
        <v>0</v>
      </c>
      <c r="AS164" s="668"/>
      <c r="AT164" s="668"/>
      <c r="AU164" s="668"/>
      <c r="AV164" s="668"/>
      <c r="AW164" s="668"/>
      <c r="AX164" s="668"/>
      <c r="AY164" s="668"/>
      <c r="AZ164" s="668"/>
      <c r="BA164" s="668"/>
      <c r="BB164" s="668">
        <f t="shared" si="59"/>
        <v>0</v>
      </c>
      <c r="BC164" s="668"/>
      <c r="BD164" s="668"/>
      <c r="BE164" s="668"/>
      <c r="BF164" s="668"/>
      <c r="BG164" s="668"/>
      <c r="BH164" s="668"/>
      <c r="BI164" s="668"/>
    </row>
    <row r="165" spans="1:61" x14ac:dyDescent="0.2">
      <c r="A165" s="1012">
        <v>1131</v>
      </c>
      <c r="B165" s="1012" t="s">
        <v>560</v>
      </c>
      <c r="C165" s="1012" t="s">
        <v>984</v>
      </c>
      <c r="D165" s="667">
        <v>57</v>
      </c>
      <c r="E165" s="667"/>
      <c r="F165" s="667"/>
      <c r="G165" s="667"/>
      <c r="H165" s="667"/>
      <c r="I165" s="667"/>
      <c r="J165" s="667"/>
      <c r="K165" s="667"/>
      <c r="L165" s="667">
        <v>4</v>
      </c>
      <c r="M165" s="667"/>
      <c r="N165" s="667"/>
      <c r="O165" s="667"/>
      <c r="P165" s="667"/>
      <c r="Q165" s="1014">
        <v>140</v>
      </c>
      <c r="R165" s="667"/>
      <c r="S165" s="667"/>
      <c r="T165" s="667">
        <v>140</v>
      </c>
      <c r="U165" s="1012">
        <v>17</v>
      </c>
      <c r="V165" s="668">
        <f t="shared" si="46"/>
        <v>969</v>
      </c>
      <c r="W165" s="668">
        <f t="shared" si="47"/>
        <v>0</v>
      </c>
      <c r="X165" s="668">
        <f t="shared" si="48"/>
        <v>0</v>
      </c>
      <c r="Y165" s="668">
        <f t="shared" si="49"/>
        <v>0</v>
      </c>
      <c r="Z165" s="668">
        <f t="shared" si="51"/>
        <v>969</v>
      </c>
      <c r="AA165" s="668">
        <f t="shared" si="52"/>
        <v>0</v>
      </c>
      <c r="AB165" s="668">
        <f t="shared" si="53"/>
        <v>140</v>
      </c>
      <c r="AC165" s="668">
        <f t="shared" si="45"/>
        <v>0</v>
      </c>
      <c r="AD165" s="668">
        <f t="shared" si="54"/>
        <v>140</v>
      </c>
      <c r="AE165" s="668">
        <f t="shared" si="55"/>
        <v>0</v>
      </c>
      <c r="AF165" s="668">
        <f t="shared" si="50"/>
        <v>68</v>
      </c>
      <c r="AG165" s="668">
        <f t="shared" si="56"/>
        <v>0</v>
      </c>
      <c r="AH165" s="668"/>
      <c r="AI165" s="668"/>
      <c r="AJ165" s="668"/>
      <c r="AK165" s="668"/>
      <c r="AL165" s="668"/>
      <c r="AM165" s="668">
        <f t="shared" si="57"/>
        <v>0</v>
      </c>
      <c r="AN165" s="668">
        <f t="shared" si="41"/>
        <v>0</v>
      </c>
      <c r="AO165" s="668">
        <f t="shared" si="42"/>
        <v>0</v>
      </c>
      <c r="AP165" s="668">
        <f t="shared" si="58"/>
        <v>0</v>
      </c>
      <c r="AQ165" s="668">
        <f t="shared" si="43"/>
        <v>0</v>
      </c>
      <c r="AR165" s="668">
        <f t="shared" si="44"/>
        <v>0</v>
      </c>
      <c r="AS165" s="668"/>
      <c r="AT165" s="668"/>
      <c r="AU165" s="668"/>
      <c r="AV165" s="668"/>
      <c r="AW165" s="668"/>
      <c r="AX165" s="668"/>
      <c r="AY165" s="668"/>
      <c r="AZ165" s="668"/>
      <c r="BA165" s="668"/>
      <c r="BB165" s="668">
        <f t="shared" si="59"/>
        <v>0</v>
      </c>
      <c r="BC165" s="668"/>
      <c r="BD165" s="668"/>
      <c r="BE165" s="668"/>
      <c r="BF165" s="668"/>
      <c r="BG165" s="668"/>
      <c r="BH165" s="668"/>
      <c r="BI165" s="668"/>
    </row>
    <row r="166" spans="1:61" x14ac:dyDescent="0.2">
      <c r="A166" s="1012">
        <v>1132</v>
      </c>
      <c r="B166" s="1012" t="s">
        <v>486</v>
      </c>
      <c r="C166" s="1012"/>
      <c r="D166" s="667">
        <v>103</v>
      </c>
      <c r="E166" s="667"/>
      <c r="F166" s="667"/>
      <c r="G166" s="667"/>
      <c r="H166" s="667"/>
      <c r="I166" s="667"/>
      <c r="J166" s="667"/>
      <c r="K166" s="667"/>
      <c r="L166" s="667">
        <v>6</v>
      </c>
      <c r="M166" s="667"/>
      <c r="N166" s="667"/>
      <c r="O166" s="667"/>
      <c r="P166" s="667">
        <v>20</v>
      </c>
      <c r="Q166" s="1014">
        <v>307</v>
      </c>
      <c r="R166" s="667"/>
      <c r="S166" s="667"/>
      <c r="T166" s="667"/>
      <c r="U166" s="1012">
        <v>17</v>
      </c>
      <c r="V166" s="668">
        <f t="shared" si="46"/>
        <v>1751</v>
      </c>
      <c r="W166" s="668">
        <f t="shared" si="47"/>
        <v>0</v>
      </c>
      <c r="X166" s="668">
        <f t="shared" si="48"/>
        <v>0</v>
      </c>
      <c r="Y166" s="668">
        <f t="shared" si="49"/>
        <v>0</v>
      </c>
      <c r="Z166" s="668">
        <f t="shared" si="51"/>
        <v>0</v>
      </c>
      <c r="AA166" s="668">
        <f t="shared" si="52"/>
        <v>0</v>
      </c>
      <c r="AB166" s="668">
        <f t="shared" si="53"/>
        <v>0</v>
      </c>
      <c r="AC166" s="668">
        <f t="shared" si="45"/>
        <v>340</v>
      </c>
      <c r="AD166" s="668">
        <f t="shared" si="54"/>
        <v>307</v>
      </c>
      <c r="AE166" s="668">
        <f t="shared" si="55"/>
        <v>0</v>
      </c>
      <c r="AF166" s="668">
        <f t="shared" si="50"/>
        <v>102</v>
      </c>
      <c r="AG166" s="668">
        <f t="shared" si="56"/>
        <v>0</v>
      </c>
      <c r="AH166" s="668"/>
      <c r="AI166" s="668"/>
      <c r="AJ166" s="668"/>
      <c r="AK166" s="668"/>
      <c r="AL166" s="668"/>
      <c r="AM166" s="668">
        <f t="shared" si="57"/>
        <v>0</v>
      </c>
      <c r="AN166" s="668">
        <f t="shared" si="41"/>
        <v>0</v>
      </c>
      <c r="AO166" s="668">
        <f t="shared" si="42"/>
        <v>0</v>
      </c>
      <c r="AP166" s="668">
        <f t="shared" si="58"/>
        <v>0</v>
      </c>
      <c r="AQ166" s="668">
        <f t="shared" si="43"/>
        <v>0</v>
      </c>
      <c r="AR166" s="668">
        <f t="shared" si="44"/>
        <v>0</v>
      </c>
      <c r="AS166" s="668"/>
      <c r="AT166" s="668"/>
      <c r="AU166" s="668"/>
      <c r="AV166" s="668"/>
      <c r="AW166" s="668"/>
      <c r="AX166" s="668"/>
      <c r="AY166" s="668"/>
      <c r="AZ166" s="668"/>
      <c r="BA166" s="668"/>
      <c r="BB166" s="668">
        <f t="shared" si="59"/>
        <v>0</v>
      </c>
      <c r="BC166" s="668"/>
      <c r="BD166" s="668"/>
      <c r="BE166" s="668"/>
      <c r="BF166" s="668"/>
      <c r="BG166" s="668"/>
      <c r="BH166" s="668"/>
      <c r="BI166" s="668"/>
    </row>
    <row r="167" spans="1:61" x14ac:dyDescent="0.2">
      <c r="A167" s="1012">
        <v>1133</v>
      </c>
      <c r="B167" s="1012" t="s">
        <v>561</v>
      </c>
      <c r="C167" s="1012"/>
      <c r="D167" s="667">
        <v>50</v>
      </c>
      <c r="E167" s="667"/>
      <c r="F167" s="667"/>
      <c r="G167" s="667"/>
      <c r="H167" s="667"/>
      <c r="I167" s="667"/>
      <c r="J167" s="667"/>
      <c r="K167" s="667"/>
      <c r="L167" s="667"/>
      <c r="M167" s="667"/>
      <c r="N167" s="667"/>
      <c r="O167" s="667"/>
      <c r="P167" s="667"/>
      <c r="Q167" s="667"/>
      <c r="R167" s="667"/>
      <c r="S167" s="667"/>
      <c r="T167" s="667"/>
      <c r="U167" s="1012">
        <v>10.5</v>
      </c>
      <c r="V167" s="668">
        <f t="shared" si="46"/>
        <v>525</v>
      </c>
      <c r="W167" s="668">
        <f t="shared" si="47"/>
        <v>0</v>
      </c>
      <c r="X167" s="668">
        <f t="shared" si="48"/>
        <v>0</v>
      </c>
      <c r="Y167" s="668">
        <f t="shared" si="49"/>
        <v>0</v>
      </c>
      <c r="Z167" s="668">
        <f t="shared" si="51"/>
        <v>0</v>
      </c>
      <c r="AA167" s="668">
        <f t="shared" si="52"/>
        <v>0</v>
      </c>
      <c r="AB167" s="668">
        <f t="shared" si="53"/>
        <v>0</v>
      </c>
      <c r="AC167" s="668">
        <f t="shared" si="45"/>
        <v>0</v>
      </c>
      <c r="AD167" s="668">
        <f t="shared" si="54"/>
        <v>0</v>
      </c>
      <c r="AE167" s="668">
        <f t="shared" si="55"/>
        <v>0</v>
      </c>
      <c r="AF167" s="668">
        <f t="shared" si="50"/>
        <v>0</v>
      </c>
      <c r="AG167" s="668">
        <f t="shared" si="56"/>
        <v>0</v>
      </c>
      <c r="AH167" s="668"/>
      <c r="AI167" s="668"/>
      <c r="AJ167" s="668"/>
      <c r="AK167" s="668"/>
      <c r="AL167" s="668"/>
      <c r="AM167" s="668">
        <f t="shared" si="57"/>
        <v>0</v>
      </c>
      <c r="AN167" s="668">
        <f t="shared" si="41"/>
        <v>0</v>
      </c>
      <c r="AO167" s="668">
        <f t="shared" si="42"/>
        <v>0</v>
      </c>
      <c r="AP167" s="668">
        <f t="shared" si="58"/>
        <v>0</v>
      </c>
      <c r="AQ167" s="668">
        <f t="shared" si="43"/>
        <v>0</v>
      </c>
      <c r="AR167" s="668">
        <f t="shared" si="44"/>
        <v>0</v>
      </c>
      <c r="AS167" s="668"/>
      <c r="AT167" s="668"/>
      <c r="AU167" s="668"/>
      <c r="AV167" s="668"/>
      <c r="AW167" s="668"/>
      <c r="AX167" s="668"/>
      <c r="AY167" s="668"/>
      <c r="AZ167" s="668"/>
      <c r="BA167" s="668"/>
      <c r="BB167" s="668">
        <f t="shared" si="59"/>
        <v>0</v>
      </c>
      <c r="BC167" s="668"/>
      <c r="BD167" s="668"/>
      <c r="BE167" s="668"/>
      <c r="BF167" s="668"/>
      <c r="BG167" s="668"/>
      <c r="BH167" s="668"/>
      <c r="BI167" s="668"/>
    </row>
    <row r="168" spans="1:61" x14ac:dyDescent="0.2">
      <c r="A168" s="1012">
        <v>1134</v>
      </c>
      <c r="B168" s="1012" t="s">
        <v>562</v>
      </c>
      <c r="C168" s="1012"/>
      <c r="D168" s="667">
        <v>60</v>
      </c>
      <c r="E168" s="667"/>
      <c r="F168" s="667"/>
      <c r="G168" s="667"/>
      <c r="H168" s="667"/>
      <c r="I168" s="667"/>
      <c r="J168" s="667"/>
      <c r="K168" s="667"/>
      <c r="L168" s="667"/>
      <c r="M168" s="667"/>
      <c r="N168" s="667"/>
      <c r="O168" s="667"/>
      <c r="P168" s="667"/>
      <c r="Q168" s="667"/>
      <c r="R168" s="667"/>
      <c r="S168" s="667"/>
      <c r="T168" s="667"/>
      <c r="U168" s="1012">
        <v>10.5</v>
      </c>
      <c r="V168" s="668">
        <f t="shared" si="46"/>
        <v>630</v>
      </c>
      <c r="W168" s="668">
        <f t="shared" si="47"/>
        <v>0</v>
      </c>
      <c r="X168" s="668">
        <f t="shared" si="48"/>
        <v>0</v>
      </c>
      <c r="Y168" s="668">
        <f t="shared" si="49"/>
        <v>0</v>
      </c>
      <c r="Z168" s="668">
        <f t="shared" si="51"/>
        <v>0</v>
      </c>
      <c r="AA168" s="668">
        <f t="shared" si="52"/>
        <v>0</v>
      </c>
      <c r="AB168" s="668">
        <f t="shared" si="53"/>
        <v>0</v>
      </c>
      <c r="AC168" s="668">
        <f t="shared" si="45"/>
        <v>0</v>
      </c>
      <c r="AD168" s="668">
        <f t="shared" si="54"/>
        <v>0</v>
      </c>
      <c r="AE168" s="668">
        <f t="shared" si="55"/>
        <v>0</v>
      </c>
      <c r="AF168" s="668">
        <f t="shared" si="50"/>
        <v>0</v>
      </c>
      <c r="AG168" s="668">
        <f t="shared" si="56"/>
        <v>0</v>
      </c>
      <c r="AH168" s="668"/>
      <c r="AI168" s="668"/>
      <c r="AJ168" s="668"/>
      <c r="AK168" s="668"/>
      <c r="AL168" s="668"/>
      <c r="AM168" s="668">
        <f t="shared" si="57"/>
        <v>0</v>
      </c>
      <c r="AN168" s="668">
        <f t="shared" si="41"/>
        <v>0</v>
      </c>
      <c r="AO168" s="668">
        <f t="shared" si="42"/>
        <v>0</v>
      </c>
      <c r="AP168" s="668">
        <f t="shared" si="58"/>
        <v>0</v>
      </c>
      <c r="AQ168" s="668">
        <f t="shared" si="43"/>
        <v>0</v>
      </c>
      <c r="AR168" s="668">
        <f t="shared" si="44"/>
        <v>0</v>
      </c>
      <c r="AS168" s="668"/>
      <c r="AT168" s="668"/>
      <c r="AU168" s="668"/>
      <c r="AV168" s="668"/>
      <c r="AW168" s="668"/>
      <c r="AX168" s="668"/>
      <c r="AY168" s="668"/>
      <c r="AZ168" s="668"/>
      <c r="BA168" s="668"/>
      <c r="BB168" s="668">
        <f t="shared" si="59"/>
        <v>0</v>
      </c>
      <c r="BC168" s="668"/>
      <c r="BD168" s="668"/>
      <c r="BE168" s="668"/>
      <c r="BF168" s="668"/>
      <c r="BG168" s="668"/>
      <c r="BH168" s="668"/>
      <c r="BI168" s="668"/>
    </row>
    <row r="169" spans="1:61" x14ac:dyDescent="0.2">
      <c r="A169" s="1012">
        <v>1135</v>
      </c>
      <c r="B169" s="1012" t="s">
        <v>563</v>
      </c>
      <c r="C169" s="1012"/>
      <c r="D169" s="667">
        <v>220</v>
      </c>
      <c r="E169" s="667"/>
      <c r="F169" s="667"/>
      <c r="G169" s="667"/>
      <c r="H169" s="667"/>
      <c r="I169" s="667">
        <f>+D169</f>
        <v>220</v>
      </c>
      <c r="J169" s="667"/>
      <c r="K169" s="667"/>
      <c r="L169" s="667">
        <v>4</v>
      </c>
      <c r="M169" s="667"/>
      <c r="N169" s="667"/>
      <c r="O169" s="667"/>
      <c r="P169" s="667"/>
      <c r="Q169" s="667"/>
      <c r="R169" s="667"/>
      <c r="S169" s="667"/>
      <c r="T169" s="667">
        <v>2025</v>
      </c>
      <c r="U169" s="1012">
        <v>17</v>
      </c>
      <c r="V169" s="668">
        <f t="shared" si="46"/>
        <v>3740</v>
      </c>
      <c r="W169" s="668">
        <f t="shared" si="47"/>
        <v>0</v>
      </c>
      <c r="X169" s="668">
        <f t="shared" si="48"/>
        <v>0</v>
      </c>
      <c r="Y169" s="668">
        <f t="shared" si="49"/>
        <v>0</v>
      </c>
      <c r="Z169" s="668">
        <f t="shared" si="51"/>
        <v>0</v>
      </c>
      <c r="AA169" s="668">
        <f t="shared" si="52"/>
        <v>0</v>
      </c>
      <c r="AB169" s="668">
        <f t="shared" si="53"/>
        <v>2025</v>
      </c>
      <c r="AC169" s="668">
        <f t="shared" si="45"/>
        <v>0</v>
      </c>
      <c r="AD169" s="668">
        <f t="shared" si="54"/>
        <v>0</v>
      </c>
      <c r="AE169" s="668">
        <f t="shared" si="55"/>
        <v>0</v>
      </c>
      <c r="AF169" s="668">
        <f t="shared" si="50"/>
        <v>68</v>
      </c>
      <c r="AG169" s="668">
        <f t="shared" si="56"/>
        <v>0</v>
      </c>
      <c r="AH169" s="668"/>
      <c r="AI169" s="668"/>
      <c r="AJ169" s="668"/>
      <c r="AK169" s="668"/>
      <c r="AL169" s="668"/>
      <c r="AM169" s="668">
        <f t="shared" si="57"/>
        <v>220</v>
      </c>
      <c r="AN169" s="668">
        <f t="shared" si="41"/>
        <v>0</v>
      </c>
      <c r="AO169" s="668">
        <f t="shared" si="42"/>
        <v>0</v>
      </c>
      <c r="AP169" s="668">
        <f t="shared" si="58"/>
        <v>0</v>
      </c>
      <c r="AQ169" s="668">
        <f t="shared" si="43"/>
        <v>0</v>
      </c>
      <c r="AR169" s="668">
        <f t="shared" si="44"/>
        <v>0</v>
      </c>
      <c r="AS169" s="668"/>
      <c r="AT169" s="668"/>
      <c r="AU169" s="668"/>
      <c r="AV169" s="668"/>
      <c r="AW169" s="668"/>
      <c r="AX169" s="668"/>
      <c r="AY169" s="668"/>
      <c r="AZ169" s="668"/>
      <c r="BA169" s="668"/>
      <c r="BB169" s="668">
        <f t="shared" si="59"/>
        <v>0</v>
      </c>
      <c r="BC169" s="668"/>
      <c r="BD169" s="668"/>
      <c r="BE169" s="668"/>
      <c r="BF169" s="668"/>
      <c r="BG169" s="668"/>
      <c r="BH169" s="668"/>
      <c r="BI169" s="668"/>
    </row>
    <row r="170" spans="1:61" x14ac:dyDescent="0.2">
      <c r="A170" s="1012">
        <v>1139</v>
      </c>
      <c r="B170" s="1012" t="s">
        <v>564</v>
      </c>
      <c r="C170" s="1012"/>
      <c r="D170" s="667"/>
      <c r="E170" s="667"/>
      <c r="F170" s="667"/>
      <c r="G170" s="667"/>
      <c r="H170" s="667"/>
      <c r="I170" s="667"/>
      <c r="J170" s="667"/>
      <c r="K170" s="667"/>
      <c r="L170" s="667"/>
      <c r="M170" s="667"/>
      <c r="N170" s="667"/>
      <c r="O170" s="667"/>
      <c r="P170" s="667"/>
      <c r="Q170" s="1014">
        <v>1574</v>
      </c>
      <c r="R170" s="667"/>
      <c r="S170" s="667"/>
      <c r="T170" s="667"/>
      <c r="U170" s="1012"/>
      <c r="V170" s="668">
        <f t="shared" si="46"/>
        <v>0</v>
      </c>
      <c r="W170" s="668">
        <f t="shared" si="47"/>
        <v>0</v>
      </c>
      <c r="X170" s="668">
        <f t="shared" si="48"/>
        <v>0</v>
      </c>
      <c r="Y170" s="668">
        <f t="shared" si="49"/>
        <v>0</v>
      </c>
      <c r="Z170" s="668">
        <f t="shared" si="51"/>
        <v>0</v>
      </c>
      <c r="AA170" s="668">
        <f t="shared" si="52"/>
        <v>0</v>
      </c>
      <c r="AB170" s="668">
        <f t="shared" si="53"/>
        <v>0</v>
      </c>
      <c r="AC170" s="668">
        <f t="shared" si="45"/>
        <v>0</v>
      </c>
      <c r="AD170" s="668">
        <f t="shared" si="54"/>
        <v>1574</v>
      </c>
      <c r="AE170" s="668">
        <f t="shared" si="55"/>
        <v>0</v>
      </c>
      <c r="AF170" s="668">
        <f t="shared" si="50"/>
        <v>0</v>
      </c>
      <c r="AG170" s="668">
        <f t="shared" si="56"/>
        <v>0</v>
      </c>
      <c r="AH170" s="668"/>
      <c r="AI170" s="668"/>
      <c r="AJ170" s="668"/>
      <c r="AK170" s="668"/>
      <c r="AL170" s="668"/>
      <c r="AM170" s="668">
        <f t="shared" si="57"/>
        <v>0</v>
      </c>
      <c r="AN170" s="668">
        <f t="shared" si="41"/>
        <v>0</v>
      </c>
      <c r="AO170" s="668">
        <f t="shared" si="42"/>
        <v>0</v>
      </c>
      <c r="AP170" s="668">
        <f t="shared" si="58"/>
        <v>0</v>
      </c>
      <c r="AQ170" s="668">
        <f t="shared" si="43"/>
        <v>0</v>
      </c>
      <c r="AR170" s="668">
        <f t="shared" si="44"/>
        <v>0</v>
      </c>
      <c r="AS170" s="668"/>
      <c r="AT170" s="668"/>
      <c r="AU170" s="668"/>
      <c r="AV170" s="668"/>
      <c r="AW170" s="668"/>
      <c r="AX170" s="668"/>
      <c r="AY170" s="668"/>
      <c r="AZ170" s="668"/>
      <c r="BA170" s="668"/>
      <c r="BB170" s="668">
        <f t="shared" si="59"/>
        <v>0</v>
      </c>
      <c r="BC170" s="668"/>
      <c r="BD170" s="668"/>
      <c r="BE170" s="668"/>
      <c r="BF170" s="668"/>
      <c r="BG170" s="668"/>
      <c r="BH170" s="668"/>
      <c r="BI170" s="668"/>
    </row>
    <row r="171" spans="1:61" x14ac:dyDescent="0.2">
      <c r="A171" s="1012">
        <v>1140</v>
      </c>
      <c r="B171" s="1012" t="s">
        <v>565</v>
      </c>
      <c r="C171" s="1012"/>
      <c r="D171" s="667">
        <v>85</v>
      </c>
      <c r="E171" s="667"/>
      <c r="F171" s="667"/>
      <c r="G171" s="667"/>
      <c r="H171" s="667"/>
      <c r="I171" s="667"/>
      <c r="J171" s="667"/>
      <c r="K171" s="667"/>
      <c r="L171" s="667">
        <v>4</v>
      </c>
      <c r="M171" s="667"/>
      <c r="N171" s="667"/>
      <c r="O171" s="667"/>
      <c r="P171" s="667"/>
      <c r="Q171" s="667"/>
      <c r="R171" s="667"/>
      <c r="S171" s="667"/>
      <c r="T171" s="667"/>
      <c r="U171" s="1012">
        <v>10.5</v>
      </c>
      <c r="V171" s="668">
        <f t="shared" si="46"/>
        <v>892.5</v>
      </c>
      <c r="W171" s="668">
        <f t="shared" si="47"/>
        <v>0</v>
      </c>
      <c r="X171" s="668">
        <f t="shared" si="48"/>
        <v>0</v>
      </c>
      <c r="Y171" s="668">
        <f t="shared" si="49"/>
        <v>0</v>
      </c>
      <c r="Z171" s="668">
        <f t="shared" si="51"/>
        <v>0</v>
      </c>
      <c r="AA171" s="668">
        <f t="shared" si="52"/>
        <v>0</v>
      </c>
      <c r="AB171" s="668">
        <f t="shared" si="53"/>
        <v>0</v>
      </c>
      <c r="AC171" s="668">
        <f t="shared" si="45"/>
        <v>0</v>
      </c>
      <c r="AD171" s="668">
        <f t="shared" si="54"/>
        <v>0</v>
      </c>
      <c r="AE171" s="668">
        <f t="shared" si="55"/>
        <v>0</v>
      </c>
      <c r="AF171" s="668">
        <f t="shared" si="50"/>
        <v>42</v>
      </c>
      <c r="AG171" s="668">
        <f t="shared" si="56"/>
        <v>0</v>
      </c>
      <c r="AH171" s="668"/>
      <c r="AI171" s="668"/>
      <c r="AJ171" s="668"/>
      <c r="AK171" s="668"/>
      <c r="AL171" s="668"/>
      <c r="AM171" s="668">
        <f t="shared" si="57"/>
        <v>0</v>
      </c>
      <c r="AN171" s="668">
        <f t="shared" si="41"/>
        <v>0</v>
      </c>
      <c r="AO171" s="668">
        <f t="shared" si="42"/>
        <v>0</v>
      </c>
      <c r="AP171" s="668">
        <f t="shared" si="58"/>
        <v>0</v>
      </c>
      <c r="AQ171" s="668">
        <f t="shared" si="43"/>
        <v>0</v>
      </c>
      <c r="AR171" s="668">
        <f t="shared" si="44"/>
        <v>0</v>
      </c>
      <c r="AS171" s="668"/>
      <c r="AT171" s="668"/>
      <c r="AU171" s="668"/>
      <c r="AV171" s="668"/>
      <c r="AW171" s="668"/>
      <c r="AX171" s="668"/>
      <c r="AY171" s="668"/>
      <c r="AZ171" s="668"/>
      <c r="BA171" s="668"/>
      <c r="BB171" s="668">
        <f t="shared" si="59"/>
        <v>0</v>
      </c>
      <c r="BC171" s="668"/>
      <c r="BD171" s="668"/>
      <c r="BE171" s="668"/>
      <c r="BF171" s="668"/>
      <c r="BG171" s="668"/>
      <c r="BH171" s="668"/>
      <c r="BI171" s="668"/>
    </row>
    <row r="172" spans="1:61" x14ac:dyDescent="0.2">
      <c r="A172" s="1012" t="s">
        <v>566</v>
      </c>
      <c r="B172" s="1012" t="s">
        <v>486</v>
      </c>
      <c r="C172" s="1012"/>
      <c r="D172" s="667">
        <v>35</v>
      </c>
      <c r="E172" s="667"/>
      <c r="F172" s="667"/>
      <c r="G172" s="667"/>
      <c r="H172" s="667"/>
      <c r="I172" s="667"/>
      <c r="J172" s="667"/>
      <c r="K172" s="667"/>
      <c r="L172" s="667"/>
      <c r="M172" s="667"/>
      <c r="N172" s="667"/>
      <c r="O172" s="667"/>
      <c r="P172" s="667"/>
      <c r="Q172" s="667">
        <v>52</v>
      </c>
      <c r="R172" s="667"/>
      <c r="S172" s="667"/>
      <c r="T172" s="667"/>
      <c r="U172" s="1012">
        <v>17</v>
      </c>
      <c r="V172" s="668">
        <f t="shared" si="46"/>
        <v>595</v>
      </c>
      <c r="W172" s="668">
        <f t="shared" si="47"/>
        <v>0</v>
      </c>
      <c r="X172" s="668">
        <f t="shared" si="48"/>
        <v>0</v>
      </c>
      <c r="Y172" s="668">
        <f t="shared" si="49"/>
        <v>0</v>
      </c>
      <c r="Z172" s="668">
        <f t="shared" si="51"/>
        <v>0</v>
      </c>
      <c r="AA172" s="668">
        <f t="shared" si="52"/>
        <v>0</v>
      </c>
      <c r="AB172" s="668">
        <f t="shared" si="53"/>
        <v>0</v>
      </c>
      <c r="AC172" s="668">
        <f t="shared" si="45"/>
        <v>0</v>
      </c>
      <c r="AD172" s="668">
        <f t="shared" si="54"/>
        <v>52</v>
      </c>
      <c r="AE172" s="668">
        <f t="shared" si="55"/>
        <v>0</v>
      </c>
      <c r="AF172" s="668">
        <f t="shared" si="50"/>
        <v>0</v>
      </c>
      <c r="AG172" s="668">
        <f t="shared" si="56"/>
        <v>0</v>
      </c>
      <c r="AH172" s="668"/>
      <c r="AI172" s="668"/>
      <c r="AJ172" s="668"/>
      <c r="AK172" s="668"/>
      <c r="AL172" s="668"/>
      <c r="AM172" s="668">
        <f t="shared" si="57"/>
        <v>0</v>
      </c>
      <c r="AN172" s="668">
        <f t="shared" si="41"/>
        <v>0</v>
      </c>
      <c r="AO172" s="668">
        <f t="shared" si="42"/>
        <v>0</v>
      </c>
      <c r="AP172" s="668">
        <f t="shared" si="58"/>
        <v>0</v>
      </c>
      <c r="AQ172" s="668">
        <f t="shared" si="43"/>
        <v>0</v>
      </c>
      <c r="AR172" s="668">
        <f t="shared" si="44"/>
        <v>0</v>
      </c>
      <c r="AS172" s="668"/>
      <c r="AT172" s="668"/>
      <c r="AU172" s="668"/>
      <c r="AV172" s="668"/>
      <c r="AW172" s="668"/>
      <c r="AX172" s="668"/>
      <c r="AY172" s="668"/>
      <c r="AZ172" s="668"/>
      <c r="BA172" s="668"/>
      <c r="BB172" s="668">
        <f t="shared" si="59"/>
        <v>0</v>
      </c>
      <c r="BC172" s="668"/>
      <c r="BD172" s="668"/>
      <c r="BE172" s="668"/>
      <c r="BF172" s="668"/>
      <c r="BG172" s="668"/>
      <c r="BH172" s="668"/>
      <c r="BI172" s="668"/>
    </row>
    <row r="173" spans="1:61" x14ac:dyDescent="0.2">
      <c r="A173" s="1012">
        <v>1141</v>
      </c>
      <c r="B173" s="1012" t="s">
        <v>467</v>
      </c>
      <c r="C173" s="1012"/>
      <c r="D173" s="667">
        <v>82</v>
      </c>
      <c r="E173" s="667"/>
      <c r="F173" s="667"/>
      <c r="G173" s="667"/>
      <c r="H173" s="667"/>
      <c r="I173" s="667"/>
      <c r="J173" s="667"/>
      <c r="K173" s="667"/>
      <c r="L173" s="667"/>
      <c r="M173" s="667"/>
      <c r="N173" s="667"/>
      <c r="O173" s="667"/>
      <c r="P173" s="667"/>
      <c r="Q173" s="667"/>
      <c r="R173" s="667"/>
      <c r="S173" s="667"/>
      <c r="T173" s="667"/>
      <c r="U173" s="1012">
        <v>3</v>
      </c>
      <c r="V173" s="668">
        <f t="shared" si="46"/>
        <v>246</v>
      </c>
      <c r="W173" s="668">
        <f t="shared" si="47"/>
        <v>0</v>
      </c>
      <c r="X173" s="668">
        <f t="shared" si="48"/>
        <v>0</v>
      </c>
      <c r="Y173" s="668">
        <f t="shared" si="49"/>
        <v>0</v>
      </c>
      <c r="Z173" s="668">
        <f t="shared" si="51"/>
        <v>0</v>
      </c>
      <c r="AA173" s="668">
        <f t="shared" si="52"/>
        <v>0</v>
      </c>
      <c r="AB173" s="668">
        <f t="shared" si="53"/>
        <v>0</v>
      </c>
      <c r="AC173" s="668">
        <f t="shared" si="45"/>
        <v>0</v>
      </c>
      <c r="AD173" s="668">
        <f t="shared" si="54"/>
        <v>0</v>
      </c>
      <c r="AE173" s="668">
        <f t="shared" si="55"/>
        <v>0</v>
      </c>
      <c r="AF173" s="668">
        <f t="shared" si="50"/>
        <v>0</v>
      </c>
      <c r="AG173" s="668">
        <f t="shared" si="56"/>
        <v>0</v>
      </c>
      <c r="AH173" s="668"/>
      <c r="AI173" s="668"/>
      <c r="AJ173" s="668"/>
      <c r="AK173" s="668"/>
      <c r="AL173" s="668"/>
      <c r="AM173" s="668">
        <f t="shared" si="57"/>
        <v>0</v>
      </c>
      <c r="AN173" s="668">
        <f t="shared" si="41"/>
        <v>0</v>
      </c>
      <c r="AO173" s="668">
        <f t="shared" si="42"/>
        <v>0</v>
      </c>
      <c r="AP173" s="668">
        <f t="shared" si="58"/>
        <v>0</v>
      </c>
      <c r="AQ173" s="668">
        <f t="shared" si="43"/>
        <v>0</v>
      </c>
      <c r="AR173" s="668">
        <f t="shared" si="44"/>
        <v>0</v>
      </c>
      <c r="AS173" s="668"/>
      <c r="AT173" s="668"/>
      <c r="AU173" s="668"/>
      <c r="AV173" s="668"/>
      <c r="AW173" s="668"/>
      <c r="AX173" s="668"/>
      <c r="AY173" s="668"/>
      <c r="AZ173" s="668"/>
      <c r="BA173" s="668"/>
      <c r="BB173" s="668">
        <f t="shared" si="59"/>
        <v>0</v>
      </c>
      <c r="BC173" s="668"/>
      <c r="BD173" s="668"/>
      <c r="BE173" s="668"/>
      <c r="BF173" s="668"/>
      <c r="BG173" s="668"/>
      <c r="BH173" s="668"/>
      <c r="BI173" s="668"/>
    </row>
    <row r="174" spans="1:61" x14ac:dyDescent="0.2">
      <c r="A174" s="1012">
        <v>1142</v>
      </c>
      <c r="B174" s="1012" t="s">
        <v>466</v>
      </c>
      <c r="C174" s="1012"/>
      <c r="D174" s="667">
        <v>82</v>
      </c>
      <c r="E174" s="667"/>
      <c r="F174" s="667"/>
      <c r="G174" s="667"/>
      <c r="H174" s="667"/>
      <c r="I174" s="667"/>
      <c r="J174" s="667"/>
      <c r="K174" s="667"/>
      <c r="L174" s="667"/>
      <c r="M174" s="667"/>
      <c r="N174" s="667"/>
      <c r="O174" s="667"/>
      <c r="P174" s="667"/>
      <c r="Q174" s="667"/>
      <c r="R174" s="667"/>
      <c r="S174" s="667"/>
      <c r="T174" s="667"/>
      <c r="U174" s="1012">
        <v>3</v>
      </c>
      <c r="V174" s="668">
        <f t="shared" si="46"/>
        <v>246</v>
      </c>
      <c r="W174" s="668">
        <f t="shared" si="47"/>
        <v>0</v>
      </c>
      <c r="X174" s="668">
        <f t="shared" si="48"/>
        <v>0</v>
      </c>
      <c r="Y174" s="668">
        <f t="shared" si="49"/>
        <v>0</v>
      </c>
      <c r="Z174" s="668">
        <f t="shared" si="51"/>
        <v>0</v>
      </c>
      <c r="AA174" s="668">
        <f t="shared" si="52"/>
        <v>0</v>
      </c>
      <c r="AB174" s="668">
        <f t="shared" si="53"/>
        <v>0</v>
      </c>
      <c r="AC174" s="668">
        <f t="shared" si="45"/>
        <v>0</v>
      </c>
      <c r="AD174" s="668">
        <f t="shared" si="54"/>
        <v>0</v>
      </c>
      <c r="AE174" s="668">
        <f t="shared" si="55"/>
        <v>0</v>
      </c>
      <c r="AF174" s="668">
        <f t="shared" si="50"/>
        <v>0</v>
      </c>
      <c r="AG174" s="668">
        <f t="shared" si="56"/>
        <v>0</v>
      </c>
      <c r="AH174" s="668"/>
      <c r="AI174" s="668"/>
      <c r="AJ174" s="668"/>
      <c r="AK174" s="668"/>
      <c r="AL174" s="668"/>
      <c r="AM174" s="668">
        <f t="shared" si="57"/>
        <v>0</v>
      </c>
      <c r="AN174" s="668">
        <f t="shared" si="41"/>
        <v>0</v>
      </c>
      <c r="AO174" s="668">
        <f t="shared" si="42"/>
        <v>0</v>
      </c>
      <c r="AP174" s="668">
        <f t="shared" si="58"/>
        <v>0</v>
      </c>
      <c r="AQ174" s="668">
        <f t="shared" si="43"/>
        <v>0</v>
      </c>
      <c r="AR174" s="668">
        <f t="shared" si="44"/>
        <v>0</v>
      </c>
      <c r="AS174" s="668"/>
      <c r="AT174" s="668"/>
      <c r="AU174" s="668"/>
      <c r="AV174" s="668"/>
      <c r="AW174" s="668"/>
      <c r="AX174" s="668"/>
      <c r="AY174" s="668"/>
      <c r="AZ174" s="668"/>
      <c r="BA174" s="668"/>
      <c r="BB174" s="668">
        <f t="shared" si="59"/>
        <v>0</v>
      </c>
      <c r="BC174" s="668"/>
      <c r="BD174" s="668"/>
      <c r="BE174" s="668"/>
      <c r="BF174" s="668"/>
      <c r="BG174" s="668"/>
      <c r="BH174" s="668"/>
      <c r="BI174" s="668"/>
    </row>
    <row r="175" spans="1:61" x14ac:dyDescent="0.2">
      <c r="A175" s="1012">
        <v>1143</v>
      </c>
      <c r="B175" s="1012" t="s">
        <v>468</v>
      </c>
      <c r="C175" s="1012"/>
      <c r="D175" s="667">
        <v>62</v>
      </c>
      <c r="E175" s="667"/>
      <c r="F175" s="667"/>
      <c r="G175" s="667"/>
      <c r="H175" s="667"/>
      <c r="I175" s="667"/>
      <c r="J175" s="667"/>
      <c r="K175" s="667"/>
      <c r="L175" s="667"/>
      <c r="M175" s="667"/>
      <c r="N175" s="667"/>
      <c r="O175" s="667"/>
      <c r="P175" s="667"/>
      <c r="Q175" s="1014">
        <v>180</v>
      </c>
      <c r="R175" s="667"/>
      <c r="S175" s="667"/>
      <c r="T175" s="667"/>
      <c r="U175" s="1012">
        <v>13</v>
      </c>
      <c r="V175" s="668">
        <f t="shared" si="46"/>
        <v>806</v>
      </c>
      <c r="W175" s="668">
        <f t="shared" si="47"/>
        <v>0</v>
      </c>
      <c r="X175" s="668">
        <f t="shared" si="48"/>
        <v>0</v>
      </c>
      <c r="Y175" s="668">
        <f t="shared" si="49"/>
        <v>0</v>
      </c>
      <c r="Z175" s="668">
        <f t="shared" si="51"/>
        <v>0</v>
      </c>
      <c r="AA175" s="668">
        <f t="shared" si="52"/>
        <v>0</v>
      </c>
      <c r="AB175" s="668">
        <f t="shared" si="53"/>
        <v>0</v>
      </c>
      <c r="AC175" s="668">
        <f t="shared" si="45"/>
        <v>0</v>
      </c>
      <c r="AD175" s="668">
        <f t="shared" si="54"/>
        <v>180</v>
      </c>
      <c r="AE175" s="668">
        <f t="shared" si="55"/>
        <v>0</v>
      </c>
      <c r="AF175" s="668">
        <f t="shared" si="50"/>
        <v>0</v>
      </c>
      <c r="AG175" s="668">
        <f t="shared" si="56"/>
        <v>0</v>
      </c>
      <c r="AH175" s="668"/>
      <c r="AI175" s="668"/>
      <c r="AJ175" s="668"/>
      <c r="AK175" s="668"/>
      <c r="AL175" s="668"/>
      <c r="AM175" s="668">
        <f t="shared" si="57"/>
        <v>0</v>
      </c>
      <c r="AN175" s="668">
        <f t="shared" si="41"/>
        <v>0</v>
      </c>
      <c r="AO175" s="668">
        <f t="shared" si="42"/>
        <v>0</v>
      </c>
      <c r="AP175" s="668">
        <f t="shared" si="58"/>
        <v>0</v>
      </c>
      <c r="AQ175" s="668">
        <f t="shared" si="43"/>
        <v>0</v>
      </c>
      <c r="AR175" s="668">
        <f t="shared" si="44"/>
        <v>0</v>
      </c>
      <c r="AS175" s="668"/>
      <c r="AT175" s="668"/>
      <c r="AU175" s="668"/>
      <c r="AV175" s="668"/>
      <c r="AW175" s="668"/>
      <c r="AX175" s="668"/>
      <c r="AY175" s="668"/>
      <c r="AZ175" s="668"/>
      <c r="BA175" s="668"/>
      <c r="BB175" s="668">
        <f t="shared" si="59"/>
        <v>0</v>
      </c>
      <c r="BC175" s="668"/>
      <c r="BD175" s="668"/>
      <c r="BE175" s="668"/>
      <c r="BF175" s="668"/>
      <c r="BG175" s="668"/>
      <c r="BH175" s="668"/>
      <c r="BI175" s="668"/>
    </row>
    <row r="176" spans="1:61" x14ac:dyDescent="0.2">
      <c r="A176" s="1012">
        <v>1144</v>
      </c>
      <c r="B176" s="1012" t="s">
        <v>567</v>
      </c>
      <c r="C176" s="1012"/>
      <c r="D176" s="667">
        <v>145</v>
      </c>
      <c r="E176" s="667"/>
      <c r="F176" s="667"/>
      <c r="G176" s="667"/>
      <c r="H176" s="667"/>
      <c r="I176" s="667">
        <v>145</v>
      </c>
      <c r="J176" s="667"/>
      <c r="K176" s="667"/>
      <c r="L176" s="667">
        <v>4</v>
      </c>
      <c r="M176" s="667"/>
      <c r="N176" s="667"/>
      <c r="O176" s="667"/>
      <c r="P176" s="667"/>
      <c r="Q176" s="667"/>
      <c r="R176" s="667"/>
      <c r="S176" s="667"/>
      <c r="T176" s="667">
        <v>1289</v>
      </c>
      <c r="U176" s="1012">
        <v>17</v>
      </c>
      <c r="V176" s="668">
        <f t="shared" si="46"/>
        <v>2465</v>
      </c>
      <c r="W176" s="668">
        <f t="shared" si="47"/>
        <v>0</v>
      </c>
      <c r="X176" s="668">
        <f t="shared" si="48"/>
        <v>0</v>
      </c>
      <c r="Y176" s="668">
        <f t="shared" si="49"/>
        <v>0</v>
      </c>
      <c r="Z176" s="668">
        <f t="shared" si="51"/>
        <v>0</v>
      </c>
      <c r="AA176" s="668">
        <f t="shared" si="52"/>
        <v>0</v>
      </c>
      <c r="AB176" s="668">
        <f t="shared" si="53"/>
        <v>1289</v>
      </c>
      <c r="AC176" s="668">
        <f t="shared" si="45"/>
        <v>0</v>
      </c>
      <c r="AD176" s="668">
        <f t="shared" si="54"/>
        <v>0</v>
      </c>
      <c r="AE176" s="668">
        <f t="shared" si="55"/>
        <v>0</v>
      </c>
      <c r="AF176" s="668">
        <f t="shared" si="50"/>
        <v>68</v>
      </c>
      <c r="AG176" s="668">
        <f t="shared" si="56"/>
        <v>0</v>
      </c>
      <c r="AH176" s="668"/>
      <c r="AI176" s="668"/>
      <c r="AJ176" s="668"/>
      <c r="AK176" s="668"/>
      <c r="AL176" s="668"/>
      <c r="AM176" s="668">
        <f t="shared" si="57"/>
        <v>145</v>
      </c>
      <c r="AN176" s="668">
        <f t="shared" si="41"/>
        <v>0</v>
      </c>
      <c r="AO176" s="668">
        <f t="shared" si="42"/>
        <v>0</v>
      </c>
      <c r="AP176" s="668">
        <f t="shared" si="58"/>
        <v>0</v>
      </c>
      <c r="AQ176" s="668">
        <f t="shared" si="43"/>
        <v>0</v>
      </c>
      <c r="AR176" s="668">
        <f t="shared" si="44"/>
        <v>0</v>
      </c>
      <c r="AS176" s="668"/>
      <c r="AT176" s="668"/>
      <c r="AU176" s="668"/>
      <c r="AV176" s="668"/>
      <c r="AW176" s="668"/>
      <c r="AX176" s="668"/>
      <c r="AY176" s="668"/>
      <c r="AZ176" s="668"/>
      <c r="BA176" s="668"/>
      <c r="BB176" s="668">
        <f t="shared" si="59"/>
        <v>0</v>
      </c>
      <c r="BC176" s="668"/>
      <c r="BD176" s="668"/>
      <c r="BE176" s="668"/>
      <c r="BF176" s="668"/>
      <c r="BG176" s="668"/>
      <c r="BH176" s="668"/>
      <c r="BI176" s="668"/>
    </row>
    <row r="177" spans="1:61" x14ac:dyDescent="0.2">
      <c r="A177" s="1012">
        <v>1145</v>
      </c>
      <c r="B177" s="1012" t="s">
        <v>568</v>
      </c>
      <c r="C177" s="1012"/>
      <c r="D177" s="667">
        <v>196</v>
      </c>
      <c r="E177" s="667"/>
      <c r="F177" s="667"/>
      <c r="G177" s="667"/>
      <c r="H177" s="667"/>
      <c r="I177" s="667">
        <v>196</v>
      </c>
      <c r="J177" s="667"/>
      <c r="K177" s="667"/>
      <c r="L177" s="667">
        <v>8</v>
      </c>
      <c r="M177" s="667"/>
      <c r="N177" s="667"/>
      <c r="O177" s="667"/>
      <c r="P177" s="667"/>
      <c r="Q177" s="667"/>
      <c r="R177" s="667"/>
      <c r="S177" s="667"/>
      <c r="T177" s="667">
        <v>2030</v>
      </c>
      <c r="U177" s="1012">
        <v>17</v>
      </c>
      <c r="V177" s="668">
        <f t="shared" si="46"/>
        <v>3332</v>
      </c>
      <c r="W177" s="668">
        <f t="shared" si="47"/>
        <v>0</v>
      </c>
      <c r="X177" s="668">
        <f t="shared" si="48"/>
        <v>0</v>
      </c>
      <c r="Y177" s="668">
        <f t="shared" si="49"/>
        <v>0</v>
      </c>
      <c r="Z177" s="668">
        <f t="shared" si="51"/>
        <v>0</v>
      </c>
      <c r="AA177" s="668">
        <f t="shared" si="52"/>
        <v>0</v>
      </c>
      <c r="AB177" s="668">
        <f t="shared" si="53"/>
        <v>2030</v>
      </c>
      <c r="AC177" s="668">
        <f t="shared" si="45"/>
        <v>0</v>
      </c>
      <c r="AD177" s="668">
        <f t="shared" si="54"/>
        <v>0</v>
      </c>
      <c r="AE177" s="668">
        <f t="shared" si="55"/>
        <v>0</v>
      </c>
      <c r="AF177" s="668">
        <f t="shared" si="50"/>
        <v>136</v>
      </c>
      <c r="AG177" s="668">
        <f t="shared" si="56"/>
        <v>0</v>
      </c>
      <c r="AH177" s="668"/>
      <c r="AI177" s="668"/>
      <c r="AJ177" s="668"/>
      <c r="AK177" s="668"/>
      <c r="AL177" s="668"/>
      <c r="AM177" s="668">
        <f t="shared" si="57"/>
        <v>196</v>
      </c>
      <c r="AN177" s="668">
        <f t="shared" si="41"/>
        <v>0</v>
      </c>
      <c r="AO177" s="668">
        <f t="shared" si="42"/>
        <v>0</v>
      </c>
      <c r="AP177" s="668">
        <f t="shared" si="58"/>
        <v>0</v>
      </c>
      <c r="AQ177" s="668">
        <f t="shared" si="43"/>
        <v>0</v>
      </c>
      <c r="AR177" s="668">
        <f t="shared" si="44"/>
        <v>0</v>
      </c>
      <c r="AS177" s="668"/>
      <c r="AT177" s="668"/>
      <c r="AU177" s="668"/>
      <c r="AV177" s="668"/>
      <c r="AW177" s="668"/>
      <c r="AX177" s="668"/>
      <c r="AY177" s="668"/>
      <c r="AZ177" s="668"/>
      <c r="BA177" s="668"/>
      <c r="BB177" s="668">
        <f t="shared" si="59"/>
        <v>0</v>
      </c>
      <c r="BC177" s="668"/>
      <c r="BD177" s="668"/>
      <c r="BE177" s="668"/>
      <c r="BF177" s="668"/>
      <c r="BG177" s="668"/>
      <c r="BH177" s="668"/>
      <c r="BI177" s="668"/>
    </row>
    <row r="178" spans="1:61" x14ac:dyDescent="0.2">
      <c r="A178" s="1012">
        <v>1146</v>
      </c>
      <c r="B178" s="1012" t="s">
        <v>569</v>
      </c>
      <c r="C178" s="1012"/>
      <c r="D178" s="667">
        <v>283</v>
      </c>
      <c r="E178" s="667"/>
      <c r="F178" s="667"/>
      <c r="G178" s="667"/>
      <c r="H178" s="667"/>
      <c r="I178" s="667">
        <v>283</v>
      </c>
      <c r="J178" s="667"/>
      <c r="K178" s="667"/>
      <c r="L178" s="667">
        <v>6</v>
      </c>
      <c r="M178" s="667"/>
      <c r="N178" s="667"/>
      <c r="O178" s="667"/>
      <c r="P178" s="667"/>
      <c r="Q178" s="667"/>
      <c r="R178" s="667"/>
      <c r="S178" s="667"/>
      <c r="T178" s="667">
        <v>4841</v>
      </c>
      <c r="U178" s="1012">
        <v>17</v>
      </c>
      <c r="V178" s="668">
        <f t="shared" si="46"/>
        <v>4811</v>
      </c>
      <c r="W178" s="668">
        <f t="shared" si="47"/>
        <v>0</v>
      </c>
      <c r="X178" s="668">
        <f t="shared" si="48"/>
        <v>0</v>
      </c>
      <c r="Y178" s="668">
        <f t="shared" si="49"/>
        <v>0</v>
      </c>
      <c r="Z178" s="668">
        <f t="shared" si="51"/>
        <v>0</v>
      </c>
      <c r="AA178" s="668">
        <f t="shared" si="52"/>
        <v>0</v>
      </c>
      <c r="AB178" s="668">
        <f t="shared" si="53"/>
        <v>4841</v>
      </c>
      <c r="AC178" s="668">
        <f t="shared" si="45"/>
        <v>0</v>
      </c>
      <c r="AD178" s="668">
        <f t="shared" si="54"/>
        <v>0</v>
      </c>
      <c r="AE178" s="668">
        <f t="shared" si="55"/>
        <v>0</v>
      </c>
      <c r="AF178" s="668">
        <f t="shared" si="50"/>
        <v>102</v>
      </c>
      <c r="AG178" s="668">
        <f t="shared" si="56"/>
        <v>0</v>
      </c>
      <c r="AH178" s="668"/>
      <c r="AI178" s="668"/>
      <c r="AJ178" s="668"/>
      <c r="AK178" s="668"/>
      <c r="AL178" s="668"/>
      <c r="AM178" s="668">
        <f t="shared" si="57"/>
        <v>283</v>
      </c>
      <c r="AN178" s="668">
        <f t="shared" si="41"/>
        <v>0</v>
      </c>
      <c r="AO178" s="668">
        <f t="shared" si="42"/>
        <v>0</v>
      </c>
      <c r="AP178" s="668">
        <f t="shared" si="58"/>
        <v>0</v>
      </c>
      <c r="AQ178" s="668">
        <f t="shared" si="43"/>
        <v>0</v>
      </c>
      <c r="AR178" s="668">
        <f t="shared" si="44"/>
        <v>0</v>
      </c>
      <c r="AS178" s="668"/>
      <c r="AT178" s="668"/>
      <c r="AU178" s="668"/>
      <c r="AV178" s="668"/>
      <c r="AW178" s="668"/>
      <c r="AX178" s="668"/>
      <c r="AY178" s="668"/>
      <c r="AZ178" s="668"/>
      <c r="BA178" s="668"/>
      <c r="BB178" s="668">
        <f t="shared" si="59"/>
        <v>0</v>
      </c>
      <c r="BC178" s="668"/>
      <c r="BD178" s="668"/>
      <c r="BE178" s="668"/>
      <c r="BF178" s="668"/>
      <c r="BG178" s="668"/>
      <c r="BH178" s="668"/>
      <c r="BI178" s="668"/>
    </row>
    <row r="179" spans="1:61" x14ac:dyDescent="0.2">
      <c r="A179" s="1012">
        <v>1147</v>
      </c>
      <c r="B179" s="1012" t="s">
        <v>570</v>
      </c>
      <c r="C179" s="1012"/>
      <c r="D179" s="667">
        <v>40</v>
      </c>
      <c r="E179" s="667"/>
      <c r="F179" s="667"/>
      <c r="G179" s="667"/>
      <c r="H179" s="667"/>
      <c r="I179" s="667"/>
      <c r="J179" s="667"/>
      <c r="K179" s="667"/>
      <c r="L179" s="667"/>
      <c r="M179" s="667"/>
      <c r="N179" s="667"/>
      <c r="O179" s="667"/>
      <c r="P179" s="667"/>
      <c r="Q179" s="667"/>
      <c r="R179" s="667"/>
      <c r="S179" s="667"/>
      <c r="T179" s="667"/>
      <c r="U179" s="1012">
        <v>10.5</v>
      </c>
      <c r="V179" s="668">
        <f t="shared" si="46"/>
        <v>420</v>
      </c>
      <c r="W179" s="668">
        <f t="shared" si="47"/>
        <v>0</v>
      </c>
      <c r="X179" s="668">
        <f t="shared" si="48"/>
        <v>0</v>
      </c>
      <c r="Y179" s="668">
        <f t="shared" si="49"/>
        <v>0</v>
      </c>
      <c r="Z179" s="668">
        <f t="shared" si="51"/>
        <v>0</v>
      </c>
      <c r="AA179" s="668">
        <f t="shared" si="52"/>
        <v>0</v>
      </c>
      <c r="AB179" s="668">
        <f t="shared" si="53"/>
        <v>0</v>
      </c>
      <c r="AC179" s="668">
        <f t="shared" si="45"/>
        <v>0</v>
      </c>
      <c r="AD179" s="668">
        <f t="shared" si="54"/>
        <v>0</v>
      </c>
      <c r="AE179" s="668">
        <f t="shared" si="55"/>
        <v>0</v>
      </c>
      <c r="AF179" s="668">
        <f t="shared" si="50"/>
        <v>0</v>
      </c>
      <c r="AG179" s="668">
        <f t="shared" si="56"/>
        <v>0</v>
      </c>
      <c r="AH179" s="668"/>
      <c r="AI179" s="668"/>
      <c r="AJ179" s="668"/>
      <c r="AK179" s="668"/>
      <c r="AL179" s="668"/>
      <c r="AM179" s="668">
        <f t="shared" si="57"/>
        <v>0</v>
      </c>
      <c r="AN179" s="668">
        <f t="shared" si="41"/>
        <v>0</v>
      </c>
      <c r="AO179" s="668">
        <f t="shared" si="42"/>
        <v>0</v>
      </c>
      <c r="AP179" s="668">
        <f t="shared" si="58"/>
        <v>0</v>
      </c>
      <c r="AQ179" s="668">
        <f t="shared" si="43"/>
        <v>0</v>
      </c>
      <c r="AR179" s="668">
        <f t="shared" si="44"/>
        <v>0</v>
      </c>
      <c r="AS179" s="668"/>
      <c r="AT179" s="668"/>
      <c r="AU179" s="668"/>
      <c r="AV179" s="668"/>
      <c r="AW179" s="668"/>
      <c r="AX179" s="668"/>
      <c r="AY179" s="668"/>
      <c r="AZ179" s="668"/>
      <c r="BA179" s="668"/>
      <c r="BB179" s="668">
        <f t="shared" si="59"/>
        <v>0</v>
      </c>
      <c r="BC179" s="668"/>
      <c r="BD179" s="668"/>
      <c r="BE179" s="668"/>
      <c r="BF179" s="668"/>
      <c r="BG179" s="668"/>
      <c r="BH179" s="668"/>
      <c r="BI179" s="668"/>
    </row>
    <row r="180" spans="1:61" x14ac:dyDescent="0.2">
      <c r="A180" s="1012">
        <v>1148</v>
      </c>
      <c r="B180" s="1012" t="s">
        <v>571</v>
      </c>
      <c r="C180" s="1012"/>
      <c r="D180" s="667">
        <v>40</v>
      </c>
      <c r="E180" s="667"/>
      <c r="F180" s="667"/>
      <c r="G180" s="667"/>
      <c r="H180" s="667"/>
      <c r="I180" s="667"/>
      <c r="J180" s="667"/>
      <c r="K180" s="667"/>
      <c r="L180" s="667"/>
      <c r="M180" s="667"/>
      <c r="N180" s="667"/>
      <c r="O180" s="667"/>
      <c r="P180" s="667"/>
      <c r="Q180" s="667"/>
      <c r="R180" s="667"/>
      <c r="S180" s="667"/>
      <c r="T180" s="667"/>
      <c r="U180" s="1012">
        <v>10.5</v>
      </c>
      <c r="V180" s="668">
        <f t="shared" si="46"/>
        <v>420</v>
      </c>
      <c r="W180" s="668">
        <f t="shared" si="47"/>
        <v>0</v>
      </c>
      <c r="X180" s="668">
        <f t="shared" si="48"/>
        <v>0</v>
      </c>
      <c r="Y180" s="668">
        <f t="shared" si="49"/>
        <v>0</v>
      </c>
      <c r="Z180" s="668">
        <f t="shared" si="51"/>
        <v>0</v>
      </c>
      <c r="AA180" s="668">
        <f t="shared" si="52"/>
        <v>0</v>
      </c>
      <c r="AB180" s="668">
        <f t="shared" si="53"/>
        <v>0</v>
      </c>
      <c r="AC180" s="668">
        <f t="shared" si="45"/>
        <v>0</v>
      </c>
      <c r="AD180" s="668">
        <f t="shared" si="54"/>
        <v>0</v>
      </c>
      <c r="AE180" s="668">
        <f t="shared" si="55"/>
        <v>0</v>
      </c>
      <c r="AF180" s="668">
        <f t="shared" si="50"/>
        <v>0</v>
      </c>
      <c r="AG180" s="668">
        <f t="shared" si="56"/>
        <v>0</v>
      </c>
      <c r="AH180" s="668"/>
      <c r="AI180" s="668"/>
      <c r="AJ180" s="668"/>
      <c r="AK180" s="668"/>
      <c r="AL180" s="668"/>
      <c r="AM180" s="668">
        <f t="shared" si="57"/>
        <v>0</v>
      </c>
      <c r="AN180" s="668">
        <f t="shared" si="41"/>
        <v>0</v>
      </c>
      <c r="AO180" s="668">
        <f t="shared" si="42"/>
        <v>0</v>
      </c>
      <c r="AP180" s="668">
        <f t="shared" si="58"/>
        <v>0</v>
      </c>
      <c r="AQ180" s="668">
        <f t="shared" si="43"/>
        <v>0</v>
      </c>
      <c r="AR180" s="668">
        <f t="shared" si="44"/>
        <v>0</v>
      </c>
      <c r="AS180" s="668"/>
      <c r="AT180" s="668"/>
      <c r="AU180" s="668"/>
      <c r="AV180" s="668"/>
      <c r="AW180" s="668"/>
      <c r="AX180" s="668"/>
      <c r="AY180" s="668"/>
      <c r="AZ180" s="668"/>
      <c r="BA180" s="668"/>
      <c r="BB180" s="668">
        <f t="shared" si="59"/>
        <v>0</v>
      </c>
      <c r="BC180" s="668"/>
      <c r="BD180" s="668"/>
      <c r="BE180" s="668"/>
      <c r="BF180" s="668"/>
      <c r="BG180" s="668"/>
      <c r="BH180" s="668"/>
      <c r="BI180" s="668"/>
    </row>
    <row r="181" spans="1:61" x14ac:dyDescent="0.2">
      <c r="A181" s="1012">
        <v>1149</v>
      </c>
      <c r="B181" s="1012" t="s">
        <v>476</v>
      </c>
      <c r="C181" s="1012"/>
      <c r="D181" s="667">
        <v>50</v>
      </c>
      <c r="E181" s="667"/>
      <c r="F181" s="667"/>
      <c r="G181" s="667"/>
      <c r="H181" s="667"/>
      <c r="I181" s="667"/>
      <c r="J181" s="667"/>
      <c r="K181" s="667"/>
      <c r="L181" s="667">
        <v>4</v>
      </c>
      <c r="M181" s="667"/>
      <c r="N181" s="667"/>
      <c r="O181" s="667"/>
      <c r="P181" s="667"/>
      <c r="Q181" s="667"/>
      <c r="R181" s="667"/>
      <c r="S181" s="667"/>
      <c r="T181" s="667"/>
      <c r="U181" s="1012">
        <v>17</v>
      </c>
      <c r="V181" s="668">
        <f t="shared" si="46"/>
        <v>850</v>
      </c>
      <c r="W181" s="668">
        <f t="shared" si="47"/>
        <v>0</v>
      </c>
      <c r="X181" s="668">
        <f t="shared" si="48"/>
        <v>0</v>
      </c>
      <c r="Y181" s="668">
        <f t="shared" si="49"/>
        <v>0</v>
      </c>
      <c r="Z181" s="668">
        <f t="shared" si="51"/>
        <v>0</v>
      </c>
      <c r="AA181" s="668">
        <f t="shared" si="52"/>
        <v>0</v>
      </c>
      <c r="AB181" s="668">
        <f t="shared" si="53"/>
        <v>0</v>
      </c>
      <c r="AC181" s="668">
        <f t="shared" si="45"/>
        <v>0</v>
      </c>
      <c r="AD181" s="668">
        <f t="shared" si="54"/>
        <v>0</v>
      </c>
      <c r="AE181" s="668">
        <f t="shared" si="55"/>
        <v>0</v>
      </c>
      <c r="AF181" s="668">
        <f t="shared" si="50"/>
        <v>68</v>
      </c>
      <c r="AG181" s="668">
        <f t="shared" si="56"/>
        <v>0</v>
      </c>
      <c r="AH181" s="668"/>
      <c r="AI181" s="668"/>
      <c r="AJ181" s="668"/>
      <c r="AK181" s="668"/>
      <c r="AL181" s="668"/>
      <c r="AM181" s="668">
        <f t="shared" si="57"/>
        <v>0</v>
      </c>
      <c r="AN181" s="668">
        <f t="shared" si="41"/>
        <v>0</v>
      </c>
      <c r="AO181" s="668">
        <f t="shared" si="42"/>
        <v>0</v>
      </c>
      <c r="AP181" s="668">
        <f t="shared" si="58"/>
        <v>0</v>
      </c>
      <c r="AQ181" s="668">
        <f t="shared" si="43"/>
        <v>0</v>
      </c>
      <c r="AR181" s="668">
        <f t="shared" si="44"/>
        <v>0</v>
      </c>
      <c r="AS181" s="668"/>
      <c r="AT181" s="668"/>
      <c r="AU181" s="668"/>
      <c r="AV181" s="668"/>
      <c r="AW181" s="668"/>
      <c r="AX181" s="668"/>
      <c r="AY181" s="668"/>
      <c r="AZ181" s="668"/>
      <c r="BA181" s="668"/>
      <c r="BB181" s="668">
        <f t="shared" si="59"/>
        <v>0</v>
      </c>
      <c r="BC181" s="668"/>
      <c r="BD181" s="668"/>
      <c r="BE181" s="668"/>
      <c r="BF181" s="668"/>
      <c r="BG181" s="668"/>
      <c r="BH181" s="668"/>
      <c r="BI181" s="668"/>
    </row>
    <row r="182" spans="1:61" x14ac:dyDescent="0.2">
      <c r="A182" s="1012">
        <v>1150</v>
      </c>
      <c r="B182" s="1012" t="s">
        <v>560</v>
      </c>
      <c r="C182" s="1012" t="s">
        <v>984</v>
      </c>
      <c r="D182" s="667">
        <v>44</v>
      </c>
      <c r="E182" s="667"/>
      <c r="F182" s="667"/>
      <c r="G182" s="667"/>
      <c r="H182" s="667"/>
      <c r="I182" s="667"/>
      <c r="J182" s="667"/>
      <c r="K182" s="667"/>
      <c r="L182" s="667"/>
      <c r="M182" s="667"/>
      <c r="N182" s="667"/>
      <c r="O182" s="667"/>
      <c r="P182" s="667"/>
      <c r="Q182" s="1014">
        <v>100</v>
      </c>
      <c r="R182" s="667"/>
      <c r="S182" s="667"/>
      <c r="T182" s="667"/>
      <c r="U182" s="1012">
        <v>17</v>
      </c>
      <c r="V182" s="668">
        <f t="shared" si="46"/>
        <v>748</v>
      </c>
      <c r="W182" s="668">
        <f t="shared" si="47"/>
        <v>0</v>
      </c>
      <c r="X182" s="668">
        <f t="shared" si="48"/>
        <v>0</v>
      </c>
      <c r="Y182" s="668">
        <f t="shared" si="49"/>
        <v>0</v>
      </c>
      <c r="Z182" s="668">
        <f t="shared" si="51"/>
        <v>748</v>
      </c>
      <c r="AA182" s="668">
        <f t="shared" si="52"/>
        <v>0</v>
      </c>
      <c r="AB182" s="668">
        <f t="shared" si="53"/>
        <v>0</v>
      </c>
      <c r="AC182" s="668">
        <f t="shared" si="45"/>
        <v>0</v>
      </c>
      <c r="AD182" s="668">
        <f t="shared" si="54"/>
        <v>100</v>
      </c>
      <c r="AE182" s="668">
        <f t="shared" si="55"/>
        <v>0</v>
      </c>
      <c r="AF182" s="668">
        <f t="shared" si="50"/>
        <v>0</v>
      </c>
      <c r="AG182" s="668">
        <f t="shared" si="56"/>
        <v>0</v>
      </c>
      <c r="AH182" s="668"/>
      <c r="AI182" s="668"/>
      <c r="AJ182" s="668"/>
      <c r="AK182" s="668"/>
      <c r="AL182" s="668"/>
      <c r="AM182" s="668">
        <f t="shared" si="57"/>
        <v>0</v>
      </c>
      <c r="AN182" s="668">
        <f t="shared" si="41"/>
        <v>0</v>
      </c>
      <c r="AO182" s="668">
        <f t="shared" si="42"/>
        <v>0</v>
      </c>
      <c r="AP182" s="668">
        <f t="shared" si="58"/>
        <v>0</v>
      </c>
      <c r="AQ182" s="668">
        <f t="shared" si="43"/>
        <v>0</v>
      </c>
      <c r="AR182" s="668">
        <f t="shared" si="44"/>
        <v>0</v>
      </c>
      <c r="AS182" s="668"/>
      <c r="AT182" s="668"/>
      <c r="AU182" s="668"/>
      <c r="AV182" s="668"/>
      <c r="AW182" s="668"/>
      <c r="AX182" s="668"/>
      <c r="AY182" s="668"/>
      <c r="AZ182" s="668"/>
      <c r="BA182" s="668"/>
      <c r="BB182" s="668">
        <f t="shared" si="59"/>
        <v>0</v>
      </c>
      <c r="BC182" s="668"/>
      <c r="BD182" s="668"/>
      <c r="BE182" s="668"/>
      <c r="BF182" s="668"/>
      <c r="BG182" s="668"/>
      <c r="BH182" s="668"/>
      <c r="BI182" s="668"/>
    </row>
    <row r="183" spans="1:61" x14ac:dyDescent="0.2">
      <c r="A183" s="1012">
        <v>1151</v>
      </c>
      <c r="B183" s="1012" t="s">
        <v>572</v>
      </c>
      <c r="C183" s="1012"/>
      <c r="D183" s="667">
        <v>50</v>
      </c>
      <c r="E183" s="667"/>
      <c r="F183" s="667"/>
      <c r="G183" s="667"/>
      <c r="H183" s="667"/>
      <c r="I183" s="667"/>
      <c r="J183" s="667"/>
      <c r="K183" s="667"/>
      <c r="L183" s="667"/>
      <c r="M183" s="667"/>
      <c r="N183" s="667"/>
      <c r="O183" s="667"/>
      <c r="P183" s="667"/>
      <c r="Q183" s="667"/>
      <c r="R183" s="667"/>
      <c r="S183" s="667"/>
      <c r="T183" s="667"/>
      <c r="U183" s="1012">
        <v>10.5</v>
      </c>
      <c r="V183" s="668">
        <f t="shared" si="46"/>
        <v>525</v>
      </c>
      <c r="W183" s="668">
        <f t="shared" si="47"/>
        <v>0</v>
      </c>
      <c r="X183" s="668">
        <f t="shared" si="48"/>
        <v>0</v>
      </c>
      <c r="Y183" s="668">
        <f t="shared" si="49"/>
        <v>0</v>
      </c>
      <c r="Z183" s="668">
        <f t="shared" si="51"/>
        <v>0</v>
      </c>
      <c r="AA183" s="668">
        <f t="shared" si="52"/>
        <v>0</v>
      </c>
      <c r="AB183" s="668">
        <f t="shared" si="53"/>
        <v>0</v>
      </c>
      <c r="AC183" s="668">
        <f t="shared" si="45"/>
        <v>0</v>
      </c>
      <c r="AD183" s="668">
        <f t="shared" si="54"/>
        <v>0</v>
      </c>
      <c r="AE183" s="668">
        <f t="shared" si="55"/>
        <v>0</v>
      </c>
      <c r="AF183" s="668">
        <f t="shared" si="50"/>
        <v>0</v>
      </c>
      <c r="AG183" s="668">
        <f t="shared" si="56"/>
        <v>0</v>
      </c>
      <c r="AH183" s="668"/>
      <c r="AI183" s="668"/>
      <c r="AJ183" s="668"/>
      <c r="AK183" s="668"/>
      <c r="AL183" s="668"/>
      <c r="AM183" s="668">
        <f t="shared" si="57"/>
        <v>0</v>
      </c>
      <c r="AN183" s="668">
        <f t="shared" si="41"/>
        <v>0</v>
      </c>
      <c r="AO183" s="668">
        <f t="shared" si="42"/>
        <v>0</v>
      </c>
      <c r="AP183" s="668">
        <f t="shared" si="58"/>
        <v>0</v>
      </c>
      <c r="AQ183" s="668">
        <f t="shared" si="43"/>
        <v>0</v>
      </c>
      <c r="AR183" s="668">
        <f t="shared" si="44"/>
        <v>0</v>
      </c>
      <c r="AS183" s="668"/>
      <c r="AT183" s="668"/>
      <c r="AU183" s="668"/>
      <c r="AV183" s="668"/>
      <c r="AW183" s="668"/>
      <c r="AX183" s="668"/>
      <c r="AY183" s="668"/>
      <c r="AZ183" s="668"/>
      <c r="BA183" s="668"/>
      <c r="BB183" s="668">
        <f t="shared" si="59"/>
        <v>0</v>
      </c>
      <c r="BC183" s="668"/>
      <c r="BD183" s="668"/>
      <c r="BE183" s="668"/>
      <c r="BF183" s="668"/>
      <c r="BG183" s="668"/>
      <c r="BH183" s="668"/>
      <c r="BI183" s="668"/>
    </row>
    <row r="184" spans="1:61" x14ac:dyDescent="0.2">
      <c r="A184" s="1012">
        <v>1152</v>
      </c>
      <c r="B184" s="1012" t="s">
        <v>486</v>
      </c>
      <c r="C184" s="1012"/>
      <c r="D184" s="667">
        <v>140</v>
      </c>
      <c r="E184" s="667"/>
      <c r="F184" s="667"/>
      <c r="G184" s="667"/>
      <c r="H184" s="667"/>
      <c r="I184" s="667"/>
      <c r="J184" s="667"/>
      <c r="K184" s="667"/>
      <c r="L184" s="667">
        <v>6</v>
      </c>
      <c r="M184" s="667"/>
      <c r="N184" s="667"/>
      <c r="O184" s="667"/>
      <c r="P184" s="667">
        <v>16</v>
      </c>
      <c r="Q184" s="1014">
        <v>1184</v>
      </c>
      <c r="R184" s="667"/>
      <c r="S184" s="667"/>
      <c r="T184" s="667"/>
      <c r="U184" s="1012">
        <v>17</v>
      </c>
      <c r="V184" s="668">
        <f t="shared" si="46"/>
        <v>2380</v>
      </c>
      <c r="W184" s="668">
        <f t="shared" si="47"/>
        <v>0</v>
      </c>
      <c r="X184" s="668">
        <f t="shared" si="48"/>
        <v>0</v>
      </c>
      <c r="Y184" s="668">
        <f t="shared" si="49"/>
        <v>0</v>
      </c>
      <c r="Z184" s="668">
        <f t="shared" si="51"/>
        <v>0</v>
      </c>
      <c r="AA184" s="668">
        <f t="shared" si="52"/>
        <v>0</v>
      </c>
      <c r="AB184" s="668">
        <f t="shared" si="53"/>
        <v>0</v>
      </c>
      <c r="AC184" s="668">
        <f t="shared" si="45"/>
        <v>272</v>
      </c>
      <c r="AD184" s="668">
        <f t="shared" si="54"/>
        <v>1184</v>
      </c>
      <c r="AE184" s="668">
        <f t="shared" si="55"/>
        <v>0</v>
      </c>
      <c r="AF184" s="668">
        <f t="shared" si="50"/>
        <v>102</v>
      </c>
      <c r="AG184" s="668">
        <f t="shared" si="56"/>
        <v>0</v>
      </c>
      <c r="AH184" s="668"/>
      <c r="AI184" s="668"/>
      <c r="AJ184" s="668"/>
      <c r="AK184" s="668"/>
      <c r="AL184" s="668"/>
      <c r="AM184" s="668">
        <f t="shared" si="57"/>
        <v>0</v>
      </c>
      <c r="AN184" s="668">
        <f t="shared" si="41"/>
        <v>0</v>
      </c>
      <c r="AO184" s="668">
        <f t="shared" si="42"/>
        <v>0</v>
      </c>
      <c r="AP184" s="668">
        <f t="shared" si="58"/>
        <v>0</v>
      </c>
      <c r="AQ184" s="668">
        <f t="shared" si="43"/>
        <v>0</v>
      </c>
      <c r="AR184" s="668">
        <f t="shared" si="44"/>
        <v>0</v>
      </c>
      <c r="AS184" s="668"/>
      <c r="AT184" s="668"/>
      <c r="AU184" s="668"/>
      <c r="AV184" s="668"/>
      <c r="AW184" s="668"/>
      <c r="AX184" s="668"/>
      <c r="AY184" s="668"/>
      <c r="AZ184" s="668"/>
      <c r="BA184" s="668"/>
      <c r="BB184" s="668">
        <f t="shared" si="59"/>
        <v>0</v>
      </c>
      <c r="BC184" s="668"/>
      <c r="BD184" s="668"/>
      <c r="BE184" s="668"/>
      <c r="BF184" s="668"/>
      <c r="BG184" s="668"/>
      <c r="BH184" s="668"/>
      <c r="BI184" s="668"/>
    </row>
    <row r="185" spans="1:61" x14ac:dyDescent="0.2">
      <c r="A185" s="1012">
        <v>1153</v>
      </c>
      <c r="B185" s="1012" t="s">
        <v>573</v>
      </c>
      <c r="C185" s="1012"/>
      <c r="D185" s="667">
        <v>59</v>
      </c>
      <c r="E185" s="667"/>
      <c r="F185" s="667"/>
      <c r="G185" s="667"/>
      <c r="H185" s="667"/>
      <c r="I185" s="667"/>
      <c r="J185" s="667"/>
      <c r="K185" s="667"/>
      <c r="L185" s="667"/>
      <c r="M185" s="667"/>
      <c r="N185" s="667"/>
      <c r="O185" s="667"/>
      <c r="P185" s="667"/>
      <c r="Q185" s="667"/>
      <c r="R185" s="667"/>
      <c r="S185" s="667"/>
      <c r="T185" s="667"/>
      <c r="U185" s="1012">
        <v>12.5</v>
      </c>
      <c r="V185" s="668">
        <f t="shared" si="46"/>
        <v>737.5</v>
      </c>
      <c r="W185" s="668">
        <f t="shared" si="47"/>
        <v>0</v>
      </c>
      <c r="X185" s="668">
        <f t="shared" si="48"/>
        <v>0</v>
      </c>
      <c r="Y185" s="668">
        <f t="shared" si="49"/>
        <v>0</v>
      </c>
      <c r="Z185" s="668">
        <f t="shared" si="51"/>
        <v>0</v>
      </c>
      <c r="AA185" s="668">
        <f t="shared" si="52"/>
        <v>0</v>
      </c>
      <c r="AB185" s="668">
        <f t="shared" si="53"/>
        <v>0</v>
      </c>
      <c r="AC185" s="668">
        <f t="shared" si="45"/>
        <v>0</v>
      </c>
      <c r="AD185" s="668">
        <f t="shared" si="54"/>
        <v>0</v>
      </c>
      <c r="AE185" s="668">
        <f t="shared" si="55"/>
        <v>0</v>
      </c>
      <c r="AF185" s="668">
        <f t="shared" si="50"/>
        <v>0</v>
      </c>
      <c r="AG185" s="668">
        <f t="shared" si="56"/>
        <v>0</v>
      </c>
      <c r="AH185" s="668"/>
      <c r="AI185" s="668"/>
      <c r="AJ185" s="668"/>
      <c r="AK185" s="668"/>
      <c r="AL185" s="668"/>
      <c r="AM185" s="668">
        <f t="shared" si="57"/>
        <v>0</v>
      </c>
      <c r="AN185" s="668">
        <f t="shared" si="41"/>
        <v>0</v>
      </c>
      <c r="AO185" s="668">
        <f t="shared" si="42"/>
        <v>0</v>
      </c>
      <c r="AP185" s="668">
        <f t="shared" si="58"/>
        <v>0</v>
      </c>
      <c r="AQ185" s="668">
        <f t="shared" si="43"/>
        <v>0</v>
      </c>
      <c r="AR185" s="668">
        <f t="shared" si="44"/>
        <v>0</v>
      </c>
      <c r="AS185" s="668"/>
      <c r="AT185" s="668"/>
      <c r="AU185" s="668"/>
      <c r="AV185" s="668"/>
      <c r="AW185" s="668"/>
      <c r="AX185" s="668"/>
      <c r="AY185" s="668"/>
      <c r="AZ185" s="668"/>
      <c r="BA185" s="668"/>
      <c r="BB185" s="668">
        <f t="shared" si="59"/>
        <v>0</v>
      </c>
      <c r="BC185" s="668"/>
      <c r="BD185" s="668"/>
      <c r="BE185" s="668"/>
      <c r="BF185" s="668"/>
      <c r="BG185" s="668"/>
      <c r="BH185" s="668"/>
      <c r="BI185" s="668"/>
    </row>
    <row r="186" spans="1:61" x14ac:dyDescent="0.2">
      <c r="A186" s="1012">
        <v>1154</v>
      </c>
      <c r="B186" s="1012" t="s">
        <v>486</v>
      </c>
      <c r="C186" s="1012"/>
      <c r="D186" s="667">
        <v>45</v>
      </c>
      <c r="E186" s="667"/>
      <c r="F186" s="667"/>
      <c r="G186" s="667"/>
      <c r="H186" s="667"/>
      <c r="I186" s="667"/>
      <c r="J186" s="667"/>
      <c r="K186" s="667"/>
      <c r="L186" s="667">
        <v>2</v>
      </c>
      <c r="M186" s="667"/>
      <c r="N186" s="667"/>
      <c r="O186" s="667"/>
      <c r="P186" s="667">
        <v>5</v>
      </c>
      <c r="Q186" s="1014">
        <v>104</v>
      </c>
      <c r="R186" s="667"/>
      <c r="S186" s="667"/>
      <c r="T186" s="667"/>
      <c r="U186" s="1012">
        <v>17</v>
      </c>
      <c r="V186" s="668">
        <f t="shared" si="46"/>
        <v>765</v>
      </c>
      <c r="W186" s="668">
        <f t="shared" si="47"/>
        <v>0</v>
      </c>
      <c r="X186" s="668">
        <f t="shared" si="48"/>
        <v>0</v>
      </c>
      <c r="Y186" s="668">
        <f t="shared" si="49"/>
        <v>0</v>
      </c>
      <c r="Z186" s="668">
        <f t="shared" si="51"/>
        <v>0</v>
      </c>
      <c r="AA186" s="668">
        <f t="shared" si="52"/>
        <v>0</v>
      </c>
      <c r="AB186" s="668">
        <f t="shared" si="53"/>
        <v>0</v>
      </c>
      <c r="AC186" s="668">
        <f t="shared" si="45"/>
        <v>85</v>
      </c>
      <c r="AD186" s="668">
        <f t="shared" si="54"/>
        <v>104</v>
      </c>
      <c r="AE186" s="668">
        <f t="shared" si="55"/>
        <v>0</v>
      </c>
      <c r="AF186" s="668">
        <f t="shared" si="50"/>
        <v>34</v>
      </c>
      <c r="AG186" s="668">
        <f t="shared" si="56"/>
        <v>0</v>
      </c>
      <c r="AH186" s="668"/>
      <c r="AI186" s="668"/>
      <c r="AJ186" s="668"/>
      <c r="AK186" s="668"/>
      <c r="AL186" s="668"/>
      <c r="AM186" s="668">
        <f t="shared" si="57"/>
        <v>0</v>
      </c>
      <c r="AN186" s="668">
        <f t="shared" si="41"/>
        <v>0</v>
      </c>
      <c r="AO186" s="668">
        <f t="shared" si="42"/>
        <v>0</v>
      </c>
      <c r="AP186" s="668">
        <f t="shared" si="58"/>
        <v>0</v>
      </c>
      <c r="AQ186" s="668">
        <f t="shared" si="43"/>
        <v>0</v>
      </c>
      <c r="AR186" s="668">
        <f t="shared" si="44"/>
        <v>0</v>
      </c>
      <c r="AS186" s="668"/>
      <c r="AT186" s="668"/>
      <c r="AU186" s="668"/>
      <c r="AV186" s="668"/>
      <c r="AW186" s="668"/>
      <c r="AX186" s="668"/>
      <c r="AY186" s="668"/>
      <c r="AZ186" s="668"/>
      <c r="BA186" s="668"/>
      <c r="BB186" s="668">
        <f t="shared" si="59"/>
        <v>0</v>
      </c>
      <c r="BC186" s="668"/>
      <c r="BD186" s="668"/>
      <c r="BE186" s="668"/>
      <c r="BF186" s="668"/>
      <c r="BG186" s="668"/>
      <c r="BH186" s="668"/>
      <c r="BI186" s="668"/>
    </row>
    <row r="187" spans="1:61" x14ac:dyDescent="0.2">
      <c r="A187" s="1012">
        <v>1155</v>
      </c>
      <c r="B187" s="1012" t="s">
        <v>574</v>
      </c>
      <c r="C187" s="1012"/>
      <c r="D187" s="667">
        <v>46</v>
      </c>
      <c r="E187" s="667"/>
      <c r="F187" s="667"/>
      <c r="G187" s="667"/>
      <c r="H187" s="667"/>
      <c r="I187" s="667"/>
      <c r="J187" s="667"/>
      <c r="K187" s="667"/>
      <c r="L187" s="667">
        <v>2</v>
      </c>
      <c r="M187" s="667"/>
      <c r="N187" s="667"/>
      <c r="O187" s="667"/>
      <c r="P187" s="667"/>
      <c r="Q187" s="667"/>
      <c r="R187" s="667"/>
      <c r="S187" s="667"/>
      <c r="T187" s="667"/>
      <c r="U187" s="1012">
        <v>12.5</v>
      </c>
      <c r="V187" s="668">
        <f t="shared" si="46"/>
        <v>575</v>
      </c>
      <c r="W187" s="668">
        <f t="shared" si="47"/>
        <v>0</v>
      </c>
      <c r="X187" s="668">
        <f t="shared" si="48"/>
        <v>0</v>
      </c>
      <c r="Y187" s="668">
        <f t="shared" si="49"/>
        <v>0</v>
      </c>
      <c r="Z187" s="668">
        <f t="shared" si="51"/>
        <v>0</v>
      </c>
      <c r="AA187" s="668">
        <f t="shared" si="52"/>
        <v>0</v>
      </c>
      <c r="AB187" s="668">
        <f t="shared" si="53"/>
        <v>0</v>
      </c>
      <c r="AC187" s="668">
        <f t="shared" si="45"/>
        <v>0</v>
      </c>
      <c r="AD187" s="668">
        <f t="shared" si="54"/>
        <v>0</v>
      </c>
      <c r="AE187" s="668">
        <f t="shared" si="55"/>
        <v>0</v>
      </c>
      <c r="AF187" s="668">
        <f t="shared" si="50"/>
        <v>25</v>
      </c>
      <c r="AG187" s="668">
        <f t="shared" si="56"/>
        <v>0</v>
      </c>
      <c r="AH187" s="668"/>
      <c r="AI187" s="668"/>
      <c r="AJ187" s="668"/>
      <c r="AK187" s="668"/>
      <c r="AL187" s="668"/>
      <c r="AM187" s="668">
        <f t="shared" si="57"/>
        <v>0</v>
      </c>
      <c r="AN187" s="668">
        <f t="shared" si="41"/>
        <v>0</v>
      </c>
      <c r="AO187" s="668">
        <f t="shared" si="42"/>
        <v>0</v>
      </c>
      <c r="AP187" s="668">
        <f t="shared" si="58"/>
        <v>0</v>
      </c>
      <c r="AQ187" s="668">
        <f t="shared" si="43"/>
        <v>0</v>
      </c>
      <c r="AR187" s="668">
        <f t="shared" si="44"/>
        <v>0</v>
      </c>
      <c r="AS187" s="668"/>
      <c r="AT187" s="668"/>
      <c r="AU187" s="668"/>
      <c r="AV187" s="668"/>
      <c r="AW187" s="668"/>
      <c r="AX187" s="668"/>
      <c r="AY187" s="668"/>
      <c r="AZ187" s="668"/>
      <c r="BA187" s="668"/>
      <c r="BB187" s="668">
        <f t="shared" si="59"/>
        <v>0</v>
      </c>
      <c r="BC187" s="668"/>
      <c r="BD187" s="668"/>
      <c r="BE187" s="668"/>
      <c r="BF187" s="668"/>
      <c r="BG187" s="668"/>
      <c r="BH187" s="668"/>
      <c r="BI187" s="668"/>
    </row>
    <row r="188" spans="1:61" x14ac:dyDescent="0.2">
      <c r="A188" s="1012">
        <v>1156</v>
      </c>
      <c r="B188" s="1012" t="s">
        <v>575</v>
      </c>
      <c r="C188" s="1012"/>
      <c r="D188" s="667">
        <v>31</v>
      </c>
      <c r="E188" s="667"/>
      <c r="F188" s="667"/>
      <c r="G188" s="667"/>
      <c r="H188" s="667"/>
      <c r="I188" s="667"/>
      <c r="J188" s="667"/>
      <c r="K188" s="667"/>
      <c r="L188" s="667"/>
      <c r="M188" s="667"/>
      <c r="N188" s="667"/>
      <c r="O188" s="667"/>
      <c r="P188" s="667"/>
      <c r="Q188" s="667"/>
      <c r="R188" s="667"/>
      <c r="S188" s="667"/>
      <c r="T188" s="667"/>
      <c r="U188" s="1012">
        <v>17</v>
      </c>
      <c r="V188" s="668">
        <f t="shared" si="46"/>
        <v>527</v>
      </c>
      <c r="W188" s="668">
        <f t="shared" si="47"/>
        <v>0</v>
      </c>
      <c r="X188" s="668">
        <f t="shared" si="48"/>
        <v>0</v>
      </c>
      <c r="Y188" s="668">
        <f t="shared" si="49"/>
        <v>0</v>
      </c>
      <c r="Z188" s="668">
        <f t="shared" si="51"/>
        <v>0</v>
      </c>
      <c r="AA188" s="668">
        <f t="shared" si="52"/>
        <v>0</v>
      </c>
      <c r="AB188" s="668">
        <f t="shared" si="53"/>
        <v>0</v>
      </c>
      <c r="AC188" s="668">
        <f t="shared" si="45"/>
        <v>0</v>
      </c>
      <c r="AD188" s="668">
        <f t="shared" si="54"/>
        <v>0</v>
      </c>
      <c r="AE188" s="668">
        <f t="shared" si="55"/>
        <v>0</v>
      </c>
      <c r="AF188" s="668">
        <f t="shared" si="50"/>
        <v>0</v>
      </c>
      <c r="AG188" s="668">
        <f t="shared" si="56"/>
        <v>0</v>
      </c>
      <c r="AH188" s="668"/>
      <c r="AI188" s="668"/>
      <c r="AJ188" s="668"/>
      <c r="AK188" s="668"/>
      <c r="AL188" s="668"/>
      <c r="AM188" s="668">
        <f t="shared" si="57"/>
        <v>0</v>
      </c>
      <c r="AN188" s="668">
        <f t="shared" si="41"/>
        <v>0</v>
      </c>
      <c r="AO188" s="668">
        <f t="shared" si="42"/>
        <v>0</v>
      </c>
      <c r="AP188" s="668">
        <f t="shared" si="58"/>
        <v>0</v>
      </c>
      <c r="AQ188" s="668">
        <f t="shared" si="43"/>
        <v>0</v>
      </c>
      <c r="AR188" s="668">
        <f t="shared" si="44"/>
        <v>0</v>
      </c>
      <c r="AS188" s="668"/>
      <c r="AT188" s="668"/>
      <c r="AU188" s="668"/>
      <c r="AV188" s="668"/>
      <c r="AW188" s="668"/>
      <c r="AX188" s="668"/>
      <c r="AY188" s="668"/>
      <c r="AZ188" s="668"/>
      <c r="BA188" s="668"/>
      <c r="BB188" s="668">
        <f t="shared" si="59"/>
        <v>0</v>
      </c>
      <c r="BC188" s="668"/>
      <c r="BD188" s="668"/>
      <c r="BE188" s="668"/>
      <c r="BF188" s="668"/>
      <c r="BG188" s="668"/>
      <c r="BH188" s="668"/>
      <c r="BI188" s="668"/>
    </row>
    <row r="189" spans="1:61" x14ac:dyDescent="0.2">
      <c r="A189" s="1012">
        <v>1157</v>
      </c>
      <c r="B189" s="1012" t="s">
        <v>576</v>
      </c>
      <c r="C189" s="1012"/>
      <c r="D189" s="667">
        <v>53</v>
      </c>
      <c r="E189" s="667"/>
      <c r="F189" s="667"/>
      <c r="G189" s="667"/>
      <c r="H189" s="667"/>
      <c r="I189" s="667"/>
      <c r="J189" s="667"/>
      <c r="K189" s="667"/>
      <c r="L189" s="667">
        <v>2</v>
      </c>
      <c r="M189" s="667"/>
      <c r="N189" s="667"/>
      <c r="O189" s="667"/>
      <c r="P189" s="667"/>
      <c r="Q189" s="667"/>
      <c r="R189" s="667"/>
      <c r="S189" s="667"/>
      <c r="T189" s="667"/>
      <c r="U189" s="1012">
        <v>12.5</v>
      </c>
      <c r="V189" s="668">
        <f t="shared" si="46"/>
        <v>662.5</v>
      </c>
      <c r="W189" s="668">
        <f t="shared" si="47"/>
        <v>0</v>
      </c>
      <c r="X189" s="668">
        <f t="shared" si="48"/>
        <v>0</v>
      </c>
      <c r="Y189" s="668">
        <f t="shared" si="49"/>
        <v>0</v>
      </c>
      <c r="Z189" s="668">
        <f t="shared" si="51"/>
        <v>0</v>
      </c>
      <c r="AA189" s="668">
        <f t="shared" si="52"/>
        <v>0</v>
      </c>
      <c r="AB189" s="668">
        <f t="shared" si="53"/>
        <v>0</v>
      </c>
      <c r="AC189" s="668">
        <f t="shared" si="45"/>
        <v>0</v>
      </c>
      <c r="AD189" s="668">
        <f t="shared" si="54"/>
        <v>0</v>
      </c>
      <c r="AE189" s="668">
        <f t="shared" si="55"/>
        <v>0</v>
      </c>
      <c r="AF189" s="668">
        <f t="shared" si="50"/>
        <v>25</v>
      </c>
      <c r="AG189" s="668">
        <f t="shared" si="56"/>
        <v>0</v>
      </c>
      <c r="AH189" s="668"/>
      <c r="AI189" s="668"/>
      <c r="AJ189" s="668"/>
      <c r="AK189" s="668"/>
      <c r="AL189" s="668"/>
      <c r="AM189" s="668">
        <f t="shared" si="57"/>
        <v>0</v>
      </c>
      <c r="AN189" s="668">
        <f t="shared" si="41"/>
        <v>0</v>
      </c>
      <c r="AO189" s="668">
        <f t="shared" si="42"/>
        <v>0</v>
      </c>
      <c r="AP189" s="668">
        <f t="shared" si="58"/>
        <v>0</v>
      </c>
      <c r="AQ189" s="668">
        <f t="shared" si="43"/>
        <v>0</v>
      </c>
      <c r="AR189" s="668">
        <f t="shared" si="44"/>
        <v>0</v>
      </c>
      <c r="AS189" s="668"/>
      <c r="AT189" s="668"/>
      <c r="AU189" s="668"/>
      <c r="AV189" s="668"/>
      <c r="AW189" s="668"/>
      <c r="AX189" s="668"/>
      <c r="AY189" s="668"/>
      <c r="AZ189" s="668"/>
      <c r="BA189" s="668"/>
      <c r="BB189" s="668">
        <f t="shared" si="59"/>
        <v>0</v>
      </c>
      <c r="BC189" s="668"/>
      <c r="BD189" s="668"/>
      <c r="BE189" s="668"/>
      <c r="BF189" s="668"/>
      <c r="BG189" s="668"/>
      <c r="BH189" s="668"/>
      <c r="BI189" s="668"/>
    </row>
    <row r="190" spans="1:61" x14ac:dyDescent="0.2">
      <c r="A190" s="1012">
        <v>1158</v>
      </c>
      <c r="B190" s="1012" t="s">
        <v>486</v>
      </c>
      <c r="C190" s="1012"/>
      <c r="D190" s="667">
        <v>39</v>
      </c>
      <c r="E190" s="667"/>
      <c r="F190" s="667"/>
      <c r="G190" s="667"/>
      <c r="H190" s="667"/>
      <c r="I190" s="667"/>
      <c r="J190" s="667"/>
      <c r="K190" s="667"/>
      <c r="L190" s="667">
        <v>2</v>
      </c>
      <c r="M190" s="667"/>
      <c r="N190" s="667"/>
      <c r="O190" s="667"/>
      <c r="P190" s="667">
        <v>5</v>
      </c>
      <c r="Q190" s="1014">
        <v>75</v>
      </c>
      <c r="R190" s="667"/>
      <c r="S190" s="667"/>
      <c r="T190" s="667"/>
      <c r="U190" s="1012">
        <v>17</v>
      </c>
      <c r="V190" s="668">
        <f t="shared" si="46"/>
        <v>663</v>
      </c>
      <c r="W190" s="668">
        <f t="shared" si="47"/>
        <v>0</v>
      </c>
      <c r="X190" s="668">
        <f t="shared" si="48"/>
        <v>0</v>
      </c>
      <c r="Y190" s="668">
        <f t="shared" si="49"/>
        <v>0</v>
      </c>
      <c r="Z190" s="668">
        <f t="shared" si="51"/>
        <v>0</v>
      </c>
      <c r="AA190" s="668">
        <f t="shared" si="52"/>
        <v>0</v>
      </c>
      <c r="AB190" s="668">
        <f t="shared" si="53"/>
        <v>0</v>
      </c>
      <c r="AC190" s="668">
        <f t="shared" si="45"/>
        <v>85</v>
      </c>
      <c r="AD190" s="668">
        <f t="shared" si="54"/>
        <v>75</v>
      </c>
      <c r="AE190" s="668">
        <f t="shared" si="55"/>
        <v>0</v>
      </c>
      <c r="AF190" s="668">
        <f t="shared" si="50"/>
        <v>34</v>
      </c>
      <c r="AG190" s="668">
        <f t="shared" si="56"/>
        <v>0</v>
      </c>
      <c r="AH190" s="668"/>
      <c r="AI190" s="668"/>
      <c r="AJ190" s="668"/>
      <c r="AK190" s="668"/>
      <c r="AL190" s="668"/>
      <c r="AM190" s="668">
        <f t="shared" si="57"/>
        <v>0</v>
      </c>
      <c r="AN190" s="668">
        <f t="shared" si="41"/>
        <v>0</v>
      </c>
      <c r="AO190" s="668">
        <f t="shared" si="42"/>
        <v>0</v>
      </c>
      <c r="AP190" s="668">
        <f t="shared" si="58"/>
        <v>0</v>
      </c>
      <c r="AQ190" s="668">
        <f t="shared" si="43"/>
        <v>0</v>
      </c>
      <c r="AR190" s="668">
        <f t="shared" si="44"/>
        <v>0</v>
      </c>
      <c r="AS190" s="668"/>
      <c r="AT190" s="668"/>
      <c r="AU190" s="668"/>
      <c r="AV190" s="668"/>
      <c r="AW190" s="668"/>
      <c r="AX190" s="668"/>
      <c r="AY190" s="668"/>
      <c r="AZ190" s="668"/>
      <c r="BA190" s="668"/>
      <c r="BB190" s="668">
        <f t="shared" si="59"/>
        <v>0</v>
      </c>
      <c r="BC190" s="668"/>
      <c r="BD190" s="668"/>
      <c r="BE190" s="668"/>
      <c r="BF190" s="668"/>
      <c r="BG190" s="668"/>
      <c r="BH190" s="668"/>
      <c r="BI190" s="668"/>
    </row>
    <row r="191" spans="1:61" x14ac:dyDescent="0.2">
      <c r="A191" s="1012">
        <v>1160</v>
      </c>
      <c r="B191" s="1012" t="s">
        <v>486</v>
      </c>
      <c r="C191" s="1012"/>
      <c r="D191" s="667">
        <v>47</v>
      </c>
      <c r="E191" s="667"/>
      <c r="F191" s="667"/>
      <c r="G191" s="667"/>
      <c r="H191" s="667"/>
      <c r="I191" s="667"/>
      <c r="J191" s="667"/>
      <c r="K191" s="667"/>
      <c r="L191" s="667"/>
      <c r="M191" s="667"/>
      <c r="N191" s="667"/>
      <c r="O191" s="667"/>
      <c r="P191" s="667">
        <v>47</v>
      </c>
      <c r="Q191" s="1014">
        <v>505</v>
      </c>
      <c r="R191" s="667"/>
      <c r="S191" s="667"/>
      <c r="T191" s="667"/>
      <c r="U191" s="1012">
        <v>17</v>
      </c>
      <c r="V191" s="668">
        <f t="shared" si="46"/>
        <v>799</v>
      </c>
      <c r="W191" s="668">
        <f t="shared" si="47"/>
        <v>0</v>
      </c>
      <c r="X191" s="668">
        <f t="shared" si="48"/>
        <v>0</v>
      </c>
      <c r="Y191" s="668">
        <f t="shared" si="49"/>
        <v>0</v>
      </c>
      <c r="Z191" s="668">
        <f t="shared" si="51"/>
        <v>0</v>
      </c>
      <c r="AA191" s="668">
        <f t="shared" si="52"/>
        <v>0</v>
      </c>
      <c r="AB191" s="668">
        <f t="shared" si="53"/>
        <v>0</v>
      </c>
      <c r="AC191" s="668">
        <f t="shared" si="45"/>
        <v>799</v>
      </c>
      <c r="AD191" s="668">
        <f t="shared" si="54"/>
        <v>505</v>
      </c>
      <c r="AE191" s="668">
        <f t="shared" si="55"/>
        <v>0</v>
      </c>
      <c r="AF191" s="668">
        <f t="shared" si="50"/>
        <v>0</v>
      </c>
      <c r="AG191" s="668">
        <f t="shared" si="56"/>
        <v>0</v>
      </c>
      <c r="AH191" s="668"/>
      <c r="AI191" s="668"/>
      <c r="AJ191" s="668"/>
      <c r="AK191" s="668"/>
      <c r="AL191" s="668"/>
      <c r="AM191" s="668">
        <f t="shared" si="57"/>
        <v>0</v>
      </c>
      <c r="AN191" s="668">
        <f t="shared" si="41"/>
        <v>0</v>
      </c>
      <c r="AO191" s="668">
        <f t="shared" si="42"/>
        <v>0</v>
      </c>
      <c r="AP191" s="668">
        <f t="shared" si="58"/>
        <v>0</v>
      </c>
      <c r="AQ191" s="668">
        <f t="shared" si="43"/>
        <v>0</v>
      </c>
      <c r="AR191" s="668">
        <f t="shared" si="44"/>
        <v>0</v>
      </c>
      <c r="AS191" s="668"/>
      <c r="AT191" s="668"/>
      <c r="AU191" s="668"/>
      <c r="AV191" s="668"/>
      <c r="AW191" s="668"/>
      <c r="AX191" s="668"/>
      <c r="AY191" s="668"/>
      <c r="AZ191" s="668"/>
      <c r="BA191" s="668"/>
      <c r="BB191" s="668">
        <f t="shared" si="59"/>
        <v>0</v>
      </c>
      <c r="BC191" s="668"/>
      <c r="BD191" s="668"/>
      <c r="BE191" s="668"/>
      <c r="BF191" s="668"/>
      <c r="BG191" s="668"/>
      <c r="BH191" s="668"/>
      <c r="BI191" s="668"/>
    </row>
    <row r="192" spans="1:61" x14ac:dyDescent="0.2">
      <c r="A192" s="1012" t="s">
        <v>578</v>
      </c>
      <c r="B192" s="1012" t="s">
        <v>461</v>
      </c>
      <c r="C192" s="1012"/>
      <c r="D192" s="667">
        <v>76</v>
      </c>
      <c r="E192" s="667"/>
      <c r="F192" s="667"/>
      <c r="G192" s="667"/>
      <c r="H192" s="667"/>
      <c r="I192" s="667"/>
      <c r="J192" s="667"/>
      <c r="K192" s="667"/>
      <c r="L192" s="667"/>
      <c r="M192" s="667"/>
      <c r="N192" s="667"/>
      <c r="O192" s="667"/>
      <c r="P192" s="667"/>
      <c r="Q192" s="1014">
        <v>178</v>
      </c>
      <c r="R192" s="667"/>
      <c r="S192" s="667"/>
      <c r="T192" s="667"/>
      <c r="U192" s="1012">
        <v>17</v>
      </c>
      <c r="V192" s="668">
        <f t="shared" si="46"/>
        <v>1292</v>
      </c>
      <c r="W192" s="668">
        <f t="shared" si="47"/>
        <v>0</v>
      </c>
      <c r="X192" s="668">
        <f t="shared" si="48"/>
        <v>0</v>
      </c>
      <c r="Y192" s="668">
        <f t="shared" si="49"/>
        <v>0</v>
      </c>
      <c r="Z192" s="668">
        <f t="shared" si="51"/>
        <v>0</v>
      </c>
      <c r="AA192" s="668">
        <f t="shared" si="52"/>
        <v>0</v>
      </c>
      <c r="AB192" s="668">
        <f t="shared" si="53"/>
        <v>0</v>
      </c>
      <c r="AC192" s="668">
        <f t="shared" si="45"/>
        <v>0</v>
      </c>
      <c r="AD192" s="668">
        <f t="shared" si="54"/>
        <v>178</v>
      </c>
      <c r="AE192" s="668">
        <f t="shared" si="55"/>
        <v>0</v>
      </c>
      <c r="AF192" s="668">
        <f t="shared" si="50"/>
        <v>0</v>
      </c>
      <c r="AG192" s="668">
        <f t="shared" si="56"/>
        <v>0</v>
      </c>
      <c r="AH192" s="668"/>
      <c r="AI192" s="668"/>
      <c r="AJ192" s="668"/>
      <c r="AK192" s="668"/>
      <c r="AL192" s="668"/>
      <c r="AM192" s="668">
        <f t="shared" si="57"/>
        <v>0</v>
      </c>
      <c r="AN192" s="668">
        <f t="shared" si="41"/>
        <v>0</v>
      </c>
      <c r="AO192" s="668">
        <f t="shared" si="42"/>
        <v>0</v>
      </c>
      <c r="AP192" s="668">
        <f t="shared" si="58"/>
        <v>0</v>
      </c>
      <c r="AQ192" s="668">
        <f t="shared" si="43"/>
        <v>0</v>
      </c>
      <c r="AR192" s="668">
        <f t="shared" si="44"/>
        <v>0</v>
      </c>
      <c r="AS192" s="668"/>
      <c r="AT192" s="668"/>
      <c r="AU192" s="668"/>
      <c r="AV192" s="668"/>
      <c r="AW192" s="668"/>
      <c r="AX192" s="668"/>
      <c r="AY192" s="668"/>
      <c r="AZ192" s="668"/>
      <c r="BA192" s="668"/>
      <c r="BB192" s="668">
        <f t="shared" si="59"/>
        <v>0</v>
      </c>
      <c r="BC192" s="668"/>
      <c r="BD192" s="668"/>
      <c r="BE192" s="668"/>
      <c r="BF192" s="668"/>
      <c r="BG192" s="668"/>
      <c r="BH192" s="668"/>
      <c r="BI192" s="668"/>
    </row>
    <row r="193" spans="1:61" x14ac:dyDescent="0.2">
      <c r="A193" s="1012">
        <v>1161</v>
      </c>
      <c r="B193" s="1012" t="s">
        <v>577</v>
      </c>
      <c r="C193" s="1012"/>
      <c r="D193" s="667">
        <v>348</v>
      </c>
      <c r="E193" s="667"/>
      <c r="F193" s="667"/>
      <c r="G193" s="667"/>
      <c r="H193" s="667"/>
      <c r="I193" s="667">
        <v>348</v>
      </c>
      <c r="J193" s="667"/>
      <c r="K193" s="667"/>
      <c r="L193" s="667">
        <v>8</v>
      </c>
      <c r="M193" s="667"/>
      <c r="N193" s="667"/>
      <c r="O193" s="667"/>
      <c r="P193" s="667"/>
      <c r="Q193" s="667"/>
      <c r="R193" s="667"/>
      <c r="S193" s="667"/>
      <c r="T193" s="667">
        <v>7576</v>
      </c>
      <c r="U193" s="1012">
        <v>17</v>
      </c>
      <c r="V193" s="668">
        <f t="shared" si="46"/>
        <v>5916</v>
      </c>
      <c r="W193" s="668">
        <f t="shared" si="47"/>
        <v>0</v>
      </c>
      <c r="X193" s="668">
        <f t="shared" si="48"/>
        <v>0</v>
      </c>
      <c r="Y193" s="668">
        <f t="shared" si="49"/>
        <v>0</v>
      </c>
      <c r="Z193" s="668">
        <f t="shared" si="51"/>
        <v>0</v>
      </c>
      <c r="AA193" s="668">
        <f t="shared" si="52"/>
        <v>0</v>
      </c>
      <c r="AB193" s="668">
        <f t="shared" si="53"/>
        <v>7576</v>
      </c>
      <c r="AC193" s="668">
        <f t="shared" si="45"/>
        <v>0</v>
      </c>
      <c r="AD193" s="668">
        <f t="shared" si="54"/>
        <v>0</v>
      </c>
      <c r="AE193" s="668">
        <f t="shared" si="55"/>
        <v>0</v>
      </c>
      <c r="AF193" s="668">
        <f t="shared" si="50"/>
        <v>136</v>
      </c>
      <c r="AG193" s="668">
        <f t="shared" si="56"/>
        <v>0</v>
      </c>
      <c r="AH193" s="668"/>
      <c r="AI193" s="668"/>
      <c r="AJ193" s="668"/>
      <c r="AK193" s="668"/>
      <c r="AL193" s="668"/>
      <c r="AM193" s="668">
        <f t="shared" si="57"/>
        <v>348</v>
      </c>
      <c r="AN193" s="668">
        <f t="shared" si="41"/>
        <v>0</v>
      </c>
      <c r="AO193" s="668">
        <f t="shared" si="42"/>
        <v>0</v>
      </c>
      <c r="AP193" s="668">
        <f t="shared" si="58"/>
        <v>0</v>
      </c>
      <c r="AQ193" s="668">
        <f t="shared" si="43"/>
        <v>0</v>
      </c>
      <c r="AR193" s="668">
        <f t="shared" si="44"/>
        <v>0</v>
      </c>
      <c r="AS193" s="668"/>
      <c r="AT193" s="668"/>
      <c r="AU193" s="668"/>
      <c r="AV193" s="668"/>
      <c r="AW193" s="668"/>
      <c r="AX193" s="668"/>
      <c r="AY193" s="668"/>
      <c r="AZ193" s="668"/>
      <c r="BA193" s="668"/>
      <c r="BB193" s="668">
        <f t="shared" si="59"/>
        <v>0</v>
      </c>
      <c r="BC193" s="668"/>
      <c r="BD193" s="668"/>
      <c r="BE193" s="668"/>
      <c r="BF193" s="668"/>
      <c r="BG193" s="668"/>
      <c r="BH193" s="668"/>
      <c r="BI193" s="668"/>
    </row>
    <row r="194" spans="1:61" x14ac:dyDescent="0.2">
      <c r="A194" s="1012">
        <v>1162</v>
      </c>
      <c r="B194" s="1012" t="s">
        <v>486</v>
      </c>
      <c r="C194" s="1012"/>
      <c r="D194" s="667">
        <v>85</v>
      </c>
      <c r="E194" s="667"/>
      <c r="F194" s="667"/>
      <c r="G194" s="667"/>
      <c r="H194" s="667"/>
      <c r="I194" s="667"/>
      <c r="J194" s="667"/>
      <c r="K194" s="667"/>
      <c r="L194" s="667"/>
      <c r="M194" s="667"/>
      <c r="N194" s="667"/>
      <c r="O194" s="667"/>
      <c r="P194" s="667">
        <v>142</v>
      </c>
      <c r="Q194" s="1014">
        <v>2002</v>
      </c>
      <c r="R194" s="667"/>
      <c r="S194" s="667"/>
      <c r="T194" s="667"/>
      <c r="U194" s="1012">
        <v>17</v>
      </c>
      <c r="V194" s="668">
        <f t="shared" si="46"/>
        <v>1445</v>
      </c>
      <c r="W194" s="668">
        <f t="shared" si="47"/>
        <v>0</v>
      </c>
      <c r="X194" s="668">
        <f t="shared" si="48"/>
        <v>0</v>
      </c>
      <c r="Y194" s="668">
        <f t="shared" si="49"/>
        <v>0</v>
      </c>
      <c r="Z194" s="668">
        <f t="shared" si="51"/>
        <v>0</v>
      </c>
      <c r="AA194" s="668">
        <f t="shared" si="52"/>
        <v>0</v>
      </c>
      <c r="AB194" s="668">
        <f t="shared" si="53"/>
        <v>0</v>
      </c>
      <c r="AC194" s="668">
        <f t="shared" si="45"/>
        <v>2414</v>
      </c>
      <c r="AD194" s="668">
        <f t="shared" si="54"/>
        <v>2002</v>
      </c>
      <c r="AE194" s="668">
        <f t="shared" si="55"/>
        <v>0</v>
      </c>
      <c r="AF194" s="668">
        <f t="shared" si="50"/>
        <v>0</v>
      </c>
      <c r="AG194" s="668">
        <f t="shared" si="56"/>
        <v>0</v>
      </c>
      <c r="AH194" s="668"/>
      <c r="AI194" s="668"/>
      <c r="AJ194" s="668"/>
      <c r="AK194" s="668"/>
      <c r="AL194" s="668"/>
      <c r="AM194" s="668">
        <f t="shared" si="57"/>
        <v>0</v>
      </c>
      <c r="AN194" s="668">
        <f t="shared" si="41"/>
        <v>0</v>
      </c>
      <c r="AO194" s="668">
        <f t="shared" si="42"/>
        <v>0</v>
      </c>
      <c r="AP194" s="668">
        <f t="shared" si="58"/>
        <v>0</v>
      </c>
      <c r="AQ194" s="668">
        <f t="shared" si="43"/>
        <v>0</v>
      </c>
      <c r="AR194" s="668">
        <f t="shared" si="44"/>
        <v>0</v>
      </c>
      <c r="AS194" s="668"/>
      <c r="AT194" s="668"/>
      <c r="AU194" s="668"/>
      <c r="AV194" s="668"/>
      <c r="AW194" s="668"/>
      <c r="AX194" s="668"/>
      <c r="AY194" s="668"/>
      <c r="AZ194" s="668"/>
      <c r="BA194" s="668"/>
      <c r="BB194" s="668">
        <f t="shared" si="59"/>
        <v>0</v>
      </c>
      <c r="BC194" s="668"/>
      <c r="BD194" s="668"/>
      <c r="BE194" s="668"/>
      <c r="BF194" s="668"/>
      <c r="BG194" s="668"/>
      <c r="BH194" s="668"/>
      <c r="BI194" s="668"/>
    </row>
    <row r="195" spans="1:61" x14ac:dyDescent="0.2">
      <c r="A195" s="1013">
        <v>1163</v>
      </c>
      <c r="B195" s="1012" t="s">
        <v>579</v>
      </c>
      <c r="C195" s="1012"/>
      <c r="D195" s="667">
        <v>52</v>
      </c>
      <c r="E195" s="667"/>
      <c r="F195" s="667"/>
      <c r="G195" s="667"/>
      <c r="H195" s="667"/>
      <c r="I195" s="667"/>
      <c r="J195" s="667"/>
      <c r="K195" s="667"/>
      <c r="L195" s="667"/>
      <c r="M195" s="667"/>
      <c r="N195" s="667"/>
      <c r="O195" s="667"/>
      <c r="P195" s="667"/>
      <c r="Q195" s="667"/>
      <c r="R195" s="667"/>
      <c r="S195" s="667"/>
      <c r="T195" s="667"/>
      <c r="U195" s="1012">
        <v>17</v>
      </c>
      <c r="V195" s="668">
        <f t="shared" si="46"/>
        <v>884</v>
      </c>
      <c r="W195" s="668">
        <f t="shared" si="47"/>
        <v>0</v>
      </c>
      <c r="X195" s="668">
        <f t="shared" si="48"/>
        <v>0</v>
      </c>
      <c r="Y195" s="668">
        <f t="shared" si="49"/>
        <v>0</v>
      </c>
      <c r="Z195" s="668">
        <f t="shared" si="51"/>
        <v>0</v>
      </c>
      <c r="AA195" s="668">
        <f t="shared" si="52"/>
        <v>0</v>
      </c>
      <c r="AB195" s="668">
        <f t="shared" si="53"/>
        <v>0</v>
      </c>
      <c r="AC195" s="668">
        <f t="shared" si="45"/>
        <v>0</v>
      </c>
      <c r="AD195" s="668">
        <f t="shared" si="54"/>
        <v>0</v>
      </c>
      <c r="AE195" s="668">
        <f t="shared" si="55"/>
        <v>0</v>
      </c>
      <c r="AF195" s="668">
        <f t="shared" si="50"/>
        <v>0</v>
      </c>
      <c r="AG195" s="668">
        <f t="shared" si="56"/>
        <v>0</v>
      </c>
      <c r="AH195" s="668"/>
      <c r="AI195" s="668"/>
      <c r="AJ195" s="668"/>
      <c r="AK195" s="668"/>
      <c r="AL195" s="668"/>
      <c r="AM195" s="668">
        <f t="shared" si="57"/>
        <v>0</v>
      </c>
      <c r="AN195" s="668">
        <f t="shared" si="41"/>
        <v>0</v>
      </c>
      <c r="AO195" s="668">
        <f t="shared" si="42"/>
        <v>0</v>
      </c>
      <c r="AP195" s="668">
        <f t="shared" si="58"/>
        <v>0</v>
      </c>
      <c r="AQ195" s="668">
        <f t="shared" si="43"/>
        <v>0</v>
      </c>
      <c r="AR195" s="668">
        <f t="shared" si="44"/>
        <v>0</v>
      </c>
      <c r="AS195" s="668"/>
      <c r="AT195" s="668"/>
      <c r="AU195" s="668"/>
      <c r="AV195" s="668"/>
      <c r="AW195" s="668"/>
      <c r="AX195" s="668"/>
      <c r="AY195" s="668"/>
      <c r="AZ195" s="668"/>
      <c r="BA195" s="668"/>
      <c r="BB195" s="668">
        <f t="shared" si="59"/>
        <v>0</v>
      </c>
      <c r="BC195" s="668"/>
      <c r="BD195" s="668"/>
      <c r="BE195" s="668"/>
      <c r="BF195" s="668"/>
      <c r="BG195" s="668"/>
      <c r="BH195" s="668"/>
      <c r="BI195" s="668"/>
    </row>
    <row r="196" spans="1:61" x14ac:dyDescent="0.2">
      <c r="A196" s="1013">
        <v>1164</v>
      </c>
      <c r="B196" s="1012" t="s">
        <v>476</v>
      </c>
      <c r="C196" s="1012"/>
      <c r="D196" s="667">
        <v>48</v>
      </c>
      <c r="E196" s="667"/>
      <c r="F196" s="667"/>
      <c r="G196" s="667"/>
      <c r="H196" s="667"/>
      <c r="I196" s="667"/>
      <c r="J196" s="667"/>
      <c r="K196" s="667"/>
      <c r="L196" s="667">
        <v>2</v>
      </c>
      <c r="M196" s="667"/>
      <c r="N196" s="667"/>
      <c r="O196" s="667"/>
      <c r="P196" s="667"/>
      <c r="Q196" s="667"/>
      <c r="R196" s="667"/>
      <c r="S196" s="667"/>
      <c r="T196" s="667"/>
      <c r="U196" s="1012">
        <v>17</v>
      </c>
      <c r="V196" s="668">
        <f t="shared" si="46"/>
        <v>816</v>
      </c>
      <c r="W196" s="668">
        <f t="shared" si="47"/>
        <v>0</v>
      </c>
      <c r="X196" s="668">
        <f t="shared" si="48"/>
        <v>0</v>
      </c>
      <c r="Y196" s="668">
        <f t="shared" si="49"/>
        <v>0</v>
      </c>
      <c r="Z196" s="668">
        <f t="shared" si="51"/>
        <v>0</v>
      </c>
      <c r="AA196" s="668">
        <f t="shared" si="52"/>
        <v>0</v>
      </c>
      <c r="AB196" s="668">
        <f t="shared" si="53"/>
        <v>0</v>
      </c>
      <c r="AC196" s="668">
        <f t="shared" si="45"/>
        <v>0</v>
      </c>
      <c r="AD196" s="668">
        <f t="shared" si="54"/>
        <v>0</v>
      </c>
      <c r="AE196" s="668">
        <f t="shared" si="55"/>
        <v>0</v>
      </c>
      <c r="AF196" s="668">
        <f t="shared" si="50"/>
        <v>34</v>
      </c>
      <c r="AG196" s="668">
        <f t="shared" si="56"/>
        <v>0</v>
      </c>
      <c r="AH196" s="668"/>
      <c r="AI196" s="668"/>
      <c r="AJ196" s="668"/>
      <c r="AK196" s="668"/>
      <c r="AL196" s="668"/>
      <c r="AM196" s="668">
        <f t="shared" si="57"/>
        <v>0</v>
      </c>
      <c r="AN196" s="668">
        <f t="shared" si="41"/>
        <v>0</v>
      </c>
      <c r="AO196" s="668">
        <f t="shared" si="42"/>
        <v>0</v>
      </c>
      <c r="AP196" s="668">
        <f t="shared" si="58"/>
        <v>0</v>
      </c>
      <c r="AQ196" s="668">
        <f t="shared" si="43"/>
        <v>0</v>
      </c>
      <c r="AR196" s="668">
        <f t="shared" si="44"/>
        <v>0</v>
      </c>
      <c r="AS196" s="668"/>
      <c r="AT196" s="668"/>
      <c r="AU196" s="668"/>
      <c r="AV196" s="668"/>
      <c r="AW196" s="668"/>
      <c r="AX196" s="668"/>
      <c r="AY196" s="668"/>
      <c r="AZ196" s="668"/>
      <c r="BA196" s="668"/>
      <c r="BB196" s="668">
        <f t="shared" si="59"/>
        <v>0</v>
      </c>
      <c r="BC196" s="668"/>
      <c r="BD196" s="668"/>
      <c r="BE196" s="668"/>
      <c r="BF196" s="668"/>
      <c r="BG196" s="668"/>
      <c r="BH196" s="668"/>
      <c r="BI196" s="668"/>
    </row>
    <row r="197" spans="1:61" x14ac:dyDescent="0.2">
      <c r="A197" s="1013">
        <v>1166</v>
      </c>
      <c r="B197" s="1012" t="s">
        <v>533</v>
      </c>
      <c r="C197" s="1012" t="s">
        <v>984</v>
      </c>
      <c r="D197" s="667">
        <v>120</v>
      </c>
      <c r="E197" s="667"/>
      <c r="F197" s="667"/>
      <c r="G197" s="667"/>
      <c r="H197" s="667"/>
      <c r="I197" s="667"/>
      <c r="J197" s="667"/>
      <c r="K197" s="667"/>
      <c r="L197" s="667"/>
      <c r="M197" s="667"/>
      <c r="N197" s="667"/>
      <c r="O197" s="667"/>
      <c r="P197" s="667"/>
      <c r="Q197" s="667"/>
      <c r="R197" s="667"/>
      <c r="S197" s="667"/>
      <c r="T197" s="667"/>
      <c r="U197" s="1012">
        <v>9</v>
      </c>
      <c r="V197" s="668">
        <f t="shared" si="46"/>
        <v>1080</v>
      </c>
      <c r="W197" s="668">
        <f t="shared" si="47"/>
        <v>0</v>
      </c>
      <c r="X197" s="668">
        <f t="shared" si="48"/>
        <v>0</v>
      </c>
      <c r="Y197" s="668">
        <f t="shared" si="49"/>
        <v>0</v>
      </c>
      <c r="Z197" s="668">
        <f t="shared" si="51"/>
        <v>1080</v>
      </c>
      <c r="AA197" s="668">
        <f t="shared" si="52"/>
        <v>0</v>
      </c>
      <c r="AB197" s="668">
        <f t="shared" si="53"/>
        <v>0</v>
      </c>
      <c r="AC197" s="668">
        <f t="shared" si="45"/>
        <v>0</v>
      </c>
      <c r="AD197" s="668">
        <f t="shared" si="54"/>
        <v>0</v>
      </c>
      <c r="AE197" s="668">
        <f t="shared" si="55"/>
        <v>0</v>
      </c>
      <c r="AF197" s="668">
        <f t="shared" si="50"/>
        <v>0</v>
      </c>
      <c r="AG197" s="668">
        <f t="shared" si="56"/>
        <v>0</v>
      </c>
      <c r="AH197" s="668"/>
      <c r="AI197" s="668"/>
      <c r="AJ197" s="668"/>
      <c r="AK197" s="668"/>
      <c r="AL197" s="668"/>
      <c r="AM197" s="668">
        <f t="shared" si="57"/>
        <v>0</v>
      </c>
      <c r="AN197" s="668">
        <f t="shared" si="41"/>
        <v>0</v>
      </c>
      <c r="AO197" s="668">
        <f t="shared" si="42"/>
        <v>0</v>
      </c>
      <c r="AP197" s="668">
        <f t="shared" si="58"/>
        <v>0</v>
      </c>
      <c r="AQ197" s="668">
        <f t="shared" si="43"/>
        <v>0</v>
      </c>
      <c r="AR197" s="668">
        <f t="shared" si="44"/>
        <v>0</v>
      </c>
      <c r="AS197" s="668"/>
      <c r="AT197" s="668"/>
      <c r="AU197" s="668"/>
      <c r="AV197" s="668"/>
      <c r="AW197" s="668"/>
      <c r="AX197" s="668"/>
      <c r="AY197" s="668"/>
      <c r="AZ197" s="668"/>
      <c r="BA197" s="668"/>
      <c r="BB197" s="668">
        <f t="shared" si="59"/>
        <v>0</v>
      </c>
      <c r="BC197" s="668"/>
      <c r="BD197" s="668"/>
      <c r="BE197" s="668"/>
      <c r="BF197" s="668"/>
      <c r="BG197" s="668"/>
      <c r="BH197" s="668"/>
      <c r="BI197" s="668"/>
    </row>
    <row r="198" spans="1:61" x14ac:dyDescent="0.2">
      <c r="A198" s="1013">
        <v>1167</v>
      </c>
      <c r="B198" s="1012" t="s">
        <v>580</v>
      </c>
      <c r="C198" s="1012" t="s">
        <v>984</v>
      </c>
      <c r="D198" s="667">
        <v>824</v>
      </c>
      <c r="E198" s="667"/>
      <c r="F198" s="667"/>
      <c r="G198" s="667"/>
      <c r="H198" s="667"/>
      <c r="I198" s="667"/>
      <c r="J198" s="667"/>
      <c r="K198" s="667"/>
      <c r="L198" s="667">
        <v>16</v>
      </c>
      <c r="M198" s="667"/>
      <c r="N198" s="667"/>
      <c r="O198" s="667"/>
      <c r="P198" s="667"/>
      <c r="Q198" s="1014">
        <v>5754</v>
      </c>
      <c r="R198" s="667"/>
      <c r="S198" s="667"/>
      <c r="T198" s="667">
        <v>5754</v>
      </c>
      <c r="U198" s="1012">
        <v>17</v>
      </c>
      <c r="V198" s="668">
        <f t="shared" si="46"/>
        <v>14008</v>
      </c>
      <c r="W198" s="668">
        <f t="shared" si="47"/>
        <v>0</v>
      </c>
      <c r="X198" s="668">
        <f t="shared" si="48"/>
        <v>0</v>
      </c>
      <c r="Y198" s="668">
        <f t="shared" si="49"/>
        <v>0</v>
      </c>
      <c r="Z198" s="668">
        <f t="shared" si="51"/>
        <v>14008</v>
      </c>
      <c r="AA198" s="668">
        <f t="shared" si="52"/>
        <v>0</v>
      </c>
      <c r="AB198" s="668">
        <f t="shared" si="53"/>
        <v>5754</v>
      </c>
      <c r="AC198" s="668">
        <f t="shared" si="45"/>
        <v>0</v>
      </c>
      <c r="AD198" s="668">
        <f t="shared" si="54"/>
        <v>5754</v>
      </c>
      <c r="AE198" s="668">
        <f t="shared" si="55"/>
        <v>0</v>
      </c>
      <c r="AF198" s="668">
        <f t="shared" si="50"/>
        <v>272</v>
      </c>
      <c r="AG198" s="668">
        <f t="shared" si="56"/>
        <v>0</v>
      </c>
      <c r="AH198" s="668"/>
      <c r="AI198" s="668"/>
      <c r="AJ198" s="668"/>
      <c r="AK198" s="668"/>
      <c r="AL198" s="668"/>
      <c r="AM198" s="668">
        <f t="shared" si="57"/>
        <v>0</v>
      </c>
      <c r="AN198" s="668">
        <f t="shared" si="41"/>
        <v>0</v>
      </c>
      <c r="AO198" s="668">
        <f t="shared" si="42"/>
        <v>0</v>
      </c>
      <c r="AP198" s="668">
        <f t="shared" si="58"/>
        <v>0</v>
      </c>
      <c r="AQ198" s="668">
        <f t="shared" si="43"/>
        <v>0</v>
      </c>
      <c r="AR198" s="668">
        <f t="shared" si="44"/>
        <v>0</v>
      </c>
      <c r="AS198" s="668"/>
      <c r="AT198" s="668"/>
      <c r="AU198" s="668"/>
      <c r="AV198" s="668"/>
      <c r="AW198" s="668"/>
      <c r="AX198" s="668"/>
      <c r="AY198" s="668"/>
      <c r="AZ198" s="668"/>
      <c r="BA198" s="668"/>
      <c r="BB198" s="668">
        <f t="shared" si="59"/>
        <v>0</v>
      </c>
      <c r="BC198" s="668"/>
      <c r="BD198" s="668"/>
      <c r="BE198" s="668"/>
      <c r="BF198" s="668"/>
      <c r="BG198" s="668"/>
      <c r="BH198" s="668"/>
      <c r="BI198" s="668"/>
    </row>
    <row r="199" spans="1:61" x14ac:dyDescent="0.2">
      <c r="A199" s="1013">
        <v>1168</v>
      </c>
      <c r="B199" s="1012" t="s">
        <v>486</v>
      </c>
      <c r="C199" s="1012"/>
      <c r="D199" s="667">
        <v>140</v>
      </c>
      <c r="E199" s="667"/>
      <c r="F199" s="667"/>
      <c r="G199" s="667"/>
      <c r="H199" s="667"/>
      <c r="I199" s="667"/>
      <c r="J199" s="667"/>
      <c r="K199" s="667"/>
      <c r="L199" s="667">
        <v>2</v>
      </c>
      <c r="M199" s="667"/>
      <c r="N199" s="667"/>
      <c r="O199" s="667"/>
      <c r="P199" s="667">
        <v>4</v>
      </c>
      <c r="Q199" s="1014">
        <v>838</v>
      </c>
      <c r="R199" s="667"/>
      <c r="S199" s="667"/>
      <c r="T199" s="667"/>
      <c r="U199" s="1012">
        <v>17</v>
      </c>
      <c r="V199" s="668">
        <f t="shared" si="46"/>
        <v>2380</v>
      </c>
      <c r="W199" s="668">
        <f t="shared" si="47"/>
        <v>0</v>
      </c>
      <c r="X199" s="668">
        <f t="shared" si="48"/>
        <v>0</v>
      </c>
      <c r="Y199" s="668">
        <f t="shared" si="49"/>
        <v>0</v>
      </c>
      <c r="Z199" s="668">
        <f t="shared" si="51"/>
        <v>0</v>
      </c>
      <c r="AA199" s="668">
        <f t="shared" si="52"/>
        <v>0</v>
      </c>
      <c r="AB199" s="668">
        <f t="shared" si="53"/>
        <v>0</v>
      </c>
      <c r="AC199" s="668">
        <f t="shared" si="45"/>
        <v>68</v>
      </c>
      <c r="AD199" s="668">
        <f t="shared" si="54"/>
        <v>838</v>
      </c>
      <c r="AE199" s="668">
        <f t="shared" si="55"/>
        <v>0</v>
      </c>
      <c r="AF199" s="668">
        <f t="shared" si="50"/>
        <v>34</v>
      </c>
      <c r="AG199" s="668">
        <f t="shared" si="56"/>
        <v>0</v>
      </c>
      <c r="AH199" s="668"/>
      <c r="AI199" s="668"/>
      <c r="AJ199" s="668"/>
      <c r="AK199" s="668"/>
      <c r="AL199" s="668"/>
      <c r="AM199" s="668">
        <f t="shared" si="57"/>
        <v>0</v>
      </c>
      <c r="AN199" s="668">
        <f t="shared" si="41"/>
        <v>0</v>
      </c>
      <c r="AO199" s="668">
        <f t="shared" si="42"/>
        <v>0</v>
      </c>
      <c r="AP199" s="668">
        <f t="shared" si="58"/>
        <v>0</v>
      </c>
      <c r="AQ199" s="668">
        <f t="shared" si="43"/>
        <v>0</v>
      </c>
      <c r="AR199" s="668">
        <f t="shared" si="44"/>
        <v>0</v>
      </c>
      <c r="AS199" s="668"/>
      <c r="AT199" s="668"/>
      <c r="AU199" s="668"/>
      <c r="AV199" s="668"/>
      <c r="AW199" s="668"/>
      <c r="AX199" s="668"/>
      <c r="AY199" s="668"/>
      <c r="AZ199" s="668"/>
      <c r="BA199" s="668"/>
      <c r="BB199" s="668">
        <f t="shared" si="59"/>
        <v>0</v>
      </c>
      <c r="BC199" s="668"/>
      <c r="BD199" s="668"/>
      <c r="BE199" s="668"/>
      <c r="BF199" s="668"/>
      <c r="BG199" s="668"/>
      <c r="BH199" s="668"/>
      <c r="BI199" s="668"/>
    </row>
    <row r="200" spans="1:61" x14ac:dyDescent="0.2">
      <c r="A200" s="1013">
        <v>1169</v>
      </c>
      <c r="B200" s="1012" t="s">
        <v>581</v>
      </c>
      <c r="C200" s="1012"/>
      <c r="D200" s="667">
        <v>295</v>
      </c>
      <c r="E200" s="667"/>
      <c r="F200" s="667"/>
      <c r="G200" s="667"/>
      <c r="H200" s="667"/>
      <c r="I200" s="667">
        <v>285</v>
      </c>
      <c r="J200" s="667"/>
      <c r="K200" s="667"/>
      <c r="L200" s="667">
        <v>8</v>
      </c>
      <c r="M200" s="667"/>
      <c r="N200" s="667"/>
      <c r="O200" s="667"/>
      <c r="P200" s="667"/>
      <c r="Q200" s="667"/>
      <c r="R200" s="667"/>
      <c r="S200" s="667"/>
      <c r="T200" s="667">
        <v>5007</v>
      </c>
      <c r="U200" s="1012">
        <v>17</v>
      </c>
      <c r="V200" s="668">
        <f t="shared" si="46"/>
        <v>5015</v>
      </c>
      <c r="W200" s="668">
        <f t="shared" si="47"/>
        <v>0</v>
      </c>
      <c r="X200" s="668">
        <f t="shared" si="48"/>
        <v>0</v>
      </c>
      <c r="Y200" s="668">
        <f t="shared" si="49"/>
        <v>0</v>
      </c>
      <c r="Z200" s="668">
        <f t="shared" si="51"/>
        <v>0</v>
      </c>
      <c r="AA200" s="668">
        <f t="shared" si="52"/>
        <v>0</v>
      </c>
      <c r="AB200" s="668">
        <f t="shared" si="53"/>
        <v>5007</v>
      </c>
      <c r="AC200" s="668">
        <f t="shared" si="45"/>
        <v>0</v>
      </c>
      <c r="AD200" s="668">
        <f t="shared" si="54"/>
        <v>0</v>
      </c>
      <c r="AE200" s="668">
        <f t="shared" si="55"/>
        <v>0</v>
      </c>
      <c r="AF200" s="668">
        <f t="shared" si="50"/>
        <v>136</v>
      </c>
      <c r="AG200" s="668">
        <f t="shared" si="56"/>
        <v>0</v>
      </c>
      <c r="AH200" s="668"/>
      <c r="AI200" s="668"/>
      <c r="AJ200" s="668"/>
      <c r="AK200" s="668"/>
      <c r="AL200" s="668"/>
      <c r="AM200" s="668">
        <f t="shared" si="57"/>
        <v>285</v>
      </c>
      <c r="AN200" s="668">
        <f t="shared" ref="AN200:AN263" si="60">+U200*E200</f>
        <v>0</v>
      </c>
      <c r="AO200" s="668">
        <f t="shared" ref="AO200:AO263" si="61">+U200*O200</f>
        <v>0</v>
      </c>
      <c r="AP200" s="668">
        <f t="shared" si="58"/>
        <v>0</v>
      </c>
      <c r="AQ200" s="668">
        <f t="shared" ref="AQ200:AQ263" si="62">+$AQ$4*K200</f>
        <v>0</v>
      </c>
      <c r="AR200" s="668">
        <f t="shared" ref="AR200:AR263" si="63">+$AR$4*K200</f>
        <v>0</v>
      </c>
      <c r="AS200" s="668"/>
      <c r="AT200" s="668"/>
      <c r="AU200" s="668"/>
      <c r="AV200" s="668"/>
      <c r="AW200" s="668"/>
      <c r="AX200" s="668"/>
      <c r="AY200" s="668"/>
      <c r="AZ200" s="668"/>
      <c r="BA200" s="668"/>
      <c r="BB200" s="668">
        <f t="shared" si="59"/>
        <v>0</v>
      </c>
      <c r="BC200" s="668"/>
      <c r="BD200" s="668"/>
      <c r="BE200" s="668"/>
      <c r="BF200" s="668"/>
      <c r="BG200" s="668"/>
      <c r="BH200" s="668"/>
      <c r="BI200" s="668"/>
    </row>
    <row r="201" spans="1:61" x14ac:dyDescent="0.2">
      <c r="A201" s="1013">
        <v>1170</v>
      </c>
      <c r="B201" s="1012" t="s">
        <v>582</v>
      </c>
      <c r="C201" s="1012"/>
      <c r="D201" s="667">
        <v>226</v>
      </c>
      <c r="E201" s="667"/>
      <c r="F201" s="667"/>
      <c r="G201" s="667"/>
      <c r="H201" s="667"/>
      <c r="I201" s="667">
        <v>226</v>
      </c>
      <c r="J201" s="667"/>
      <c r="K201" s="667"/>
      <c r="L201" s="667">
        <v>4</v>
      </c>
      <c r="M201" s="667"/>
      <c r="N201" s="667"/>
      <c r="O201" s="667"/>
      <c r="P201" s="667"/>
      <c r="Q201" s="667"/>
      <c r="R201" s="667"/>
      <c r="S201" s="667"/>
      <c r="T201" s="667">
        <v>2463</v>
      </c>
      <c r="U201" s="1012">
        <v>17</v>
      </c>
      <c r="V201" s="668">
        <f t="shared" si="46"/>
        <v>3842</v>
      </c>
      <c r="W201" s="668">
        <f t="shared" si="47"/>
        <v>0</v>
      </c>
      <c r="X201" s="668">
        <f t="shared" si="48"/>
        <v>0</v>
      </c>
      <c r="Y201" s="668">
        <f t="shared" si="49"/>
        <v>0</v>
      </c>
      <c r="Z201" s="668">
        <f t="shared" si="51"/>
        <v>0</v>
      </c>
      <c r="AA201" s="668">
        <f t="shared" si="52"/>
        <v>0</v>
      </c>
      <c r="AB201" s="668">
        <f t="shared" si="53"/>
        <v>2463</v>
      </c>
      <c r="AC201" s="668">
        <f t="shared" si="45"/>
        <v>0</v>
      </c>
      <c r="AD201" s="668">
        <f t="shared" si="54"/>
        <v>0</v>
      </c>
      <c r="AE201" s="668">
        <f t="shared" si="55"/>
        <v>0</v>
      </c>
      <c r="AF201" s="668">
        <f t="shared" si="50"/>
        <v>68</v>
      </c>
      <c r="AG201" s="668">
        <f t="shared" si="56"/>
        <v>0</v>
      </c>
      <c r="AH201" s="668"/>
      <c r="AI201" s="668"/>
      <c r="AJ201" s="668"/>
      <c r="AK201" s="668"/>
      <c r="AL201" s="668"/>
      <c r="AM201" s="668">
        <f t="shared" si="57"/>
        <v>226</v>
      </c>
      <c r="AN201" s="668">
        <f t="shared" si="60"/>
        <v>0</v>
      </c>
      <c r="AO201" s="668">
        <f t="shared" si="61"/>
        <v>0</v>
      </c>
      <c r="AP201" s="668">
        <f t="shared" si="58"/>
        <v>0</v>
      </c>
      <c r="AQ201" s="668">
        <f t="shared" si="62"/>
        <v>0</v>
      </c>
      <c r="AR201" s="668">
        <f t="shared" si="63"/>
        <v>0</v>
      </c>
      <c r="AS201" s="668"/>
      <c r="AT201" s="668"/>
      <c r="AU201" s="668"/>
      <c r="AV201" s="668"/>
      <c r="AW201" s="668"/>
      <c r="AX201" s="668"/>
      <c r="AY201" s="668"/>
      <c r="AZ201" s="668"/>
      <c r="BA201" s="668"/>
      <c r="BB201" s="668">
        <f t="shared" si="59"/>
        <v>0</v>
      </c>
      <c r="BC201" s="668"/>
      <c r="BD201" s="668"/>
      <c r="BE201" s="668"/>
      <c r="BF201" s="668"/>
      <c r="BG201" s="668"/>
      <c r="BH201" s="668"/>
      <c r="BI201" s="668"/>
    </row>
    <row r="202" spans="1:61" x14ac:dyDescent="0.2">
      <c r="A202" s="1013">
        <v>1171</v>
      </c>
      <c r="B202" s="1012" t="s">
        <v>583</v>
      </c>
      <c r="C202" s="1012"/>
      <c r="D202" s="667">
        <v>235</v>
      </c>
      <c r="E202" s="667"/>
      <c r="F202" s="667"/>
      <c r="G202" s="667"/>
      <c r="H202" s="667"/>
      <c r="I202" s="667">
        <v>235</v>
      </c>
      <c r="J202" s="667"/>
      <c r="K202" s="667"/>
      <c r="L202" s="667">
        <v>8</v>
      </c>
      <c r="M202" s="667"/>
      <c r="N202" s="667"/>
      <c r="O202" s="667"/>
      <c r="P202" s="667"/>
      <c r="Q202" s="667"/>
      <c r="R202" s="667"/>
      <c r="S202" s="667"/>
      <c r="T202" s="667">
        <v>2882</v>
      </c>
      <c r="U202" s="1012">
        <v>17</v>
      </c>
      <c r="V202" s="668">
        <f t="shared" si="46"/>
        <v>3995</v>
      </c>
      <c r="W202" s="668">
        <f t="shared" si="47"/>
        <v>0</v>
      </c>
      <c r="X202" s="668">
        <f t="shared" si="48"/>
        <v>0</v>
      </c>
      <c r="Y202" s="668">
        <f t="shared" si="49"/>
        <v>0</v>
      </c>
      <c r="Z202" s="668">
        <f t="shared" si="51"/>
        <v>0</v>
      </c>
      <c r="AA202" s="668">
        <f t="shared" si="52"/>
        <v>0</v>
      </c>
      <c r="AB202" s="668">
        <f t="shared" si="53"/>
        <v>2882</v>
      </c>
      <c r="AC202" s="668">
        <f t="shared" ref="AC202:AC265" si="64">+U202*P202</f>
        <v>0</v>
      </c>
      <c r="AD202" s="668">
        <f t="shared" si="54"/>
        <v>0</v>
      </c>
      <c r="AE202" s="668">
        <f t="shared" si="55"/>
        <v>0</v>
      </c>
      <c r="AF202" s="668">
        <f t="shared" si="50"/>
        <v>136</v>
      </c>
      <c r="AG202" s="668">
        <f t="shared" si="56"/>
        <v>0</v>
      </c>
      <c r="AH202" s="668"/>
      <c r="AI202" s="668"/>
      <c r="AJ202" s="668"/>
      <c r="AK202" s="668"/>
      <c r="AL202" s="668"/>
      <c r="AM202" s="668">
        <f t="shared" si="57"/>
        <v>235</v>
      </c>
      <c r="AN202" s="668">
        <f t="shared" si="60"/>
        <v>0</v>
      </c>
      <c r="AO202" s="668">
        <f t="shared" si="61"/>
        <v>0</v>
      </c>
      <c r="AP202" s="668">
        <f t="shared" si="58"/>
        <v>0</v>
      </c>
      <c r="AQ202" s="668">
        <f t="shared" si="62"/>
        <v>0</v>
      </c>
      <c r="AR202" s="668">
        <f t="shared" si="63"/>
        <v>0</v>
      </c>
      <c r="AS202" s="668"/>
      <c r="AT202" s="668"/>
      <c r="AU202" s="668"/>
      <c r="AV202" s="668"/>
      <c r="AW202" s="668"/>
      <c r="AX202" s="668"/>
      <c r="AY202" s="668"/>
      <c r="AZ202" s="668"/>
      <c r="BA202" s="668"/>
      <c r="BB202" s="668">
        <f t="shared" si="59"/>
        <v>0</v>
      </c>
      <c r="BC202" s="668"/>
      <c r="BD202" s="668"/>
      <c r="BE202" s="668"/>
      <c r="BF202" s="668"/>
      <c r="BG202" s="668"/>
      <c r="BH202" s="668"/>
      <c r="BI202" s="668"/>
    </row>
    <row r="203" spans="1:61" x14ac:dyDescent="0.2">
      <c r="A203" s="1013">
        <v>1172</v>
      </c>
      <c r="B203" s="1012" t="s">
        <v>486</v>
      </c>
      <c r="C203" s="1012"/>
      <c r="D203" s="667">
        <v>250</v>
      </c>
      <c r="E203" s="667"/>
      <c r="F203" s="667"/>
      <c r="G203" s="667"/>
      <c r="H203" s="667"/>
      <c r="I203" s="667"/>
      <c r="J203" s="667"/>
      <c r="K203" s="667"/>
      <c r="L203" s="667">
        <v>10</v>
      </c>
      <c r="M203" s="667"/>
      <c r="N203" s="667"/>
      <c r="O203" s="667"/>
      <c r="P203" s="667">
        <v>24</v>
      </c>
      <c r="Q203" s="1014">
        <v>2662</v>
      </c>
      <c r="R203" s="667"/>
      <c r="S203" s="667"/>
      <c r="T203" s="667"/>
      <c r="U203" s="1012">
        <v>17</v>
      </c>
      <c r="V203" s="668">
        <f t="shared" si="46"/>
        <v>4250</v>
      </c>
      <c r="W203" s="668">
        <f t="shared" si="47"/>
        <v>0</v>
      </c>
      <c r="X203" s="668">
        <f t="shared" si="48"/>
        <v>0</v>
      </c>
      <c r="Y203" s="668">
        <f t="shared" si="49"/>
        <v>0</v>
      </c>
      <c r="Z203" s="668">
        <f t="shared" si="51"/>
        <v>0</v>
      </c>
      <c r="AA203" s="668">
        <f t="shared" si="52"/>
        <v>0</v>
      </c>
      <c r="AB203" s="668">
        <f t="shared" si="53"/>
        <v>0</v>
      </c>
      <c r="AC203" s="668">
        <f t="shared" si="64"/>
        <v>408</v>
      </c>
      <c r="AD203" s="668">
        <f t="shared" si="54"/>
        <v>2662</v>
      </c>
      <c r="AE203" s="668">
        <f t="shared" si="55"/>
        <v>0</v>
      </c>
      <c r="AF203" s="668">
        <f t="shared" si="50"/>
        <v>170</v>
      </c>
      <c r="AG203" s="668">
        <f t="shared" si="56"/>
        <v>0</v>
      </c>
      <c r="AH203" s="668"/>
      <c r="AI203" s="668"/>
      <c r="AJ203" s="668"/>
      <c r="AK203" s="668"/>
      <c r="AL203" s="668"/>
      <c r="AM203" s="668">
        <f t="shared" si="57"/>
        <v>0</v>
      </c>
      <c r="AN203" s="668">
        <f t="shared" si="60"/>
        <v>0</v>
      </c>
      <c r="AO203" s="668">
        <f t="shared" si="61"/>
        <v>0</v>
      </c>
      <c r="AP203" s="668">
        <f t="shared" si="58"/>
        <v>0</v>
      </c>
      <c r="AQ203" s="668">
        <f t="shared" si="62"/>
        <v>0</v>
      </c>
      <c r="AR203" s="668">
        <f t="shared" si="63"/>
        <v>0</v>
      </c>
      <c r="AS203" s="668"/>
      <c r="AT203" s="668"/>
      <c r="AU203" s="668"/>
      <c r="AV203" s="668"/>
      <c r="AW203" s="668"/>
      <c r="AX203" s="668"/>
      <c r="AY203" s="668"/>
      <c r="AZ203" s="668"/>
      <c r="BA203" s="668"/>
      <c r="BB203" s="668">
        <f t="shared" si="59"/>
        <v>0</v>
      </c>
      <c r="BC203" s="668"/>
      <c r="BD203" s="668"/>
      <c r="BE203" s="668"/>
      <c r="BF203" s="668"/>
      <c r="BG203" s="668"/>
      <c r="BH203" s="668"/>
      <c r="BI203" s="668"/>
    </row>
    <row r="204" spans="1:61" x14ac:dyDescent="0.2">
      <c r="A204" s="1013">
        <v>1173</v>
      </c>
      <c r="B204" s="1012" t="s">
        <v>559</v>
      </c>
      <c r="C204" s="1012"/>
      <c r="D204" s="667">
        <v>63</v>
      </c>
      <c r="E204" s="667"/>
      <c r="F204" s="667"/>
      <c r="G204" s="667"/>
      <c r="H204" s="667"/>
      <c r="I204" s="667"/>
      <c r="J204" s="667"/>
      <c r="K204" s="667"/>
      <c r="L204" s="667">
        <v>4</v>
      </c>
      <c r="M204" s="667"/>
      <c r="N204" s="667"/>
      <c r="O204" s="667"/>
      <c r="P204" s="667"/>
      <c r="Q204" s="667"/>
      <c r="R204" s="667"/>
      <c r="S204" s="667"/>
      <c r="T204" s="667"/>
      <c r="U204" s="1012">
        <v>17</v>
      </c>
      <c r="V204" s="668">
        <f t="shared" si="46"/>
        <v>1071</v>
      </c>
      <c r="W204" s="668">
        <f t="shared" si="47"/>
        <v>0</v>
      </c>
      <c r="X204" s="668">
        <f t="shared" si="48"/>
        <v>0</v>
      </c>
      <c r="Y204" s="668">
        <f t="shared" si="49"/>
        <v>0</v>
      </c>
      <c r="Z204" s="668">
        <f t="shared" si="51"/>
        <v>0</v>
      </c>
      <c r="AA204" s="668">
        <f t="shared" si="52"/>
        <v>0</v>
      </c>
      <c r="AB204" s="668">
        <f t="shared" si="53"/>
        <v>0</v>
      </c>
      <c r="AC204" s="668">
        <f t="shared" si="64"/>
        <v>0</v>
      </c>
      <c r="AD204" s="668">
        <f t="shared" si="54"/>
        <v>0</v>
      </c>
      <c r="AE204" s="668">
        <f t="shared" si="55"/>
        <v>0</v>
      </c>
      <c r="AF204" s="668">
        <f t="shared" si="50"/>
        <v>68</v>
      </c>
      <c r="AG204" s="668">
        <f t="shared" si="56"/>
        <v>0</v>
      </c>
      <c r="AH204" s="668"/>
      <c r="AI204" s="668"/>
      <c r="AJ204" s="668"/>
      <c r="AK204" s="668"/>
      <c r="AL204" s="668"/>
      <c r="AM204" s="668">
        <f t="shared" si="57"/>
        <v>0</v>
      </c>
      <c r="AN204" s="668">
        <f t="shared" si="60"/>
        <v>0</v>
      </c>
      <c r="AO204" s="668">
        <f t="shared" si="61"/>
        <v>0</v>
      </c>
      <c r="AP204" s="668">
        <f t="shared" si="58"/>
        <v>0</v>
      </c>
      <c r="AQ204" s="668">
        <f t="shared" si="62"/>
        <v>0</v>
      </c>
      <c r="AR204" s="668">
        <f t="shared" si="63"/>
        <v>0</v>
      </c>
      <c r="AS204" s="668"/>
      <c r="AT204" s="668"/>
      <c r="AU204" s="668"/>
      <c r="AV204" s="668"/>
      <c r="AW204" s="668"/>
      <c r="AX204" s="668"/>
      <c r="AY204" s="668"/>
      <c r="AZ204" s="668"/>
      <c r="BA204" s="668"/>
      <c r="BB204" s="668">
        <f t="shared" si="59"/>
        <v>0</v>
      </c>
      <c r="BC204" s="668"/>
      <c r="BD204" s="668"/>
      <c r="BE204" s="668"/>
      <c r="BF204" s="668"/>
      <c r="BG204" s="668"/>
      <c r="BH204" s="668"/>
      <c r="BI204" s="668"/>
    </row>
    <row r="205" spans="1:61" x14ac:dyDescent="0.2">
      <c r="A205" s="1013">
        <v>1174</v>
      </c>
      <c r="B205" s="1012" t="s">
        <v>476</v>
      </c>
      <c r="C205" s="1012"/>
      <c r="D205" s="667">
        <v>52</v>
      </c>
      <c r="E205" s="667"/>
      <c r="F205" s="667"/>
      <c r="G205" s="667"/>
      <c r="H205" s="667"/>
      <c r="I205" s="667"/>
      <c r="J205" s="667"/>
      <c r="K205" s="667"/>
      <c r="L205" s="667"/>
      <c r="M205" s="667"/>
      <c r="N205" s="667"/>
      <c r="O205" s="667"/>
      <c r="P205" s="667"/>
      <c r="Q205" s="667"/>
      <c r="R205" s="667"/>
      <c r="S205" s="667"/>
      <c r="T205" s="667"/>
      <c r="U205" s="1012">
        <v>17</v>
      </c>
      <c r="V205" s="668">
        <f t="shared" si="46"/>
        <v>884</v>
      </c>
      <c r="W205" s="668">
        <f t="shared" si="47"/>
        <v>0</v>
      </c>
      <c r="X205" s="668">
        <f t="shared" si="48"/>
        <v>0</v>
      </c>
      <c r="Y205" s="668">
        <f t="shared" si="49"/>
        <v>0</v>
      </c>
      <c r="Z205" s="668">
        <f t="shared" si="51"/>
        <v>0</v>
      </c>
      <c r="AA205" s="668">
        <f t="shared" si="52"/>
        <v>0</v>
      </c>
      <c r="AB205" s="668">
        <f t="shared" si="53"/>
        <v>0</v>
      </c>
      <c r="AC205" s="668">
        <f t="shared" si="64"/>
        <v>0</v>
      </c>
      <c r="AD205" s="668">
        <f t="shared" si="54"/>
        <v>0</v>
      </c>
      <c r="AE205" s="668">
        <f t="shared" si="55"/>
        <v>0</v>
      </c>
      <c r="AF205" s="668">
        <f t="shared" si="50"/>
        <v>0</v>
      </c>
      <c r="AG205" s="668">
        <f t="shared" si="56"/>
        <v>0</v>
      </c>
      <c r="AH205" s="668"/>
      <c r="AI205" s="668"/>
      <c r="AJ205" s="668"/>
      <c r="AK205" s="668"/>
      <c r="AL205" s="668"/>
      <c r="AM205" s="668">
        <f t="shared" si="57"/>
        <v>0</v>
      </c>
      <c r="AN205" s="668">
        <f t="shared" si="60"/>
        <v>0</v>
      </c>
      <c r="AO205" s="668">
        <f t="shared" si="61"/>
        <v>0</v>
      </c>
      <c r="AP205" s="668">
        <f t="shared" si="58"/>
        <v>0</v>
      </c>
      <c r="AQ205" s="668">
        <f t="shared" si="62"/>
        <v>0</v>
      </c>
      <c r="AR205" s="668">
        <f t="shared" si="63"/>
        <v>0</v>
      </c>
      <c r="AS205" s="668"/>
      <c r="AT205" s="668"/>
      <c r="AU205" s="668"/>
      <c r="AV205" s="668"/>
      <c r="AW205" s="668"/>
      <c r="AX205" s="668"/>
      <c r="AY205" s="668"/>
      <c r="AZ205" s="668"/>
      <c r="BA205" s="668"/>
      <c r="BB205" s="668">
        <f t="shared" si="59"/>
        <v>0</v>
      </c>
      <c r="BC205" s="668"/>
      <c r="BD205" s="668"/>
      <c r="BE205" s="668"/>
      <c r="BF205" s="668"/>
      <c r="BG205" s="668"/>
      <c r="BH205" s="668"/>
      <c r="BI205" s="668"/>
    </row>
    <row r="206" spans="1:61" x14ac:dyDescent="0.2">
      <c r="A206" s="1013">
        <v>1175</v>
      </c>
      <c r="B206" s="1012" t="s">
        <v>486</v>
      </c>
      <c r="C206" s="1012"/>
      <c r="D206" s="667">
        <v>54</v>
      </c>
      <c r="E206" s="667"/>
      <c r="F206" s="667"/>
      <c r="G206" s="667"/>
      <c r="H206" s="667"/>
      <c r="I206" s="667"/>
      <c r="J206" s="667"/>
      <c r="K206" s="667"/>
      <c r="L206" s="667"/>
      <c r="M206" s="667"/>
      <c r="N206" s="667"/>
      <c r="O206" s="667"/>
      <c r="P206" s="667"/>
      <c r="Q206" s="1014">
        <v>168</v>
      </c>
      <c r="R206" s="667"/>
      <c r="S206" s="667"/>
      <c r="T206" s="667"/>
      <c r="U206" s="1012">
        <v>17</v>
      </c>
      <c r="V206" s="668">
        <f t="shared" ref="V206:V234" si="65">+U206*D206</f>
        <v>918</v>
      </c>
      <c r="W206" s="668">
        <f t="shared" ref="W206:W234" si="66">+U206*G206</f>
        <v>0</v>
      </c>
      <c r="X206" s="668">
        <f t="shared" ref="X206:X234" si="67">+U206*H206</f>
        <v>0</v>
      </c>
      <c r="Y206" s="668">
        <f t="shared" ref="Y206:Y234" si="68">+U206*J206</f>
        <v>0</v>
      </c>
      <c r="Z206" s="668">
        <f t="shared" si="51"/>
        <v>0</v>
      </c>
      <c r="AA206" s="668">
        <f t="shared" si="52"/>
        <v>0</v>
      </c>
      <c r="AB206" s="668">
        <f t="shared" si="53"/>
        <v>0</v>
      </c>
      <c r="AC206" s="668">
        <f t="shared" si="64"/>
        <v>0</v>
      </c>
      <c r="AD206" s="668">
        <f t="shared" si="54"/>
        <v>168</v>
      </c>
      <c r="AE206" s="668">
        <f t="shared" si="55"/>
        <v>0</v>
      </c>
      <c r="AF206" s="668">
        <f t="shared" ref="AF206:AF234" si="69">+L206*U206</f>
        <v>0</v>
      </c>
      <c r="AG206" s="668">
        <f t="shared" si="56"/>
        <v>0</v>
      </c>
      <c r="AH206" s="668"/>
      <c r="AI206" s="668"/>
      <c r="AJ206" s="668"/>
      <c r="AK206" s="668"/>
      <c r="AL206" s="668"/>
      <c r="AM206" s="668">
        <f t="shared" si="57"/>
        <v>0</v>
      </c>
      <c r="AN206" s="668">
        <f t="shared" si="60"/>
        <v>0</v>
      </c>
      <c r="AO206" s="668">
        <f t="shared" si="61"/>
        <v>0</v>
      </c>
      <c r="AP206" s="668">
        <f t="shared" si="58"/>
        <v>0</v>
      </c>
      <c r="AQ206" s="668">
        <f t="shared" si="62"/>
        <v>0</v>
      </c>
      <c r="AR206" s="668">
        <f t="shared" si="63"/>
        <v>0</v>
      </c>
      <c r="AS206" s="668"/>
      <c r="AT206" s="668"/>
      <c r="AU206" s="668"/>
      <c r="AV206" s="668"/>
      <c r="AW206" s="668"/>
      <c r="AX206" s="668"/>
      <c r="AY206" s="668"/>
      <c r="AZ206" s="668"/>
      <c r="BA206" s="668"/>
      <c r="BB206" s="668">
        <f t="shared" si="59"/>
        <v>0</v>
      </c>
      <c r="BC206" s="668"/>
      <c r="BD206" s="668"/>
      <c r="BE206" s="668"/>
      <c r="BF206" s="668"/>
      <c r="BG206" s="668"/>
      <c r="BH206" s="668"/>
      <c r="BI206" s="668"/>
    </row>
    <row r="207" spans="1:61" x14ac:dyDescent="0.2">
      <c r="A207" s="1013">
        <v>1177</v>
      </c>
      <c r="B207" s="1012" t="s">
        <v>584</v>
      </c>
      <c r="C207" s="1012"/>
      <c r="D207" s="667"/>
      <c r="E207" s="667"/>
      <c r="F207" s="667"/>
      <c r="G207" s="667"/>
      <c r="H207" s="667"/>
      <c r="I207" s="667"/>
      <c r="J207" s="667"/>
      <c r="K207" s="667"/>
      <c r="L207" s="667"/>
      <c r="M207" s="667"/>
      <c r="N207" s="667"/>
      <c r="O207" s="667"/>
      <c r="P207" s="667"/>
      <c r="Q207" s="1014"/>
      <c r="R207" s="667"/>
      <c r="S207" s="667"/>
      <c r="T207" s="667"/>
      <c r="U207" s="1012"/>
      <c r="V207" s="668">
        <f t="shared" si="65"/>
        <v>0</v>
      </c>
      <c r="W207" s="668">
        <f t="shared" si="66"/>
        <v>0</v>
      </c>
      <c r="X207" s="668">
        <f t="shared" si="67"/>
        <v>0</v>
      </c>
      <c r="Y207" s="668">
        <f t="shared" si="68"/>
        <v>0</v>
      </c>
      <c r="Z207" s="668">
        <f t="shared" ref="Z207:Z234" si="70">IF(C207="y",V207+W207+X207+Y207,0)</f>
        <v>0</v>
      </c>
      <c r="AA207" s="668">
        <f t="shared" ref="AA207:AA234" si="71">+S207</f>
        <v>0</v>
      </c>
      <c r="AB207" s="668">
        <f t="shared" ref="AB207:AB234" si="72">+T207</f>
        <v>0</v>
      </c>
      <c r="AC207" s="668">
        <f t="shared" si="64"/>
        <v>0</v>
      </c>
      <c r="AD207" s="668">
        <f t="shared" ref="AD207:AD234" si="73">+Q207</f>
        <v>0</v>
      </c>
      <c r="AE207" s="668">
        <f t="shared" ref="AE207:AE234" si="74">+U207*M207</f>
        <v>0</v>
      </c>
      <c r="AF207" s="668">
        <f t="shared" si="69"/>
        <v>0</v>
      </c>
      <c r="AG207" s="668">
        <f t="shared" ref="AG207:AG234" si="75">+$AG$4*N207</f>
        <v>0</v>
      </c>
      <c r="AH207" s="668"/>
      <c r="AI207" s="668"/>
      <c r="AJ207" s="668"/>
      <c r="AK207" s="668"/>
      <c r="AL207" s="668"/>
      <c r="AM207" s="668">
        <f t="shared" si="57"/>
        <v>0</v>
      </c>
      <c r="AN207" s="668">
        <f t="shared" si="60"/>
        <v>0</v>
      </c>
      <c r="AO207" s="668">
        <f t="shared" si="61"/>
        <v>0</v>
      </c>
      <c r="AP207" s="668">
        <f t="shared" si="58"/>
        <v>0</v>
      </c>
      <c r="AQ207" s="668">
        <f t="shared" si="62"/>
        <v>0</v>
      </c>
      <c r="AR207" s="668">
        <f t="shared" si="63"/>
        <v>0</v>
      </c>
      <c r="AS207" s="668"/>
      <c r="AT207" s="668"/>
      <c r="AU207" s="668"/>
      <c r="AV207" s="668"/>
      <c r="AW207" s="668"/>
      <c r="AX207" s="668"/>
      <c r="AY207" s="668"/>
      <c r="AZ207" s="668"/>
      <c r="BA207" s="668"/>
      <c r="BB207" s="668">
        <f t="shared" si="59"/>
        <v>0</v>
      </c>
      <c r="BC207" s="668"/>
      <c r="BD207" s="668"/>
      <c r="BE207" s="668"/>
      <c r="BF207" s="668"/>
      <c r="BG207" s="668"/>
      <c r="BH207" s="668"/>
      <c r="BI207" s="668"/>
    </row>
    <row r="208" spans="1:61" x14ac:dyDescent="0.2">
      <c r="A208" s="1013">
        <v>1178</v>
      </c>
      <c r="B208" s="1012" t="s">
        <v>585</v>
      </c>
      <c r="C208" s="1012"/>
      <c r="D208" s="667"/>
      <c r="E208" s="667"/>
      <c r="F208" s="667"/>
      <c r="G208" s="667"/>
      <c r="H208" s="667"/>
      <c r="I208" s="667"/>
      <c r="J208" s="667"/>
      <c r="K208" s="667"/>
      <c r="L208" s="667"/>
      <c r="M208" s="667"/>
      <c r="N208" s="667"/>
      <c r="O208" s="667"/>
      <c r="P208" s="667"/>
      <c r="Q208" s="1014"/>
      <c r="R208" s="667"/>
      <c r="S208" s="667"/>
      <c r="T208" s="667"/>
      <c r="U208" s="1012"/>
      <c r="V208" s="668">
        <f t="shared" si="65"/>
        <v>0</v>
      </c>
      <c r="W208" s="668">
        <f t="shared" si="66"/>
        <v>0</v>
      </c>
      <c r="X208" s="668">
        <f t="shared" si="67"/>
        <v>0</v>
      </c>
      <c r="Y208" s="668">
        <f t="shared" si="68"/>
        <v>0</v>
      </c>
      <c r="Z208" s="668">
        <f t="shared" si="70"/>
        <v>0</v>
      </c>
      <c r="AA208" s="668">
        <f t="shared" si="71"/>
        <v>0</v>
      </c>
      <c r="AB208" s="668">
        <f t="shared" si="72"/>
        <v>0</v>
      </c>
      <c r="AC208" s="668">
        <f t="shared" si="64"/>
        <v>0</v>
      </c>
      <c r="AD208" s="668">
        <f t="shared" si="73"/>
        <v>0</v>
      </c>
      <c r="AE208" s="668">
        <f t="shared" si="74"/>
        <v>0</v>
      </c>
      <c r="AF208" s="668">
        <f t="shared" si="69"/>
        <v>0</v>
      </c>
      <c r="AG208" s="668">
        <f t="shared" si="75"/>
        <v>0</v>
      </c>
      <c r="AH208" s="668"/>
      <c r="AI208" s="668"/>
      <c r="AJ208" s="668"/>
      <c r="AK208" s="668"/>
      <c r="AL208" s="668"/>
      <c r="AM208" s="668">
        <f t="shared" si="57"/>
        <v>0</v>
      </c>
      <c r="AN208" s="668">
        <f t="shared" si="60"/>
        <v>0</v>
      </c>
      <c r="AO208" s="668">
        <f t="shared" si="61"/>
        <v>0</v>
      </c>
      <c r="AP208" s="668">
        <f t="shared" si="58"/>
        <v>0</v>
      </c>
      <c r="AQ208" s="668">
        <f t="shared" si="62"/>
        <v>0</v>
      </c>
      <c r="AR208" s="668">
        <f t="shared" si="63"/>
        <v>0</v>
      </c>
      <c r="AS208" s="668"/>
      <c r="AT208" s="668"/>
      <c r="AU208" s="668"/>
      <c r="AV208" s="668"/>
      <c r="AW208" s="668"/>
      <c r="AX208" s="668"/>
      <c r="AY208" s="668"/>
      <c r="AZ208" s="668"/>
      <c r="BA208" s="668"/>
      <c r="BB208" s="668">
        <f t="shared" si="59"/>
        <v>0</v>
      </c>
      <c r="BC208" s="668"/>
      <c r="BD208" s="668"/>
      <c r="BE208" s="668"/>
      <c r="BF208" s="668"/>
      <c r="BG208" s="668"/>
      <c r="BH208" s="668"/>
      <c r="BI208" s="668"/>
    </row>
    <row r="209" spans="1:61" x14ac:dyDescent="0.2">
      <c r="A209" s="1013">
        <v>1181</v>
      </c>
      <c r="B209" s="1012" t="s">
        <v>586</v>
      </c>
      <c r="C209" s="1012" t="s">
        <v>984</v>
      </c>
      <c r="D209" s="667">
        <v>249</v>
      </c>
      <c r="E209" s="667"/>
      <c r="F209" s="667"/>
      <c r="G209" s="667"/>
      <c r="H209" s="667"/>
      <c r="I209" s="667"/>
      <c r="J209" s="667"/>
      <c r="K209" s="667"/>
      <c r="L209" s="667"/>
      <c r="M209" s="667"/>
      <c r="N209" s="667"/>
      <c r="O209" s="667"/>
      <c r="P209" s="667"/>
      <c r="Q209" s="667"/>
      <c r="R209" s="667"/>
      <c r="S209" s="667"/>
      <c r="T209" s="667"/>
      <c r="U209" s="1012">
        <v>10</v>
      </c>
      <c r="V209" s="668">
        <f t="shared" si="65"/>
        <v>2490</v>
      </c>
      <c r="W209" s="668">
        <f t="shared" si="66"/>
        <v>0</v>
      </c>
      <c r="X209" s="668">
        <f t="shared" si="67"/>
        <v>0</v>
      </c>
      <c r="Y209" s="668">
        <f t="shared" si="68"/>
        <v>0</v>
      </c>
      <c r="Z209" s="668">
        <f t="shared" si="70"/>
        <v>2490</v>
      </c>
      <c r="AA209" s="668">
        <f t="shared" si="71"/>
        <v>0</v>
      </c>
      <c r="AB209" s="668">
        <f t="shared" si="72"/>
        <v>0</v>
      </c>
      <c r="AC209" s="668">
        <f t="shared" si="64"/>
        <v>0</v>
      </c>
      <c r="AD209" s="668">
        <f t="shared" si="73"/>
        <v>0</v>
      </c>
      <c r="AE209" s="668">
        <f t="shared" si="74"/>
        <v>0</v>
      </c>
      <c r="AF209" s="668">
        <f t="shared" si="69"/>
        <v>0</v>
      </c>
      <c r="AG209" s="668">
        <f t="shared" si="75"/>
        <v>0</v>
      </c>
      <c r="AH209" s="668"/>
      <c r="AI209" s="668"/>
      <c r="AJ209" s="668"/>
      <c r="AK209" s="668"/>
      <c r="AL209" s="668"/>
      <c r="AM209" s="668">
        <f t="shared" ref="AM209:AM272" si="76">+I209</f>
        <v>0</v>
      </c>
      <c r="AN209" s="668">
        <f t="shared" si="60"/>
        <v>0</v>
      </c>
      <c r="AO209" s="668">
        <f t="shared" si="61"/>
        <v>0</v>
      </c>
      <c r="AP209" s="668">
        <f t="shared" si="58"/>
        <v>0</v>
      </c>
      <c r="AQ209" s="668">
        <f t="shared" si="62"/>
        <v>0</v>
      </c>
      <c r="AR209" s="668">
        <f t="shared" si="63"/>
        <v>0</v>
      </c>
      <c r="AS209" s="668"/>
      <c r="AT209" s="668"/>
      <c r="AU209" s="668"/>
      <c r="AV209" s="668"/>
      <c r="AW209" s="668"/>
      <c r="AX209" s="668"/>
      <c r="AY209" s="668"/>
      <c r="AZ209" s="668"/>
      <c r="BA209" s="668"/>
      <c r="BB209" s="668">
        <f t="shared" si="59"/>
        <v>0</v>
      </c>
      <c r="BC209" s="668"/>
      <c r="BD209" s="668"/>
      <c r="BE209" s="668"/>
      <c r="BF209" s="668"/>
      <c r="BG209" s="668"/>
      <c r="BH209" s="668"/>
      <c r="BI209" s="668"/>
    </row>
    <row r="210" spans="1:61" x14ac:dyDescent="0.2">
      <c r="A210" s="1013">
        <v>1182</v>
      </c>
      <c r="B210" s="1012" t="s">
        <v>587</v>
      </c>
      <c r="C210" s="1012"/>
      <c r="D210" s="667">
        <v>361</v>
      </c>
      <c r="E210" s="667"/>
      <c r="F210" s="667"/>
      <c r="G210" s="667"/>
      <c r="H210" s="667"/>
      <c r="I210" s="667"/>
      <c r="J210" s="667"/>
      <c r="K210" s="667"/>
      <c r="L210" s="667"/>
      <c r="M210" s="667"/>
      <c r="N210" s="667"/>
      <c r="O210" s="667"/>
      <c r="P210" s="667"/>
      <c r="Q210" s="1014">
        <v>3084</v>
      </c>
      <c r="R210" s="667"/>
      <c r="S210" s="667"/>
      <c r="T210" s="667"/>
      <c r="U210" s="1012">
        <v>17</v>
      </c>
      <c r="V210" s="668">
        <f t="shared" si="65"/>
        <v>6137</v>
      </c>
      <c r="W210" s="668">
        <f t="shared" si="66"/>
        <v>0</v>
      </c>
      <c r="X210" s="668">
        <f t="shared" si="67"/>
        <v>0</v>
      </c>
      <c r="Y210" s="668">
        <f t="shared" si="68"/>
        <v>0</v>
      </c>
      <c r="Z210" s="668">
        <f t="shared" si="70"/>
        <v>0</v>
      </c>
      <c r="AA210" s="668">
        <f t="shared" si="71"/>
        <v>0</v>
      </c>
      <c r="AB210" s="668">
        <f t="shared" si="72"/>
        <v>0</v>
      </c>
      <c r="AC210" s="668">
        <f t="shared" si="64"/>
        <v>0</v>
      </c>
      <c r="AD210" s="668">
        <f t="shared" si="73"/>
        <v>3084</v>
      </c>
      <c r="AE210" s="668">
        <f t="shared" si="74"/>
        <v>0</v>
      </c>
      <c r="AF210" s="668">
        <f t="shared" si="69"/>
        <v>0</v>
      </c>
      <c r="AG210" s="668">
        <f t="shared" si="75"/>
        <v>0</v>
      </c>
      <c r="AH210" s="668"/>
      <c r="AI210" s="668"/>
      <c r="AJ210" s="668"/>
      <c r="AK210" s="668"/>
      <c r="AL210" s="668"/>
      <c r="AM210" s="668">
        <f t="shared" si="76"/>
        <v>0</v>
      </c>
      <c r="AN210" s="668">
        <f t="shared" si="60"/>
        <v>0</v>
      </c>
      <c r="AO210" s="668">
        <f t="shared" si="61"/>
        <v>0</v>
      </c>
      <c r="AP210" s="668">
        <f t="shared" ref="AP210:AP273" si="77">+U210*F210</f>
        <v>0</v>
      </c>
      <c r="AQ210" s="668">
        <f t="shared" si="62"/>
        <v>0</v>
      </c>
      <c r="AR210" s="668">
        <f t="shared" si="63"/>
        <v>0</v>
      </c>
      <c r="AS210" s="668"/>
      <c r="AT210" s="668"/>
      <c r="AU210" s="668"/>
      <c r="AV210" s="668"/>
      <c r="AW210" s="668"/>
      <c r="AX210" s="668"/>
      <c r="AY210" s="668"/>
      <c r="AZ210" s="668"/>
      <c r="BA210" s="668"/>
      <c r="BB210" s="668">
        <f t="shared" ref="BB210:BB273" si="78">+AP210</f>
        <v>0</v>
      </c>
      <c r="BC210" s="668"/>
      <c r="BD210" s="668"/>
      <c r="BE210" s="668"/>
      <c r="BF210" s="668"/>
      <c r="BG210" s="668"/>
      <c r="BH210" s="668"/>
      <c r="BI210" s="668"/>
    </row>
    <row r="211" spans="1:61" x14ac:dyDescent="0.2">
      <c r="A211" s="1013" t="s">
        <v>588</v>
      </c>
      <c r="B211" s="1013" t="s">
        <v>589</v>
      </c>
      <c r="C211" s="1013"/>
      <c r="D211" s="667"/>
      <c r="E211" s="667"/>
      <c r="F211" s="667"/>
      <c r="G211" s="667"/>
      <c r="H211" s="667"/>
      <c r="I211" s="667"/>
      <c r="J211" s="667"/>
      <c r="K211" s="667"/>
      <c r="L211" s="667"/>
      <c r="M211" s="667"/>
      <c r="N211" s="667"/>
      <c r="O211" s="667"/>
      <c r="P211" s="667"/>
      <c r="Q211" s="1014"/>
      <c r="R211" s="667"/>
      <c r="S211" s="667"/>
      <c r="T211" s="667"/>
      <c r="U211" s="1013"/>
      <c r="V211" s="668">
        <f t="shared" si="65"/>
        <v>0</v>
      </c>
      <c r="W211" s="668">
        <f t="shared" si="66"/>
        <v>0</v>
      </c>
      <c r="X211" s="668">
        <f t="shared" si="67"/>
        <v>0</v>
      </c>
      <c r="Y211" s="668">
        <f t="shared" si="68"/>
        <v>0</v>
      </c>
      <c r="Z211" s="668">
        <f t="shared" si="70"/>
        <v>0</v>
      </c>
      <c r="AA211" s="668">
        <f t="shared" si="71"/>
        <v>0</v>
      </c>
      <c r="AB211" s="668">
        <f t="shared" si="72"/>
        <v>0</v>
      </c>
      <c r="AC211" s="668">
        <f t="shared" si="64"/>
        <v>0</v>
      </c>
      <c r="AD211" s="668">
        <f t="shared" si="73"/>
        <v>0</v>
      </c>
      <c r="AE211" s="668">
        <f t="shared" si="74"/>
        <v>0</v>
      </c>
      <c r="AF211" s="668">
        <f t="shared" si="69"/>
        <v>0</v>
      </c>
      <c r="AG211" s="668">
        <f t="shared" si="75"/>
        <v>0</v>
      </c>
      <c r="AH211" s="668"/>
      <c r="AI211" s="668"/>
      <c r="AJ211" s="668"/>
      <c r="AK211" s="668"/>
      <c r="AL211" s="668"/>
      <c r="AM211" s="668">
        <f t="shared" si="76"/>
        <v>0</v>
      </c>
      <c r="AN211" s="668">
        <f t="shared" si="60"/>
        <v>0</v>
      </c>
      <c r="AO211" s="668">
        <f t="shared" si="61"/>
        <v>0</v>
      </c>
      <c r="AP211" s="668">
        <f t="shared" si="77"/>
        <v>0</v>
      </c>
      <c r="AQ211" s="668">
        <f t="shared" si="62"/>
        <v>0</v>
      </c>
      <c r="AR211" s="668">
        <f t="shared" si="63"/>
        <v>0</v>
      </c>
      <c r="AS211" s="668"/>
      <c r="AT211" s="668"/>
      <c r="AU211" s="668"/>
      <c r="AV211" s="668"/>
      <c r="AW211" s="668"/>
      <c r="AX211" s="668"/>
      <c r="AY211" s="668"/>
      <c r="AZ211" s="668"/>
      <c r="BA211" s="668"/>
      <c r="BB211" s="668">
        <f t="shared" si="78"/>
        <v>0</v>
      </c>
      <c r="BC211" s="668"/>
      <c r="BD211" s="668"/>
      <c r="BE211" s="668"/>
      <c r="BF211" s="668"/>
      <c r="BG211" s="668"/>
      <c r="BH211" s="668"/>
      <c r="BI211" s="668"/>
    </row>
    <row r="212" spans="1:61" x14ac:dyDescent="0.2">
      <c r="A212" s="1013">
        <v>1183</v>
      </c>
      <c r="B212" s="1012" t="s">
        <v>590</v>
      </c>
      <c r="C212" s="1012"/>
      <c r="D212" s="667"/>
      <c r="E212" s="667"/>
      <c r="F212" s="667"/>
      <c r="G212" s="667"/>
      <c r="H212" s="667"/>
      <c r="I212" s="667"/>
      <c r="J212" s="667"/>
      <c r="K212" s="667"/>
      <c r="L212" s="667"/>
      <c r="M212" s="667"/>
      <c r="N212" s="667"/>
      <c r="O212" s="667"/>
      <c r="P212" s="667"/>
      <c r="Q212" s="1014"/>
      <c r="R212" s="667"/>
      <c r="S212" s="667"/>
      <c r="T212" s="667"/>
      <c r="U212" s="1012"/>
      <c r="V212" s="668">
        <f t="shared" si="65"/>
        <v>0</v>
      </c>
      <c r="W212" s="668">
        <f t="shared" si="66"/>
        <v>0</v>
      </c>
      <c r="X212" s="668">
        <f t="shared" si="67"/>
        <v>0</v>
      </c>
      <c r="Y212" s="668">
        <f t="shared" si="68"/>
        <v>0</v>
      </c>
      <c r="Z212" s="668">
        <f t="shared" si="70"/>
        <v>0</v>
      </c>
      <c r="AA212" s="668">
        <f t="shared" si="71"/>
        <v>0</v>
      </c>
      <c r="AB212" s="668">
        <f t="shared" si="72"/>
        <v>0</v>
      </c>
      <c r="AC212" s="668">
        <f t="shared" si="64"/>
        <v>0</v>
      </c>
      <c r="AD212" s="668">
        <f t="shared" si="73"/>
        <v>0</v>
      </c>
      <c r="AE212" s="668">
        <f t="shared" si="74"/>
        <v>0</v>
      </c>
      <c r="AF212" s="668">
        <f t="shared" si="69"/>
        <v>0</v>
      </c>
      <c r="AG212" s="668">
        <f t="shared" si="75"/>
        <v>0</v>
      </c>
      <c r="AH212" s="668"/>
      <c r="AI212" s="668"/>
      <c r="AJ212" s="668"/>
      <c r="AK212" s="668"/>
      <c r="AL212" s="668"/>
      <c r="AM212" s="668">
        <f t="shared" si="76"/>
        <v>0</v>
      </c>
      <c r="AN212" s="668">
        <f t="shared" si="60"/>
        <v>0</v>
      </c>
      <c r="AO212" s="668">
        <f t="shared" si="61"/>
        <v>0</v>
      </c>
      <c r="AP212" s="668">
        <f t="shared" si="77"/>
        <v>0</v>
      </c>
      <c r="AQ212" s="668">
        <f t="shared" si="62"/>
        <v>0</v>
      </c>
      <c r="AR212" s="668">
        <f t="shared" si="63"/>
        <v>0</v>
      </c>
      <c r="AS212" s="668"/>
      <c r="AT212" s="668"/>
      <c r="AU212" s="668"/>
      <c r="AV212" s="668"/>
      <c r="AW212" s="668"/>
      <c r="AX212" s="668"/>
      <c r="AY212" s="668"/>
      <c r="AZ212" s="668"/>
      <c r="BA212" s="668"/>
      <c r="BB212" s="668">
        <f t="shared" si="78"/>
        <v>0</v>
      </c>
      <c r="BC212" s="668"/>
      <c r="BD212" s="668"/>
      <c r="BE212" s="668"/>
      <c r="BF212" s="668"/>
      <c r="BG212" s="668"/>
      <c r="BH212" s="668"/>
      <c r="BI212" s="668"/>
    </row>
    <row r="213" spans="1:61" x14ac:dyDescent="0.2">
      <c r="A213" s="1013">
        <v>1184</v>
      </c>
      <c r="B213" s="1012" t="s">
        <v>468</v>
      </c>
      <c r="C213" s="1012"/>
      <c r="D213" s="667">
        <v>32</v>
      </c>
      <c r="E213" s="667"/>
      <c r="F213" s="667"/>
      <c r="G213" s="667"/>
      <c r="H213" s="667"/>
      <c r="I213" s="667"/>
      <c r="J213" s="667"/>
      <c r="K213" s="667"/>
      <c r="L213" s="667"/>
      <c r="M213" s="667"/>
      <c r="N213" s="667"/>
      <c r="O213" s="667"/>
      <c r="P213" s="667"/>
      <c r="Q213" s="1014">
        <v>54</v>
      </c>
      <c r="R213" s="667"/>
      <c r="S213" s="667"/>
      <c r="T213" s="667"/>
      <c r="U213" s="1012">
        <v>13</v>
      </c>
      <c r="V213" s="668">
        <f t="shared" si="65"/>
        <v>416</v>
      </c>
      <c r="W213" s="668">
        <f t="shared" si="66"/>
        <v>0</v>
      </c>
      <c r="X213" s="668">
        <f t="shared" si="67"/>
        <v>0</v>
      </c>
      <c r="Y213" s="668">
        <f t="shared" si="68"/>
        <v>0</v>
      </c>
      <c r="Z213" s="668">
        <f t="shared" si="70"/>
        <v>0</v>
      </c>
      <c r="AA213" s="668">
        <f t="shared" si="71"/>
        <v>0</v>
      </c>
      <c r="AB213" s="668">
        <f t="shared" si="72"/>
        <v>0</v>
      </c>
      <c r="AC213" s="668">
        <f t="shared" si="64"/>
        <v>0</v>
      </c>
      <c r="AD213" s="668">
        <f t="shared" si="73"/>
        <v>54</v>
      </c>
      <c r="AE213" s="668">
        <f t="shared" si="74"/>
        <v>0</v>
      </c>
      <c r="AF213" s="668">
        <f t="shared" si="69"/>
        <v>0</v>
      </c>
      <c r="AG213" s="668">
        <f t="shared" si="75"/>
        <v>0</v>
      </c>
      <c r="AH213" s="668"/>
      <c r="AI213" s="668"/>
      <c r="AJ213" s="668"/>
      <c r="AK213" s="668"/>
      <c r="AL213" s="668"/>
      <c r="AM213" s="668">
        <f t="shared" si="76"/>
        <v>0</v>
      </c>
      <c r="AN213" s="668">
        <f t="shared" si="60"/>
        <v>0</v>
      </c>
      <c r="AO213" s="668">
        <f t="shared" si="61"/>
        <v>0</v>
      </c>
      <c r="AP213" s="668">
        <f t="shared" si="77"/>
        <v>0</v>
      </c>
      <c r="AQ213" s="668">
        <f t="shared" si="62"/>
        <v>0</v>
      </c>
      <c r="AR213" s="668">
        <f t="shared" si="63"/>
        <v>0</v>
      </c>
      <c r="AS213" s="668"/>
      <c r="AT213" s="668"/>
      <c r="AU213" s="668"/>
      <c r="AV213" s="668"/>
      <c r="AW213" s="668"/>
      <c r="AX213" s="668"/>
      <c r="AY213" s="668"/>
      <c r="AZ213" s="668"/>
      <c r="BA213" s="668"/>
      <c r="BB213" s="668">
        <f t="shared" si="78"/>
        <v>0</v>
      </c>
      <c r="BC213" s="668"/>
      <c r="BD213" s="668"/>
      <c r="BE213" s="668"/>
      <c r="BF213" s="668"/>
      <c r="BG213" s="668"/>
      <c r="BH213" s="668"/>
      <c r="BI213" s="668"/>
    </row>
    <row r="214" spans="1:61" x14ac:dyDescent="0.2">
      <c r="A214" s="1013">
        <v>1185</v>
      </c>
      <c r="B214" s="1012" t="s">
        <v>486</v>
      </c>
      <c r="C214" s="1012"/>
      <c r="D214" s="667">
        <v>66</v>
      </c>
      <c r="E214" s="667"/>
      <c r="F214" s="667"/>
      <c r="G214" s="667"/>
      <c r="H214" s="667"/>
      <c r="I214" s="667"/>
      <c r="J214" s="667"/>
      <c r="K214" s="667"/>
      <c r="L214" s="667"/>
      <c r="M214" s="667"/>
      <c r="N214" s="667"/>
      <c r="O214" s="667"/>
      <c r="P214" s="667"/>
      <c r="Q214" s="1014">
        <v>249</v>
      </c>
      <c r="R214" s="667"/>
      <c r="S214" s="667"/>
      <c r="T214" s="667"/>
      <c r="U214" s="1012">
        <v>12</v>
      </c>
      <c r="V214" s="668">
        <f t="shared" si="65"/>
        <v>792</v>
      </c>
      <c r="W214" s="668">
        <f t="shared" si="66"/>
        <v>0</v>
      </c>
      <c r="X214" s="668">
        <f t="shared" si="67"/>
        <v>0</v>
      </c>
      <c r="Y214" s="668">
        <f t="shared" si="68"/>
        <v>0</v>
      </c>
      <c r="Z214" s="668">
        <f t="shared" si="70"/>
        <v>0</v>
      </c>
      <c r="AA214" s="668">
        <f t="shared" si="71"/>
        <v>0</v>
      </c>
      <c r="AB214" s="668">
        <f t="shared" si="72"/>
        <v>0</v>
      </c>
      <c r="AC214" s="668">
        <f t="shared" si="64"/>
        <v>0</v>
      </c>
      <c r="AD214" s="668">
        <f t="shared" si="73"/>
        <v>249</v>
      </c>
      <c r="AE214" s="668">
        <f t="shared" si="74"/>
        <v>0</v>
      </c>
      <c r="AF214" s="668">
        <f t="shared" si="69"/>
        <v>0</v>
      </c>
      <c r="AG214" s="668">
        <f t="shared" si="75"/>
        <v>0</v>
      </c>
      <c r="AH214" s="668"/>
      <c r="AI214" s="668"/>
      <c r="AJ214" s="668"/>
      <c r="AK214" s="668"/>
      <c r="AL214" s="668"/>
      <c r="AM214" s="668">
        <f t="shared" si="76"/>
        <v>0</v>
      </c>
      <c r="AN214" s="668">
        <f t="shared" si="60"/>
        <v>0</v>
      </c>
      <c r="AO214" s="668">
        <f t="shared" si="61"/>
        <v>0</v>
      </c>
      <c r="AP214" s="668">
        <f t="shared" si="77"/>
        <v>0</v>
      </c>
      <c r="AQ214" s="668">
        <f t="shared" si="62"/>
        <v>0</v>
      </c>
      <c r="AR214" s="668">
        <f t="shared" si="63"/>
        <v>0</v>
      </c>
      <c r="AS214" s="668"/>
      <c r="AT214" s="668"/>
      <c r="AU214" s="668"/>
      <c r="AV214" s="668"/>
      <c r="AW214" s="668"/>
      <c r="AX214" s="668"/>
      <c r="AY214" s="668"/>
      <c r="AZ214" s="668"/>
      <c r="BA214" s="668"/>
      <c r="BB214" s="668">
        <f t="shared" si="78"/>
        <v>0</v>
      </c>
      <c r="BC214" s="668"/>
      <c r="BD214" s="668"/>
      <c r="BE214" s="668"/>
      <c r="BF214" s="668"/>
      <c r="BG214" s="668"/>
      <c r="BH214" s="668"/>
      <c r="BI214" s="668"/>
    </row>
    <row r="215" spans="1:61" x14ac:dyDescent="0.2">
      <c r="A215" s="1013">
        <v>1186</v>
      </c>
      <c r="B215" s="1012" t="s">
        <v>591</v>
      </c>
      <c r="C215" s="1012"/>
      <c r="D215" s="667"/>
      <c r="E215" s="667"/>
      <c r="F215" s="667"/>
      <c r="G215" s="667"/>
      <c r="H215" s="667"/>
      <c r="I215" s="667"/>
      <c r="J215" s="667"/>
      <c r="K215" s="667"/>
      <c r="L215" s="667"/>
      <c r="M215" s="667"/>
      <c r="N215" s="667"/>
      <c r="O215" s="667"/>
      <c r="P215" s="667"/>
      <c r="Q215" s="667"/>
      <c r="R215" s="667"/>
      <c r="S215" s="667"/>
      <c r="T215" s="667"/>
      <c r="U215" s="1012">
        <v>3</v>
      </c>
      <c r="V215" s="668">
        <f t="shared" si="65"/>
        <v>0</v>
      </c>
      <c r="W215" s="668">
        <f t="shared" si="66"/>
        <v>0</v>
      </c>
      <c r="X215" s="668">
        <f t="shared" si="67"/>
        <v>0</v>
      </c>
      <c r="Y215" s="668">
        <f t="shared" si="68"/>
        <v>0</v>
      </c>
      <c r="Z215" s="668">
        <f t="shared" si="70"/>
        <v>0</v>
      </c>
      <c r="AA215" s="668">
        <f t="shared" si="71"/>
        <v>0</v>
      </c>
      <c r="AB215" s="668">
        <f t="shared" si="72"/>
        <v>0</v>
      </c>
      <c r="AC215" s="668">
        <f t="shared" si="64"/>
        <v>0</v>
      </c>
      <c r="AD215" s="668">
        <f t="shared" si="73"/>
        <v>0</v>
      </c>
      <c r="AE215" s="668">
        <f t="shared" si="74"/>
        <v>0</v>
      </c>
      <c r="AF215" s="668">
        <f t="shared" si="69"/>
        <v>0</v>
      </c>
      <c r="AG215" s="668">
        <f t="shared" si="75"/>
        <v>0</v>
      </c>
      <c r="AH215" s="668"/>
      <c r="AI215" s="668"/>
      <c r="AJ215" s="668"/>
      <c r="AK215" s="668"/>
      <c r="AL215" s="668"/>
      <c r="AM215" s="668">
        <f t="shared" si="76"/>
        <v>0</v>
      </c>
      <c r="AN215" s="668">
        <f t="shared" si="60"/>
        <v>0</v>
      </c>
      <c r="AO215" s="668">
        <f t="shared" si="61"/>
        <v>0</v>
      </c>
      <c r="AP215" s="668">
        <f t="shared" si="77"/>
        <v>0</v>
      </c>
      <c r="AQ215" s="668">
        <f t="shared" si="62"/>
        <v>0</v>
      </c>
      <c r="AR215" s="668">
        <f t="shared" si="63"/>
        <v>0</v>
      </c>
      <c r="AS215" s="668"/>
      <c r="AT215" s="668"/>
      <c r="AU215" s="668"/>
      <c r="AV215" s="668"/>
      <c r="AW215" s="668"/>
      <c r="AX215" s="668"/>
      <c r="AY215" s="668"/>
      <c r="AZ215" s="668"/>
      <c r="BA215" s="668"/>
      <c r="BB215" s="668">
        <f t="shared" si="78"/>
        <v>0</v>
      </c>
      <c r="BC215" s="668"/>
      <c r="BD215" s="668"/>
      <c r="BE215" s="668"/>
      <c r="BF215" s="668"/>
      <c r="BG215" s="668"/>
      <c r="BH215" s="668"/>
      <c r="BI215" s="668"/>
    </row>
    <row r="216" spans="1:61" x14ac:dyDescent="0.2">
      <c r="A216" s="1013">
        <v>1187</v>
      </c>
      <c r="B216" s="1012" t="s">
        <v>592</v>
      </c>
      <c r="C216" s="1012"/>
      <c r="D216" s="667"/>
      <c r="E216" s="667"/>
      <c r="F216" s="667"/>
      <c r="G216" s="667"/>
      <c r="H216" s="667"/>
      <c r="I216" s="667"/>
      <c r="J216" s="667"/>
      <c r="K216" s="667"/>
      <c r="L216" s="667"/>
      <c r="M216" s="667"/>
      <c r="N216" s="667"/>
      <c r="O216" s="667"/>
      <c r="P216" s="667"/>
      <c r="Q216" s="667"/>
      <c r="R216" s="667"/>
      <c r="S216" s="667"/>
      <c r="T216" s="667"/>
      <c r="U216" s="1012">
        <v>3</v>
      </c>
      <c r="V216" s="668">
        <f t="shared" si="65"/>
        <v>0</v>
      </c>
      <c r="W216" s="668">
        <f t="shared" si="66"/>
        <v>0</v>
      </c>
      <c r="X216" s="668">
        <f t="shared" si="67"/>
        <v>0</v>
      </c>
      <c r="Y216" s="668">
        <f t="shared" si="68"/>
        <v>0</v>
      </c>
      <c r="Z216" s="668">
        <f t="shared" si="70"/>
        <v>0</v>
      </c>
      <c r="AA216" s="668">
        <f t="shared" si="71"/>
        <v>0</v>
      </c>
      <c r="AB216" s="668">
        <f t="shared" si="72"/>
        <v>0</v>
      </c>
      <c r="AC216" s="668">
        <f t="shared" si="64"/>
        <v>0</v>
      </c>
      <c r="AD216" s="668">
        <f t="shared" si="73"/>
        <v>0</v>
      </c>
      <c r="AE216" s="668">
        <f t="shared" si="74"/>
        <v>0</v>
      </c>
      <c r="AF216" s="668">
        <f t="shared" si="69"/>
        <v>0</v>
      </c>
      <c r="AG216" s="668">
        <f t="shared" si="75"/>
        <v>0</v>
      </c>
      <c r="AH216" s="668"/>
      <c r="AI216" s="668"/>
      <c r="AJ216" s="668"/>
      <c r="AK216" s="668"/>
      <c r="AL216" s="668"/>
      <c r="AM216" s="668">
        <f t="shared" si="76"/>
        <v>0</v>
      </c>
      <c r="AN216" s="668">
        <f t="shared" si="60"/>
        <v>0</v>
      </c>
      <c r="AO216" s="668">
        <f t="shared" si="61"/>
        <v>0</v>
      </c>
      <c r="AP216" s="668">
        <f t="shared" si="77"/>
        <v>0</v>
      </c>
      <c r="AQ216" s="668">
        <f t="shared" si="62"/>
        <v>0</v>
      </c>
      <c r="AR216" s="668">
        <f t="shared" si="63"/>
        <v>0</v>
      </c>
      <c r="AS216" s="668"/>
      <c r="AT216" s="668"/>
      <c r="AU216" s="668"/>
      <c r="AV216" s="668"/>
      <c r="AW216" s="668"/>
      <c r="AX216" s="668"/>
      <c r="AY216" s="668"/>
      <c r="AZ216" s="668"/>
      <c r="BA216" s="668"/>
      <c r="BB216" s="668">
        <f t="shared" si="78"/>
        <v>0</v>
      </c>
      <c r="BC216" s="668"/>
      <c r="BD216" s="668"/>
      <c r="BE216" s="668"/>
      <c r="BF216" s="668"/>
      <c r="BG216" s="668"/>
      <c r="BH216" s="668"/>
      <c r="BI216" s="668"/>
    </row>
    <row r="217" spans="1:61" x14ac:dyDescent="0.2">
      <c r="A217" s="1013">
        <v>1188</v>
      </c>
      <c r="B217" s="1012" t="s">
        <v>468</v>
      </c>
      <c r="C217" s="1012"/>
      <c r="D217" s="667">
        <v>42</v>
      </c>
      <c r="E217" s="667"/>
      <c r="F217" s="667"/>
      <c r="G217" s="667"/>
      <c r="H217" s="667"/>
      <c r="I217" s="667"/>
      <c r="J217" s="667"/>
      <c r="K217" s="667"/>
      <c r="L217" s="667"/>
      <c r="M217" s="667"/>
      <c r="N217" s="667"/>
      <c r="O217" s="667"/>
      <c r="P217" s="667"/>
      <c r="Q217" s="1014">
        <v>89</v>
      </c>
      <c r="R217" s="667"/>
      <c r="S217" s="667"/>
      <c r="T217" s="667"/>
      <c r="U217" s="1012">
        <v>13</v>
      </c>
      <c r="V217" s="668">
        <f t="shared" si="65"/>
        <v>546</v>
      </c>
      <c r="W217" s="668">
        <f t="shared" si="66"/>
        <v>0</v>
      </c>
      <c r="X217" s="668">
        <f t="shared" si="67"/>
        <v>0</v>
      </c>
      <c r="Y217" s="668">
        <f t="shared" si="68"/>
        <v>0</v>
      </c>
      <c r="Z217" s="668">
        <f t="shared" si="70"/>
        <v>0</v>
      </c>
      <c r="AA217" s="668">
        <f t="shared" si="71"/>
        <v>0</v>
      </c>
      <c r="AB217" s="668">
        <f t="shared" si="72"/>
        <v>0</v>
      </c>
      <c r="AC217" s="668">
        <f t="shared" si="64"/>
        <v>0</v>
      </c>
      <c r="AD217" s="668">
        <f t="shared" si="73"/>
        <v>89</v>
      </c>
      <c r="AE217" s="668">
        <f t="shared" si="74"/>
        <v>0</v>
      </c>
      <c r="AF217" s="668">
        <f t="shared" si="69"/>
        <v>0</v>
      </c>
      <c r="AG217" s="668">
        <f t="shared" si="75"/>
        <v>0</v>
      </c>
      <c r="AH217" s="668"/>
      <c r="AI217" s="668"/>
      <c r="AJ217" s="668"/>
      <c r="AK217" s="668"/>
      <c r="AL217" s="668"/>
      <c r="AM217" s="668">
        <f t="shared" si="76"/>
        <v>0</v>
      </c>
      <c r="AN217" s="668">
        <f t="shared" si="60"/>
        <v>0</v>
      </c>
      <c r="AO217" s="668">
        <f t="shared" si="61"/>
        <v>0</v>
      </c>
      <c r="AP217" s="668">
        <f t="shared" si="77"/>
        <v>0</v>
      </c>
      <c r="AQ217" s="668">
        <f t="shared" si="62"/>
        <v>0</v>
      </c>
      <c r="AR217" s="668">
        <f t="shared" si="63"/>
        <v>0</v>
      </c>
      <c r="AS217" s="668"/>
      <c r="AT217" s="668"/>
      <c r="AU217" s="668"/>
      <c r="AV217" s="668"/>
      <c r="AW217" s="668"/>
      <c r="AX217" s="668"/>
      <c r="AY217" s="668"/>
      <c r="AZ217" s="668"/>
      <c r="BA217" s="668"/>
      <c r="BB217" s="668">
        <f t="shared" si="78"/>
        <v>0</v>
      </c>
      <c r="BC217" s="668"/>
      <c r="BD217" s="668"/>
      <c r="BE217" s="668"/>
      <c r="BF217" s="668"/>
      <c r="BG217" s="668"/>
      <c r="BH217" s="668"/>
      <c r="BI217" s="668"/>
    </row>
    <row r="218" spans="1:61" x14ac:dyDescent="0.2">
      <c r="A218" s="1013">
        <v>1189</v>
      </c>
      <c r="B218" s="1012" t="s">
        <v>486</v>
      </c>
      <c r="C218" s="1012"/>
      <c r="D218" s="667">
        <v>69</v>
      </c>
      <c r="E218" s="667"/>
      <c r="F218" s="667"/>
      <c r="G218" s="667"/>
      <c r="H218" s="667"/>
      <c r="I218" s="667"/>
      <c r="J218" s="667"/>
      <c r="K218" s="667"/>
      <c r="L218" s="667">
        <v>2</v>
      </c>
      <c r="M218" s="667"/>
      <c r="N218" s="667"/>
      <c r="O218" s="667"/>
      <c r="P218" s="667">
        <v>6</v>
      </c>
      <c r="Q218" s="1014">
        <v>288</v>
      </c>
      <c r="R218" s="667"/>
      <c r="S218" s="667"/>
      <c r="T218" s="667"/>
      <c r="U218" s="1012">
        <v>17</v>
      </c>
      <c r="V218" s="668">
        <f t="shared" si="65"/>
        <v>1173</v>
      </c>
      <c r="W218" s="668">
        <f t="shared" si="66"/>
        <v>0</v>
      </c>
      <c r="X218" s="668">
        <f t="shared" si="67"/>
        <v>0</v>
      </c>
      <c r="Y218" s="668">
        <f t="shared" si="68"/>
        <v>0</v>
      </c>
      <c r="Z218" s="668">
        <f t="shared" si="70"/>
        <v>0</v>
      </c>
      <c r="AA218" s="668">
        <f t="shared" si="71"/>
        <v>0</v>
      </c>
      <c r="AB218" s="668">
        <f t="shared" si="72"/>
        <v>0</v>
      </c>
      <c r="AC218" s="668">
        <f t="shared" si="64"/>
        <v>102</v>
      </c>
      <c r="AD218" s="668">
        <f t="shared" si="73"/>
        <v>288</v>
      </c>
      <c r="AE218" s="668">
        <f t="shared" si="74"/>
        <v>0</v>
      </c>
      <c r="AF218" s="668">
        <f t="shared" si="69"/>
        <v>34</v>
      </c>
      <c r="AG218" s="668">
        <f t="shared" si="75"/>
        <v>0</v>
      </c>
      <c r="AH218" s="668"/>
      <c r="AI218" s="668"/>
      <c r="AJ218" s="668"/>
      <c r="AK218" s="668"/>
      <c r="AL218" s="668"/>
      <c r="AM218" s="668">
        <f t="shared" si="76"/>
        <v>0</v>
      </c>
      <c r="AN218" s="668">
        <f t="shared" si="60"/>
        <v>0</v>
      </c>
      <c r="AO218" s="668">
        <f t="shared" si="61"/>
        <v>0</v>
      </c>
      <c r="AP218" s="668">
        <f t="shared" si="77"/>
        <v>0</v>
      </c>
      <c r="AQ218" s="668">
        <f t="shared" si="62"/>
        <v>0</v>
      </c>
      <c r="AR218" s="668">
        <f t="shared" si="63"/>
        <v>0</v>
      </c>
      <c r="AS218" s="668"/>
      <c r="AT218" s="668"/>
      <c r="AU218" s="668"/>
      <c r="AV218" s="668"/>
      <c r="AW218" s="668"/>
      <c r="AX218" s="668"/>
      <c r="AY218" s="668"/>
      <c r="AZ218" s="668"/>
      <c r="BA218" s="668"/>
      <c r="BB218" s="668">
        <f t="shared" si="78"/>
        <v>0</v>
      </c>
      <c r="BC218" s="668"/>
      <c r="BD218" s="668"/>
      <c r="BE218" s="668"/>
      <c r="BF218" s="668"/>
      <c r="BG218" s="668"/>
      <c r="BH218" s="668"/>
      <c r="BI218" s="668"/>
    </row>
    <row r="219" spans="1:61" x14ac:dyDescent="0.2">
      <c r="A219" s="1013">
        <v>1190</v>
      </c>
      <c r="B219" s="1012" t="s">
        <v>593</v>
      </c>
      <c r="C219" s="1012"/>
      <c r="D219" s="667">
        <v>133</v>
      </c>
      <c r="E219" s="667"/>
      <c r="F219" s="667"/>
      <c r="G219" s="667"/>
      <c r="H219" s="667"/>
      <c r="I219" s="667">
        <v>133</v>
      </c>
      <c r="J219" s="667"/>
      <c r="K219" s="667"/>
      <c r="L219" s="667"/>
      <c r="M219" s="667"/>
      <c r="N219" s="667"/>
      <c r="O219" s="667"/>
      <c r="P219" s="667"/>
      <c r="Q219" s="667"/>
      <c r="R219" s="667"/>
      <c r="S219" s="667"/>
      <c r="T219" s="667"/>
      <c r="U219" s="1012">
        <v>16</v>
      </c>
      <c r="V219" s="668">
        <f t="shared" si="65"/>
        <v>2128</v>
      </c>
      <c r="W219" s="668">
        <f t="shared" si="66"/>
        <v>0</v>
      </c>
      <c r="X219" s="668">
        <f t="shared" si="67"/>
        <v>0</v>
      </c>
      <c r="Y219" s="668">
        <f t="shared" si="68"/>
        <v>0</v>
      </c>
      <c r="Z219" s="668">
        <f t="shared" si="70"/>
        <v>0</v>
      </c>
      <c r="AA219" s="668">
        <f t="shared" si="71"/>
        <v>0</v>
      </c>
      <c r="AB219" s="668">
        <f t="shared" si="72"/>
        <v>0</v>
      </c>
      <c r="AC219" s="668">
        <f t="shared" si="64"/>
        <v>0</v>
      </c>
      <c r="AD219" s="668">
        <f t="shared" si="73"/>
        <v>0</v>
      </c>
      <c r="AE219" s="668">
        <f t="shared" si="74"/>
        <v>0</v>
      </c>
      <c r="AF219" s="668">
        <f t="shared" si="69"/>
        <v>0</v>
      </c>
      <c r="AG219" s="668">
        <f t="shared" si="75"/>
        <v>0</v>
      </c>
      <c r="AH219" s="668"/>
      <c r="AI219" s="668"/>
      <c r="AJ219" s="668"/>
      <c r="AK219" s="668"/>
      <c r="AL219" s="668"/>
      <c r="AM219" s="668">
        <f t="shared" si="76"/>
        <v>133</v>
      </c>
      <c r="AN219" s="668">
        <f t="shared" si="60"/>
        <v>0</v>
      </c>
      <c r="AO219" s="668">
        <f t="shared" si="61"/>
        <v>0</v>
      </c>
      <c r="AP219" s="668">
        <f t="shared" si="77"/>
        <v>0</v>
      </c>
      <c r="AQ219" s="668">
        <f t="shared" si="62"/>
        <v>0</v>
      </c>
      <c r="AR219" s="668">
        <f t="shared" si="63"/>
        <v>0</v>
      </c>
      <c r="AS219" s="668"/>
      <c r="AT219" s="668"/>
      <c r="AU219" s="668"/>
      <c r="AV219" s="668"/>
      <c r="AW219" s="668"/>
      <c r="AX219" s="668"/>
      <c r="AY219" s="668"/>
      <c r="AZ219" s="668"/>
      <c r="BA219" s="668"/>
      <c r="BB219" s="668">
        <f t="shared" si="78"/>
        <v>0</v>
      </c>
      <c r="BC219" s="668"/>
      <c r="BD219" s="668"/>
      <c r="BE219" s="668"/>
      <c r="BF219" s="668"/>
      <c r="BG219" s="668"/>
      <c r="BH219" s="668"/>
      <c r="BI219" s="668"/>
    </row>
    <row r="220" spans="1:61" x14ac:dyDescent="0.2">
      <c r="A220" s="1013">
        <v>1191</v>
      </c>
      <c r="B220" s="1012" t="s">
        <v>594</v>
      </c>
      <c r="C220" s="1012"/>
      <c r="D220" s="667">
        <v>48</v>
      </c>
      <c r="E220" s="667"/>
      <c r="F220" s="667"/>
      <c r="G220" s="667"/>
      <c r="H220" s="667"/>
      <c r="I220" s="667"/>
      <c r="J220" s="667"/>
      <c r="K220" s="667"/>
      <c r="L220" s="667"/>
      <c r="M220" s="667"/>
      <c r="N220" s="667"/>
      <c r="O220" s="667"/>
      <c r="P220" s="667"/>
      <c r="Q220" s="667"/>
      <c r="R220" s="667"/>
      <c r="S220" s="667"/>
      <c r="T220" s="667"/>
      <c r="U220" s="1012">
        <v>6</v>
      </c>
      <c r="V220" s="668">
        <f t="shared" si="65"/>
        <v>288</v>
      </c>
      <c r="W220" s="668">
        <f t="shared" si="66"/>
        <v>0</v>
      </c>
      <c r="X220" s="668">
        <f t="shared" si="67"/>
        <v>0</v>
      </c>
      <c r="Y220" s="668">
        <f t="shared" si="68"/>
        <v>0</v>
      </c>
      <c r="Z220" s="668">
        <f t="shared" si="70"/>
        <v>0</v>
      </c>
      <c r="AA220" s="668">
        <f t="shared" si="71"/>
        <v>0</v>
      </c>
      <c r="AB220" s="668">
        <f t="shared" si="72"/>
        <v>0</v>
      </c>
      <c r="AC220" s="668">
        <f t="shared" si="64"/>
        <v>0</v>
      </c>
      <c r="AD220" s="668">
        <f t="shared" si="73"/>
        <v>0</v>
      </c>
      <c r="AE220" s="668">
        <f t="shared" si="74"/>
        <v>0</v>
      </c>
      <c r="AF220" s="668">
        <f t="shared" si="69"/>
        <v>0</v>
      </c>
      <c r="AG220" s="668">
        <f t="shared" si="75"/>
        <v>0</v>
      </c>
      <c r="AH220" s="668"/>
      <c r="AI220" s="668"/>
      <c r="AJ220" s="668"/>
      <c r="AK220" s="668"/>
      <c r="AL220" s="668"/>
      <c r="AM220" s="668">
        <f t="shared" si="76"/>
        <v>0</v>
      </c>
      <c r="AN220" s="668">
        <f t="shared" si="60"/>
        <v>0</v>
      </c>
      <c r="AO220" s="668">
        <f t="shared" si="61"/>
        <v>0</v>
      </c>
      <c r="AP220" s="668">
        <f t="shared" si="77"/>
        <v>0</v>
      </c>
      <c r="AQ220" s="668">
        <f t="shared" si="62"/>
        <v>0</v>
      </c>
      <c r="AR220" s="668">
        <f t="shared" si="63"/>
        <v>0</v>
      </c>
      <c r="AS220" s="668"/>
      <c r="AT220" s="668"/>
      <c r="AU220" s="668"/>
      <c r="AV220" s="668"/>
      <c r="AW220" s="668"/>
      <c r="AX220" s="668"/>
      <c r="AY220" s="668"/>
      <c r="AZ220" s="668"/>
      <c r="BA220" s="668"/>
      <c r="BB220" s="668">
        <f t="shared" si="78"/>
        <v>0</v>
      </c>
      <c r="BC220" s="668"/>
      <c r="BD220" s="668"/>
      <c r="BE220" s="668"/>
      <c r="BF220" s="668"/>
      <c r="BG220" s="668"/>
      <c r="BH220" s="668"/>
      <c r="BI220" s="668"/>
    </row>
    <row r="221" spans="1:61" x14ac:dyDescent="0.2">
      <c r="A221" s="1013" t="s">
        <v>595</v>
      </c>
      <c r="B221" s="1013" t="s">
        <v>985</v>
      </c>
      <c r="C221" s="1013"/>
      <c r="D221" s="667"/>
      <c r="E221" s="667"/>
      <c r="F221" s="667"/>
      <c r="G221" s="667"/>
      <c r="H221" s="667"/>
      <c r="I221" s="667"/>
      <c r="J221" s="667"/>
      <c r="K221" s="667"/>
      <c r="L221" s="667"/>
      <c r="M221" s="667"/>
      <c r="N221" s="667"/>
      <c r="O221" s="667"/>
      <c r="P221" s="667"/>
      <c r="Q221" s="667"/>
      <c r="R221" s="667"/>
      <c r="S221" s="667"/>
      <c r="T221" s="667"/>
      <c r="U221" s="1013"/>
      <c r="V221" s="668">
        <f t="shared" si="65"/>
        <v>0</v>
      </c>
      <c r="W221" s="668">
        <f t="shared" si="66"/>
        <v>0</v>
      </c>
      <c r="X221" s="668">
        <f t="shared" si="67"/>
        <v>0</v>
      </c>
      <c r="Y221" s="668">
        <f t="shared" si="68"/>
        <v>0</v>
      </c>
      <c r="Z221" s="668">
        <f t="shared" si="70"/>
        <v>0</v>
      </c>
      <c r="AA221" s="668">
        <f t="shared" si="71"/>
        <v>0</v>
      </c>
      <c r="AB221" s="668">
        <f t="shared" si="72"/>
        <v>0</v>
      </c>
      <c r="AC221" s="668">
        <f t="shared" si="64"/>
        <v>0</v>
      </c>
      <c r="AD221" s="668">
        <f t="shared" si="73"/>
        <v>0</v>
      </c>
      <c r="AE221" s="668">
        <f t="shared" si="74"/>
        <v>0</v>
      </c>
      <c r="AF221" s="668">
        <f t="shared" si="69"/>
        <v>0</v>
      </c>
      <c r="AG221" s="668">
        <f t="shared" si="75"/>
        <v>0</v>
      </c>
      <c r="AH221" s="668"/>
      <c r="AI221" s="668"/>
      <c r="AJ221" s="668"/>
      <c r="AK221" s="668"/>
      <c r="AL221" s="668"/>
      <c r="AM221" s="668">
        <f t="shared" si="76"/>
        <v>0</v>
      </c>
      <c r="AN221" s="668">
        <f t="shared" si="60"/>
        <v>0</v>
      </c>
      <c r="AO221" s="668">
        <f t="shared" si="61"/>
        <v>0</v>
      </c>
      <c r="AP221" s="668">
        <f t="shared" si="77"/>
        <v>0</v>
      </c>
      <c r="AQ221" s="668">
        <f t="shared" si="62"/>
        <v>0</v>
      </c>
      <c r="AR221" s="668">
        <f t="shared" si="63"/>
        <v>0</v>
      </c>
      <c r="AS221" s="668"/>
      <c r="AT221" s="668"/>
      <c r="AU221" s="668"/>
      <c r="AV221" s="668"/>
      <c r="AW221" s="668"/>
      <c r="AX221" s="668"/>
      <c r="AY221" s="668"/>
      <c r="AZ221" s="668"/>
      <c r="BA221" s="668"/>
      <c r="BB221" s="668">
        <f t="shared" si="78"/>
        <v>0</v>
      </c>
      <c r="BC221" s="668"/>
      <c r="BD221" s="668"/>
      <c r="BE221" s="668"/>
      <c r="BF221" s="668"/>
      <c r="BG221" s="668"/>
      <c r="BH221" s="668"/>
      <c r="BI221" s="668"/>
    </row>
    <row r="222" spans="1:61" x14ac:dyDescent="0.2">
      <c r="A222" s="1013">
        <v>1192</v>
      </c>
      <c r="B222" s="1012" t="s">
        <v>486</v>
      </c>
      <c r="C222" s="1012"/>
      <c r="D222" s="667">
        <v>56</v>
      </c>
      <c r="E222" s="667"/>
      <c r="F222" s="667"/>
      <c r="G222" s="667"/>
      <c r="H222" s="667"/>
      <c r="I222" s="667"/>
      <c r="J222" s="667"/>
      <c r="K222" s="667"/>
      <c r="L222" s="667">
        <v>4</v>
      </c>
      <c r="M222" s="667"/>
      <c r="N222" s="667"/>
      <c r="O222" s="667"/>
      <c r="P222" s="667">
        <v>20</v>
      </c>
      <c r="Q222" s="1014">
        <v>244</v>
      </c>
      <c r="R222" s="667"/>
      <c r="S222" s="667"/>
      <c r="T222" s="667"/>
      <c r="U222" s="1012">
        <v>17</v>
      </c>
      <c r="V222" s="668">
        <f t="shared" si="65"/>
        <v>952</v>
      </c>
      <c r="W222" s="668">
        <f t="shared" si="66"/>
        <v>0</v>
      </c>
      <c r="X222" s="668">
        <f t="shared" si="67"/>
        <v>0</v>
      </c>
      <c r="Y222" s="668">
        <f t="shared" si="68"/>
        <v>0</v>
      </c>
      <c r="Z222" s="668">
        <f t="shared" si="70"/>
        <v>0</v>
      </c>
      <c r="AA222" s="668">
        <f t="shared" si="71"/>
        <v>0</v>
      </c>
      <c r="AB222" s="668">
        <f t="shared" si="72"/>
        <v>0</v>
      </c>
      <c r="AC222" s="668">
        <f t="shared" si="64"/>
        <v>340</v>
      </c>
      <c r="AD222" s="668">
        <f t="shared" si="73"/>
        <v>244</v>
      </c>
      <c r="AE222" s="668">
        <f t="shared" si="74"/>
        <v>0</v>
      </c>
      <c r="AF222" s="668">
        <f t="shared" si="69"/>
        <v>68</v>
      </c>
      <c r="AG222" s="668">
        <f t="shared" si="75"/>
        <v>0</v>
      </c>
      <c r="AH222" s="668"/>
      <c r="AI222" s="668"/>
      <c r="AJ222" s="668"/>
      <c r="AK222" s="668"/>
      <c r="AL222" s="668"/>
      <c r="AM222" s="668">
        <f t="shared" si="76"/>
        <v>0</v>
      </c>
      <c r="AN222" s="668">
        <f t="shared" si="60"/>
        <v>0</v>
      </c>
      <c r="AO222" s="668">
        <f t="shared" si="61"/>
        <v>0</v>
      </c>
      <c r="AP222" s="668">
        <f t="shared" si="77"/>
        <v>0</v>
      </c>
      <c r="AQ222" s="668">
        <f t="shared" si="62"/>
        <v>0</v>
      </c>
      <c r="AR222" s="668">
        <f t="shared" si="63"/>
        <v>0</v>
      </c>
      <c r="AS222" s="668"/>
      <c r="AT222" s="668"/>
      <c r="AU222" s="668"/>
      <c r="AV222" s="668"/>
      <c r="AW222" s="668"/>
      <c r="AX222" s="668"/>
      <c r="AY222" s="668"/>
      <c r="AZ222" s="668"/>
      <c r="BA222" s="668"/>
      <c r="BB222" s="668">
        <f t="shared" si="78"/>
        <v>0</v>
      </c>
      <c r="BC222" s="668"/>
      <c r="BD222" s="668"/>
      <c r="BE222" s="668"/>
      <c r="BF222" s="668"/>
      <c r="BG222" s="668"/>
      <c r="BH222" s="668"/>
      <c r="BI222" s="668"/>
    </row>
    <row r="223" spans="1:61" x14ac:dyDescent="0.2">
      <c r="A223" s="1013">
        <v>1193</v>
      </c>
      <c r="B223" s="1012" t="s">
        <v>550</v>
      </c>
      <c r="C223" s="1012" t="s">
        <v>984</v>
      </c>
      <c r="D223" s="667">
        <v>159</v>
      </c>
      <c r="E223" s="667"/>
      <c r="F223" s="667"/>
      <c r="G223" s="667">
        <v>46</v>
      </c>
      <c r="H223" s="667"/>
      <c r="I223" s="667"/>
      <c r="J223" s="667"/>
      <c r="K223" s="667"/>
      <c r="L223" s="667">
        <v>2</v>
      </c>
      <c r="M223" s="667"/>
      <c r="N223" s="667"/>
      <c r="O223" s="667"/>
      <c r="P223" s="667"/>
      <c r="Q223" s="1014">
        <v>793</v>
      </c>
      <c r="R223" s="667"/>
      <c r="S223" s="667"/>
      <c r="T223" s="667"/>
      <c r="U223" s="1012">
        <v>17</v>
      </c>
      <c r="V223" s="668">
        <f t="shared" si="65"/>
        <v>2703</v>
      </c>
      <c r="W223" s="668">
        <f t="shared" si="66"/>
        <v>782</v>
      </c>
      <c r="X223" s="668">
        <f t="shared" si="67"/>
        <v>0</v>
      </c>
      <c r="Y223" s="668">
        <f t="shared" si="68"/>
        <v>0</v>
      </c>
      <c r="Z223" s="668">
        <f t="shared" si="70"/>
        <v>3485</v>
      </c>
      <c r="AA223" s="668">
        <f t="shared" si="71"/>
        <v>0</v>
      </c>
      <c r="AB223" s="668">
        <f t="shared" si="72"/>
        <v>0</v>
      </c>
      <c r="AC223" s="668">
        <f t="shared" si="64"/>
        <v>0</v>
      </c>
      <c r="AD223" s="668">
        <f t="shared" si="73"/>
        <v>793</v>
      </c>
      <c r="AE223" s="668">
        <f t="shared" si="74"/>
        <v>0</v>
      </c>
      <c r="AF223" s="668">
        <f t="shared" si="69"/>
        <v>34</v>
      </c>
      <c r="AG223" s="668">
        <f t="shared" si="75"/>
        <v>0</v>
      </c>
      <c r="AH223" s="668"/>
      <c r="AI223" s="668"/>
      <c r="AJ223" s="668"/>
      <c r="AK223" s="668"/>
      <c r="AL223" s="668"/>
      <c r="AM223" s="668">
        <f t="shared" si="76"/>
        <v>0</v>
      </c>
      <c r="AN223" s="668">
        <f t="shared" si="60"/>
        <v>0</v>
      </c>
      <c r="AO223" s="668">
        <f t="shared" si="61"/>
        <v>0</v>
      </c>
      <c r="AP223" s="668">
        <f t="shared" si="77"/>
        <v>0</v>
      </c>
      <c r="AQ223" s="668">
        <f t="shared" si="62"/>
        <v>0</v>
      </c>
      <c r="AR223" s="668">
        <f t="shared" si="63"/>
        <v>0</v>
      </c>
      <c r="AS223" s="668"/>
      <c r="AT223" s="668"/>
      <c r="AU223" s="668"/>
      <c r="AV223" s="668"/>
      <c r="AW223" s="668"/>
      <c r="AX223" s="668"/>
      <c r="AY223" s="668"/>
      <c r="AZ223" s="668"/>
      <c r="BA223" s="668"/>
      <c r="BB223" s="668">
        <f t="shared" si="78"/>
        <v>0</v>
      </c>
      <c r="BC223" s="668"/>
      <c r="BD223" s="668"/>
      <c r="BE223" s="668"/>
      <c r="BF223" s="668"/>
      <c r="BG223" s="668"/>
      <c r="BH223" s="668"/>
      <c r="BI223" s="668"/>
    </row>
    <row r="224" spans="1:61" x14ac:dyDescent="0.2">
      <c r="A224" s="1013">
        <v>1197</v>
      </c>
      <c r="B224" s="1012" t="s">
        <v>486</v>
      </c>
      <c r="C224" s="1012"/>
      <c r="D224" s="667">
        <v>107</v>
      </c>
      <c r="E224" s="667"/>
      <c r="F224" s="667"/>
      <c r="G224" s="667"/>
      <c r="H224" s="667"/>
      <c r="I224" s="667"/>
      <c r="J224" s="667"/>
      <c r="K224" s="667"/>
      <c r="L224" s="667"/>
      <c r="M224" s="667"/>
      <c r="N224" s="667"/>
      <c r="O224" s="667"/>
      <c r="P224" s="667">
        <v>110</v>
      </c>
      <c r="Q224" s="1014">
        <v>1109</v>
      </c>
      <c r="R224" s="667"/>
      <c r="S224" s="667"/>
      <c r="T224" s="667"/>
      <c r="U224" s="1012">
        <v>17</v>
      </c>
      <c r="V224" s="668">
        <f t="shared" si="65"/>
        <v>1819</v>
      </c>
      <c r="W224" s="668">
        <f t="shared" si="66"/>
        <v>0</v>
      </c>
      <c r="X224" s="668">
        <f t="shared" si="67"/>
        <v>0</v>
      </c>
      <c r="Y224" s="668">
        <f t="shared" si="68"/>
        <v>0</v>
      </c>
      <c r="Z224" s="668">
        <f t="shared" si="70"/>
        <v>0</v>
      </c>
      <c r="AA224" s="668">
        <f t="shared" si="71"/>
        <v>0</v>
      </c>
      <c r="AB224" s="668">
        <f t="shared" si="72"/>
        <v>0</v>
      </c>
      <c r="AC224" s="668">
        <f t="shared" si="64"/>
        <v>1870</v>
      </c>
      <c r="AD224" s="668">
        <f t="shared" si="73"/>
        <v>1109</v>
      </c>
      <c r="AE224" s="668">
        <f t="shared" si="74"/>
        <v>0</v>
      </c>
      <c r="AF224" s="668">
        <f t="shared" si="69"/>
        <v>0</v>
      </c>
      <c r="AG224" s="668">
        <f t="shared" si="75"/>
        <v>0</v>
      </c>
      <c r="AH224" s="668"/>
      <c r="AI224" s="668"/>
      <c r="AJ224" s="668"/>
      <c r="AK224" s="668"/>
      <c r="AL224" s="668"/>
      <c r="AM224" s="668">
        <f t="shared" si="76"/>
        <v>0</v>
      </c>
      <c r="AN224" s="668">
        <f t="shared" si="60"/>
        <v>0</v>
      </c>
      <c r="AO224" s="668">
        <f t="shared" si="61"/>
        <v>0</v>
      </c>
      <c r="AP224" s="668">
        <f t="shared" si="77"/>
        <v>0</v>
      </c>
      <c r="AQ224" s="668">
        <f t="shared" si="62"/>
        <v>0</v>
      </c>
      <c r="AR224" s="668">
        <f t="shared" si="63"/>
        <v>0</v>
      </c>
      <c r="AS224" s="668"/>
      <c r="AT224" s="668"/>
      <c r="AU224" s="668"/>
      <c r="AV224" s="668"/>
      <c r="AW224" s="668"/>
      <c r="AX224" s="668"/>
      <c r="AY224" s="668"/>
      <c r="AZ224" s="668"/>
      <c r="BA224" s="668"/>
      <c r="BB224" s="668">
        <f t="shared" si="78"/>
        <v>0</v>
      </c>
      <c r="BC224" s="668"/>
      <c r="BD224" s="668"/>
      <c r="BE224" s="668"/>
      <c r="BF224" s="668"/>
      <c r="BG224" s="668"/>
      <c r="BH224" s="668"/>
      <c r="BI224" s="668"/>
    </row>
    <row r="225" spans="1:61" x14ac:dyDescent="0.2">
      <c r="A225" s="1013">
        <v>1198</v>
      </c>
      <c r="B225" s="1012" t="s">
        <v>596</v>
      </c>
      <c r="C225" s="1012"/>
      <c r="D225" s="667">
        <v>390</v>
      </c>
      <c r="E225" s="667"/>
      <c r="F225" s="667"/>
      <c r="G225" s="667"/>
      <c r="H225" s="667"/>
      <c r="I225" s="667">
        <v>390</v>
      </c>
      <c r="J225" s="667"/>
      <c r="K225" s="667"/>
      <c r="L225" s="667">
        <v>4</v>
      </c>
      <c r="M225" s="667"/>
      <c r="N225" s="667"/>
      <c r="O225" s="667"/>
      <c r="P225" s="667"/>
      <c r="Q225" s="667"/>
      <c r="R225" s="667"/>
      <c r="S225" s="667"/>
      <c r="T225" s="667">
        <v>7031</v>
      </c>
      <c r="U225" s="1012">
        <v>17</v>
      </c>
      <c r="V225" s="668">
        <f t="shared" si="65"/>
        <v>6630</v>
      </c>
      <c r="W225" s="668">
        <f t="shared" si="66"/>
        <v>0</v>
      </c>
      <c r="X225" s="668">
        <f t="shared" si="67"/>
        <v>0</v>
      </c>
      <c r="Y225" s="668">
        <f t="shared" si="68"/>
        <v>0</v>
      </c>
      <c r="Z225" s="668">
        <f t="shared" si="70"/>
        <v>0</v>
      </c>
      <c r="AA225" s="668">
        <f t="shared" si="71"/>
        <v>0</v>
      </c>
      <c r="AB225" s="668">
        <f t="shared" si="72"/>
        <v>7031</v>
      </c>
      <c r="AC225" s="668">
        <f t="shared" si="64"/>
        <v>0</v>
      </c>
      <c r="AD225" s="668">
        <f t="shared" si="73"/>
        <v>0</v>
      </c>
      <c r="AE225" s="668">
        <f t="shared" si="74"/>
        <v>0</v>
      </c>
      <c r="AF225" s="668">
        <f t="shared" si="69"/>
        <v>68</v>
      </c>
      <c r="AG225" s="668">
        <f t="shared" si="75"/>
        <v>0</v>
      </c>
      <c r="AH225" s="668"/>
      <c r="AI225" s="668"/>
      <c r="AJ225" s="668"/>
      <c r="AK225" s="668"/>
      <c r="AL225" s="668"/>
      <c r="AM225" s="668">
        <f t="shared" si="76"/>
        <v>390</v>
      </c>
      <c r="AN225" s="668">
        <f t="shared" si="60"/>
        <v>0</v>
      </c>
      <c r="AO225" s="668">
        <f t="shared" si="61"/>
        <v>0</v>
      </c>
      <c r="AP225" s="668">
        <f t="shared" si="77"/>
        <v>0</v>
      </c>
      <c r="AQ225" s="668">
        <f t="shared" si="62"/>
        <v>0</v>
      </c>
      <c r="AR225" s="668">
        <f t="shared" si="63"/>
        <v>0</v>
      </c>
      <c r="AS225" s="668"/>
      <c r="AT225" s="668"/>
      <c r="AU225" s="668"/>
      <c r="AV225" s="668"/>
      <c r="AW225" s="668"/>
      <c r="AX225" s="668"/>
      <c r="AY225" s="668"/>
      <c r="AZ225" s="668"/>
      <c r="BA225" s="668"/>
      <c r="BB225" s="668">
        <f t="shared" si="78"/>
        <v>0</v>
      </c>
      <c r="BC225" s="668"/>
      <c r="BD225" s="668"/>
      <c r="BE225" s="668"/>
      <c r="BF225" s="668"/>
      <c r="BG225" s="668"/>
      <c r="BH225" s="668"/>
      <c r="BI225" s="668"/>
    </row>
    <row r="226" spans="1:61" x14ac:dyDescent="0.2">
      <c r="A226" s="1013">
        <v>1199</v>
      </c>
      <c r="B226" s="1012" t="s">
        <v>597</v>
      </c>
      <c r="C226" s="1012"/>
      <c r="D226" s="667">
        <v>175</v>
      </c>
      <c r="E226" s="667"/>
      <c r="F226" s="667"/>
      <c r="G226" s="667"/>
      <c r="H226" s="667"/>
      <c r="I226" s="667">
        <v>175</v>
      </c>
      <c r="J226" s="667"/>
      <c r="K226" s="667"/>
      <c r="L226" s="667">
        <v>4</v>
      </c>
      <c r="M226" s="667"/>
      <c r="N226" s="667"/>
      <c r="O226" s="667"/>
      <c r="P226" s="667"/>
      <c r="Q226" s="667"/>
      <c r="R226" s="667"/>
      <c r="S226" s="667"/>
      <c r="T226" s="667">
        <v>1726</v>
      </c>
      <c r="U226" s="1012">
        <v>17</v>
      </c>
      <c r="V226" s="668">
        <f t="shared" si="65"/>
        <v>2975</v>
      </c>
      <c r="W226" s="668">
        <f t="shared" si="66"/>
        <v>0</v>
      </c>
      <c r="X226" s="668">
        <f t="shared" si="67"/>
        <v>0</v>
      </c>
      <c r="Y226" s="668">
        <f t="shared" si="68"/>
        <v>0</v>
      </c>
      <c r="Z226" s="668">
        <f t="shared" si="70"/>
        <v>0</v>
      </c>
      <c r="AA226" s="668">
        <f t="shared" si="71"/>
        <v>0</v>
      </c>
      <c r="AB226" s="668">
        <f t="shared" si="72"/>
        <v>1726</v>
      </c>
      <c r="AC226" s="668">
        <f t="shared" si="64"/>
        <v>0</v>
      </c>
      <c r="AD226" s="668">
        <f t="shared" si="73"/>
        <v>0</v>
      </c>
      <c r="AE226" s="668">
        <f t="shared" si="74"/>
        <v>0</v>
      </c>
      <c r="AF226" s="668">
        <f t="shared" si="69"/>
        <v>68</v>
      </c>
      <c r="AG226" s="668">
        <f t="shared" si="75"/>
        <v>0</v>
      </c>
      <c r="AH226" s="668"/>
      <c r="AI226" s="668"/>
      <c r="AJ226" s="668"/>
      <c r="AK226" s="668"/>
      <c r="AL226" s="668"/>
      <c r="AM226" s="668">
        <f t="shared" si="76"/>
        <v>175</v>
      </c>
      <c r="AN226" s="668">
        <f t="shared" si="60"/>
        <v>0</v>
      </c>
      <c r="AO226" s="668">
        <f t="shared" si="61"/>
        <v>0</v>
      </c>
      <c r="AP226" s="668">
        <f t="shared" si="77"/>
        <v>0</v>
      </c>
      <c r="AQ226" s="668">
        <f t="shared" si="62"/>
        <v>0</v>
      </c>
      <c r="AR226" s="668">
        <f t="shared" si="63"/>
        <v>0</v>
      </c>
      <c r="AS226" s="668"/>
      <c r="AT226" s="668"/>
      <c r="AU226" s="668"/>
      <c r="AV226" s="668"/>
      <c r="AW226" s="668"/>
      <c r="AX226" s="668"/>
      <c r="AY226" s="668"/>
      <c r="AZ226" s="668"/>
      <c r="BA226" s="668"/>
      <c r="BB226" s="668">
        <f t="shared" si="78"/>
        <v>0</v>
      </c>
      <c r="BC226" s="668"/>
      <c r="BD226" s="668"/>
      <c r="BE226" s="668"/>
      <c r="BF226" s="668"/>
      <c r="BG226" s="668"/>
      <c r="BH226" s="668"/>
      <c r="BI226" s="668"/>
    </row>
    <row r="227" spans="1:61" x14ac:dyDescent="0.2">
      <c r="A227" s="1013">
        <v>1202</v>
      </c>
      <c r="B227" s="1012" t="s">
        <v>598</v>
      </c>
      <c r="C227" s="1012"/>
      <c r="D227" s="667"/>
      <c r="E227" s="667"/>
      <c r="F227" s="667"/>
      <c r="G227" s="667"/>
      <c r="H227" s="667"/>
      <c r="I227" s="667"/>
      <c r="J227" s="667"/>
      <c r="K227" s="667"/>
      <c r="L227" s="667"/>
      <c r="M227" s="667"/>
      <c r="N227" s="667"/>
      <c r="O227" s="667"/>
      <c r="P227" s="667"/>
      <c r="Q227" s="1014"/>
      <c r="R227" s="667"/>
      <c r="S227" s="667"/>
      <c r="T227" s="667"/>
      <c r="U227" s="1012"/>
      <c r="V227" s="668">
        <f t="shared" si="65"/>
        <v>0</v>
      </c>
      <c r="W227" s="668">
        <f t="shared" si="66"/>
        <v>0</v>
      </c>
      <c r="X227" s="668">
        <f t="shared" si="67"/>
        <v>0</v>
      </c>
      <c r="Y227" s="668">
        <f t="shared" si="68"/>
        <v>0</v>
      </c>
      <c r="Z227" s="668">
        <f t="shared" si="70"/>
        <v>0</v>
      </c>
      <c r="AA227" s="668">
        <f t="shared" si="71"/>
        <v>0</v>
      </c>
      <c r="AB227" s="668">
        <f t="shared" si="72"/>
        <v>0</v>
      </c>
      <c r="AC227" s="668">
        <f t="shared" si="64"/>
        <v>0</v>
      </c>
      <c r="AD227" s="668">
        <f t="shared" si="73"/>
        <v>0</v>
      </c>
      <c r="AE227" s="668">
        <f t="shared" si="74"/>
        <v>0</v>
      </c>
      <c r="AF227" s="668">
        <f t="shared" si="69"/>
        <v>0</v>
      </c>
      <c r="AG227" s="668">
        <f t="shared" si="75"/>
        <v>0</v>
      </c>
      <c r="AH227" s="668"/>
      <c r="AI227" s="668"/>
      <c r="AJ227" s="668"/>
      <c r="AK227" s="668"/>
      <c r="AL227" s="668"/>
      <c r="AM227" s="668">
        <f t="shared" si="76"/>
        <v>0</v>
      </c>
      <c r="AN227" s="668">
        <f t="shared" si="60"/>
        <v>0</v>
      </c>
      <c r="AO227" s="668">
        <f t="shared" si="61"/>
        <v>0</v>
      </c>
      <c r="AP227" s="668">
        <f t="shared" si="77"/>
        <v>0</v>
      </c>
      <c r="AQ227" s="668">
        <f t="shared" si="62"/>
        <v>0</v>
      </c>
      <c r="AR227" s="668">
        <f t="shared" si="63"/>
        <v>0</v>
      </c>
      <c r="AS227" s="668"/>
      <c r="AT227" s="668"/>
      <c r="AU227" s="668"/>
      <c r="AV227" s="668"/>
      <c r="AW227" s="668"/>
      <c r="AX227" s="668"/>
      <c r="AY227" s="668"/>
      <c r="AZ227" s="668"/>
      <c r="BA227" s="668"/>
      <c r="BB227" s="668">
        <f t="shared" si="78"/>
        <v>0</v>
      </c>
      <c r="BC227" s="668"/>
      <c r="BD227" s="668"/>
      <c r="BE227" s="668"/>
      <c r="BF227" s="668"/>
      <c r="BG227" s="668"/>
      <c r="BH227" s="668"/>
      <c r="BI227" s="668"/>
    </row>
    <row r="228" spans="1:61" x14ac:dyDescent="0.2">
      <c r="A228" s="1012" t="s">
        <v>599</v>
      </c>
      <c r="B228" s="1012" t="s">
        <v>606</v>
      </c>
      <c r="C228" s="1012"/>
      <c r="D228" s="667"/>
      <c r="E228" s="667"/>
      <c r="F228" s="667"/>
      <c r="G228" s="667"/>
      <c r="H228" s="667"/>
      <c r="I228" s="667"/>
      <c r="J228" s="667"/>
      <c r="K228" s="667"/>
      <c r="L228" s="667"/>
      <c r="M228" s="667"/>
      <c r="N228" s="667"/>
      <c r="O228" s="667"/>
      <c r="P228" s="667"/>
      <c r="Q228" s="667"/>
      <c r="R228" s="667"/>
      <c r="S228" s="667"/>
      <c r="T228" s="667"/>
      <c r="U228" s="1012"/>
      <c r="V228" s="668">
        <f t="shared" si="65"/>
        <v>0</v>
      </c>
      <c r="W228" s="668">
        <f t="shared" si="66"/>
        <v>0</v>
      </c>
      <c r="X228" s="668">
        <f t="shared" si="67"/>
        <v>0</v>
      </c>
      <c r="Y228" s="668">
        <f t="shared" si="68"/>
        <v>0</v>
      </c>
      <c r="Z228" s="668">
        <f t="shared" si="70"/>
        <v>0</v>
      </c>
      <c r="AA228" s="668">
        <f t="shared" si="71"/>
        <v>0</v>
      </c>
      <c r="AB228" s="668">
        <f t="shared" si="72"/>
        <v>0</v>
      </c>
      <c r="AC228" s="668">
        <f t="shared" si="64"/>
        <v>0</v>
      </c>
      <c r="AD228" s="668">
        <f t="shared" si="73"/>
        <v>0</v>
      </c>
      <c r="AE228" s="668">
        <f t="shared" si="74"/>
        <v>0</v>
      </c>
      <c r="AF228" s="668">
        <f t="shared" si="69"/>
        <v>0</v>
      </c>
      <c r="AG228" s="668">
        <f t="shared" si="75"/>
        <v>0</v>
      </c>
      <c r="AH228" s="668"/>
      <c r="AI228" s="668"/>
      <c r="AJ228" s="668"/>
      <c r="AK228" s="668"/>
      <c r="AL228" s="668"/>
      <c r="AM228" s="668">
        <f t="shared" si="76"/>
        <v>0</v>
      </c>
      <c r="AN228" s="668">
        <f t="shared" si="60"/>
        <v>0</v>
      </c>
      <c r="AO228" s="668">
        <f t="shared" si="61"/>
        <v>0</v>
      </c>
      <c r="AP228" s="668">
        <f t="shared" si="77"/>
        <v>0</v>
      </c>
      <c r="AQ228" s="668">
        <f t="shared" si="62"/>
        <v>0</v>
      </c>
      <c r="AR228" s="668">
        <f t="shared" si="63"/>
        <v>0</v>
      </c>
      <c r="AS228" s="668"/>
      <c r="AT228" s="668"/>
      <c r="AU228" s="668"/>
      <c r="AV228" s="668"/>
      <c r="AW228" s="668"/>
      <c r="AX228" s="668"/>
      <c r="AY228" s="668"/>
      <c r="AZ228" s="668"/>
      <c r="BA228" s="668"/>
      <c r="BB228" s="668">
        <f t="shared" si="78"/>
        <v>0</v>
      </c>
      <c r="BC228" s="668"/>
      <c r="BD228" s="668"/>
      <c r="BE228" s="668"/>
      <c r="BF228" s="668"/>
      <c r="BG228" s="668"/>
      <c r="BH228" s="668"/>
      <c r="BI228" s="668"/>
    </row>
    <row r="229" spans="1:61" x14ac:dyDescent="0.2">
      <c r="A229" s="1012" t="s">
        <v>600</v>
      </c>
      <c r="B229" s="1012" t="s">
        <v>607</v>
      </c>
      <c r="C229" s="1012"/>
      <c r="D229" s="667"/>
      <c r="E229" s="667"/>
      <c r="F229" s="667"/>
      <c r="G229" s="667"/>
      <c r="H229" s="667"/>
      <c r="I229" s="667"/>
      <c r="J229" s="667">
        <v>78</v>
      </c>
      <c r="K229" s="667"/>
      <c r="L229" s="667"/>
      <c r="M229" s="667"/>
      <c r="N229" s="667"/>
      <c r="O229" s="667"/>
      <c r="P229" s="667"/>
      <c r="Q229" s="667"/>
      <c r="R229" s="667"/>
      <c r="S229" s="667"/>
      <c r="T229" s="667"/>
      <c r="U229" s="1012">
        <v>17</v>
      </c>
      <c r="V229" s="668">
        <f t="shared" si="65"/>
        <v>0</v>
      </c>
      <c r="W229" s="668">
        <f t="shared" si="66"/>
        <v>0</v>
      </c>
      <c r="X229" s="668">
        <f t="shared" si="67"/>
        <v>0</v>
      </c>
      <c r="Y229" s="668">
        <f t="shared" si="68"/>
        <v>1326</v>
      </c>
      <c r="Z229" s="668">
        <f t="shared" si="70"/>
        <v>0</v>
      </c>
      <c r="AA229" s="668">
        <f t="shared" si="71"/>
        <v>0</v>
      </c>
      <c r="AB229" s="668">
        <f t="shared" si="72"/>
        <v>0</v>
      </c>
      <c r="AC229" s="668">
        <f t="shared" si="64"/>
        <v>0</v>
      </c>
      <c r="AD229" s="668">
        <f t="shared" si="73"/>
        <v>0</v>
      </c>
      <c r="AE229" s="668">
        <f t="shared" si="74"/>
        <v>0</v>
      </c>
      <c r="AF229" s="668">
        <f t="shared" si="69"/>
        <v>0</v>
      </c>
      <c r="AG229" s="668">
        <f t="shared" si="75"/>
        <v>0</v>
      </c>
      <c r="AH229" s="668"/>
      <c r="AI229" s="668"/>
      <c r="AJ229" s="668"/>
      <c r="AK229" s="668"/>
      <c r="AL229" s="668"/>
      <c r="AM229" s="668">
        <f t="shared" si="76"/>
        <v>0</v>
      </c>
      <c r="AN229" s="668">
        <f t="shared" si="60"/>
        <v>0</v>
      </c>
      <c r="AO229" s="668">
        <f t="shared" si="61"/>
        <v>0</v>
      </c>
      <c r="AP229" s="668">
        <f t="shared" si="77"/>
        <v>0</v>
      </c>
      <c r="AQ229" s="668">
        <f t="shared" si="62"/>
        <v>0</v>
      </c>
      <c r="AR229" s="668">
        <f t="shared" si="63"/>
        <v>0</v>
      </c>
      <c r="AS229" s="668"/>
      <c r="AT229" s="668"/>
      <c r="AU229" s="668"/>
      <c r="AV229" s="668"/>
      <c r="AW229" s="668"/>
      <c r="AX229" s="668"/>
      <c r="AY229" s="668"/>
      <c r="AZ229" s="668"/>
      <c r="BA229" s="668"/>
      <c r="BB229" s="668">
        <f t="shared" si="78"/>
        <v>0</v>
      </c>
      <c r="BC229" s="668"/>
      <c r="BD229" s="668"/>
      <c r="BE229" s="668"/>
      <c r="BF229" s="668"/>
      <c r="BG229" s="668"/>
      <c r="BH229" s="668"/>
      <c r="BI229" s="668"/>
    </row>
    <row r="230" spans="1:61" x14ac:dyDescent="0.2">
      <c r="A230" s="1013" t="s">
        <v>601</v>
      </c>
      <c r="B230" s="1012" t="s">
        <v>608</v>
      </c>
      <c r="C230" s="1012"/>
      <c r="D230" s="667"/>
      <c r="E230" s="667"/>
      <c r="F230" s="667"/>
      <c r="G230" s="667"/>
      <c r="H230" s="667"/>
      <c r="I230" s="667"/>
      <c r="J230" s="667">
        <v>65</v>
      </c>
      <c r="K230" s="667"/>
      <c r="L230" s="667"/>
      <c r="M230" s="667"/>
      <c r="N230" s="667"/>
      <c r="O230" s="667"/>
      <c r="P230" s="667"/>
      <c r="Q230" s="667"/>
      <c r="R230" s="667"/>
      <c r="S230" s="667"/>
      <c r="T230" s="667"/>
      <c r="U230" s="1012">
        <v>17</v>
      </c>
      <c r="V230" s="668">
        <f t="shared" si="65"/>
        <v>0</v>
      </c>
      <c r="W230" s="668">
        <f t="shared" si="66"/>
        <v>0</v>
      </c>
      <c r="X230" s="668">
        <f t="shared" si="67"/>
        <v>0</v>
      </c>
      <c r="Y230" s="668">
        <f t="shared" si="68"/>
        <v>1105</v>
      </c>
      <c r="Z230" s="668">
        <f t="shared" si="70"/>
        <v>0</v>
      </c>
      <c r="AA230" s="668">
        <f t="shared" si="71"/>
        <v>0</v>
      </c>
      <c r="AB230" s="668">
        <f t="shared" si="72"/>
        <v>0</v>
      </c>
      <c r="AC230" s="668">
        <f t="shared" si="64"/>
        <v>0</v>
      </c>
      <c r="AD230" s="668">
        <f t="shared" si="73"/>
        <v>0</v>
      </c>
      <c r="AE230" s="668">
        <f t="shared" si="74"/>
        <v>0</v>
      </c>
      <c r="AF230" s="668">
        <f t="shared" si="69"/>
        <v>0</v>
      </c>
      <c r="AG230" s="668">
        <f t="shared" si="75"/>
        <v>0</v>
      </c>
      <c r="AH230" s="668"/>
      <c r="AI230" s="668"/>
      <c r="AJ230" s="668"/>
      <c r="AK230" s="668"/>
      <c r="AL230" s="668"/>
      <c r="AM230" s="668">
        <f t="shared" si="76"/>
        <v>0</v>
      </c>
      <c r="AN230" s="668">
        <f t="shared" si="60"/>
        <v>0</v>
      </c>
      <c r="AO230" s="668">
        <f t="shared" si="61"/>
        <v>0</v>
      </c>
      <c r="AP230" s="668">
        <f t="shared" si="77"/>
        <v>0</v>
      </c>
      <c r="AQ230" s="668">
        <f t="shared" si="62"/>
        <v>0</v>
      </c>
      <c r="AR230" s="668">
        <f t="shared" si="63"/>
        <v>0</v>
      </c>
      <c r="AS230" s="668"/>
      <c r="AT230" s="668"/>
      <c r="AU230" s="668"/>
      <c r="AV230" s="668"/>
      <c r="AW230" s="668"/>
      <c r="AX230" s="668"/>
      <c r="AY230" s="668"/>
      <c r="AZ230" s="668"/>
      <c r="BA230" s="668"/>
      <c r="BB230" s="668">
        <f t="shared" si="78"/>
        <v>0</v>
      </c>
      <c r="BC230" s="668"/>
      <c r="BD230" s="668"/>
      <c r="BE230" s="668"/>
      <c r="BF230" s="668"/>
      <c r="BG230" s="668"/>
      <c r="BH230" s="668"/>
      <c r="BI230" s="668"/>
    </row>
    <row r="231" spans="1:61" x14ac:dyDescent="0.2">
      <c r="A231" s="1013" t="s">
        <v>602</v>
      </c>
      <c r="B231" s="1012" t="s">
        <v>609</v>
      </c>
      <c r="C231" s="1012"/>
      <c r="D231" s="667"/>
      <c r="E231" s="667"/>
      <c r="F231" s="667"/>
      <c r="G231" s="667"/>
      <c r="H231" s="667"/>
      <c r="I231" s="667"/>
      <c r="J231" s="667">
        <v>63</v>
      </c>
      <c r="K231" s="667"/>
      <c r="L231" s="667"/>
      <c r="M231" s="667"/>
      <c r="N231" s="667"/>
      <c r="O231" s="667"/>
      <c r="P231" s="667"/>
      <c r="Q231" s="667"/>
      <c r="R231" s="667"/>
      <c r="S231" s="667"/>
      <c r="T231" s="667"/>
      <c r="U231" s="1012">
        <v>17</v>
      </c>
      <c r="V231" s="668">
        <f t="shared" si="65"/>
        <v>0</v>
      </c>
      <c r="W231" s="668">
        <f t="shared" si="66"/>
        <v>0</v>
      </c>
      <c r="X231" s="668">
        <f t="shared" si="67"/>
        <v>0</v>
      </c>
      <c r="Y231" s="668">
        <f t="shared" si="68"/>
        <v>1071</v>
      </c>
      <c r="Z231" s="668">
        <f t="shared" si="70"/>
        <v>0</v>
      </c>
      <c r="AA231" s="668">
        <f t="shared" si="71"/>
        <v>0</v>
      </c>
      <c r="AB231" s="668">
        <f t="shared" si="72"/>
        <v>0</v>
      </c>
      <c r="AC231" s="668">
        <f t="shared" si="64"/>
        <v>0</v>
      </c>
      <c r="AD231" s="668">
        <f t="shared" si="73"/>
        <v>0</v>
      </c>
      <c r="AE231" s="668">
        <f t="shared" si="74"/>
        <v>0</v>
      </c>
      <c r="AF231" s="668">
        <f t="shared" si="69"/>
        <v>0</v>
      </c>
      <c r="AG231" s="668">
        <f t="shared" si="75"/>
        <v>0</v>
      </c>
      <c r="AH231" s="668"/>
      <c r="AI231" s="668"/>
      <c r="AJ231" s="668"/>
      <c r="AK231" s="668"/>
      <c r="AL231" s="668"/>
      <c r="AM231" s="668">
        <f t="shared" si="76"/>
        <v>0</v>
      </c>
      <c r="AN231" s="668">
        <f t="shared" si="60"/>
        <v>0</v>
      </c>
      <c r="AO231" s="668">
        <f t="shared" si="61"/>
        <v>0</v>
      </c>
      <c r="AP231" s="668">
        <f t="shared" si="77"/>
        <v>0</v>
      </c>
      <c r="AQ231" s="668">
        <f t="shared" si="62"/>
        <v>0</v>
      </c>
      <c r="AR231" s="668">
        <f t="shared" si="63"/>
        <v>0</v>
      </c>
      <c r="AS231" s="668"/>
      <c r="AT231" s="668"/>
      <c r="AU231" s="668"/>
      <c r="AV231" s="668"/>
      <c r="AW231" s="668"/>
      <c r="AX231" s="668"/>
      <c r="AY231" s="668"/>
      <c r="AZ231" s="668"/>
      <c r="BA231" s="668"/>
      <c r="BB231" s="668">
        <f t="shared" si="78"/>
        <v>0</v>
      </c>
      <c r="BC231" s="668"/>
      <c r="BD231" s="668"/>
      <c r="BE231" s="668"/>
      <c r="BF231" s="668"/>
      <c r="BG231" s="668"/>
      <c r="BH231" s="668"/>
      <c r="BI231" s="668"/>
    </row>
    <row r="232" spans="1:61" x14ac:dyDescent="0.2">
      <c r="A232" s="1013" t="s">
        <v>603</v>
      </c>
      <c r="B232" s="1012" t="s">
        <v>610</v>
      </c>
      <c r="C232" s="1012"/>
      <c r="D232" s="667"/>
      <c r="E232" s="667"/>
      <c r="F232" s="667"/>
      <c r="G232" s="667"/>
      <c r="H232" s="667"/>
      <c r="I232" s="667"/>
      <c r="J232" s="667">
        <v>66</v>
      </c>
      <c r="K232" s="667"/>
      <c r="L232" s="667"/>
      <c r="M232" s="667"/>
      <c r="N232" s="667"/>
      <c r="O232" s="667"/>
      <c r="P232" s="667"/>
      <c r="Q232" s="667"/>
      <c r="R232" s="667"/>
      <c r="S232" s="667"/>
      <c r="T232" s="667"/>
      <c r="U232" s="1012">
        <v>17</v>
      </c>
      <c r="V232" s="668">
        <f t="shared" si="65"/>
        <v>0</v>
      </c>
      <c r="W232" s="668">
        <f t="shared" si="66"/>
        <v>0</v>
      </c>
      <c r="X232" s="668">
        <f t="shared" si="67"/>
        <v>0</v>
      </c>
      <c r="Y232" s="668">
        <f t="shared" si="68"/>
        <v>1122</v>
      </c>
      <c r="Z232" s="668">
        <f t="shared" si="70"/>
        <v>0</v>
      </c>
      <c r="AA232" s="668">
        <f t="shared" si="71"/>
        <v>0</v>
      </c>
      <c r="AB232" s="668">
        <f t="shared" si="72"/>
        <v>0</v>
      </c>
      <c r="AC232" s="668">
        <f t="shared" si="64"/>
        <v>0</v>
      </c>
      <c r="AD232" s="668">
        <f t="shared" si="73"/>
        <v>0</v>
      </c>
      <c r="AE232" s="668">
        <f t="shared" si="74"/>
        <v>0</v>
      </c>
      <c r="AF232" s="668">
        <f t="shared" si="69"/>
        <v>0</v>
      </c>
      <c r="AG232" s="668">
        <f t="shared" si="75"/>
        <v>0</v>
      </c>
      <c r="AH232" s="668"/>
      <c r="AI232" s="668"/>
      <c r="AJ232" s="668"/>
      <c r="AK232" s="668"/>
      <c r="AL232" s="668"/>
      <c r="AM232" s="668">
        <f t="shared" si="76"/>
        <v>0</v>
      </c>
      <c r="AN232" s="668">
        <f t="shared" si="60"/>
        <v>0</v>
      </c>
      <c r="AO232" s="668">
        <f t="shared" si="61"/>
        <v>0</v>
      </c>
      <c r="AP232" s="668">
        <f t="shared" si="77"/>
        <v>0</v>
      </c>
      <c r="AQ232" s="668">
        <f t="shared" si="62"/>
        <v>0</v>
      </c>
      <c r="AR232" s="668">
        <f t="shared" si="63"/>
        <v>0</v>
      </c>
      <c r="AS232" s="668"/>
      <c r="AT232" s="668"/>
      <c r="AU232" s="668"/>
      <c r="AV232" s="668"/>
      <c r="AW232" s="668"/>
      <c r="AX232" s="668"/>
      <c r="AY232" s="668"/>
      <c r="AZ232" s="668"/>
      <c r="BA232" s="668"/>
      <c r="BB232" s="668">
        <f t="shared" si="78"/>
        <v>0</v>
      </c>
      <c r="BC232" s="668"/>
      <c r="BD232" s="668"/>
      <c r="BE232" s="668"/>
      <c r="BF232" s="668"/>
      <c r="BG232" s="668"/>
      <c r="BH232" s="668"/>
      <c r="BI232" s="668"/>
    </row>
    <row r="233" spans="1:61" x14ac:dyDescent="0.2">
      <c r="A233" s="1013" t="s">
        <v>604</v>
      </c>
      <c r="B233" s="1012" t="s">
        <v>611</v>
      </c>
      <c r="C233" s="1012"/>
      <c r="D233" s="667"/>
      <c r="E233" s="667"/>
      <c r="F233" s="667"/>
      <c r="G233" s="667"/>
      <c r="H233" s="667"/>
      <c r="I233" s="667"/>
      <c r="J233" s="667">
        <v>96</v>
      </c>
      <c r="K233" s="667"/>
      <c r="L233" s="667">
        <v>2</v>
      </c>
      <c r="M233" s="667"/>
      <c r="N233" s="667"/>
      <c r="O233" s="667"/>
      <c r="P233" s="667"/>
      <c r="Q233" s="667"/>
      <c r="R233" s="667"/>
      <c r="S233" s="667"/>
      <c r="T233" s="667"/>
      <c r="U233" s="1012">
        <v>17</v>
      </c>
      <c r="V233" s="668">
        <f t="shared" si="65"/>
        <v>0</v>
      </c>
      <c r="W233" s="668">
        <f t="shared" si="66"/>
        <v>0</v>
      </c>
      <c r="X233" s="668">
        <f t="shared" si="67"/>
        <v>0</v>
      </c>
      <c r="Y233" s="668">
        <f t="shared" si="68"/>
        <v>1632</v>
      </c>
      <c r="Z233" s="668">
        <f t="shared" si="70"/>
        <v>0</v>
      </c>
      <c r="AA233" s="668">
        <f t="shared" si="71"/>
        <v>0</v>
      </c>
      <c r="AB233" s="668">
        <f t="shared" si="72"/>
        <v>0</v>
      </c>
      <c r="AC233" s="668">
        <f t="shared" si="64"/>
        <v>0</v>
      </c>
      <c r="AD233" s="668">
        <f t="shared" si="73"/>
        <v>0</v>
      </c>
      <c r="AE233" s="668">
        <f t="shared" si="74"/>
        <v>0</v>
      </c>
      <c r="AF233" s="668">
        <f t="shared" si="69"/>
        <v>34</v>
      </c>
      <c r="AG233" s="668">
        <f t="shared" si="75"/>
        <v>0</v>
      </c>
      <c r="AH233" s="668"/>
      <c r="AI233" s="668"/>
      <c r="AJ233" s="668"/>
      <c r="AK233" s="668"/>
      <c r="AL233" s="668"/>
      <c r="AM233" s="668">
        <f t="shared" si="76"/>
        <v>0</v>
      </c>
      <c r="AN233" s="668">
        <f t="shared" si="60"/>
        <v>0</v>
      </c>
      <c r="AO233" s="668">
        <f t="shared" si="61"/>
        <v>0</v>
      </c>
      <c r="AP233" s="668">
        <f t="shared" si="77"/>
        <v>0</v>
      </c>
      <c r="AQ233" s="668">
        <f t="shared" si="62"/>
        <v>0</v>
      </c>
      <c r="AR233" s="668">
        <f t="shared" si="63"/>
        <v>0</v>
      </c>
      <c r="AS233" s="668"/>
      <c r="AT233" s="668"/>
      <c r="AU233" s="668"/>
      <c r="AV233" s="668"/>
      <c r="AW233" s="668"/>
      <c r="AX233" s="668"/>
      <c r="AY233" s="668"/>
      <c r="AZ233" s="668"/>
      <c r="BA233" s="668"/>
      <c r="BB233" s="668">
        <f t="shared" si="78"/>
        <v>0</v>
      </c>
      <c r="BC233" s="668"/>
      <c r="BD233" s="668"/>
      <c r="BE233" s="668"/>
      <c r="BF233" s="668"/>
      <c r="BG233" s="668"/>
      <c r="BH233" s="668"/>
      <c r="BI233" s="668"/>
    </row>
    <row r="234" spans="1:61" x14ac:dyDescent="0.2">
      <c r="A234" s="1013" t="s">
        <v>605</v>
      </c>
      <c r="B234" s="1012" t="s">
        <v>612</v>
      </c>
      <c r="C234" s="1012"/>
      <c r="D234" s="667"/>
      <c r="E234" s="667"/>
      <c r="F234" s="667"/>
      <c r="G234" s="667"/>
      <c r="H234" s="667"/>
      <c r="I234" s="667"/>
      <c r="J234" s="667">
        <v>117</v>
      </c>
      <c r="K234" s="667"/>
      <c r="L234" s="667">
        <v>8</v>
      </c>
      <c r="M234" s="667"/>
      <c r="N234" s="667"/>
      <c r="O234" s="667"/>
      <c r="P234" s="667"/>
      <c r="Q234" s="667"/>
      <c r="R234" s="667"/>
      <c r="S234" s="667"/>
      <c r="T234" s="667"/>
      <c r="U234" s="1012">
        <v>17</v>
      </c>
      <c r="V234" s="668">
        <f t="shared" si="65"/>
        <v>0</v>
      </c>
      <c r="W234" s="668">
        <f t="shared" si="66"/>
        <v>0</v>
      </c>
      <c r="X234" s="668">
        <f t="shared" si="67"/>
        <v>0</v>
      </c>
      <c r="Y234" s="668">
        <f t="shared" si="68"/>
        <v>1989</v>
      </c>
      <c r="Z234" s="668">
        <f t="shared" si="70"/>
        <v>0</v>
      </c>
      <c r="AA234" s="668">
        <f t="shared" si="71"/>
        <v>0</v>
      </c>
      <c r="AB234" s="668">
        <f t="shared" si="72"/>
        <v>0</v>
      </c>
      <c r="AC234" s="668">
        <f t="shared" si="64"/>
        <v>0</v>
      </c>
      <c r="AD234" s="668">
        <f t="shared" si="73"/>
        <v>0</v>
      </c>
      <c r="AE234" s="668">
        <f t="shared" si="74"/>
        <v>0</v>
      </c>
      <c r="AF234" s="668">
        <f t="shared" si="69"/>
        <v>136</v>
      </c>
      <c r="AG234" s="668">
        <f t="shared" si="75"/>
        <v>0</v>
      </c>
      <c r="AH234" s="668"/>
      <c r="AI234" s="668"/>
      <c r="AJ234" s="668"/>
      <c r="AK234" s="668"/>
      <c r="AL234" s="668"/>
      <c r="AM234" s="668">
        <f t="shared" si="76"/>
        <v>0</v>
      </c>
      <c r="AN234" s="668">
        <f t="shared" si="60"/>
        <v>0</v>
      </c>
      <c r="AO234" s="668">
        <f t="shared" si="61"/>
        <v>0</v>
      </c>
      <c r="AP234" s="668">
        <f t="shared" si="77"/>
        <v>0</v>
      </c>
      <c r="AQ234" s="668">
        <f t="shared" si="62"/>
        <v>0</v>
      </c>
      <c r="AR234" s="668">
        <f t="shared" si="63"/>
        <v>0</v>
      </c>
      <c r="AS234" s="668"/>
      <c r="AT234" s="668"/>
      <c r="AU234" s="668"/>
      <c r="AV234" s="668"/>
      <c r="AW234" s="668"/>
      <c r="AX234" s="668"/>
      <c r="AY234" s="668"/>
      <c r="AZ234" s="668"/>
      <c r="BA234" s="668"/>
      <c r="BB234" s="668">
        <f t="shared" si="78"/>
        <v>0</v>
      </c>
      <c r="BC234" s="668"/>
      <c r="BD234" s="668"/>
      <c r="BE234" s="668"/>
      <c r="BF234" s="668"/>
      <c r="BG234" s="668"/>
      <c r="BH234" s="668"/>
      <c r="BI234" s="668"/>
    </row>
    <row r="235" spans="1:61" x14ac:dyDescent="0.2">
      <c r="A235" s="1012"/>
      <c r="B235" s="1012"/>
      <c r="C235" s="1012"/>
      <c r="D235" s="667"/>
      <c r="E235" s="667"/>
      <c r="F235" s="667"/>
      <c r="G235" s="667"/>
      <c r="H235" s="667"/>
      <c r="I235" s="667"/>
      <c r="J235" s="667"/>
      <c r="K235" s="667"/>
      <c r="L235" s="667"/>
      <c r="M235" s="667"/>
      <c r="N235" s="667"/>
      <c r="O235" s="667"/>
      <c r="P235" s="667"/>
      <c r="Q235" s="667"/>
      <c r="R235" s="667"/>
      <c r="S235" s="667"/>
      <c r="T235" s="667"/>
      <c r="U235" s="1012"/>
      <c r="V235" s="668">
        <f t="shared" ref="V235:V298" si="79">+U235*D235</f>
        <v>0</v>
      </c>
      <c r="W235" s="668">
        <f t="shared" ref="W235:W298" si="80">+U235*G235</f>
        <v>0</v>
      </c>
      <c r="X235" s="668">
        <f t="shared" ref="X235:X298" si="81">+U235*H235</f>
        <v>0</v>
      </c>
      <c r="Y235" s="668">
        <f t="shared" ref="Y235:Y298" si="82">+U235*J235</f>
        <v>0</v>
      </c>
      <c r="Z235" s="668">
        <f t="shared" ref="Z235:Z298" si="83">IF(C235="y",V235+W235+X235+Y235,0)</f>
        <v>0</v>
      </c>
      <c r="AA235" s="668">
        <f t="shared" ref="AA235:AA298" si="84">+S235</f>
        <v>0</v>
      </c>
      <c r="AB235" s="668">
        <f t="shared" ref="AB235:AB295" si="85">+T235</f>
        <v>0</v>
      </c>
      <c r="AC235" s="668">
        <f t="shared" si="64"/>
        <v>0</v>
      </c>
      <c r="AD235" s="668">
        <f t="shared" ref="AD235:AD298" si="86">+Q235</f>
        <v>0</v>
      </c>
      <c r="AE235" s="668">
        <f t="shared" ref="AE235:AE298" si="87">+U235*M235</f>
        <v>0</v>
      </c>
      <c r="AF235" s="668">
        <f t="shared" ref="AF235:AF298" si="88">+L235*U235</f>
        <v>0</v>
      </c>
      <c r="AG235" s="668">
        <f t="shared" ref="AG235:AG298" si="89">+$AG$4*N235</f>
        <v>0</v>
      </c>
      <c r="AH235" s="668"/>
      <c r="AI235" s="668"/>
      <c r="AJ235" s="668"/>
      <c r="AK235" s="668"/>
      <c r="AL235" s="668"/>
      <c r="AM235" s="668">
        <f t="shared" si="76"/>
        <v>0</v>
      </c>
      <c r="AN235" s="668">
        <f t="shared" si="60"/>
        <v>0</v>
      </c>
      <c r="AO235" s="668">
        <f t="shared" si="61"/>
        <v>0</v>
      </c>
      <c r="AP235" s="668">
        <f t="shared" si="77"/>
        <v>0</v>
      </c>
      <c r="AQ235" s="668">
        <f t="shared" si="62"/>
        <v>0</v>
      </c>
      <c r="AR235" s="668">
        <f t="shared" si="63"/>
        <v>0</v>
      </c>
      <c r="AS235" s="668"/>
      <c r="AT235" s="668"/>
      <c r="AU235" s="668"/>
      <c r="AV235" s="668"/>
      <c r="AW235" s="668"/>
      <c r="AX235" s="668"/>
      <c r="AY235" s="668"/>
      <c r="AZ235" s="668"/>
      <c r="BA235" s="668"/>
      <c r="BB235" s="668">
        <f t="shared" si="78"/>
        <v>0</v>
      </c>
      <c r="BC235" s="668"/>
      <c r="BD235" s="668"/>
      <c r="BE235" s="668"/>
      <c r="BF235" s="668"/>
      <c r="BG235" s="668"/>
      <c r="BH235" s="668"/>
      <c r="BI235" s="668"/>
    </row>
    <row r="236" spans="1:61" x14ac:dyDescent="0.2">
      <c r="A236" s="1012"/>
      <c r="B236" s="1019" t="s">
        <v>613</v>
      </c>
      <c r="C236" s="1012"/>
      <c r="D236" s="667"/>
      <c r="E236" s="667"/>
      <c r="F236" s="667"/>
      <c r="G236" s="667"/>
      <c r="H236" s="667"/>
      <c r="I236" s="667"/>
      <c r="J236" s="667"/>
      <c r="K236" s="667"/>
      <c r="L236" s="667"/>
      <c r="M236" s="667"/>
      <c r="N236" s="667"/>
      <c r="O236" s="667"/>
      <c r="P236" s="667"/>
      <c r="Q236" s="667"/>
      <c r="R236" s="667"/>
      <c r="S236" s="667"/>
      <c r="T236" s="667"/>
      <c r="U236" s="1012"/>
      <c r="V236" s="668">
        <f t="shared" si="79"/>
        <v>0</v>
      </c>
      <c r="W236" s="668">
        <f t="shared" si="80"/>
        <v>0</v>
      </c>
      <c r="X236" s="668">
        <f t="shared" si="81"/>
        <v>0</v>
      </c>
      <c r="Y236" s="668">
        <f t="shared" si="82"/>
        <v>0</v>
      </c>
      <c r="Z236" s="668">
        <f t="shared" si="83"/>
        <v>0</v>
      </c>
      <c r="AA236" s="668">
        <f t="shared" si="84"/>
        <v>0</v>
      </c>
      <c r="AB236" s="668">
        <f t="shared" si="85"/>
        <v>0</v>
      </c>
      <c r="AC236" s="668">
        <f t="shared" si="64"/>
        <v>0</v>
      </c>
      <c r="AD236" s="668">
        <f t="shared" si="86"/>
        <v>0</v>
      </c>
      <c r="AE236" s="668">
        <f t="shared" si="87"/>
        <v>0</v>
      </c>
      <c r="AF236" s="668">
        <f t="shared" si="88"/>
        <v>0</v>
      </c>
      <c r="AG236" s="668">
        <f t="shared" si="89"/>
        <v>0</v>
      </c>
      <c r="AH236" s="668"/>
      <c r="AI236" s="668"/>
      <c r="AJ236" s="668"/>
      <c r="AK236" s="668"/>
      <c r="AL236" s="668"/>
      <c r="AM236" s="668">
        <f t="shared" si="76"/>
        <v>0</v>
      </c>
      <c r="AN236" s="668">
        <f t="shared" si="60"/>
        <v>0</v>
      </c>
      <c r="AO236" s="668">
        <f t="shared" si="61"/>
        <v>0</v>
      </c>
      <c r="AP236" s="668">
        <f t="shared" si="77"/>
        <v>0</v>
      </c>
      <c r="AQ236" s="668">
        <f t="shared" si="62"/>
        <v>0</v>
      </c>
      <c r="AR236" s="668">
        <f t="shared" si="63"/>
        <v>0</v>
      </c>
      <c r="AS236" s="668"/>
      <c r="AT236" s="668"/>
      <c r="AU236" s="668"/>
      <c r="AV236" s="668"/>
      <c r="AW236" s="668"/>
      <c r="AX236" s="668"/>
      <c r="AY236" s="668"/>
      <c r="AZ236" s="668"/>
      <c r="BA236" s="668"/>
      <c r="BB236" s="668">
        <f t="shared" si="78"/>
        <v>0</v>
      </c>
      <c r="BC236" s="668"/>
      <c r="BD236" s="668"/>
      <c r="BE236" s="668"/>
      <c r="BF236" s="668"/>
      <c r="BG236" s="668"/>
      <c r="BH236" s="668"/>
      <c r="BI236" s="668"/>
    </row>
    <row r="237" spans="1:61" x14ac:dyDescent="0.2">
      <c r="A237" s="1012">
        <v>1050</v>
      </c>
      <c r="B237" s="1012" t="s">
        <v>465</v>
      </c>
      <c r="C237" s="1012" t="s">
        <v>984</v>
      </c>
      <c r="D237" s="667">
        <v>148</v>
      </c>
      <c r="E237" s="667"/>
      <c r="F237" s="667"/>
      <c r="G237" s="667"/>
      <c r="H237" s="667"/>
      <c r="I237" s="667"/>
      <c r="J237" s="667"/>
      <c r="K237" s="667"/>
      <c r="L237" s="667"/>
      <c r="M237" s="667"/>
      <c r="N237" s="667"/>
      <c r="O237" s="667"/>
      <c r="P237" s="667"/>
      <c r="Q237" s="667"/>
      <c r="R237" s="667"/>
      <c r="S237" s="667"/>
      <c r="T237" s="667"/>
      <c r="U237" s="1012">
        <v>12</v>
      </c>
      <c r="V237" s="668">
        <f t="shared" si="79"/>
        <v>1776</v>
      </c>
      <c r="W237" s="668">
        <f t="shared" si="80"/>
        <v>0</v>
      </c>
      <c r="X237" s="668">
        <f t="shared" si="81"/>
        <v>0</v>
      </c>
      <c r="Y237" s="668">
        <f t="shared" si="82"/>
        <v>0</v>
      </c>
      <c r="Z237" s="668">
        <f t="shared" si="83"/>
        <v>1776</v>
      </c>
      <c r="AA237" s="668">
        <f t="shared" si="84"/>
        <v>0</v>
      </c>
      <c r="AB237" s="668">
        <f t="shared" si="85"/>
        <v>0</v>
      </c>
      <c r="AC237" s="668">
        <f t="shared" si="64"/>
        <v>0</v>
      </c>
      <c r="AD237" s="668">
        <f t="shared" si="86"/>
        <v>0</v>
      </c>
      <c r="AE237" s="668">
        <f t="shared" si="87"/>
        <v>0</v>
      </c>
      <c r="AF237" s="668">
        <f t="shared" si="88"/>
        <v>0</v>
      </c>
      <c r="AG237" s="668">
        <f t="shared" si="89"/>
        <v>0</v>
      </c>
      <c r="AH237" s="668"/>
      <c r="AI237" s="668"/>
      <c r="AJ237" s="668"/>
      <c r="AK237" s="668"/>
      <c r="AL237" s="668"/>
      <c r="AM237" s="668">
        <f t="shared" si="76"/>
        <v>0</v>
      </c>
      <c r="AN237" s="668">
        <f t="shared" si="60"/>
        <v>0</v>
      </c>
      <c r="AO237" s="668">
        <f t="shared" si="61"/>
        <v>0</v>
      </c>
      <c r="AP237" s="668">
        <f t="shared" si="77"/>
        <v>0</v>
      </c>
      <c r="AQ237" s="668">
        <f t="shared" si="62"/>
        <v>0</v>
      </c>
      <c r="AR237" s="668">
        <f t="shared" si="63"/>
        <v>0</v>
      </c>
      <c r="AS237" s="668"/>
      <c r="AT237" s="668"/>
      <c r="AU237" s="668"/>
      <c r="AV237" s="668"/>
      <c r="AW237" s="668"/>
      <c r="AX237" s="668"/>
      <c r="AY237" s="668"/>
      <c r="AZ237" s="668"/>
      <c r="BA237" s="668"/>
      <c r="BB237" s="668">
        <f t="shared" si="78"/>
        <v>0</v>
      </c>
      <c r="BC237" s="668"/>
      <c r="BD237" s="668"/>
      <c r="BE237" s="668"/>
      <c r="BF237" s="668"/>
      <c r="BG237" s="668"/>
      <c r="BH237" s="668"/>
      <c r="BI237" s="668"/>
    </row>
    <row r="238" spans="1:61" x14ac:dyDescent="0.2">
      <c r="A238" s="1012">
        <v>1051</v>
      </c>
      <c r="B238" s="1012" t="s">
        <v>515</v>
      </c>
      <c r="C238" s="1012"/>
      <c r="D238" s="667">
        <v>50</v>
      </c>
      <c r="E238" s="667"/>
      <c r="F238" s="667"/>
      <c r="G238" s="667"/>
      <c r="H238" s="667"/>
      <c r="I238" s="667"/>
      <c r="J238" s="667"/>
      <c r="K238" s="667"/>
      <c r="L238" s="667">
        <v>6</v>
      </c>
      <c r="M238" s="667"/>
      <c r="N238" s="667"/>
      <c r="O238" s="667"/>
      <c r="P238" s="667"/>
      <c r="Q238" s="667"/>
      <c r="R238" s="667"/>
      <c r="S238" s="667"/>
      <c r="T238" s="667">
        <v>1473</v>
      </c>
      <c r="U238" s="1025">
        <v>12</v>
      </c>
      <c r="V238" s="668">
        <f t="shared" si="79"/>
        <v>600</v>
      </c>
      <c r="W238" s="668">
        <f t="shared" si="80"/>
        <v>0</v>
      </c>
      <c r="X238" s="668">
        <f t="shared" si="81"/>
        <v>0</v>
      </c>
      <c r="Y238" s="668">
        <f t="shared" si="82"/>
        <v>0</v>
      </c>
      <c r="Z238" s="668">
        <f t="shared" si="83"/>
        <v>0</v>
      </c>
      <c r="AA238" s="668">
        <f t="shared" si="84"/>
        <v>0</v>
      </c>
      <c r="AB238" s="668">
        <f t="shared" si="85"/>
        <v>1473</v>
      </c>
      <c r="AC238" s="668">
        <f t="shared" si="64"/>
        <v>0</v>
      </c>
      <c r="AD238" s="668">
        <f t="shared" si="86"/>
        <v>0</v>
      </c>
      <c r="AE238" s="668">
        <f t="shared" si="87"/>
        <v>0</v>
      </c>
      <c r="AF238" s="668">
        <f t="shared" si="88"/>
        <v>72</v>
      </c>
      <c r="AG238" s="668">
        <f t="shared" si="89"/>
        <v>0</v>
      </c>
      <c r="AH238" s="668"/>
      <c r="AI238" s="668"/>
      <c r="AJ238" s="668"/>
      <c r="AK238" s="668"/>
      <c r="AL238" s="668"/>
      <c r="AM238" s="668">
        <f t="shared" si="76"/>
        <v>0</v>
      </c>
      <c r="AN238" s="668">
        <f t="shared" si="60"/>
        <v>0</v>
      </c>
      <c r="AO238" s="668">
        <f t="shared" si="61"/>
        <v>0</v>
      </c>
      <c r="AP238" s="668">
        <f t="shared" si="77"/>
        <v>0</v>
      </c>
      <c r="AQ238" s="668">
        <f t="shared" si="62"/>
        <v>0</v>
      </c>
      <c r="AR238" s="668">
        <f t="shared" si="63"/>
        <v>0</v>
      </c>
      <c r="AS238" s="668"/>
      <c r="AT238" s="668"/>
      <c r="AU238" s="668"/>
      <c r="AV238" s="668"/>
      <c r="AW238" s="668"/>
      <c r="AX238" s="668"/>
      <c r="AY238" s="668"/>
      <c r="AZ238" s="668"/>
      <c r="BA238" s="668"/>
      <c r="BB238" s="668">
        <f t="shared" si="78"/>
        <v>0</v>
      </c>
      <c r="BC238" s="668"/>
      <c r="BD238" s="668"/>
      <c r="BE238" s="668"/>
      <c r="BF238" s="668"/>
      <c r="BG238" s="668"/>
      <c r="BH238" s="668"/>
      <c r="BI238" s="668"/>
    </row>
    <row r="239" spans="1:61" x14ac:dyDescent="0.2">
      <c r="A239" s="1013">
        <v>1052</v>
      </c>
      <c r="B239" s="1012" t="s">
        <v>476</v>
      </c>
      <c r="C239" s="1012"/>
      <c r="D239" s="667">
        <v>36</v>
      </c>
      <c r="E239" s="667"/>
      <c r="F239" s="667"/>
      <c r="G239" s="667"/>
      <c r="H239" s="667"/>
      <c r="I239" s="667"/>
      <c r="J239" s="667"/>
      <c r="K239" s="667"/>
      <c r="L239" s="667"/>
      <c r="M239" s="667"/>
      <c r="N239" s="667"/>
      <c r="O239" s="667"/>
      <c r="P239" s="667"/>
      <c r="Q239" s="667"/>
      <c r="R239" s="667"/>
      <c r="S239" s="667"/>
      <c r="T239" s="667"/>
      <c r="U239" s="1012">
        <v>12</v>
      </c>
      <c r="V239" s="668">
        <f t="shared" si="79"/>
        <v>432</v>
      </c>
      <c r="W239" s="668">
        <f t="shared" si="80"/>
        <v>0</v>
      </c>
      <c r="X239" s="668">
        <f t="shared" si="81"/>
        <v>0</v>
      </c>
      <c r="Y239" s="668">
        <f t="shared" si="82"/>
        <v>0</v>
      </c>
      <c r="Z239" s="668">
        <f t="shared" si="83"/>
        <v>0</v>
      </c>
      <c r="AA239" s="668">
        <f t="shared" si="84"/>
        <v>0</v>
      </c>
      <c r="AB239" s="668">
        <f t="shared" si="85"/>
        <v>0</v>
      </c>
      <c r="AC239" s="668">
        <f t="shared" si="64"/>
        <v>0</v>
      </c>
      <c r="AD239" s="668">
        <f t="shared" si="86"/>
        <v>0</v>
      </c>
      <c r="AE239" s="668">
        <f t="shared" si="87"/>
        <v>0</v>
      </c>
      <c r="AF239" s="668">
        <f t="shared" si="88"/>
        <v>0</v>
      </c>
      <c r="AG239" s="668">
        <f t="shared" si="89"/>
        <v>0</v>
      </c>
      <c r="AH239" s="668"/>
      <c r="AI239" s="668"/>
      <c r="AJ239" s="668"/>
      <c r="AK239" s="668"/>
      <c r="AL239" s="668"/>
      <c r="AM239" s="668">
        <f t="shared" si="76"/>
        <v>0</v>
      </c>
      <c r="AN239" s="668">
        <f t="shared" si="60"/>
        <v>0</v>
      </c>
      <c r="AO239" s="668">
        <f t="shared" si="61"/>
        <v>0</v>
      </c>
      <c r="AP239" s="668">
        <f t="shared" si="77"/>
        <v>0</v>
      </c>
      <c r="AQ239" s="668">
        <f t="shared" si="62"/>
        <v>0</v>
      </c>
      <c r="AR239" s="668">
        <f t="shared" si="63"/>
        <v>0</v>
      </c>
      <c r="AS239" s="668"/>
      <c r="AT239" s="668"/>
      <c r="AU239" s="668"/>
      <c r="AV239" s="668"/>
      <c r="AW239" s="668"/>
      <c r="AX239" s="668"/>
      <c r="AY239" s="668"/>
      <c r="AZ239" s="668"/>
      <c r="BA239" s="668"/>
      <c r="BB239" s="668">
        <f t="shared" si="78"/>
        <v>0</v>
      </c>
      <c r="BC239" s="668"/>
      <c r="BD239" s="668"/>
      <c r="BE239" s="668"/>
      <c r="BF239" s="668"/>
      <c r="BG239" s="668"/>
      <c r="BH239" s="668"/>
      <c r="BI239" s="668"/>
    </row>
    <row r="240" spans="1:61" x14ac:dyDescent="0.2">
      <c r="A240" s="1013">
        <v>1053</v>
      </c>
      <c r="B240" s="1012" t="s">
        <v>517</v>
      </c>
      <c r="C240" s="1012"/>
      <c r="D240" s="667">
        <v>50</v>
      </c>
      <c r="E240" s="667"/>
      <c r="F240" s="667"/>
      <c r="G240" s="667"/>
      <c r="H240" s="667"/>
      <c r="I240" s="667"/>
      <c r="J240" s="667"/>
      <c r="K240" s="667"/>
      <c r="L240" s="667"/>
      <c r="M240" s="667"/>
      <c r="N240" s="667"/>
      <c r="O240" s="667"/>
      <c r="P240" s="667"/>
      <c r="Q240" s="667"/>
      <c r="R240" s="667"/>
      <c r="S240" s="667"/>
      <c r="T240" s="667"/>
      <c r="U240" s="1012">
        <v>12</v>
      </c>
      <c r="V240" s="668">
        <f t="shared" si="79"/>
        <v>600</v>
      </c>
      <c r="W240" s="668">
        <f t="shared" si="80"/>
        <v>0</v>
      </c>
      <c r="X240" s="668">
        <f t="shared" si="81"/>
        <v>0</v>
      </c>
      <c r="Y240" s="668">
        <f t="shared" si="82"/>
        <v>0</v>
      </c>
      <c r="Z240" s="668">
        <f t="shared" si="83"/>
        <v>0</v>
      </c>
      <c r="AA240" s="668">
        <f t="shared" si="84"/>
        <v>0</v>
      </c>
      <c r="AB240" s="668">
        <f t="shared" si="85"/>
        <v>0</v>
      </c>
      <c r="AC240" s="668">
        <f t="shared" si="64"/>
        <v>0</v>
      </c>
      <c r="AD240" s="668">
        <f t="shared" si="86"/>
        <v>0</v>
      </c>
      <c r="AE240" s="668">
        <f t="shared" si="87"/>
        <v>0</v>
      </c>
      <c r="AF240" s="668">
        <f t="shared" si="88"/>
        <v>0</v>
      </c>
      <c r="AG240" s="668">
        <f t="shared" si="89"/>
        <v>0</v>
      </c>
      <c r="AH240" s="668"/>
      <c r="AI240" s="668"/>
      <c r="AJ240" s="668"/>
      <c r="AK240" s="668"/>
      <c r="AL240" s="668"/>
      <c r="AM240" s="668">
        <f t="shared" si="76"/>
        <v>0</v>
      </c>
      <c r="AN240" s="668">
        <f t="shared" si="60"/>
        <v>0</v>
      </c>
      <c r="AO240" s="668">
        <f t="shared" si="61"/>
        <v>0</v>
      </c>
      <c r="AP240" s="668">
        <f t="shared" si="77"/>
        <v>0</v>
      </c>
      <c r="AQ240" s="668">
        <f t="shared" si="62"/>
        <v>0</v>
      </c>
      <c r="AR240" s="668">
        <f t="shared" si="63"/>
        <v>0</v>
      </c>
      <c r="AS240" s="668"/>
      <c r="AT240" s="668"/>
      <c r="AU240" s="668"/>
      <c r="AV240" s="668"/>
      <c r="AW240" s="668"/>
      <c r="AX240" s="668"/>
      <c r="AY240" s="668"/>
      <c r="AZ240" s="668"/>
      <c r="BA240" s="668"/>
      <c r="BB240" s="668">
        <f t="shared" si="78"/>
        <v>0</v>
      </c>
      <c r="BC240" s="668"/>
      <c r="BD240" s="668"/>
      <c r="BE240" s="668"/>
      <c r="BF240" s="668"/>
      <c r="BG240" s="668"/>
      <c r="BH240" s="668"/>
      <c r="BI240" s="668"/>
    </row>
    <row r="241" spans="1:61" x14ac:dyDescent="0.2">
      <c r="A241" s="1013">
        <v>1054</v>
      </c>
      <c r="B241" s="1012" t="s">
        <v>467</v>
      </c>
      <c r="C241" s="1012"/>
      <c r="D241" s="667">
        <v>80</v>
      </c>
      <c r="E241" s="667"/>
      <c r="F241" s="667"/>
      <c r="G241" s="667"/>
      <c r="H241" s="667"/>
      <c r="I241" s="667"/>
      <c r="J241" s="667"/>
      <c r="K241" s="667"/>
      <c r="L241" s="667"/>
      <c r="M241" s="667"/>
      <c r="N241" s="667"/>
      <c r="O241" s="667"/>
      <c r="P241" s="667"/>
      <c r="Q241" s="667"/>
      <c r="R241" s="667"/>
      <c r="S241" s="667"/>
      <c r="T241" s="667"/>
      <c r="U241" s="1012">
        <v>3</v>
      </c>
      <c r="V241" s="668">
        <f t="shared" si="79"/>
        <v>240</v>
      </c>
      <c r="W241" s="668">
        <f t="shared" si="80"/>
        <v>0</v>
      </c>
      <c r="X241" s="668">
        <f t="shared" si="81"/>
        <v>0</v>
      </c>
      <c r="Y241" s="668">
        <f t="shared" si="82"/>
        <v>0</v>
      </c>
      <c r="Z241" s="668">
        <f t="shared" si="83"/>
        <v>0</v>
      </c>
      <c r="AA241" s="668">
        <f t="shared" si="84"/>
        <v>0</v>
      </c>
      <c r="AB241" s="668">
        <f t="shared" si="85"/>
        <v>0</v>
      </c>
      <c r="AC241" s="668">
        <f t="shared" si="64"/>
        <v>0</v>
      </c>
      <c r="AD241" s="668">
        <f t="shared" si="86"/>
        <v>0</v>
      </c>
      <c r="AE241" s="668">
        <f t="shared" si="87"/>
        <v>0</v>
      </c>
      <c r="AF241" s="668">
        <f t="shared" si="88"/>
        <v>0</v>
      </c>
      <c r="AG241" s="668">
        <f t="shared" si="89"/>
        <v>0</v>
      </c>
      <c r="AH241" s="668"/>
      <c r="AI241" s="668"/>
      <c r="AJ241" s="668"/>
      <c r="AK241" s="668"/>
      <c r="AL241" s="668"/>
      <c r="AM241" s="668">
        <f t="shared" si="76"/>
        <v>0</v>
      </c>
      <c r="AN241" s="668">
        <f t="shared" si="60"/>
        <v>0</v>
      </c>
      <c r="AO241" s="668">
        <f t="shared" si="61"/>
        <v>0</v>
      </c>
      <c r="AP241" s="668">
        <f t="shared" si="77"/>
        <v>0</v>
      </c>
      <c r="AQ241" s="668">
        <f t="shared" si="62"/>
        <v>0</v>
      </c>
      <c r="AR241" s="668">
        <f t="shared" si="63"/>
        <v>0</v>
      </c>
      <c r="AS241" s="668"/>
      <c r="AT241" s="668"/>
      <c r="AU241" s="668"/>
      <c r="AV241" s="668"/>
      <c r="AW241" s="668"/>
      <c r="AX241" s="668"/>
      <c r="AY241" s="668"/>
      <c r="AZ241" s="668"/>
      <c r="BA241" s="668"/>
      <c r="BB241" s="668">
        <f t="shared" si="78"/>
        <v>0</v>
      </c>
      <c r="BC241" s="668"/>
      <c r="BD241" s="668"/>
      <c r="BE241" s="668"/>
      <c r="BF241" s="668"/>
      <c r="BG241" s="668"/>
      <c r="BH241" s="668"/>
      <c r="BI241" s="668"/>
    </row>
    <row r="242" spans="1:61" x14ac:dyDescent="0.2">
      <c r="A242" s="1013">
        <v>1055</v>
      </c>
      <c r="B242" s="1012" t="s">
        <v>466</v>
      </c>
      <c r="C242" s="1012"/>
      <c r="D242" s="667">
        <v>80</v>
      </c>
      <c r="E242" s="667"/>
      <c r="F242" s="667"/>
      <c r="G242" s="667"/>
      <c r="H242" s="667"/>
      <c r="I242" s="667"/>
      <c r="J242" s="667"/>
      <c r="K242" s="667"/>
      <c r="L242" s="667"/>
      <c r="M242" s="667"/>
      <c r="N242" s="667"/>
      <c r="O242" s="667"/>
      <c r="P242" s="667"/>
      <c r="Q242" s="667"/>
      <c r="R242" s="667"/>
      <c r="S242" s="667"/>
      <c r="T242" s="667"/>
      <c r="U242" s="1012">
        <v>3</v>
      </c>
      <c r="V242" s="668">
        <f t="shared" si="79"/>
        <v>240</v>
      </c>
      <c r="W242" s="668">
        <f t="shared" si="80"/>
        <v>0</v>
      </c>
      <c r="X242" s="668">
        <f t="shared" si="81"/>
        <v>0</v>
      </c>
      <c r="Y242" s="668">
        <f t="shared" si="82"/>
        <v>0</v>
      </c>
      <c r="Z242" s="668">
        <f t="shared" si="83"/>
        <v>0</v>
      </c>
      <c r="AA242" s="668">
        <f t="shared" si="84"/>
        <v>0</v>
      </c>
      <c r="AB242" s="668">
        <f t="shared" si="85"/>
        <v>0</v>
      </c>
      <c r="AC242" s="668">
        <f t="shared" si="64"/>
        <v>0</v>
      </c>
      <c r="AD242" s="668">
        <f t="shared" si="86"/>
        <v>0</v>
      </c>
      <c r="AE242" s="668">
        <f t="shared" si="87"/>
        <v>0</v>
      </c>
      <c r="AF242" s="668">
        <f t="shared" si="88"/>
        <v>0</v>
      </c>
      <c r="AG242" s="668">
        <f t="shared" si="89"/>
        <v>0</v>
      </c>
      <c r="AH242" s="668"/>
      <c r="AI242" s="668"/>
      <c r="AJ242" s="668"/>
      <c r="AK242" s="668"/>
      <c r="AL242" s="668"/>
      <c r="AM242" s="668">
        <f t="shared" si="76"/>
        <v>0</v>
      </c>
      <c r="AN242" s="668">
        <f t="shared" si="60"/>
        <v>0</v>
      </c>
      <c r="AO242" s="668">
        <f t="shared" si="61"/>
        <v>0</v>
      </c>
      <c r="AP242" s="668">
        <f t="shared" si="77"/>
        <v>0</v>
      </c>
      <c r="AQ242" s="668">
        <f t="shared" si="62"/>
        <v>0</v>
      </c>
      <c r="AR242" s="668">
        <f t="shared" si="63"/>
        <v>0</v>
      </c>
      <c r="AS242" s="668"/>
      <c r="AT242" s="668"/>
      <c r="AU242" s="668"/>
      <c r="AV242" s="668"/>
      <c r="AW242" s="668"/>
      <c r="AX242" s="668"/>
      <c r="AY242" s="668"/>
      <c r="AZ242" s="668"/>
      <c r="BA242" s="668"/>
      <c r="BB242" s="668">
        <f t="shared" si="78"/>
        <v>0</v>
      </c>
      <c r="BC242" s="668"/>
      <c r="BD242" s="668"/>
      <c r="BE242" s="668"/>
      <c r="BF242" s="668"/>
      <c r="BG242" s="668"/>
      <c r="BH242" s="668"/>
      <c r="BI242" s="668"/>
    </row>
    <row r="243" spans="1:61" x14ac:dyDescent="0.2">
      <c r="A243" s="1013">
        <v>1056</v>
      </c>
      <c r="B243" s="1012" t="s">
        <v>515</v>
      </c>
      <c r="C243" s="1012"/>
      <c r="D243" s="667">
        <v>50</v>
      </c>
      <c r="E243" s="667"/>
      <c r="F243" s="667"/>
      <c r="G243" s="667"/>
      <c r="H243" s="667"/>
      <c r="I243" s="667"/>
      <c r="J243" s="667"/>
      <c r="K243" s="667"/>
      <c r="L243" s="667">
        <v>6</v>
      </c>
      <c r="M243" s="667"/>
      <c r="N243" s="667"/>
      <c r="O243" s="667"/>
      <c r="P243" s="667"/>
      <c r="Q243" s="667"/>
      <c r="R243" s="667"/>
      <c r="S243" s="667"/>
      <c r="T243" s="667">
        <v>1473</v>
      </c>
      <c r="U243" s="1025">
        <v>12</v>
      </c>
      <c r="V243" s="668">
        <f t="shared" si="79"/>
        <v>600</v>
      </c>
      <c r="W243" s="668">
        <f t="shared" si="80"/>
        <v>0</v>
      </c>
      <c r="X243" s="668">
        <f t="shared" si="81"/>
        <v>0</v>
      </c>
      <c r="Y243" s="668">
        <f t="shared" si="82"/>
        <v>0</v>
      </c>
      <c r="Z243" s="668">
        <f t="shared" si="83"/>
        <v>0</v>
      </c>
      <c r="AA243" s="668">
        <f t="shared" si="84"/>
        <v>0</v>
      </c>
      <c r="AB243" s="668">
        <f t="shared" si="85"/>
        <v>1473</v>
      </c>
      <c r="AC243" s="668">
        <f t="shared" si="64"/>
        <v>0</v>
      </c>
      <c r="AD243" s="668">
        <f t="shared" si="86"/>
        <v>0</v>
      </c>
      <c r="AE243" s="668">
        <f t="shared" si="87"/>
        <v>0</v>
      </c>
      <c r="AF243" s="668">
        <f t="shared" si="88"/>
        <v>72</v>
      </c>
      <c r="AG243" s="668">
        <f t="shared" si="89"/>
        <v>0</v>
      </c>
      <c r="AH243" s="668"/>
      <c r="AI243" s="668"/>
      <c r="AJ243" s="668"/>
      <c r="AK243" s="668"/>
      <c r="AL243" s="668"/>
      <c r="AM243" s="668">
        <f t="shared" si="76"/>
        <v>0</v>
      </c>
      <c r="AN243" s="668">
        <f t="shared" si="60"/>
        <v>0</v>
      </c>
      <c r="AO243" s="668">
        <f t="shared" si="61"/>
        <v>0</v>
      </c>
      <c r="AP243" s="668">
        <f t="shared" si="77"/>
        <v>0</v>
      </c>
      <c r="AQ243" s="668">
        <f t="shared" si="62"/>
        <v>0</v>
      </c>
      <c r="AR243" s="668">
        <f t="shared" si="63"/>
        <v>0</v>
      </c>
      <c r="AS243" s="668"/>
      <c r="AT243" s="668"/>
      <c r="AU243" s="668"/>
      <c r="AV243" s="668"/>
      <c r="AW243" s="668"/>
      <c r="AX243" s="668"/>
      <c r="AY243" s="668"/>
      <c r="AZ243" s="668"/>
      <c r="BA243" s="668"/>
      <c r="BB243" s="668">
        <f t="shared" si="78"/>
        <v>0</v>
      </c>
      <c r="BC243" s="668"/>
      <c r="BD243" s="668"/>
      <c r="BE243" s="668"/>
      <c r="BF243" s="668"/>
      <c r="BG243" s="668"/>
      <c r="BH243" s="668"/>
      <c r="BI243" s="668"/>
    </row>
    <row r="244" spans="1:61" x14ac:dyDescent="0.2">
      <c r="A244" s="1013">
        <v>1057</v>
      </c>
      <c r="B244" s="1012" t="s">
        <v>476</v>
      </c>
      <c r="C244" s="1012"/>
      <c r="D244" s="667">
        <v>100</v>
      </c>
      <c r="E244" s="667"/>
      <c r="F244" s="667"/>
      <c r="G244" s="667"/>
      <c r="H244" s="667"/>
      <c r="I244" s="667"/>
      <c r="J244" s="667"/>
      <c r="K244" s="667"/>
      <c r="L244" s="667"/>
      <c r="M244" s="667"/>
      <c r="N244" s="667"/>
      <c r="O244" s="667"/>
      <c r="P244" s="667"/>
      <c r="Q244" s="667"/>
      <c r="R244" s="667"/>
      <c r="S244" s="667"/>
      <c r="T244" s="667"/>
      <c r="U244" s="1012">
        <v>12</v>
      </c>
      <c r="V244" s="668">
        <f t="shared" si="79"/>
        <v>1200</v>
      </c>
      <c r="W244" s="668">
        <f t="shared" si="80"/>
        <v>0</v>
      </c>
      <c r="X244" s="668">
        <f t="shared" si="81"/>
        <v>0</v>
      </c>
      <c r="Y244" s="668">
        <f t="shared" si="82"/>
        <v>0</v>
      </c>
      <c r="Z244" s="668">
        <f t="shared" si="83"/>
        <v>0</v>
      </c>
      <c r="AA244" s="668">
        <f t="shared" si="84"/>
        <v>0</v>
      </c>
      <c r="AB244" s="668">
        <f t="shared" si="85"/>
        <v>0</v>
      </c>
      <c r="AC244" s="668">
        <f t="shared" si="64"/>
        <v>0</v>
      </c>
      <c r="AD244" s="668">
        <f t="shared" si="86"/>
        <v>0</v>
      </c>
      <c r="AE244" s="668">
        <f t="shared" si="87"/>
        <v>0</v>
      </c>
      <c r="AF244" s="668">
        <f t="shared" si="88"/>
        <v>0</v>
      </c>
      <c r="AG244" s="668">
        <f t="shared" si="89"/>
        <v>0</v>
      </c>
      <c r="AH244" s="668"/>
      <c r="AI244" s="668"/>
      <c r="AJ244" s="668"/>
      <c r="AK244" s="668"/>
      <c r="AL244" s="668"/>
      <c r="AM244" s="668">
        <f t="shared" si="76"/>
        <v>0</v>
      </c>
      <c r="AN244" s="668">
        <f t="shared" si="60"/>
        <v>0</v>
      </c>
      <c r="AO244" s="668">
        <f t="shared" si="61"/>
        <v>0</v>
      </c>
      <c r="AP244" s="668">
        <f t="shared" si="77"/>
        <v>0</v>
      </c>
      <c r="AQ244" s="668">
        <f t="shared" si="62"/>
        <v>0</v>
      </c>
      <c r="AR244" s="668">
        <f t="shared" si="63"/>
        <v>0</v>
      </c>
      <c r="AS244" s="668"/>
      <c r="AT244" s="668"/>
      <c r="AU244" s="668"/>
      <c r="AV244" s="668"/>
      <c r="AW244" s="668"/>
      <c r="AX244" s="668"/>
      <c r="AY244" s="668"/>
      <c r="AZ244" s="668"/>
      <c r="BA244" s="668"/>
      <c r="BB244" s="668">
        <f t="shared" si="78"/>
        <v>0</v>
      </c>
      <c r="BC244" s="668"/>
      <c r="BD244" s="668"/>
      <c r="BE244" s="668"/>
      <c r="BF244" s="668"/>
      <c r="BG244" s="668"/>
      <c r="BH244" s="668"/>
      <c r="BI244" s="668"/>
    </row>
    <row r="245" spans="1:61" x14ac:dyDescent="0.2">
      <c r="A245" s="1013">
        <v>1058</v>
      </c>
      <c r="B245" s="1012" t="s">
        <v>515</v>
      </c>
      <c r="C245" s="1012"/>
      <c r="D245" s="667">
        <v>95</v>
      </c>
      <c r="E245" s="667"/>
      <c r="F245" s="667"/>
      <c r="G245" s="667"/>
      <c r="H245" s="667"/>
      <c r="I245" s="667"/>
      <c r="J245" s="667"/>
      <c r="K245" s="667"/>
      <c r="L245" s="667">
        <v>5</v>
      </c>
      <c r="M245" s="667"/>
      <c r="N245" s="667"/>
      <c r="O245" s="667"/>
      <c r="P245" s="667"/>
      <c r="Q245" s="667"/>
      <c r="R245" s="667"/>
      <c r="S245" s="667"/>
      <c r="T245" s="667">
        <v>2481</v>
      </c>
      <c r="U245" s="1012">
        <v>12</v>
      </c>
      <c r="V245" s="668">
        <f t="shared" si="79"/>
        <v>1140</v>
      </c>
      <c r="W245" s="668">
        <f t="shared" si="80"/>
        <v>0</v>
      </c>
      <c r="X245" s="668">
        <f t="shared" si="81"/>
        <v>0</v>
      </c>
      <c r="Y245" s="668">
        <f t="shared" si="82"/>
        <v>0</v>
      </c>
      <c r="Z245" s="668">
        <f t="shared" si="83"/>
        <v>0</v>
      </c>
      <c r="AA245" s="668">
        <f t="shared" si="84"/>
        <v>0</v>
      </c>
      <c r="AB245" s="668">
        <f t="shared" si="85"/>
        <v>2481</v>
      </c>
      <c r="AC245" s="668">
        <f t="shared" si="64"/>
        <v>0</v>
      </c>
      <c r="AD245" s="668">
        <f t="shared" si="86"/>
        <v>0</v>
      </c>
      <c r="AE245" s="668">
        <f t="shared" si="87"/>
        <v>0</v>
      </c>
      <c r="AF245" s="668">
        <f t="shared" si="88"/>
        <v>60</v>
      </c>
      <c r="AG245" s="668">
        <f t="shared" si="89"/>
        <v>0</v>
      </c>
      <c r="AH245" s="668"/>
      <c r="AI245" s="668"/>
      <c r="AJ245" s="668"/>
      <c r="AK245" s="668"/>
      <c r="AL245" s="668"/>
      <c r="AM245" s="668">
        <f t="shared" si="76"/>
        <v>0</v>
      </c>
      <c r="AN245" s="668">
        <f t="shared" si="60"/>
        <v>0</v>
      </c>
      <c r="AO245" s="668">
        <f t="shared" si="61"/>
        <v>0</v>
      </c>
      <c r="AP245" s="668">
        <f t="shared" si="77"/>
        <v>0</v>
      </c>
      <c r="AQ245" s="668">
        <f t="shared" si="62"/>
        <v>0</v>
      </c>
      <c r="AR245" s="668">
        <f t="shared" si="63"/>
        <v>0</v>
      </c>
      <c r="AS245" s="668"/>
      <c r="AT245" s="668"/>
      <c r="AU245" s="668"/>
      <c r="AV245" s="668"/>
      <c r="AW245" s="668"/>
      <c r="AX245" s="668"/>
      <c r="AY245" s="668"/>
      <c r="AZ245" s="668"/>
      <c r="BA245" s="668"/>
      <c r="BB245" s="668">
        <f t="shared" si="78"/>
        <v>0</v>
      </c>
      <c r="BC245" s="668"/>
      <c r="BD245" s="668"/>
      <c r="BE245" s="668"/>
      <c r="BF245" s="668"/>
      <c r="BG245" s="668"/>
      <c r="BH245" s="668"/>
      <c r="BI245" s="668"/>
    </row>
    <row r="246" spans="1:61" x14ac:dyDescent="0.2">
      <c r="A246" s="1013">
        <v>1059</v>
      </c>
      <c r="B246" s="1012" t="s">
        <v>516</v>
      </c>
      <c r="C246" s="1012"/>
      <c r="D246" s="667">
        <v>32</v>
      </c>
      <c r="E246" s="667"/>
      <c r="F246" s="667">
        <v>32</v>
      </c>
      <c r="G246" s="667"/>
      <c r="H246" s="667"/>
      <c r="I246" s="667"/>
      <c r="J246" s="667"/>
      <c r="K246" s="667"/>
      <c r="L246" s="667"/>
      <c r="M246" s="667"/>
      <c r="N246" s="667"/>
      <c r="O246" s="667"/>
      <c r="P246" s="667"/>
      <c r="Q246" s="667"/>
      <c r="R246" s="667"/>
      <c r="S246" s="667"/>
      <c r="T246" s="667"/>
      <c r="U246" s="1012">
        <v>12</v>
      </c>
      <c r="V246" s="668">
        <f t="shared" si="79"/>
        <v>384</v>
      </c>
      <c r="W246" s="668">
        <f t="shared" si="80"/>
        <v>0</v>
      </c>
      <c r="X246" s="668">
        <f t="shared" si="81"/>
        <v>0</v>
      </c>
      <c r="Y246" s="668">
        <f t="shared" si="82"/>
        <v>0</v>
      </c>
      <c r="Z246" s="668">
        <f t="shared" si="83"/>
        <v>0</v>
      </c>
      <c r="AA246" s="668">
        <f t="shared" si="84"/>
        <v>0</v>
      </c>
      <c r="AB246" s="668">
        <f t="shared" si="85"/>
        <v>0</v>
      </c>
      <c r="AC246" s="668">
        <f t="shared" si="64"/>
        <v>0</v>
      </c>
      <c r="AD246" s="668">
        <f t="shared" si="86"/>
        <v>0</v>
      </c>
      <c r="AE246" s="668">
        <f t="shared" si="87"/>
        <v>0</v>
      </c>
      <c r="AF246" s="668">
        <f t="shared" si="88"/>
        <v>0</v>
      </c>
      <c r="AG246" s="668">
        <f t="shared" si="89"/>
        <v>0</v>
      </c>
      <c r="AH246" s="668"/>
      <c r="AI246" s="668"/>
      <c r="AJ246" s="668"/>
      <c r="AK246" s="668"/>
      <c r="AL246" s="668"/>
      <c r="AM246" s="668">
        <f t="shared" si="76"/>
        <v>0</v>
      </c>
      <c r="AN246" s="668">
        <f t="shared" si="60"/>
        <v>0</v>
      </c>
      <c r="AO246" s="668">
        <f t="shared" si="61"/>
        <v>0</v>
      </c>
      <c r="AP246" s="668">
        <f t="shared" si="77"/>
        <v>384</v>
      </c>
      <c r="AQ246" s="668">
        <f t="shared" si="62"/>
        <v>0</v>
      </c>
      <c r="AR246" s="668">
        <f t="shared" si="63"/>
        <v>0</v>
      </c>
      <c r="AS246" s="668"/>
      <c r="AT246" s="668"/>
      <c r="AU246" s="668"/>
      <c r="AV246" s="668"/>
      <c r="AW246" s="668"/>
      <c r="AX246" s="668"/>
      <c r="AY246" s="668"/>
      <c r="AZ246" s="668"/>
      <c r="BA246" s="668"/>
      <c r="BB246" s="668"/>
      <c r="BC246" s="668"/>
      <c r="BD246" s="668"/>
      <c r="BE246" s="668"/>
      <c r="BF246" s="668"/>
      <c r="BG246" s="668"/>
      <c r="BH246" s="668"/>
      <c r="BI246" s="668"/>
    </row>
    <row r="247" spans="1:61" x14ac:dyDescent="0.2">
      <c r="A247" s="1013">
        <v>1060</v>
      </c>
      <c r="B247" s="1012" t="s">
        <v>518</v>
      </c>
      <c r="C247" s="1012"/>
      <c r="D247" s="667">
        <v>86</v>
      </c>
      <c r="E247" s="667"/>
      <c r="F247" s="667"/>
      <c r="G247" s="667"/>
      <c r="H247" s="667"/>
      <c r="I247" s="667"/>
      <c r="J247" s="667"/>
      <c r="K247" s="667"/>
      <c r="L247" s="667"/>
      <c r="M247" s="667"/>
      <c r="N247" s="667"/>
      <c r="O247" s="667"/>
      <c r="P247" s="667"/>
      <c r="Q247" s="667"/>
      <c r="R247" s="667"/>
      <c r="S247" s="667"/>
      <c r="T247" s="667"/>
      <c r="U247" s="1012">
        <v>10</v>
      </c>
      <c r="V247" s="668">
        <f t="shared" si="79"/>
        <v>860</v>
      </c>
      <c r="W247" s="668">
        <f t="shared" si="80"/>
        <v>0</v>
      </c>
      <c r="X247" s="668">
        <f t="shared" si="81"/>
        <v>0</v>
      </c>
      <c r="Y247" s="668">
        <f t="shared" si="82"/>
        <v>0</v>
      </c>
      <c r="Z247" s="668">
        <f t="shared" si="83"/>
        <v>0</v>
      </c>
      <c r="AA247" s="668">
        <f t="shared" si="84"/>
        <v>0</v>
      </c>
      <c r="AB247" s="668">
        <f t="shared" si="85"/>
        <v>0</v>
      </c>
      <c r="AC247" s="668">
        <f t="shared" si="64"/>
        <v>0</v>
      </c>
      <c r="AD247" s="668">
        <f t="shared" si="86"/>
        <v>0</v>
      </c>
      <c r="AE247" s="668">
        <f t="shared" si="87"/>
        <v>0</v>
      </c>
      <c r="AF247" s="668">
        <f t="shared" si="88"/>
        <v>0</v>
      </c>
      <c r="AG247" s="668">
        <f t="shared" si="89"/>
        <v>0</v>
      </c>
      <c r="AH247" s="668"/>
      <c r="AI247" s="668"/>
      <c r="AJ247" s="668"/>
      <c r="AK247" s="668"/>
      <c r="AL247" s="668"/>
      <c r="AM247" s="668">
        <f t="shared" si="76"/>
        <v>0</v>
      </c>
      <c r="AN247" s="668">
        <f t="shared" si="60"/>
        <v>0</v>
      </c>
      <c r="AO247" s="668">
        <f t="shared" si="61"/>
        <v>0</v>
      </c>
      <c r="AP247" s="668">
        <f t="shared" si="77"/>
        <v>0</v>
      </c>
      <c r="AQ247" s="668">
        <f t="shared" si="62"/>
        <v>0</v>
      </c>
      <c r="AR247" s="668">
        <f t="shared" si="63"/>
        <v>0</v>
      </c>
      <c r="AS247" s="668"/>
      <c r="AT247" s="668"/>
      <c r="AU247" s="668"/>
      <c r="AV247" s="668"/>
      <c r="AW247" s="668"/>
      <c r="AX247" s="668"/>
      <c r="AY247" s="668"/>
      <c r="AZ247" s="668"/>
      <c r="BA247" s="668"/>
      <c r="BB247" s="668">
        <f t="shared" si="78"/>
        <v>0</v>
      </c>
      <c r="BC247" s="668"/>
      <c r="BD247" s="668"/>
      <c r="BE247" s="668"/>
      <c r="BF247" s="668"/>
      <c r="BG247" s="668"/>
      <c r="BH247" s="668"/>
      <c r="BI247" s="668"/>
    </row>
    <row r="248" spans="1:61" x14ac:dyDescent="0.2">
      <c r="A248" s="1013">
        <v>1061</v>
      </c>
      <c r="B248" s="1012" t="s">
        <v>515</v>
      </c>
      <c r="C248" s="1012"/>
      <c r="D248" s="667">
        <v>95</v>
      </c>
      <c r="E248" s="667"/>
      <c r="F248" s="667"/>
      <c r="G248" s="667"/>
      <c r="H248" s="667"/>
      <c r="I248" s="667"/>
      <c r="J248" s="667"/>
      <c r="K248" s="667"/>
      <c r="L248" s="667">
        <v>5</v>
      </c>
      <c r="M248" s="667"/>
      <c r="N248" s="667"/>
      <c r="O248" s="667"/>
      <c r="P248" s="667"/>
      <c r="Q248" s="667"/>
      <c r="R248" s="667"/>
      <c r="S248" s="667"/>
      <c r="T248" s="667">
        <v>2481</v>
      </c>
      <c r="U248" s="1012">
        <v>12</v>
      </c>
      <c r="V248" s="668">
        <f t="shared" si="79"/>
        <v>1140</v>
      </c>
      <c r="W248" s="668">
        <f t="shared" si="80"/>
        <v>0</v>
      </c>
      <c r="X248" s="668">
        <f t="shared" si="81"/>
        <v>0</v>
      </c>
      <c r="Y248" s="668">
        <f t="shared" si="82"/>
        <v>0</v>
      </c>
      <c r="Z248" s="668">
        <f t="shared" si="83"/>
        <v>0</v>
      </c>
      <c r="AA248" s="668">
        <f t="shared" si="84"/>
        <v>0</v>
      </c>
      <c r="AB248" s="668">
        <f t="shared" si="85"/>
        <v>2481</v>
      </c>
      <c r="AC248" s="668">
        <f t="shared" si="64"/>
        <v>0</v>
      </c>
      <c r="AD248" s="668">
        <f t="shared" si="86"/>
        <v>0</v>
      </c>
      <c r="AE248" s="668">
        <f t="shared" si="87"/>
        <v>0</v>
      </c>
      <c r="AF248" s="668">
        <f t="shared" si="88"/>
        <v>60</v>
      </c>
      <c r="AG248" s="668">
        <f t="shared" si="89"/>
        <v>0</v>
      </c>
      <c r="AH248" s="668"/>
      <c r="AI248" s="668"/>
      <c r="AJ248" s="668"/>
      <c r="AK248" s="668"/>
      <c r="AL248" s="668"/>
      <c r="AM248" s="668">
        <f t="shared" si="76"/>
        <v>0</v>
      </c>
      <c r="AN248" s="668">
        <f t="shared" si="60"/>
        <v>0</v>
      </c>
      <c r="AO248" s="668">
        <f t="shared" si="61"/>
        <v>0</v>
      </c>
      <c r="AP248" s="668">
        <f t="shared" si="77"/>
        <v>0</v>
      </c>
      <c r="AQ248" s="668">
        <f t="shared" si="62"/>
        <v>0</v>
      </c>
      <c r="AR248" s="668">
        <f t="shared" si="63"/>
        <v>0</v>
      </c>
      <c r="AS248" s="668"/>
      <c r="AT248" s="668"/>
      <c r="AU248" s="668"/>
      <c r="AV248" s="668"/>
      <c r="AW248" s="668"/>
      <c r="AX248" s="668"/>
      <c r="AY248" s="668"/>
      <c r="AZ248" s="668"/>
      <c r="BA248" s="668"/>
      <c r="BB248" s="668">
        <f t="shared" si="78"/>
        <v>0</v>
      </c>
      <c r="BC248" s="668"/>
      <c r="BD248" s="668"/>
      <c r="BE248" s="668"/>
      <c r="BF248" s="668"/>
      <c r="BG248" s="668"/>
      <c r="BH248" s="668"/>
      <c r="BI248" s="668"/>
    </row>
    <row r="249" spans="1:61" x14ac:dyDescent="0.2">
      <c r="A249" s="1013">
        <v>1062</v>
      </c>
      <c r="B249" s="1012" t="s">
        <v>520</v>
      </c>
      <c r="C249" s="1012"/>
      <c r="D249" s="667">
        <v>25</v>
      </c>
      <c r="E249" s="667"/>
      <c r="F249" s="667">
        <v>25</v>
      </c>
      <c r="G249" s="667"/>
      <c r="H249" s="667"/>
      <c r="I249" s="667"/>
      <c r="J249" s="667"/>
      <c r="K249" s="667"/>
      <c r="L249" s="667"/>
      <c r="M249" s="667"/>
      <c r="N249" s="667"/>
      <c r="O249" s="667"/>
      <c r="P249" s="667"/>
      <c r="Q249" s="667"/>
      <c r="R249" s="667"/>
      <c r="S249" s="667"/>
      <c r="T249" s="667">
        <v>221</v>
      </c>
      <c r="U249" s="1012">
        <v>12</v>
      </c>
      <c r="V249" s="668">
        <f t="shared" si="79"/>
        <v>300</v>
      </c>
      <c r="W249" s="668">
        <f t="shared" si="80"/>
        <v>0</v>
      </c>
      <c r="X249" s="668">
        <f t="shared" si="81"/>
        <v>0</v>
      </c>
      <c r="Y249" s="668">
        <f t="shared" si="82"/>
        <v>0</v>
      </c>
      <c r="Z249" s="668">
        <f t="shared" si="83"/>
        <v>0</v>
      </c>
      <c r="AA249" s="668">
        <f t="shared" si="84"/>
        <v>0</v>
      </c>
      <c r="AB249" s="668">
        <f t="shared" si="85"/>
        <v>221</v>
      </c>
      <c r="AC249" s="668">
        <f t="shared" si="64"/>
        <v>0</v>
      </c>
      <c r="AD249" s="668">
        <f t="shared" si="86"/>
        <v>0</v>
      </c>
      <c r="AE249" s="668">
        <f t="shared" si="87"/>
        <v>0</v>
      </c>
      <c r="AF249" s="668">
        <f t="shared" si="88"/>
        <v>0</v>
      </c>
      <c r="AG249" s="668">
        <f t="shared" si="89"/>
        <v>0</v>
      </c>
      <c r="AH249" s="668"/>
      <c r="AI249" s="668"/>
      <c r="AJ249" s="668"/>
      <c r="AK249" s="668"/>
      <c r="AL249" s="668"/>
      <c r="AM249" s="668">
        <f t="shared" si="76"/>
        <v>0</v>
      </c>
      <c r="AN249" s="668">
        <f t="shared" si="60"/>
        <v>0</v>
      </c>
      <c r="AO249" s="668">
        <f t="shared" si="61"/>
        <v>0</v>
      </c>
      <c r="AP249" s="668">
        <f t="shared" si="77"/>
        <v>300</v>
      </c>
      <c r="AQ249" s="668">
        <f t="shared" si="62"/>
        <v>0</v>
      </c>
      <c r="AR249" s="668">
        <f t="shared" si="63"/>
        <v>0</v>
      </c>
      <c r="AS249" s="668"/>
      <c r="AT249" s="668"/>
      <c r="AU249" s="668"/>
      <c r="AV249" s="668"/>
      <c r="AW249" s="668"/>
      <c r="AX249" s="668"/>
      <c r="AY249" s="668"/>
      <c r="AZ249" s="668"/>
      <c r="BA249" s="668"/>
      <c r="BB249" s="668">
        <f t="shared" si="78"/>
        <v>300</v>
      </c>
      <c r="BC249" s="668"/>
      <c r="BD249" s="668"/>
      <c r="BE249" s="668"/>
      <c r="BF249" s="668"/>
      <c r="BG249" s="668"/>
      <c r="BH249" s="668"/>
      <c r="BI249" s="668"/>
    </row>
    <row r="250" spans="1:61" x14ac:dyDescent="0.2">
      <c r="A250" s="1013">
        <v>1063</v>
      </c>
      <c r="B250" s="1012" t="s">
        <v>519</v>
      </c>
      <c r="C250" s="1012"/>
      <c r="D250" s="667">
        <v>25</v>
      </c>
      <c r="E250" s="667"/>
      <c r="F250" s="667">
        <v>15</v>
      </c>
      <c r="G250" s="667"/>
      <c r="H250" s="667"/>
      <c r="I250" s="667"/>
      <c r="J250" s="667"/>
      <c r="K250" s="667"/>
      <c r="L250" s="667"/>
      <c r="M250" s="667"/>
      <c r="N250" s="667"/>
      <c r="O250" s="667"/>
      <c r="P250" s="667"/>
      <c r="Q250" s="667"/>
      <c r="R250" s="667"/>
      <c r="S250" s="667"/>
      <c r="T250" s="667">
        <v>161</v>
      </c>
      <c r="U250" s="1012">
        <v>12</v>
      </c>
      <c r="V250" s="668">
        <f t="shared" si="79"/>
        <v>300</v>
      </c>
      <c r="W250" s="668">
        <f t="shared" si="80"/>
        <v>0</v>
      </c>
      <c r="X250" s="668">
        <f t="shared" si="81"/>
        <v>0</v>
      </c>
      <c r="Y250" s="668">
        <f t="shared" si="82"/>
        <v>0</v>
      </c>
      <c r="Z250" s="668">
        <f t="shared" si="83"/>
        <v>0</v>
      </c>
      <c r="AA250" s="668">
        <f t="shared" si="84"/>
        <v>0</v>
      </c>
      <c r="AB250" s="668">
        <f t="shared" si="85"/>
        <v>161</v>
      </c>
      <c r="AC250" s="668">
        <f t="shared" si="64"/>
        <v>0</v>
      </c>
      <c r="AD250" s="668">
        <f t="shared" si="86"/>
        <v>0</v>
      </c>
      <c r="AE250" s="668">
        <f t="shared" si="87"/>
        <v>0</v>
      </c>
      <c r="AF250" s="668">
        <f t="shared" si="88"/>
        <v>0</v>
      </c>
      <c r="AG250" s="668">
        <f t="shared" si="89"/>
        <v>0</v>
      </c>
      <c r="AH250" s="668"/>
      <c r="AI250" s="668"/>
      <c r="AJ250" s="668"/>
      <c r="AK250" s="668"/>
      <c r="AL250" s="668"/>
      <c r="AM250" s="668">
        <f t="shared" si="76"/>
        <v>0</v>
      </c>
      <c r="AN250" s="668">
        <f t="shared" si="60"/>
        <v>0</v>
      </c>
      <c r="AO250" s="668">
        <f t="shared" si="61"/>
        <v>0</v>
      </c>
      <c r="AP250" s="668">
        <f t="shared" si="77"/>
        <v>180</v>
      </c>
      <c r="AQ250" s="668">
        <f t="shared" si="62"/>
        <v>0</v>
      </c>
      <c r="AR250" s="668">
        <f t="shared" si="63"/>
        <v>0</v>
      </c>
      <c r="AS250" s="668"/>
      <c r="AT250" s="668"/>
      <c r="AU250" s="668"/>
      <c r="AV250" s="668"/>
      <c r="AW250" s="668"/>
      <c r="AX250" s="668"/>
      <c r="AY250" s="668"/>
      <c r="AZ250" s="668"/>
      <c r="BA250" s="668"/>
      <c r="BB250" s="668">
        <f t="shared" si="78"/>
        <v>180</v>
      </c>
      <c r="BC250" s="668"/>
      <c r="BD250" s="668"/>
      <c r="BE250" s="668"/>
      <c r="BF250" s="668"/>
      <c r="BG250" s="668"/>
      <c r="BH250" s="668"/>
      <c r="BI250" s="668"/>
    </row>
    <row r="251" spans="1:61" x14ac:dyDescent="0.2">
      <c r="A251" s="1013">
        <v>1064</v>
      </c>
      <c r="B251" s="1013" t="s">
        <v>519</v>
      </c>
      <c r="C251" s="1012"/>
      <c r="D251" s="667">
        <v>20</v>
      </c>
      <c r="E251" s="667"/>
      <c r="F251" s="667">
        <v>15</v>
      </c>
      <c r="G251" s="667"/>
      <c r="H251" s="667"/>
      <c r="I251" s="667"/>
      <c r="J251" s="667"/>
      <c r="K251" s="667"/>
      <c r="L251" s="667">
        <v>2</v>
      </c>
      <c r="M251" s="667"/>
      <c r="N251" s="667"/>
      <c r="O251" s="667"/>
      <c r="P251" s="667"/>
      <c r="Q251" s="667"/>
      <c r="R251" s="667"/>
      <c r="S251" s="667"/>
      <c r="T251" s="667">
        <v>162</v>
      </c>
      <c r="U251" s="1012">
        <v>12</v>
      </c>
      <c r="V251" s="668">
        <f t="shared" si="79"/>
        <v>240</v>
      </c>
      <c r="W251" s="668">
        <f t="shared" si="80"/>
        <v>0</v>
      </c>
      <c r="X251" s="668">
        <f t="shared" si="81"/>
        <v>0</v>
      </c>
      <c r="Y251" s="668">
        <f t="shared" si="82"/>
        <v>0</v>
      </c>
      <c r="Z251" s="668">
        <f t="shared" si="83"/>
        <v>0</v>
      </c>
      <c r="AA251" s="668">
        <f t="shared" si="84"/>
        <v>0</v>
      </c>
      <c r="AB251" s="668">
        <f t="shared" si="85"/>
        <v>162</v>
      </c>
      <c r="AC251" s="668">
        <f t="shared" si="64"/>
        <v>0</v>
      </c>
      <c r="AD251" s="668">
        <f t="shared" si="86"/>
        <v>0</v>
      </c>
      <c r="AE251" s="668">
        <f t="shared" si="87"/>
        <v>0</v>
      </c>
      <c r="AF251" s="668">
        <f t="shared" si="88"/>
        <v>24</v>
      </c>
      <c r="AG251" s="668">
        <f t="shared" si="89"/>
        <v>0</v>
      </c>
      <c r="AH251" s="668"/>
      <c r="AI251" s="668"/>
      <c r="AJ251" s="668"/>
      <c r="AK251" s="668"/>
      <c r="AL251" s="668"/>
      <c r="AM251" s="668">
        <f t="shared" si="76"/>
        <v>0</v>
      </c>
      <c r="AN251" s="668">
        <f t="shared" si="60"/>
        <v>0</v>
      </c>
      <c r="AO251" s="668">
        <f t="shared" si="61"/>
        <v>0</v>
      </c>
      <c r="AP251" s="668">
        <f t="shared" si="77"/>
        <v>180</v>
      </c>
      <c r="AQ251" s="668">
        <f t="shared" si="62"/>
        <v>0</v>
      </c>
      <c r="AR251" s="668">
        <f t="shared" si="63"/>
        <v>0</v>
      </c>
      <c r="AS251" s="668"/>
      <c r="AT251" s="668"/>
      <c r="AU251" s="668"/>
      <c r="AV251" s="668"/>
      <c r="AW251" s="668"/>
      <c r="AX251" s="668"/>
      <c r="AY251" s="668"/>
      <c r="AZ251" s="668"/>
      <c r="BA251" s="668"/>
      <c r="BB251" s="668">
        <f t="shared" si="78"/>
        <v>180</v>
      </c>
      <c r="BC251" s="668"/>
      <c r="BD251" s="668"/>
      <c r="BE251" s="668"/>
      <c r="BF251" s="668"/>
      <c r="BG251" s="668"/>
      <c r="BH251" s="668"/>
      <c r="BI251" s="668"/>
    </row>
    <row r="252" spans="1:61" x14ac:dyDescent="0.2">
      <c r="A252" s="1013">
        <v>1065</v>
      </c>
      <c r="B252" s="1013" t="s">
        <v>519</v>
      </c>
      <c r="C252" s="1012"/>
      <c r="D252" s="667">
        <v>35</v>
      </c>
      <c r="E252" s="667"/>
      <c r="F252" s="667">
        <v>15</v>
      </c>
      <c r="G252" s="667"/>
      <c r="H252" s="667"/>
      <c r="I252" s="667"/>
      <c r="J252" s="667"/>
      <c r="K252" s="667"/>
      <c r="L252" s="667">
        <v>1</v>
      </c>
      <c r="M252" s="667"/>
      <c r="N252" s="667"/>
      <c r="O252" s="667"/>
      <c r="P252" s="667"/>
      <c r="Q252" s="667"/>
      <c r="R252" s="667"/>
      <c r="S252" s="667"/>
      <c r="T252" s="667">
        <v>178</v>
      </c>
      <c r="U252" s="1012">
        <v>12</v>
      </c>
      <c r="V252" s="668">
        <f t="shared" si="79"/>
        <v>420</v>
      </c>
      <c r="W252" s="668">
        <f t="shared" si="80"/>
        <v>0</v>
      </c>
      <c r="X252" s="668">
        <f t="shared" si="81"/>
        <v>0</v>
      </c>
      <c r="Y252" s="668">
        <f t="shared" si="82"/>
        <v>0</v>
      </c>
      <c r="Z252" s="668">
        <f t="shared" si="83"/>
        <v>0</v>
      </c>
      <c r="AA252" s="668">
        <f t="shared" si="84"/>
        <v>0</v>
      </c>
      <c r="AB252" s="668">
        <f t="shared" si="85"/>
        <v>178</v>
      </c>
      <c r="AC252" s="668">
        <f t="shared" si="64"/>
        <v>0</v>
      </c>
      <c r="AD252" s="668">
        <f t="shared" si="86"/>
        <v>0</v>
      </c>
      <c r="AE252" s="668">
        <f t="shared" si="87"/>
        <v>0</v>
      </c>
      <c r="AF252" s="668">
        <f t="shared" si="88"/>
        <v>12</v>
      </c>
      <c r="AG252" s="668">
        <f t="shared" si="89"/>
        <v>0</v>
      </c>
      <c r="AH252" s="668"/>
      <c r="AI252" s="668"/>
      <c r="AJ252" s="668"/>
      <c r="AK252" s="668"/>
      <c r="AL252" s="668"/>
      <c r="AM252" s="668">
        <f t="shared" si="76"/>
        <v>0</v>
      </c>
      <c r="AN252" s="668">
        <f t="shared" si="60"/>
        <v>0</v>
      </c>
      <c r="AO252" s="668">
        <f t="shared" si="61"/>
        <v>0</v>
      </c>
      <c r="AP252" s="668">
        <f t="shared" si="77"/>
        <v>180</v>
      </c>
      <c r="AQ252" s="668">
        <f t="shared" si="62"/>
        <v>0</v>
      </c>
      <c r="AR252" s="668">
        <f t="shared" si="63"/>
        <v>0</v>
      </c>
      <c r="AS252" s="668"/>
      <c r="AT252" s="668"/>
      <c r="AU252" s="668"/>
      <c r="AV252" s="668"/>
      <c r="AW252" s="668"/>
      <c r="AX252" s="668"/>
      <c r="AY252" s="668"/>
      <c r="AZ252" s="668"/>
      <c r="BA252" s="668"/>
      <c r="BB252" s="668">
        <f t="shared" si="78"/>
        <v>180</v>
      </c>
      <c r="BC252" s="668"/>
      <c r="BD252" s="668"/>
      <c r="BE252" s="668"/>
      <c r="BF252" s="668"/>
      <c r="BG252" s="668"/>
      <c r="BH252" s="668"/>
      <c r="BI252" s="668"/>
    </row>
    <row r="253" spans="1:61" x14ac:dyDescent="0.2">
      <c r="A253" s="1013">
        <v>1066</v>
      </c>
      <c r="B253" s="1013" t="s">
        <v>519</v>
      </c>
      <c r="C253" s="1012"/>
      <c r="D253" s="667">
        <v>45</v>
      </c>
      <c r="E253" s="667"/>
      <c r="F253" s="667">
        <v>15</v>
      </c>
      <c r="G253" s="667"/>
      <c r="H253" s="667"/>
      <c r="I253" s="667"/>
      <c r="J253" s="667"/>
      <c r="K253" s="667"/>
      <c r="L253" s="667">
        <v>1</v>
      </c>
      <c r="M253" s="667"/>
      <c r="N253" s="667"/>
      <c r="O253" s="667"/>
      <c r="P253" s="667"/>
      <c r="Q253" s="667"/>
      <c r="R253" s="667"/>
      <c r="S253" s="667"/>
      <c r="T253" s="667">
        <v>204</v>
      </c>
      <c r="U253" s="1012">
        <v>12</v>
      </c>
      <c r="V253" s="668">
        <f t="shared" si="79"/>
        <v>540</v>
      </c>
      <c r="W253" s="668">
        <f t="shared" si="80"/>
        <v>0</v>
      </c>
      <c r="X253" s="668">
        <f t="shared" si="81"/>
        <v>0</v>
      </c>
      <c r="Y253" s="668">
        <f t="shared" si="82"/>
        <v>0</v>
      </c>
      <c r="Z253" s="668">
        <f t="shared" si="83"/>
        <v>0</v>
      </c>
      <c r="AA253" s="668">
        <f t="shared" si="84"/>
        <v>0</v>
      </c>
      <c r="AB253" s="668">
        <f t="shared" si="85"/>
        <v>204</v>
      </c>
      <c r="AC253" s="668">
        <f t="shared" si="64"/>
        <v>0</v>
      </c>
      <c r="AD253" s="668">
        <f t="shared" si="86"/>
        <v>0</v>
      </c>
      <c r="AE253" s="668">
        <f t="shared" si="87"/>
        <v>0</v>
      </c>
      <c r="AF253" s="668">
        <f t="shared" si="88"/>
        <v>12</v>
      </c>
      <c r="AG253" s="668">
        <f t="shared" si="89"/>
        <v>0</v>
      </c>
      <c r="AH253" s="668"/>
      <c r="AI253" s="668"/>
      <c r="AJ253" s="668"/>
      <c r="AK253" s="668"/>
      <c r="AL253" s="668"/>
      <c r="AM253" s="668">
        <f t="shared" si="76"/>
        <v>0</v>
      </c>
      <c r="AN253" s="668">
        <f t="shared" si="60"/>
        <v>0</v>
      </c>
      <c r="AO253" s="668">
        <f t="shared" si="61"/>
        <v>0</v>
      </c>
      <c r="AP253" s="668">
        <f t="shared" si="77"/>
        <v>180</v>
      </c>
      <c r="AQ253" s="668">
        <f t="shared" si="62"/>
        <v>0</v>
      </c>
      <c r="AR253" s="668">
        <f t="shared" si="63"/>
        <v>0</v>
      </c>
      <c r="AS253" s="668"/>
      <c r="AT253" s="668"/>
      <c r="AU253" s="668"/>
      <c r="AV253" s="668"/>
      <c r="AW253" s="668"/>
      <c r="AX253" s="668"/>
      <c r="AY253" s="668"/>
      <c r="AZ253" s="668"/>
      <c r="BA253" s="668"/>
      <c r="BB253" s="668">
        <f t="shared" si="78"/>
        <v>180</v>
      </c>
      <c r="BC253" s="668"/>
      <c r="BD253" s="668"/>
      <c r="BE253" s="668"/>
      <c r="BF253" s="668"/>
      <c r="BG253" s="668"/>
      <c r="BH253" s="668"/>
      <c r="BI253" s="668"/>
    </row>
    <row r="254" spans="1:61" x14ac:dyDescent="0.2">
      <c r="A254" s="1013" t="s">
        <v>614</v>
      </c>
      <c r="B254" s="1012" t="s">
        <v>517</v>
      </c>
      <c r="C254" s="1012"/>
      <c r="D254" s="667">
        <v>42</v>
      </c>
      <c r="E254" s="667"/>
      <c r="F254" s="667"/>
      <c r="G254" s="667"/>
      <c r="H254" s="667"/>
      <c r="I254" s="667"/>
      <c r="J254" s="667"/>
      <c r="K254" s="667"/>
      <c r="L254" s="667">
        <v>2</v>
      </c>
      <c r="M254" s="667"/>
      <c r="N254" s="667"/>
      <c r="O254" s="667"/>
      <c r="P254" s="667"/>
      <c r="Q254" s="667"/>
      <c r="R254" s="667"/>
      <c r="S254" s="667"/>
      <c r="T254" s="667"/>
      <c r="U254" s="1012">
        <v>12</v>
      </c>
      <c r="V254" s="668">
        <f t="shared" si="79"/>
        <v>504</v>
      </c>
      <c r="W254" s="668">
        <f t="shared" si="80"/>
        <v>0</v>
      </c>
      <c r="X254" s="668">
        <f t="shared" si="81"/>
        <v>0</v>
      </c>
      <c r="Y254" s="668">
        <f t="shared" si="82"/>
        <v>0</v>
      </c>
      <c r="Z254" s="668">
        <f t="shared" si="83"/>
        <v>0</v>
      </c>
      <c r="AA254" s="668">
        <f t="shared" si="84"/>
        <v>0</v>
      </c>
      <c r="AB254" s="668">
        <f t="shared" si="85"/>
        <v>0</v>
      </c>
      <c r="AC254" s="668">
        <f t="shared" si="64"/>
        <v>0</v>
      </c>
      <c r="AD254" s="668">
        <f t="shared" si="86"/>
        <v>0</v>
      </c>
      <c r="AE254" s="668">
        <f t="shared" si="87"/>
        <v>0</v>
      </c>
      <c r="AF254" s="668">
        <f t="shared" si="88"/>
        <v>24</v>
      </c>
      <c r="AG254" s="668">
        <f t="shared" si="89"/>
        <v>0</v>
      </c>
      <c r="AH254" s="668"/>
      <c r="AI254" s="668"/>
      <c r="AJ254" s="668"/>
      <c r="AK254" s="668"/>
      <c r="AL254" s="668"/>
      <c r="AM254" s="668">
        <f t="shared" si="76"/>
        <v>0</v>
      </c>
      <c r="AN254" s="668">
        <f t="shared" si="60"/>
        <v>0</v>
      </c>
      <c r="AO254" s="668">
        <f t="shared" si="61"/>
        <v>0</v>
      </c>
      <c r="AP254" s="668">
        <f t="shared" si="77"/>
        <v>0</v>
      </c>
      <c r="AQ254" s="668">
        <f t="shared" si="62"/>
        <v>0</v>
      </c>
      <c r="AR254" s="668">
        <f t="shared" si="63"/>
        <v>0</v>
      </c>
      <c r="AS254" s="668"/>
      <c r="AT254" s="668"/>
      <c r="AU254" s="668"/>
      <c r="AV254" s="668"/>
      <c r="AW254" s="668"/>
      <c r="AX254" s="668"/>
      <c r="AY254" s="668"/>
      <c r="AZ254" s="668"/>
      <c r="BA254" s="668"/>
      <c r="BB254" s="668">
        <f t="shared" si="78"/>
        <v>0</v>
      </c>
      <c r="BC254" s="668"/>
      <c r="BD254" s="668"/>
      <c r="BE254" s="668"/>
      <c r="BF254" s="668"/>
      <c r="BG254" s="668"/>
      <c r="BH254" s="668"/>
      <c r="BI254" s="668"/>
    </row>
    <row r="255" spans="1:61" x14ac:dyDescent="0.2">
      <c r="A255" s="1012" t="s">
        <v>615</v>
      </c>
      <c r="B255" s="1012" t="s">
        <v>517</v>
      </c>
      <c r="C255" s="1012"/>
      <c r="D255" s="667">
        <v>42</v>
      </c>
      <c r="E255" s="667"/>
      <c r="F255" s="667"/>
      <c r="G255" s="667"/>
      <c r="H255" s="667"/>
      <c r="I255" s="667"/>
      <c r="J255" s="667"/>
      <c r="K255" s="667"/>
      <c r="L255" s="667">
        <v>2</v>
      </c>
      <c r="M255" s="667"/>
      <c r="N255" s="667"/>
      <c r="O255" s="667"/>
      <c r="P255" s="667"/>
      <c r="Q255" s="667"/>
      <c r="R255" s="667"/>
      <c r="S255" s="667"/>
      <c r="T255" s="667"/>
      <c r="U255" s="1012">
        <v>12</v>
      </c>
      <c r="V255" s="668">
        <f t="shared" si="79"/>
        <v>504</v>
      </c>
      <c r="W255" s="668">
        <f t="shared" si="80"/>
        <v>0</v>
      </c>
      <c r="X255" s="668">
        <f t="shared" si="81"/>
        <v>0</v>
      </c>
      <c r="Y255" s="668">
        <f t="shared" si="82"/>
        <v>0</v>
      </c>
      <c r="Z255" s="668">
        <f t="shared" si="83"/>
        <v>0</v>
      </c>
      <c r="AA255" s="668">
        <f t="shared" si="84"/>
        <v>0</v>
      </c>
      <c r="AB255" s="668">
        <f t="shared" si="85"/>
        <v>0</v>
      </c>
      <c r="AC255" s="668">
        <f t="shared" si="64"/>
        <v>0</v>
      </c>
      <c r="AD255" s="668">
        <f t="shared" si="86"/>
        <v>0</v>
      </c>
      <c r="AE255" s="668">
        <f t="shared" si="87"/>
        <v>0</v>
      </c>
      <c r="AF255" s="668">
        <f t="shared" si="88"/>
        <v>24</v>
      </c>
      <c r="AG255" s="668">
        <f t="shared" si="89"/>
        <v>0</v>
      </c>
      <c r="AH255" s="668"/>
      <c r="AI255" s="668"/>
      <c r="AJ255" s="668"/>
      <c r="AK255" s="668"/>
      <c r="AL255" s="668"/>
      <c r="AM255" s="668">
        <f t="shared" si="76"/>
        <v>0</v>
      </c>
      <c r="AN255" s="668">
        <f t="shared" si="60"/>
        <v>0</v>
      </c>
      <c r="AO255" s="668">
        <f t="shared" si="61"/>
        <v>0</v>
      </c>
      <c r="AP255" s="668">
        <f t="shared" si="77"/>
        <v>0</v>
      </c>
      <c r="AQ255" s="668">
        <f t="shared" si="62"/>
        <v>0</v>
      </c>
      <c r="AR255" s="668">
        <f t="shared" si="63"/>
        <v>0</v>
      </c>
      <c r="AS255" s="668"/>
      <c r="AT255" s="668"/>
      <c r="AU255" s="668"/>
      <c r="AV255" s="668"/>
      <c r="AW255" s="668"/>
      <c r="AX255" s="668"/>
      <c r="AY255" s="668"/>
      <c r="AZ255" s="668"/>
      <c r="BA255" s="668"/>
      <c r="BB255" s="668">
        <f t="shared" si="78"/>
        <v>0</v>
      </c>
      <c r="BC255" s="668"/>
      <c r="BD255" s="668"/>
      <c r="BE255" s="668"/>
      <c r="BF255" s="668"/>
      <c r="BG255" s="668"/>
      <c r="BH255" s="668"/>
      <c r="BI255" s="668"/>
    </row>
    <row r="256" spans="1:61" x14ac:dyDescent="0.2">
      <c r="A256" s="1012" t="s">
        <v>616</v>
      </c>
      <c r="B256" s="1012" t="s">
        <v>522</v>
      </c>
      <c r="C256" s="1012"/>
      <c r="D256" s="667"/>
      <c r="E256" s="667"/>
      <c r="F256" s="667"/>
      <c r="G256" s="667"/>
      <c r="H256" s="667"/>
      <c r="I256" s="667"/>
      <c r="J256" s="667">
        <v>63</v>
      </c>
      <c r="K256" s="667"/>
      <c r="L256" s="667"/>
      <c r="M256" s="667"/>
      <c r="N256" s="667"/>
      <c r="O256" s="667"/>
      <c r="P256" s="667"/>
      <c r="Q256" s="667"/>
      <c r="R256" s="667"/>
      <c r="S256" s="667"/>
      <c r="T256" s="667"/>
      <c r="U256" s="1012">
        <v>12</v>
      </c>
      <c r="V256" s="668">
        <f t="shared" si="79"/>
        <v>0</v>
      </c>
      <c r="W256" s="668">
        <f t="shared" si="80"/>
        <v>0</v>
      </c>
      <c r="X256" s="668">
        <f t="shared" si="81"/>
        <v>0</v>
      </c>
      <c r="Y256" s="668">
        <f t="shared" si="82"/>
        <v>756</v>
      </c>
      <c r="Z256" s="668">
        <f t="shared" si="83"/>
        <v>0</v>
      </c>
      <c r="AA256" s="668">
        <f t="shared" si="84"/>
        <v>0</v>
      </c>
      <c r="AB256" s="668">
        <f t="shared" si="85"/>
        <v>0</v>
      </c>
      <c r="AC256" s="668">
        <f t="shared" si="64"/>
        <v>0</v>
      </c>
      <c r="AD256" s="668">
        <f t="shared" si="86"/>
        <v>0</v>
      </c>
      <c r="AE256" s="668">
        <f t="shared" si="87"/>
        <v>0</v>
      </c>
      <c r="AF256" s="668">
        <f t="shared" si="88"/>
        <v>0</v>
      </c>
      <c r="AG256" s="668">
        <f t="shared" si="89"/>
        <v>0</v>
      </c>
      <c r="AH256" s="668"/>
      <c r="AI256" s="668"/>
      <c r="AJ256" s="668"/>
      <c r="AK256" s="668"/>
      <c r="AL256" s="668"/>
      <c r="AM256" s="668">
        <f t="shared" si="76"/>
        <v>0</v>
      </c>
      <c r="AN256" s="668">
        <f t="shared" si="60"/>
        <v>0</v>
      </c>
      <c r="AO256" s="668">
        <f t="shared" si="61"/>
        <v>0</v>
      </c>
      <c r="AP256" s="668">
        <f t="shared" si="77"/>
        <v>0</v>
      </c>
      <c r="AQ256" s="668">
        <f t="shared" si="62"/>
        <v>0</v>
      </c>
      <c r="AR256" s="668">
        <f t="shared" si="63"/>
        <v>0</v>
      </c>
      <c r="AS256" s="668"/>
      <c r="AT256" s="668"/>
      <c r="AU256" s="668"/>
      <c r="AV256" s="668"/>
      <c r="AW256" s="668"/>
      <c r="AX256" s="668"/>
      <c r="AY256" s="668"/>
      <c r="AZ256" s="668"/>
      <c r="BA256" s="668"/>
      <c r="BB256" s="668">
        <f t="shared" si="78"/>
        <v>0</v>
      </c>
      <c r="BC256" s="668"/>
      <c r="BD256" s="668"/>
      <c r="BE256" s="668"/>
      <c r="BF256" s="668"/>
      <c r="BG256" s="668"/>
      <c r="BH256" s="668"/>
      <c r="BI256" s="668"/>
    </row>
    <row r="257" spans="1:61" x14ac:dyDescent="0.2">
      <c r="A257" s="1012" t="s">
        <v>617</v>
      </c>
      <c r="B257" s="1012" t="s">
        <v>524</v>
      </c>
      <c r="C257" s="1012"/>
      <c r="D257" s="667"/>
      <c r="E257" s="667"/>
      <c r="F257" s="667"/>
      <c r="G257" s="667"/>
      <c r="H257" s="667"/>
      <c r="I257" s="667"/>
      <c r="J257" s="667">
        <v>86</v>
      </c>
      <c r="K257" s="667"/>
      <c r="L257" s="667"/>
      <c r="M257" s="667"/>
      <c r="N257" s="667"/>
      <c r="O257" s="667"/>
      <c r="P257" s="667"/>
      <c r="Q257" s="667"/>
      <c r="R257" s="667"/>
      <c r="S257" s="667"/>
      <c r="T257" s="667"/>
      <c r="U257" s="1012">
        <v>12</v>
      </c>
      <c r="V257" s="668">
        <f t="shared" si="79"/>
        <v>0</v>
      </c>
      <c r="W257" s="668">
        <f t="shared" si="80"/>
        <v>0</v>
      </c>
      <c r="X257" s="668">
        <f t="shared" si="81"/>
        <v>0</v>
      </c>
      <c r="Y257" s="668">
        <f t="shared" si="82"/>
        <v>1032</v>
      </c>
      <c r="Z257" s="668">
        <f t="shared" si="83"/>
        <v>0</v>
      </c>
      <c r="AA257" s="668">
        <f t="shared" si="84"/>
        <v>0</v>
      </c>
      <c r="AB257" s="668">
        <f t="shared" si="85"/>
        <v>0</v>
      </c>
      <c r="AC257" s="668">
        <f t="shared" si="64"/>
        <v>0</v>
      </c>
      <c r="AD257" s="668">
        <f t="shared" si="86"/>
        <v>0</v>
      </c>
      <c r="AE257" s="668">
        <f t="shared" si="87"/>
        <v>0</v>
      </c>
      <c r="AF257" s="668">
        <f t="shared" si="88"/>
        <v>0</v>
      </c>
      <c r="AG257" s="668">
        <f t="shared" si="89"/>
        <v>0</v>
      </c>
      <c r="AH257" s="668"/>
      <c r="AI257" s="668"/>
      <c r="AJ257" s="668"/>
      <c r="AK257" s="668"/>
      <c r="AL257" s="668"/>
      <c r="AM257" s="668">
        <f t="shared" si="76"/>
        <v>0</v>
      </c>
      <c r="AN257" s="668">
        <f t="shared" si="60"/>
        <v>0</v>
      </c>
      <c r="AO257" s="668">
        <f t="shared" si="61"/>
        <v>0</v>
      </c>
      <c r="AP257" s="668">
        <f t="shared" si="77"/>
        <v>0</v>
      </c>
      <c r="AQ257" s="668">
        <f t="shared" si="62"/>
        <v>0</v>
      </c>
      <c r="AR257" s="668">
        <f t="shared" si="63"/>
        <v>0</v>
      </c>
      <c r="AS257" s="668"/>
      <c r="AT257" s="668"/>
      <c r="AU257" s="668"/>
      <c r="AV257" s="668"/>
      <c r="AW257" s="668"/>
      <c r="AX257" s="668"/>
      <c r="AY257" s="668"/>
      <c r="AZ257" s="668"/>
      <c r="BA257" s="668"/>
      <c r="BB257" s="668">
        <f t="shared" si="78"/>
        <v>0</v>
      </c>
      <c r="BC257" s="668"/>
      <c r="BD257" s="668"/>
      <c r="BE257" s="668"/>
      <c r="BF257" s="668"/>
      <c r="BG257" s="668"/>
      <c r="BH257" s="668"/>
      <c r="BI257" s="668"/>
    </row>
    <row r="258" spans="1:61" x14ac:dyDescent="0.2">
      <c r="A258" s="1012" t="s">
        <v>618</v>
      </c>
      <c r="B258" s="1012" t="s">
        <v>526</v>
      </c>
      <c r="C258" s="1012"/>
      <c r="D258" s="667"/>
      <c r="E258" s="667"/>
      <c r="F258" s="667"/>
      <c r="G258" s="667"/>
      <c r="H258" s="667"/>
      <c r="I258" s="667"/>
      <c r="J258" s="667">
        <v>64</v>
      </c>
      <c r="K258" s="667"/>
      <c r="L258" s="667"/>
      <c r="M258" s="667"/>
      <c r="N258" s="667"/>
      <c r="O258" s="667"/>
      <c r="P258" s="667"/>
      <c r="Q258" s="667"/>
      <c r="R258" s="667"/>
      <c r="S258" s="667"/>
      <c r="T258" s="667"/>
      <c r="U258" s="1012">
        <v>12</v>
      </c>
      <c r="V258" s="668">
        <f t="shared" si="79"/>
        <v>0</v>
      </c>
      <c r="W258" s="668">
        <f t="shared" si="80"/>
        <v>0</v>
      </c>
      <c r="X258" s="668">
        <f t="shared" si="81"/>
        <v>0</v>
      </c>
      <c r="Y258" s="668">
        <f t="shared" si="82"/>
        <v>768</v>
      </c>
      <c r="Z258" s="668">
        <f t="shared" si="83"/>
        <v>0</v>
      </c>
      <c r="AA258" s="668">
        <f t="shared" si="84"/>
        <v>0</v>
      </c>
      <c r="AB258" s="668">
        <f t="shared" si="85"/>
        <v>0</v>
      </c>
      <c r="AC258" s="668">
        <f t="shared" si="64"/>
        <v>0</v>
      </c>
      <c r="AD258" s="668">
        <f t="shared" si="86"/>
        <v>0</v>
      </c>
      <c r="AE258" s="668">
        <f t="shared" si="87"/>
        <v>0</v>
      </c>
      <c r="AF258" s="668">
        <f t="shared" si="88"/>
        <v>0</v>
      </c>
      <c r="AG258" s="668">
        <f t="shared" si="89"/>
        <v>0</v>
      </c>
      <c r="AH258" s="668"/>
      <c r="AI258" s="668"/>
      <c r="AJ258" s="668"/>
      <c r="AK258" s="668"/>
      <c r="AL258" s="668"/>
      <c r="AM258" s="668">
        <f t="shared" si="76"/>
        <v>0</v>
      </c>
      <c r="AN258" s="668">
        <f t="shared" si="60"/>
        <v>0</v>
      </c>
      <c r="AO258" s="668">
        <f t="shared" si="61"/>
        <v>0</v>
      </c>
      <c r="AP258" s="668">
        <f t="shared" si="77"/>
        <v>0</v>
      </c>
      <c r="AQ258" s="668">
        <f t="shared" si="62"/>
        <v>0</v>
      </c>
      <c r="AR258" s="668">
        <f t="shared" si="63"/>
        <v>0</v>
      </c>
      <c r="AS258" s="668"/>
      <c r="AT258" s="668"/>
      <c r="AU258" s="668"/>
      <c r="AV258" s="668"/>
      <c r="AW258" s="668"/>
      <c r="AX258" s="668"/>
      <c r="AY258" s="668"/>
      <c r="AZ258" s="668"/>
      <c r="BA258" s="668"/>
      <c r="BB258" s="668">
        <f t="shared" si="78"/>
        <v>0</v>
      </c>
      <c r="BC258" s="668"/>
      <c r="BD258" s="668"/>
      <c r="BE258" s="668"/>
      <c r="BF258" s="668"/>
      <c r="BG258" s="668"/>
      <c r="BH258" s="668"/>
      <c r="BI258" s="668"/>
    </row>
    <row r="259" spans="1:61" x14ac:dyDescent="0.2">
      <c r="A259" s="1012"/>
      <c r="B259" s="1012"/>
      <c r="C259" s="1012"/>
      <c r="D259" s="667"/>
      <c r="E259" s="667"/>
      <c r="F259" s="667"/>
      <c r="G259" s="667"/>
      <c r="H259" s="667"/>
      <c r="I259" s="667"/>
      <c r="J259" s="667"/>
      <c r="K259" s="667"/>
      <c r="L259" s="667"/>
      <c r="M259" s="667"/>
      <c r="N259" s="667"/>
      <c r="O259" s="667"/>
      <c r="P259" s="667"/>
      <c r="Q259" s="667"/>
      <c r="R259" s="667"/>
      <c r="S259" s="667"/>
      <c r="T259" s="667"/>
      <c r="U259" s="1012"/>
      <c r="V259" s="668">
        <f t="shared" si="79"/>
        <v>0</v>
      </c>
      <c r="W259" s="668">
        <f t="shared" si="80"/>
        <v>0</v>
      </c>
      <c r="X259" s="668">
        <f t="shared" si="81"/>
        <v>0</v>
      </c>
      <c r="Y259" s="668">
        <f t="shared" si="82"/>
        <v>0</v>
      </c>
      <c r="Z259" s="668">
        <f t="shared" si="83"/>
        <v>0</v>
      </c>
      <c r="AA259" s="668">
        <f t="shared" si="84"/>
        <v>0</v>
      </c>
      <c r="AB259" s="668">
        <f t="shared" si="85"/>
        <v>0</v>
      </c>
      <c r="AC259" s="668">
        <f t="shared" si="64"/>
        <v>0</v>
      </c>
      <c r="AD259" s="668">
        <f t="shared" si="86"/>
        <v>0</v>
      </c>
      <c r="AE259" s="668">
        <f t="shared" si="87"/>
        <v>0</v>
      </c>
      <c r="AF259" s="668">
        <f t="shared" si="88"/>
        <v>0</v>
      </c>
      <c r="AG259" s="668">
        <f t="shared" si="89"/>
        <v>0</v>
      </c>
      <c r="AH259" s="668"/>
      <c r="AI259" s="668"/>
      <c r="AJ259" s="668"/>
      <c r="AK259" s="668"/>
      <c r="AL259" s="668"/>
      <c r="AM259" s="668">
        <f t="shared" si="76"/>
        <v>0</v>
      </c>
      <c r="AN259" s="668">
        <f t="shared" si="60"/>
        <v>0</v>
      </c>
      <c r="AO259" s="668">
        <f t="shared" si="61"/>
        <v>0</v>
      </c>
      <c r="AP259" s="668">
        <f t="shared" si="77"/>
        <v>0</v>
      </c>
      <c r="AQ259" s="668">
        <f t="shared" si="62"/>
        <v>0</v>
      </c>
      <c r="AR259" s="668">
        <f t="shared" si="63"/>
        <v>0</v>
      </c>
      <c r="AS259" s="668"/>
      <c r="AT259" s="668"/>
      <c r="AU259" s="668"/>
      <c r="AV259" s="668"/>
      <c r="AW259" s="668"/>
      <c r="AX259" s="668"/>
      <c r="AY259" s="668"/>
      <c r="AZ259" s="668"/>
      <c r="BA259" s="668"/>
      <c r="BB259" s="668">
        <f t="shared" si="78"/>
        <v>0</v>
      </c>
      <c r="BC259" s="668"/>
      <c r="BD259" s="668"/>
      <c r="BE259" s="668"/>
      <c r="BF259" s="668"/>
      <c r="BG259" s="668"/>
      <c r="BH259" s="668"/>
      <c r="BI259" s="668"/>
    </row>
    <row r="260" spans="1:61" x14ac:dyDescent="0.2">
      <c r="A260" s="1012"/>
      <c r="B260" s="1019" t="s">
        <v>619</v>
      </c>
      <c r="C260" s="1012"/>
      <c r="D260" s="667"/>
      <c r="E260" s="667"/>
      <c r="F260" s="667"/>
      <c r="G260" s="667"/>
      <c r="H260" s="667"/>
      <c r="I260" s="667"/>
      <c r="J260" s="667"/>
      <c r="K260" s="667"/>
      <c r="L260" s="667"/>
      <c r="M260" s="667"/>
      <c r="N260" s="667"/>
      <c r="O260" s="667"/>
      <c r="P260" s="667"/>
      <c r="Q260" s="667"/>
      <c r="R260" s="667"/>
      <c r="S260" s="667"/>
      <c r="T260" s="667"/>
      <c r="U260" s="1012"/>
      <c r="V260" s="668">
        <f t="shared" si="79"/>
        <v>0</v>
      </c>
      <c r="W260" s="668">
        <f t="shared" si="80"/>
        <v>0</v>
      </c>
      <c r="X260" s="668">
        <f t="shared" si="81"/>
        <v>0</v>
      </c>
      <c r="Y260" s="668">
        <f t="shared" si="82"/>
        <v>0</v>
      </c>
      <c r="Z260" s="668">
        <f t="shared" si="83"/>
        <v>0</v>
      </c>
      <c r="AA260" s="668">
        <f t="shared" si="84"/>
        <v>0</v>
      </c>
      <c r="AB260" s="668">
        <f t="shared" si="85"/>
        <v>0</v>
      </c>
      <c r="AC260" s="668">
        <f t="shared" si="64"/>
        <v>0</v>
      </c>
      <c r="AD260" s="668">
        <f t="shared" si="86"/>
        <v>0</v>
      </c>
      <c r="AE260" s="668">
        <f t="shared" si="87"/>
        <v>0</v>
      </c>
      <c r="AF260" s="668">
        <f t="shared" si="88"/>
        <v>0</v>
      </c>
      <c r="AG260" s="668">
        <f t="shared" si="89"/>
        <v>0</v>
      </c>
      <c r="AH260" s="668"/>
      <c r="AI260" s="668"/>
      <c r="AJ260" s="668"/>
      <c r="AK260" s="668"/>
      <c r="AL260" s="668"/>
      <c r="AM260" s="668">
        <f t="shared" si="76"/>
        <v>0</v>
      </c>
      <c r="AN260" s="668">
        <f t="shared" si="60"/>
        <v>0</v>
      </c>
      <c r="AO260" s="668">
        <f t="shared" si="61"/>
        <v>0</v>
      </c>
      <c r="AP260" s="668">
        <f t="shared" si="77"/>
        <v>0</v>
      </c>
      <c r="AQ260" s="668">
        <f t="shared" si="62"/>
        <v>0</v>
      </c>
      <c r="AR260" s="668">
        <f t="shared" si="63"/>
        <v>0</v>
      </c>
      <c r="AS260" s="668">
        <v>19</v>
      </c>
      <c r="AT260" s="668">
        <v>12</v>
      </c>
      <c r="AU260" s="668"/>
      <c r="AV260" s="668"/>
      <c r="AW260" s="668"/>
      <c r="AX260" s="668"/>
      <c r="AY260" s="668"/>
      <c r="AZ260" s="668"/>
      <c r="BA260" s="668"/>
      <c r="BB260" s="668">
        <f t="shared" si="78"/>
        <v>0</v>
      </c>
      <c r="BC260" s="668"/>
      <c r="BD260" s="668"/>
      <c r="BE260" s="668"/>
      <c r="BF260" s="668"/>
      <c r="BG260" s="668"/>
      <c r="BH260" s="668"/>
      <c r="BI260" s="668"/>
    </row>
    <row r="261" spans="1:61" x14ac:dyDescent="0.2">
      <c r="A261" s="1012">
        <v>1042</v>
      </c>
      <c r="B261" s="1012" t="s">
        <v>620</v>
      </c>
      <c r="C261" s="1012"/>
      <c r="D261" s="667"/>
      <c r="E261" s="667"/>
      <c r="F261" s="667"/>
      <c r="G261" s="667">
        <v>65</v>
      </c>
      <c r="H261" s="667"/>
      <c r="I261" s="667"/>
      <c r="J261" s="667"/>
      <c r="K261" s="667"/>
      <c r="L261" s="667"/>
      <c r="M261" s="667"/>
      <c r="N261" s="667"/>
      <c r="O261" s="667"/>
      <c r="P261" s="667"/>
      <c r="Q261" s="1014">
        <v>212</v>
      </c>
      <c r="R261" s="667"/>
      <c r="S261" s="667"/>
      <c r="T261" s="667">
        <v>212</v>
      </c>
      <c r="U261" s="1012">
        <v>12</v>
      </c>
      <c r="V261" s="668">
        <f t="shared" si="79"/>
        <v>0</v>
      </c>
      <c r="W261" s="668">
        <f t="shared" si="80"/>
        <v>780</v>
      </c>
      <c r="X261" s="668">
        <f t="shared" si="81"/>
        <v>0</v>
      </c>
      <c r="Y261" s="668">
        <f t="shared" si="82"/>
        <v>0</v>
      </c>
      <c r="Z261" s="668">
        <f t="shared" si="83"/>
        <v>0</v>
      </c>
      <c r="AA261" s="668">
        <f t="shared" si="84"/>
        <v>0</v>
      </c>
      <c r="AB261" s="668">
        <f t="shared" si="85"/>
        <v>212</v>
      </c>
      <c r="AC261" s="668">
        <f t="shared" si="64"/>
        <v>0</v>
      </c>
      <c r="AD261" s="668">
        <f t="shared" si="86"/>
        <v>212</v>
      </c>
      <c r="AE261" s="668">
        <f t="shared" si="87"/>
        <v>0</v>
      </c>
      <c r="AF261" s="668">
        <f t="shared" si="88"/>
        <v>0</v>
      </c>
      <c r="AG261" s="668">
        <f t="shared" si="89"/>
        <v>0</v>
      </c>
      <c r="AH261" s="668"/>
      <c r="AI261" s="668"/>
      <c r="AJ261" s="668"/>
      <c r="AK261" s="668"/>
      <c r="AL261" s="668"/>
      <c r="AM261" s="668">
        <f t="shared" si="76"/>
        <v>0</v>
      </c>
      <c r="AN261" s="668">
        <f t="shared" si="60"/>
        <v>0</v>
      </c>
      <c r="AO261" s="668">
        <f t="shared" si="61"/>
        <v>0</v>
      </c>
      <c r="AP261" s="668">
        <f t="shared" si="77"/>
        <v>0</v>
      </c>
      <c r="AQ261" s="668">
        <f t="shared" si="62"/>
        <v>0</v>
      </c>
      <c r="AR261" s="668">
        <f t="shared" si="63"/>
        <v>0</v>
      </c>
      <c r="AS261" s="668"/>
      <c r="AT261" s="668"/>
      <c r="AU261" s="668"/>
      <c r="AV261" s="668"/>
      <c r="AW261" s="668"/>
      <c r="AX261" s="668"/>
      <c r="AY261" s="668"/>
      <c r="AZ261" s="668"/>
      <c r="BA261" s="668"/>
      <c r="BB261" s="668">
        <f t="shared" si="78"/>
        <v>0</v>
      </c>
      <c r="BC261" s="668"/>
      <c r="BD261" s="668"/>
      <c r="BE261" s="668"/>
      <c r="BF261" s="668"/>
      <c r="BG261" s="668"/>
      <c r="BH261" s="668"/>
      <c r="BI261" s="668"/>
    </row>
    <row r="262" spans="1:61" x14ac:dyDescent="0.2">
      <c r="A262" s="1012">
        <v>2021</v>
      </c>
      <c r="B262" s="1012" t="s">
        <v>621</v>
      </c>
      <c r="C262" s="1012" t="s">
        <v>984</v>
      </c>
      <c r="D262" s="667">
        <v>246</v>
      </c>
      <c r="E262" s="667"/>
      <c r="F262" s="667"/>
      <c r="G262" s="667"/>
      <c r="H262" s="667"/>
      <c r="I262" s="667"/>
      <c r="J262" s="667"/>
      <c r="K262" s="667"/>
      <c r="L262" s="667"/>
      <c r="M262" s="667"/>
      <c r="N262" s="667"/>
      <c r="O262" s="667"/>
      <c r="P262" s="667">
        <v>40</v>
      </c>
      <c r="Q262" s="667"/>
      <c r="R262" s="667"/>
      <c r="S262" s="667"/>
      <c r="T262" s="667"/>
      <c r="U262" s="1012">
        <v>17</v>
      </c>
      <c r="V262" s="668">
        <f t="shared" si="79"/>
        <v>4182</v>
      </c>
      <c r="W262" s="668">
        <f t="shared" si="80"/>
        <v>0</v>
      </c>
      <c r="X262" s="668">
        <f t="shared" si="81"/>
        <v>0</v>
      </c>
      <c r="Y262" s="668">
        <f t="shared" si="82"/>
        <v>0</v>
      </c>
      <c r="Z262" s="668">
        <f t="shared" si="83"/>
        <v>4182</v>
      </c>
      <c r="AA262" s="668">
        <f t="shared" si="84"/>
        <v>0</v>
      </c>
      <c r="AB262" s="668">
        <f t="shared" si="85"/>
        <v>0</v>
      </c>
      <c r="AC262" s="668">
        <f t="shared" si="64"/>
        <v>680</v>
      </c>
      <c r="AD262" s="668">
        <f t="shared" si="86"/>
        <v>0</v>
      </c>
      <c r="AE262" s="668">
        <f t="shared" si="87"/>
        <v>0</v>
      </c>
      <c r="AF262" s="668">
        <f t="shared" si="88"/>
        <v>0</v>
      </c>
      <c r="AG262" s="668">
        <f t="shared" si="89"/>
        <v>0</v>
      </c>
      <c r="AH262" s="668"/>
      <c r="AI262" s="668"/>
      <c r="AJ262" s="668"/>
      <c r="AK262" s="668"/>
      <c r="AL262" s="668"/>
      <c r="AM262" s="668">
        <f t="shared" si="76"/>
        <v>0</v>
      </c>
      <c r="AN262" s="668">
        <f t="shared" si="60"/>
        <v>0</v>
      </c>
      <c r="AO262" s="668">
        <f t="shared" si="61"/>
        <v>0</v>
      </c>
      <c r="AP262" s="668">
        <f t="shared" si="77"/>
        <v>0</v>
      </c>
      <c r="AQ262" s="668">
        <f t="shared" si="62"/>
        <v>0</v>
      </c>
      <c r="AR262" s="668">
        <f t="shared" si="63"/>
        <v>0</v>
      </c>
      <c r="AS262" s="668"/>
      <c r="AT262" s="668"/>
      <c r="AU262" s="668"/>
      <c r="AV262" s="668"/>
      <c r="AW262" s="668"/>
      <c r="AX262" s="668"/>
      <c r="AY262" s="668"/>
      <c r="AZ262" s="668"/>
      <c r="BA262" s="668"/>
      <c r="BB262" s="668">
        <f t="shared" si="78"/>
        <v>0</v>
      </c>
      <c r="BC262" s="668"/>
      <c r="BD262" s="668"/>
      <c r="BE262" s="668"/>
      <c r="BF262" s="668"/>
      <c r="BG262" s="668"/>
      <c r="BH262" s="668"/>
      <c r="BI262" s="668"/>
    </row>
    <row r="263" spans="1:61" x14ac:dyDescent="0.2">
      <c r="A263" s="1012">
        <v>2070</v>
      </c>
      <c r="B263" s="1012" t="s">
        <v>622</v>
      </c>
      <c r="C263" s="1012"/>
      <c r="D263" s="667">
        <v>133</v>
      </c>
      <c r="E263" s="667"/>
      <c r="F263" s="667"/>
      <c r="G263" s="667"/>
      <c r="H263" s="667"/>
      <c r="I263" s="667"/>
      <c r="J263" s="667"/>
      <c r="K263" s="667"/>
      <c r="L263" s="667">
        <v>4</v>
      </c>
      <c r="M263" s="667"/>
      <c r="N263" s="667"/>
      <c r="O263" s="667"/>
      <c r="P263" s="667"/>
      <c r="Q263" s="1014">
        <v>1314</v>
      </c>
      <c r="R263" s="667"/>
      <c r="S263" s="667"/>
      <c r="T263" s="667">
        <v>1314</v>
      </c>
      <c r="U263" s="1012">
        <v>17</v>
      </c>
      <c r="V263" s="668">
        <f t="shared" si="79"/>
        <v>2261</v>
      </c>
      <c r="W263" s="668">
        <f t="shared" si="80"/>
        <v>0</v>
      </c>
      <c r="X263" s="668">
        <f t="shared" si="81"/>
        <v>0</v>
      </c>
      <c r="Y263" s="668">
        <f t="shared" si="82"/>
        <v>0</v>
      </c>
      <c r="Z263" s="668">
        <f t="shared" si="83"/>
        <v>0</v>
      </c>
      <c r="AA263" s="668">
        <f t="shared" si="84"/>
        <v>0</v>
      </c>
      <c r="AB263" s="668">
        <f t="shared" si="85"/>
        <v>1314</v>
      </c>
      <c r="AC263" s="668">
        <f t="shared" si="64"/>
        <v>0</v>
      </c>
      <c r="AD263" s="668">
        <f t="shared" si="86"/>
        <v>1314</v>
      </c>
      <c r="AE263" s="668">
        <f t="shared" si="87"/>
        <v>0</v>
      </c>
      <c r="AF263" s="668">
        <f t="shared" si="88"/>
        <v>68</v>
      </c>
      <c r="AG263" s="668">
        <f t="shared" si="89"/>
        <v>0</v>
      </c>
      <c r="AH263" s="668"/>
      <c r="AI263" s="668"/>
      <c r="AJ263" s="668"/>
      <c r="AK263" s="668"/>
      <c r="AL263" s="668"/>
      <c r="AM263" s="668">
        <f t="shared" si="76"/>
        <v>0</v>
      </c>
      <c r="AN263" s="668">
        <f t="shared" si="60"/>
        <v>0</v>
      </c>
      <c r="AO263" s="668">
        <f t="shared" si="61"/>
        <v>0</v>
      </c>
      <c r="AP263" s="668">
        <f t="shared" si="77"/>
        <v>0</v>
      </c>
      <c r="AQ263" s="668">
        <f t="shared" si="62"/>
        <v>0</v>
      </c>
      <c r="AR263" s="668">
        <f t="shared" si="63"/>
        <v>0</v>
      </c>
      <c r="AS263" s="668"/>
      <c r="AT263" s="668"/>
      <c r="AU263" s="668"/>
      <c r="AV263" s="668"/>
      <c r="AW263" s="668"/>
      <c r="AX263" s="668"/>
      <c r="AY263" s="668"/>
      <c r="AZ263" s="668"/>
      <c r="BA263" s="668"/>
      <c r="BB263" s="668">
        <f t="shared" si="78"/>
        <v>0</v>
      </c>
      <c r="BC263" s="668"/>
      <c r="BD263" s="668"/>
      <c r="BE263" s="668"/>
      <c r="BF263" s="668"/>
      <c r="BG263" s="668"/>
      <c r="BH263" s="668"/>
      <c r="BI263" s="668"/>
    </row>
    <row r="264" spans="1:61" x14ac:dyDescent="0.2">
      <c r="A264" s="1012">
        <v>2100</v>
      </c>
      <c r="B264" s="1012" t="s">
        <v>533</v>
      </c>
      <c r="C264" s="1012"/>
      <c r="D264" s="667">
        <v>72</v>
      </c>
      <c r="E264" s="667"/>
      <c r="F264" s="667"/>
      <c r="G264" s="667"/>
      <c r="H264" s="667"/>
      <c r="I264" s="667"/>
      <c r="J264" s="667"/>
      <c r="K264" s="667"/>
      <c r="L264" s="667"/>
      <c r="M264" s="667"/>
      <c r="N264" s="667"/>
      <c r="O264" s="667"/>
      <c r="P264" s="667"/>
      <c r="Q264" s="667"/>
      <c r="R264" s="667"/>
      <c r="S264" s="667"/>
      <c r="T264" s="667"/>
      <c r="U264" s="1012">
        <v>12</v>
      </c>
      <c r="V264" s="668">
        <f t="shared" si="79"/>
        <v>864</v>
      </c>
      <c r="W264" s="668">
        <f t="shared" si="80"/>
        <v>0</v>
      </c>
      <c r="X264" s="668">
        <f t="shared" si="81"/>
        <v>0</v>
      </c>
      <c r="Y264" s="668">
        <f t="shared" si="82"/>
        <v>0</v>
      </c>
      <c r="Z264" s="668">
        <f t="shared" si="83"/>
        <v>0</v>
      </c>
      <c r="AA264" s="668">
        <f t="shared" si="84"/>
        <v>0</v>
      </c>
      <c r="AB264" s="668">
        <f t="shared" si="85"/>
        <v>0</v>
      </c>
      <c r="AC264" s="668">
        <f t="shared" si="64"/>
        <v>0</v>
      </c>
      <c r="AD264" s="668">
        <f t="shared" si="86"/>
        <v>0</v>
      </c>
      <c r="AE264" s="668">
        <f t="shared" si="87"/>
        <v>0</v>
      </c>
      <c r="AF264" s="668">
        <f t="shared" si="88"/>
        <v>0</v>
      </c>
      <c r="AG264" s="668">
        <f t="shared" si="89"/>
        <v>0</v>
      </c>
      <c r="AH264" s="668"/>
      <c r="AI264" s="668"/>
      <c r="AJ264" s="668"/>
      <c r="AK264" s="668"/>
      <c r="AL264" s="668"/>
      <c r="AM264" s="668">
        <f t="shared" si="76"/>
        <v>0</v>
      </c>
      <c r="AN264" s="668">
        <f t="shared" ref="AN264:AN327" si="90">+U264*E264</f>
        <v>0</v>
      </c>
      <c r="AO264" s="668">
        <f t="shared" ref="AO264:AO327" si="91">+U264*O264</f>
        <v>0</v>
      </c>
      <c r="AP264" s="668">
        <f t="shared" si="77"/>
        <v>0</v>
      </c>
      <c r="AQ264" s="668">
        <f t="shared" ref="AQ264:AQ327" si="92">+$AQ$4*K264</f>
        <v>0</v>
      </c>
      <c r="AR264" s="668">
        <f t="shared" ref="AR264:AR327" si="93">+$AR$4*K264</f>
        <v>0</v>
      </c>
      <c r="AS264" s="668"/>
      <c r="AT264" s="668"/>
      <c r="AU264" s="668"/>
      <c r="AV264" s="668"/>
      <c r="AW264" s="668"/>
      <c r="AX264" s="668"/>
      <c r="AY264" s="668"/>
      <c r="AZ264" s="668"/>
      <c r="BA264" s="668"/>
      <c r="BB264" s="668">
        <f t="shared" si="78"/>
        <v>0</v>
      </c>
      <c r="BC264" s="668"/>
      <c r="BD264" s="668"/>
      <c r="BE264" s="668"/>
      <c r="BF264" s="668"/>
      <c r="BG264" s="668"/>
      <c r="BH264" s="668"/>
      <c r="BI264" s="668"/>
    </row>
    <row r="265" spans="1:61" x14ac:dyDescent="0.2">
      <c r="A265" s="1012">
        <v>2101</v>
      </c>
      <c r="B265" s="1012" t="s">
        <v>476</v>
      </c>
      <c r="C265" s="1012"/>
      <c r="D265" s="667">
        <v>62</v>
      </c>
      <c r="E265" s="667"/>
      <c r="F265" s="667"/>
      <c r="G265" s="667"/>
      <c r="H265" s="667"/>
      <c r="I265" s="667"/>
      <c r="J265" s="667"/>
      <c r="K265" s="667"/>
      <c r="L265" s="667">
        <v>2</v>
      </c>
      <c r="M265" s="667"/>
      <c r="N265" s="667"/>
      <c r="O265" s="667"/>
      <c r="P265" s="667"/>
      <c r="Q265" s="667"/>
      <c r="R265" s="667"/>
      <c r="S265" s="667"/>
      <c r="T265" s="667"/>
      <c r="U265" s="1012">
        <v>17</v>
      </c>
      <c r="V265" s="668">
        <f t="shared" si="79"/>
        <v>1054</v>
      </c>
      <c r="W265" s="668">
        <f t="shared" si="80"/>
        <v>0</v>
      </c>
      <c r="X265" s="668">
        <f t="shared" si="81"/>
        <v>0</v>
      </c>
      <c r="Y265" s="668">
        <f t="shared" si="82"/>
        <v>0</v>
      </c>
      <c r="Z265" s="668">
        <f t="shared" si="83"/>
        <v>0</v>
      </c>
      <c r="AA265" s="668">
        <f t="shared" si="84"/>
        <v>0</v>
      </c>
      <c r="AB265" s="668">
        <f t="shared" si="85"/>
        <v>0</v>
      </c>
      <c r="AC265" s="668">
        <f t="shared" si="64"/>
        <v>0</v>
      </c>
      <c r="AD265" s="668">
        <f t="shared" si="86"/>
        <v>0</v>
      </c>
      <c r="AE265" s="668">
        <f t="shared" si="87"/>
        <v>0</v>
      </c>
      <c r="AF265" s="668">
        <f t="shared" si="88"/>
        <v>34</v>
      </c>
      <c r="AG265" s="668">
        <f t="shared" si="89"/>
        <v>0</v>
      </c>
      <c r="AH265" s="668"/>
      <c r="AI265" s="668"/>
      <c r="AJ265" s="668"/>
      <c r="AK265" s="668"/>
      <c r="AL265" s="668"/>
      <c r="AM265" s="668">
        <f t="shared" si="76"/>
        <v>0</v>
      </c>
      <c r="AN265" s="668">
        <f t="shared" si="90"/>
        <v>0</v>
      </c>
      <c r="AO265" s="668">
        <f t="shared" si="91"/>
        <v>0</v>
      </c>
      <c r="AP265" s="668">
        <f t="shared" si="77"/>
        <v>0</v>
      </c>
      <c r="AQ265" s="668">
        <f t="shared" si="92"/>
        <v>0</v>
      </c>
      <c r="AR265" s="668">
        <f t="shared" si="93"/>
        <v>0</v>
      </c>
      <c r="AS265" s="668"/>
      <c r="AT265" s="668"/>
      <c r="AU265" s="668"/>
      <c r="AV265" s="668"/>
      <c r="AW265" s="668"/>
      <c r="AX265" s="668"/>
      <c r="AY265" s="668"/>
      <c r="AZ265" s="668"/>
      <c r="BA265" s="668"/>
      <c r="BB265" s="668">
        <f t="shared" si="78"/>
        <v>0</v>
      </c>
      <c r="BC265" s="668"/>
      <c r="BD265" s="668"/>
      <c r="BE265" s="668"/>
      <c r="BF265" s="668"/>
      <c r="BG265" s="668"/>
      <c r="BH265" s="668"/>
      <c r="BI265" s="668"/>
    </row>
    <row r="266" spans="1:61" x14ac:dyDescent="0.2">
      <c r="A266" s="1013">
        <v>2103</v>
      </c>
      <c r="B266" s="1012" t="s">
        <v>520</v>
      </c>
      <c r="C266" s="1012"/>
      <c r="D266" s="667">
        <v>32</v>
      </c>
      <c r="E266" s="667"/>
      <c r="F266" s="667">
        <v>32</v>
      </c>
      <c r="G266" s="667"/>
      <c r="H266" s="667"/>
      <c r="I266" s="667"/>
      <c r="J266" s="667"/>
      <c r="K266" s="667"/>
      <c r="L266" s="667">
        <v>2</v>
      </c>
      <c r="M266" s="667"/>
      <c r="N266" s="667"/>
      <c r="O266" s="667"/>
      <c r="P266" s="667"/>
      <c r="Q266" s="667"/>
      <c r="R266" s="667"/>
      <c r="S266" s="667"/>
      <c r="T266" s="667"/>
      <c r="U266" s="1012">
        <v>12</v>
      </c>
      <c r="V266" s="668">
        <f t="shared" si="79"/>
        <v>384</v>
      </c>
      <c r="W266" s="668">
        <f t="shared" si="80"/>
        <v>0</v>
      </c>
      <c r="X266" s="668">
        <f t="shared" si="81"/>
        <v>0</v>
      </c>
      <c r="Y266" s="668">
        <f t="shared" si="82"/>
        <v>0</v>
      </c>
      <c r="Z266" s="668">
        <f t="shared" si="83"/>
        <v>0</v>
      </c>
      <c r="AA266" s="668">
        <f t="shared" si="84"/>
        <v>0</v>
      </c>
      <c r="AB266" s="668">
        <f t="shared" si="85"/>
        <v>0</v>
      </c>
      <c r="AC266" s="668">
        <f t="shared" ref="AC266:AC329" si="94">+U266*P266</f>
        <v>0</v>
      </c>
      <c r="AD266" s="668">
        <f t="shared" si="86"/>
        <v>0</v>
      </c>
      <c r="AE266" s="668">
        <f t="shared" si="87"/>
        <v>0</v>
      </c>
      <c r="AF266" s="668">
        <f t="shared" si="88"/>
        <v>24</v>
      </c>
      <c r="AG266" s="668">
        <f t="shared" si="89"/>
        <v>0</v>
      </c>
      <c r="AH266" s="668"/>
      <c r="AI266" s="668"/>
      <c r="AJ266" s="668"/>
      <c r="AK266" s="668"/>
      <c r="AL266" s="668"/>
      <c r="AM266" s="668">
        <f t="shared" si="76"/>
        <v>0</v>
      </c>
      <c r="AN266" s="668">
        <f t="shared" si="90"/>
        <v>0</v>
      </c>
      <c r="AO266" s="668">
        <f t="shared" si="91"/>
        <v>0</v>
      </c>
      <c r="AP266" s="668">
        <f t="shared" si="77"/>
        <v>384</v>
      </c>
      <c r="AQ266" s="668">
        <f t="shared" si="92"/>
        <v>0</v>
      </c>
      <c r="AR266" s="668">
        <f t="shared" si="93"/>
        <v>0</v>
      </c>
      <c r="AS266" s="668"/>
      <c r="AT266" s="668"/>
      <c r="AU266" s="668"/>
      <c r="AV266" s="668"/>
      <c r="AW266" s="668"/>
      <c r="AX266" s="668"/>
      <c r="AY266" s="668"/>
      <c r="AZ266" s="668"/>
      <c r="BA266" s="668"/>
      <c r="BB266" s="668">
        <f t="shared" si="78"/>
        <v>384</v>
      </c>
      <c r="BC266" s="668"/>
      <c r="BD266" s="668"/>
      <c r="BE266" s="668"/>
      <c r="BF266" s="668"/>
      <c r="BG266" s="668"/>
      <c r="BH266" s="668"/>
      <c r="BI266" s="668"/>
    </row>
    <row r="267" spans="1:61" x14ac:dyDescent="0.2">
      <c r="A267" s="1013">
        <v>2104</v>
      </c>
      <c r="B267" s="1012" t="s">
        <v>517</v>
      </c>
      <c r="C267" s="1012"/>
      <c r="D267" s="667">
        <v>67</v>
      </c>
      <c r="E267" s="667"/>
      <c r="F267" s="667"/>
      <c r="G267" s="667"/>
      <c r="H267" s="667"/>
      <c r="I267" s="667"/>
      <c r="J267" s="667"/>
      <c r="K267" s="667"/>
      <c r="L267" s="667">
        <v>2</v>
      </c>
      <c r="M267" s="667"/>
      <c r="N267" s="667"/>
      <c r="O267" s="667"/>
      <c r="P267" s="667"/>
      <c r="Q267" s="667"/>
      <c r="R267" s="667"/>
      <c r="S267" s="667"/>
      <c r="T267" s="667"/>
      <c r="U267" s="1012">
        <v>17</v>
      </c>
      <c r="V267" s="668">
        <f t="shared" si="79"/>
        <v>1139</v>
      </c>
      <c r="W267" s="668">
        <f t="shared" si="80"/>
        <v>0</v>
      </c>
      <c r="X267" s="668">
        <f t="shared" si="81"/>
        <v>0</v>
      </c>
      <c r="Y267" s="668">
        <f t="shared" si="82"/>
        <v>0</v>
      </c>
      <c r="Z267" s="668">
        <f t="shared" si="83"/>
        <v>0</v>
      </c>
      <c r="AA267" s="668">
        <f t="shared" si="84"/>
        <v>0</v>
      </c>
      <c r="AB267" s="668">
        <f t="shared" si="85"/>
        <v>0</v>
      </c>
      <c r="AC267" s="668">
        <f t="shared" si="94"/>
        <v>0</v>
      </c>
      <c r="AD267" s="668">
        <f t="shared" si="86"/>
        <v>0</v>
      </c>
      <c r="AE267" s="668">
        <f t="shared" si="87"/>
        <v>0</v>
      </c>
      <c r="AF267" s="668">
        <f t="shared" si="88"/>
        <v>34</v>
      </c>
      <c r="AG267" s="668">
        <f t="shared" si="89"/>
        <v>0</v>
      </c>
      <c r="AH267" s="668"/>
      <c r="AI267" s="668"/>
      <c r="AJ267" s="668"/>
      <c r="AK267" s="668"/>
      <c r="AL267" s="668"/>
      <c r="AM267" s="668">
        <f t="shared" si="76"/>
        <v>0</v>
      </c>
      <c r="AN267" s="668">
        <f t="shared" si="90"/>
        <v>0</v>
      </c>
      <c r="AO267" s="668">
        <f t="shared" si="91"/>
        <v>0</v>
      </c>
      <c r="AP267" s="668">
        <f t="shared" si="77"/>
        <v>0</v>
      </c>
      <c r="AQ267" s="668">
        <f t="shared" si="92"/>
        <v>0</v>
      </c>
      <c r="AR267" s="668">
        <f t="shared" si="93"/>
        <v>0</v>
      </c>
      <c r="AS267" s="668"/>
      <c r="AT267" s="668"/>
      <c r="AU267" s="668"/>
      <c r="AV267" s="668"/>
      <c r="AW267" s="668"/>
      <c r="AX267" s="668"/>
      <c r="AY267" s="668"/>
      <c r="AZ267" s="668"/>
      <c r="BA267" s="668"/>
      <c r="BB267" s="668">
        <f t="shared" si="78"/>
        <v>0</v>
      </c>
      <c r="BC267" s="668"/>
      <c r="BD267" s="668"/>
      <c r="BE267" s="668"/>
      <c r="BF267" s="668"/>
      <c r="BG267" s="668"/>
      <c r="BH267" s="668"/>
      <c r="BI267" s="668"/>
    </row>
    <row r="268" spans="1:61" x14ac:dyDescent="0.2">
      <c r="A268" s="1013">
        <v>2105</v>
      </c>
      <c r="B268" s="1012" t="s">
        <v>623</v>
      </c>
      <c r="C268" s="1012"/>
      <c r="D268" s="667">
        <v>65</v>
      </c>
      <c r="E268" s="667"/>
      <c r="F268" s="667"/>
      <c r="G268" s="667"/>
      <c r="H268" s="667"/>
      <c r="I268" s="667"/>
      <c r="J268" s="667"/>
      <c r="K268" s="667"/>
      <c r="L268" s="667"/>
      <c r="M268" s="667"/>
      <c r="N268" s="667"/>
      <c r="O268" s="667"/>
      <c r="P268" s="667"/>
      <c r="Q268" s="667"/>
      <c r="R268" s="667"/>
      <c r="S268" s="667"/>
      <c r="T268" s="667"/>
      <c r="U268" s="1012">
        <v>12</v>
      </c>
      <c r="V268" s="668">
        <f t="shared" si="79"/>
        <v>780</v>
      </c>
      <c r="W268" s="668">
        <f t="shared" si="80"/>
        <v>0</v>
      </c>
      <c r="X268" s="668">
        <f t="shared" si="81"/>
        <v>0</v>
      </c>
      <c r="Y268" s="668">
        <f t="shared" si="82"/>
        <v>0</v>
      </c>
      <c r="Z268" s="668">
        <f t="shared" si="83"/>
        <v>0</v>
      </c>
      <c r="AA268" s="668">
        <f t="shared" si="84"/>
        <v>0</v>
      </c>
      <c r="AB268" s="668">
        <f t="shared" si="85"/>
        <v>0</v>
      </c>
      <c r="AC268" s="668">
        <f t="shared" si="94"/>
        <v>0</v>
      </c>
      <c r="AD268" s="668">
        <f t="shared" si="86"/>
        <v>0</v>
      </c>
      <c r="AE268" s="668">
        <f t="shared" si="87"/>
        <v>0</v>
      </c>
      <c r="AF268" s="668">
        <f t="shared" si="88"/>
        <v>0</v>
      </c>
      <c r="AG268" s="668">
        <f t="shared" si="89"/>
        <v>0</v>
      </c>
      <c r="AH268" s="668"/>
      <c r="AI268" s="668"/>
      <c r="AJ268" s="668"/>
      <c r="AK268" s="668"/>
      <c r="AL268" s="668"/>
      <c r="AM268" s="668">
        <f t="shared" si="76"/>
        <v>0</v>
      </c>
      <c r="AN268" s="668">
        <f t="shared" si="90"/>
        <v>0</v>
      </c>
      <c r="AO268" s="668">
        <f t="shared" si="91"/>
        <v>0</v>
      </c>
      <c r="AP268" s="668">
        <f t="shared" si="77"/>
        <v>0</v>
      </c>
      <c r="AQ268" s="668">
        <f t="shared" si="92"/>
        <v>0</v>
      </c>
      <c r="AR268" s="668">
        <f t="shared" si="93"/>
        <v>0</v>
      </c>
      <c r="AS268" s="668"/>
      <c r="AT268" s="668"/>
      <c r="AU268" s="668"/>
      <c r="AV268" s="668"/>
      <c r="AW268" s="668"/>
      <c r="AX268" s="668"/>
      <c r="AY268" s="668"/>
      <c r="AZ268" s="668"/>
      <c r="BA268" s="668"/>
      <c r="BB268" s="668">
        <f t="shared" si="78"/>
        <v>0</v>
      </c>
      <c r="BC268" s="668"/>
      <c r="BD268" s="668"/>
      <c r="BE268" s="668"/>
      <c r="BF268" s="668"/>
      <c r="BG268" s="668"/>
      <c r="BH268" s="668"/>
      <c r="BI268" s="668"/>
    </row>
    <row r="269" spans="1:61" x14ac:dyDescent="0.2">
      <c r="A269" s="1013">
        <v>2106</v>
      </c>
      <c r="B269" s="1012" t="s">
        <v>592</v>
      </c>
      <c r="C269" s="1012"/>
      <c r="D269" s="667">
        <v>7</v>
      </c>
      <c r="E269" s="667"/>
      <c r="F269" s="667"/>
      <c r="G269" s="667"/>
      <c r="H269" s="667"/>
      <c r="I269" s="667"/>
      <c r="J269" s="667"/>
      <c r="K269" s="667"/>
      <c r="L269" s="667"/>
      <c r="M269" s="667"/>
      <c r="N269" s="667"/>
      <c r="O269" s="667"/>
      <c r="P269" s="667"/>
      <c r="Q269" s="667"/>
      <c r="R269" s="667"/>
      <c r="S269" s="667">
        <v>50</v>
      </c>
      <c r="T269" s="667"/>
      <c r="U269" s="1012">
        <v>10.5</v>
      </c>
      <c r="V269" s="668">
        <f t="shared" si="79"/>
        <v>73.5</v>
      </c>
      <c r="W269" s="668">
        <f t="shared" si="80"/>
        <v>0</v>
      </c>
      <c r="X269" s="668">
        <f t="shared" si="81"/>
        <v>0</v>
      </c>
      <c r="Y269" s="668">
        <f t="shared" si="82"/>
        <v>0</v>
      </c>
      <c r="Z269" s="668">
        <f t="shared" si="83"/>
        <v>0</v>
      </c>
      <c r="AA269" s="668">
        <f t="shared" si="84"/>
        <v>50</v>
      </c>
      <c r="AB269" s="668">
        <f t="shared" si="85"/>
        <v>0</v>
      </c>
      <c r="AC269" s="668">
        <f t="shared" si="94"/>
        <v>0</v>
      </c>
      <c r="AD269" s="668">
        <f t="shared" si="86"/>
        <v>0</v>
      </c>
      <c r="AE269" s="668">
        <f t="shared" si="87"/>
        <v>0</v>
      </c>
      <c r="AF269" s="668">
        <f t="shared" si="88"/>
        <v>0</v>
      </c>
      <c r="AG269" s="668">
        <f t="shared" si="89"/>
        <v>0</v>
      </c>
      <c r="AH269" s="668"/>
      <c r="AI269" s="668"/>
      <c r="AJ269" s="668"/>
      <c r="AK269" s="668"/>
      <c r="AL269" s="668"/>
      <c r="AM269" s="668">
        <f t="shared" si="76"/>
        <v>0</v>
      </c>
      <c r="AN269" s="668">
        <f t="shared" si="90"/>
        <v>0</v>
      </c>
      <c r="AO269" s="668">
        <f t="shared" si="91"/>
        <v>0</v>
      </c>
      <c r="AP269" s="668">
        <f t="shared" si="77"/>
        <v>0</v>
      </c>
      <c r="AQ269" s="668">
        <f t="shared" si="92"/>
        <v>0</v>
      </c>
      <c r="AR269" s="668">
        <f t="shared" si="93"/>
        <v>0</v>
      </c>
      <c r="AS269" s="668"/>
      <c r="AT269" s="668"/>
      <c r="AU269" s="668"/>
      <c r="AV269" s="668"/>
      <c r="AW269" s="668"/>
      <c r="AX269" s="668"/>
      <c r="AY269" s="668"/>
      <c r="AZ269" s="668"/>
      <c r="BA269" s="668"/>
      <c r="BB269" s="668">
        <f t="shared" si="78"/>
        <v>0</v>
      </c>
      <c r="BC269" s="668"/>
      <c r="BD269" s="668"/>
      <c r="BE269" s="668"/>
      <c r="BF269" s="668"/>
      <c r="BG269" s="668"/>
      <c r="BH269" s="668"/>
      <c r="BI269" s="668"/>
    </row>
    <row r="270" spans="1:61" x14ac:dyDescent="0.2">
      <c r="A270" s="1013">
        <v>2107</v>
      </c>
      <c r="B270" s="1012" t="s">
        <v>592</v>
      </c>
      <c r="C270" s="1012"/>
      <c r="D270" s="667">
        <v>7</v>
      </c>
      <c r="E270" s="667"/>
      <c r="F270" s="667"/>
      <c r="G270" s="667"/>
      <c r="H270" s="667"/>
      <c r="I270" s="667"/>
      <c r="J270" s="667"/>
      <c r="K270" s="667"/>
      <c r="L270" s="667"/>
      <c r="M270" s="667"/>
      <c r="N270" s="667"/>
      <c r="O270" s="667"/>
      <c r="P270" s="667"/>
      <c r="Q270" s="667"/>
      <c r="R270" s="667"/>
      <c r="S270" s="667">
        <v>50</v>
      </c>
      <c r="T270" s="667"/>
      <c r="U270" s="1012">
        <v>10.5</v>
      </c>
      <c r="V270" s="668">
        <f t="shared" si="79"/>
        <v>73.5</v>
      </c>
      <c r="W270" s="668">
        <f t="shared" si="80"/>
        <v>0</v>
      </c>
      <c r="X270" s="668">
        <f t="shared" si="81"/>
        <v>0</v>
      </c>
      <c r="Y270" s="668">
        <f t="shared" si="82"/>
        <v>0</v>
      </c>
      <c r="Z270" s="668">
        <f t="shared" si="83"/>
        <v>0</v>
      </c>
      <c r="AA270" s="668">
        <f t="shared" si="84"/>
        <v>50</v>
      </c>
      <c r="AB270" s="668">
        <f t="shared" si="85"/>
        <v>0</v>
      </c>
      <c r="AC270" s="668">
        <f t="shared" si="94"/>
        <v>0</v>
      </c>
      <c r="AD270" s="668">
        <f t="shared" si="86"/>
        <v>0</v>
      </c>
      <c r="AE270" s="668">
        <f t="shared" si="87"/>
        <v>0</v>
      </c>
      <c r="AF270" s="668">
        <f t="shared" si="88"/>
        <v>0</v>
      </c>
      <c r="AG270" s="668">
        <f t="shared" si="89"/>
        <v>0</v>
      </c>
      <c r="AH270" s="668"/>
      <c r="AI270" s="668"/>
      <c r="AJ270" s="668"/>
      <c r="AK270" s="668"/>
      <c r="AL270" s="668"/>
      <c r="AM270" s="668">
        <f t="shared" si="76"/>
        <v>0</v>
      </c>
      <c r="AN270" s="668">
        <f t="shared" si="90"/>
        <v>0</v>
      </c>
      <c r="AO270" s="668">
        <f t="shared" si="91"/>
        <v>0</v>
      </c>
      <c r="AP270" s="668">
        <f t="shared" si="77"/>
        <v>0</v>
      </c>
      <c r="AQ270" s="668">
        <f t="shared" si="92"/>
        <v>0</v>
      </c>
      <c r="AR270" s="668">
        <f t="shared" si="93"/>
        <v>0</v>
      </c>
      <c r="AS270" s="668"/>
      <c r="AT270" s="668"/>
      <c r="AU270" s="668"/>
      <c r="AV270" s="668"/>
      <c r="AW270" s="668"/>
      <c r="AX270" s="668"/>
      <c r="AY270" s="668"/>
      <c r="AZ270" s="668"/>
      <c r="BA270" s="668"/>
      <c r="BB270" s="668">
        <f t="shared" si="78"/>
        <v>0</v>
      </c>
      <c r="BC270" s="668"/>
      <c r="BD270" s="668"/>
      <c r="BE270" s="668"/>
      <c r="BF270" s="668"/>
      <c r="BG270" s="668"/>
      <c r="BH270" s="668"/>
      <c r="BI270" s="668"/>
    </row>
    <row r="271" spans="1:61" x14ac:dyDescent="0.2">
      <c r="A271" s="1013">
        <v>2108</v>
      </c>
      <c r="B271" s="1012" t="s">
        <v>517</v>
      </c>
      <c r="C271" s="1012"/>
      <c r="D271" s="667"/>
      <c r="E271" s="667"/>
      <c r="F271" s="667"/>
      <c r="G271" s="667"/>
      <c r="H271" s="667"/>
      <c r="I271" s="667"/>
      <c r="J271" s="667"/>
      <c r="K271" s="667"/>
      <c r="L271" s="667"/>
      <c r="M271" s="667"/>
      <c r="N271" s="667"/>
      <c r="O271" s="667"/>
      <c r="P271" s="667"/>
      <c r="Q271" s="667"/>
      <c r="R271" s="667"/>
      <c r="S271" s="667"/>
      <c r="T271" s="667"/>
      <c r="U271" s="1012"/>
      <c r="V271" s="668">
        <f t="shared" si="79"/>
        <v>0</v>
      </c>
      <c r="W271" s="668">
        <f t="shared" si="80"/>
        <v>0</v>
      </c>
      <c r="X271" s="668">
        <f t="shared" si="81"/>
        <v>0</v>
      </c>
      <c r="Y271" s="668">
        <f t="shared" si="82"/>
        <v>0</v>
      </c>
      <c r="Z271" s="668">
        <f t="shared" si="83"/>
        <v>0</v>
      </c>
      <c r="AA271" s="668">
        <f t="shared" si="84"/>
        <v>0</v>
      </c>
      <c r="AB271" s="668">
        <f t="shared" si="85"/>
        <v>0</v>
      </c>
      <c r="AC271" s="668">
        <f t="shared" si="94"/>
        <v>0</v>
      </c>
      <c r="AD271" s="668">
        <f t="shared" si="86"/>
        <v>0</v>
      </c>
      <c r="AE271" s="668">
        <f t="shared" si="87"/>
        <v>0</v>
      </c>
      <c r="AF271" s="668">
        <f t="shared" si="88"/>
        <v>0</v>
      </c>
      <c r="AG271" s="668">
        <f t="shared" si="89"/>
        <v>0</v>
      </c>
      <c r="AH271" s="668"/>
      <c r="AI271" s="668"/>
      <c r="AJ271" s="668"/>
      <c r="AK271" s="668"/>
      <c r="AL271" s="668"/>
      <c r="AM271" s="668">
        <f t="shared" si="76"/>
        <v>0</v>
      </c>
      <c r="AN271" s="668">
        <f t="shared" si="90"/>
        <v>0</v>
      </c>
      <c r="AO271" s="668">
        <f t="shared" si="91"/>
        <v>0</v>
      </c>
      <c r="AP271" s="668">
        <f t="shared" si="77"/>
        <v>0</v>
      </c>
      <c r="AQ271" s="668">
        <f t="shared" si="92"/>
        <v>0</v>
      </c>
      <c r="AR271" s="668">
        <f t="shared" si="93"/>
        <v>0</v>
      </c>
      <c r="AS271" s="668"/>
      <c r="AT271" s="668"/>
      <c r="AU271" s="668"/>
      <c r="AV271" s="668"/>
      <c r="AW271" s="668"/>
      <c r="AX271" s="668"/>
      <c r="AY271" s="668"/>
      <c r="AZ271" s="668"/>
      <c r="BA271" s="668"/>
      <c r="BB271" s="668">
        <f t="shared" si="78"/>
        <v>0</v>
      </c>
      <c r="BC271" s="668"/>
      <c r="BD271" s="668"/>
      <c r="BE271" s="668"/>
      <c r="BF271" s="668"/>
      <c r="BG271" s="668"/>
      <c r="BH271" s="668"/>
      <c r="BI271" s="668"/>
    </row>
    <row r="272" spans="1:61" x14ac:dyDescent="0.2">
      <c r="A272" s="1013">
        <v>2109</v>
      </c>
      <c r="B272" s="1012" t="s">
        <v>624</v>
      </c>
      <c r="C272" s="1012"/>
      <c r="D272" s="667">
        <v>35</v>
      </c>
      <c r="E272" s="667"/>
      <c r="F272" s="667">
        <v>15</v>
      </c>
      <c r="G272" s="667"/>
      <c r="H272" s="667"/>
      <c r="I272" s="667"/>
      <c r="J272" s="667"/>
      <c r="K272" s="667"/>
      <c r="L272" s="667">
        <v>2</v>
      </c>
      <c r="M272" s="667"/>
      <c r="N272" s="667"/>
      <c r="O272" s="667"/>
      <c r="P272" s="667"/>
      <c r="Q272" s="667"/>
      <c r="R272" s="667"/>
      <c r="S272" s="667"/>
      <c r="T272" s="667"/>
      <c r="U272" s="1012">
        <v>12</v>
      </c>
      <c r="V272" s="668">
        <f t="shared" si="79"/>
        <v>420</v>
      </c>
      <c r="W272" s="668">
        <f t="shared" si="80"/>
        <v>0</v>
      </c>
      <c r="X272" s="668">
        <f t="shared" si="81"/>
        <v>0</v>
      </c>
      <c r="Y272" s="668">
        <f t="shared" si="82"/>
        <v>0</v>
      </c>
      <c r="Z272" s="668">
        <f t="shared" si="83"/>
        <v>0</v>
      </c>
      <c r="AA272" s="668">
        <f t="shared" si="84"/>
        <v>0</v>
      </c>
      <c r="AB272" s="668">
        <f t="shared" si="85"/>
        <v>0</v>
      </c>
      <c r="AC272" s="668">
        <f t="shared" si="94"/>
        <v>0</v>
      </c>
      <c r="AD272" s="668">
        <f t="shared" si="86"/>
        <v>0</v>
      </c>
      <c r="AE272" s="668">
        <f t="shared" si="87"/>
        <v>0</v>
      </c>
      <c r="AF272" s="668">
        <f t="shared" si="88"/>
        <v>24</v>
      </c>
      <c r="AG272" s="668">
        <f t="shared" si="89"/>
        <v>0</v>
      </c>
      <c r="AH272" s="668"/>
      <c r="AI272" s="668"/>
      <c r="AJ272" s="668"/>
      <c r="AK272" s="668"/>
      <c r="AL272" s="668"/>
      <c r="AM272" s="668">
        <f t="shared" si="76"/>
        <v>0</v>
      </c>
      <c r="AN272" s="668">
        <f t="shared" si="90"/>
        <v>0</v>
      </c>
      <c r="AO272" s="668">
        <f t="shared" si="91"/>
        <v>0</v>
      </c>
      <c r="AP272" s="668">
        <f t="shared" si="77"/>
        <v>180</v>
      </c>
      <c r="AQ272" s="668">
        <f t="shared" si="92"/>
        <v>0</v>
      </c>
      <c r="AR272" s="668">
        <f t="shared" si="93"/>
        <v>0</v>
      </c>
      <c r="AS272" s="668"/>
      <c r="AT272" s="668"/>
      <c r="AU272" s="668"/>
      <c r="AV272" s="668"/>
      <c r="AW272" s="668"/>
      <c r="AX272" s="668"/>
      <c r="AY272" s="668"/>
      <c r="AZ272" s="668"/>
      <c r="BA272" s="668"/>
      <c r="BB272" s="668">
        <f t="shared" si="78"/>
        <v>180</v>
      </c>
      <c r="BC272" s="668"/>
      <c r="BD272" s="668"/>
      <c r="BE272" s="668"/>
      <c r="BF272" s="668"/>
      <c r="BG272" s="668"/>
      <c r="BH272" s="668"/>
      <c r="BI272" s="668"/>
    </row>
    <row r="273" spans="1:61" x14ac:dyDescent="0.2">
      <c r="A273" s="1013">
        <v>2110</v>
      </c>
      <c r="B273" s="1012" t="s">
        <v>519</v>
      </c>
      <c r="C273" s="1012"/>
      <c r="D273" s="667">
        <v>35</v>
      </c>
      <c r="E273" s="667"/>
      <c r="F273" s="667">
        <v>15</v>
      </c>
      <c r="G273" s="667"/>
      <c r="H273" s="667"/>
      <c r="I273" s="667"/>
      <c r="J273" s="667"/>
      <c r="K273" s="667"/>
      <c r="L273" s="667"/>
      <c r="M273" s="667"/>
      <c r="N273" s="667"/>
      <c r="O273" s="667"/>
      <c r="P273" s="667"/>
      <c r="Q273" s="667"/>
      <c r="R273" s="667"/>
      <c r="S273" s="667"/>
      <c r="T273" s="667"/>
      <c r="U273" s="1012">
        <v>12</v>
      </c>
      <c r="V273" s="668">
        <f t="shared" si="79"/>
        <v>420</v>
      </c>
      <c r="W273" s="668">
        <f t="shared" si="80"/>
        <v>0</v>
      </c>
      <c r="X273" s="668">
        <f t="shared" si="81"/>
        <v>0</v>
      </c>
      <c r="Y273" s="668">
        <f t="shared" si="82"/>
        <v>0</v>
      </c>
      <c r="Z273" s="668">
        <f t="shared" si="83"/>
        <v>0</v>
      </c>
      <c r="AA273" s="668">
        <f t="shared" si="84"/>
        <v>0</v>
      </c>
      <c r="AB273" s="668">
        <f t="shared" si="85"/>
        <v>0</v>
      </c>
      <c r="AC273" s="668">
        <f t="shared" si="94"/>
        <v>0</v>
      </c>
      <c r="AD273" s="668">
        <f t="shared" si="86"/>
        <v>0</v>
      </c>
      <c r="AE273" s="668">
        <f t="shared" si="87"/>
        <v>0</v>
      </c>
      <c r="AF273" s="668">
        <f t="shared" si="88"/>
        <v>0</v>
      </c>
      <c r="AG273" s="668">
        <f t="shared" si="89"/>
        <v>0</v>
      </c>
      <c r="AH273" s="668"/>
      <c r="AI273" s="668"/>
      <c r="AJ273" s="668"/>
      <c r="AK273" s="668"/>
      <c r="AL273" s="668"/>
      <c r="AM273" s="668">
        <f t="shared" ref="AM273:AM336" si="95">+I273</f>
        <v>0</v>
      </c>
      <c r="AN273" s="668">
        <f t="shared" si="90"/>
        <v>0</v>
      </c>
      <c r="AO273" s="668">
        <f t="shared" si="91"/>
        <v>0</v>
      </c>
      <c r="AP273" s="668">
        <f t="shared" si="77"/>
        <v>180</v>
      </c>
      <c r="AQ273" s="668">
        <f t="shared" si="92"/>
        <v>0</v>
      </c>
      <c r="AR273" s="668">
        <f t="shared" si="93"/>
        <v>0</v>
      </c>
      <c r="AS273" s="668"/>
      <c r="AT273" s="668"/>
      <c r="AU273" s="668"/>
      <c r="AV273" s="668"/>
      <c r="AW273" s="668"/>
      <c r="AX273" s="668"/>
      <c r="AY273" s="668"/>
      <c r="AZ273" s="668"/>
      <c r="BA273" s="668"/>
      <c r="BB273" s="668">
        <f t="shared" si="78"/>
        <v>180</v>
      </c>
      <c r="BC273" s="668"/>
      <c r="BD273" s="668"/>
      <c r="BE273" s="668"/>
      <c r="BF273" s="668"/>
      <c r="BG273" s="668"/>
      <c r="BH273" s="668"/>
      <c r="BI273" s="668"/>
    </row>
    <row r="274" spans="1:61" x14ac:dyDescent="0.2">
      <c r="A274" s="1013">
        <v>2111</v>
      </c>
      <c r="B274" s="1012" t="s">
        <v>515</v>
      </c>
      <c r="C274" s="1012"/>
      <c r="D274" s="667">
        <v>251</v>
      </c>
      <c r="E274" s="667"/>
      <c r="F274" s="667"/>
      <c r="G274" s="667"/>
      <c r="H274" s="667"/>
      <c r="I274" s="667"/>
      <c r="J274" s="667"/>
      <c r="K274" s="667"/>
      <c r="L274" s="667">
        <v>4</v>
      </c>
      <c r="M274" s="667"/>
      <c r="N274" s="667"/>
      <c r="O274" s="667"/>
      <c r="P274" s="667"/>
      <c r="Q274" s="667"/>
      <c r="R274" s="667"/>
      <c r="S274" s="667"/>
      <c r="T274" s="667"/>
      <c r="U274" s="1012">
        <v>12</v>
      </c>
      <c r="V274" s="668">
        <f t="shared" si="79"/>
        <v>3012</v>
      </c>
      <c r="W274" s="668">
        <f t="shared" si="80"/>
        <v>0</v>
      </c>
      <c r="X274" s="668">
        <f t="shared" si="81"/>
        <v>0</v>
      </c>
      <c r="Y274" s="668">
        <f t="shared" si="82"/>
        <v>0</v>
      </c>
      <c r="Z274" s="668">
        <f t="shared" si="83"/>
        <v>0</v>
      </c>
      <c r="AA274" s="668">
        <f t="shared" si="84"/>
        <v>0</v>
      </c>
      <c r="AB274" s="668">
        <f t="shared" si="85"/>
        <v>0</v>
      </c>
      <c r="AC274" s="668">
        <f t="shared" si="94"/>
        <v>0</v>
      </c>
      <c r="AD274" s="668">
        <f t="shared" si="86"/>
        <v>0</v>
      </c>
      <c r="AE274" s="668">
        <f t="shared" si="87"/>
        <v>0</v>
      </c>
      <c r="AF274" s="668">
        <f t="shared" si="88"/>
        <v>48</v>
      </c>
      <c r="AG274" s="668">
        <f t="shared" si="89"/>
        <v>0</v>
      </c>
      <c r="AH274" s="668"/>
      <c r="AI274" s="668"/>
      <c r="AJ274" s="668"/>
      <c r="AK274" s="668"/>
      <c r="AL274" s="668"/>
      <c r="AM274" s="668">
        <f t="shared" si="95"/>
        <v>0</v>
      </c>
      <c r="AN274" s="668">
        <f t="shared" si="90"/>
        <v>0</v>
      </c>
      <c r="AO274" s="668">
        <f t="shared" si="91"/>
        <v>0</v>
      </c>
      <c r="AP274" s="668">
        <f t="shared" ref="AP274:AP337" si="96">+U274*F274</f>
        <v>0</v>
      </c>
      <c r="AQ274" s="668">
        <f t="shared" si="92"/>
        <v>0</v>
      </c>
      <c r="AR274" s="668">
        <f t="shared" si="93"/>
        <v>0</v>
      </c>
      <c r="AS274" s="668"/>
      <c r="AT274" s="668"/>
      <c r="AU274" s="668"/>
      <c r="AV274" s="668"/>
      <c r="AW274" s="668"/>
      <c r="AX274" s="668"/>
      <c r="AY274" s="668"/>
      <c r="AZ274" s="668"/>
      <c r="BA274" s="668"/>
      <c r="BB274" s="668">
        <f t="shared" ref="BB274:BB337" si="97">+AP274</f>
        <v>0</v>
      </c>
      <c r="BC274" s="668"/>
      <c r="BD274" s="668"/>
      <c r="BE274" s="668"/>
      <c r="BF274" s="668"/>
      <c r="BG274" s="668"/>
      <c r="BH274" s="668"/>
      <c r="BI274" s="668"/>
    </row>
    <row r="275" spans="1:61" x14ac:dyDescent="0.2">
      <c r="A275" s="1013">
        <v>2112</v>
      </c>
      <c r="B275" s="1012" t="s">
        <v>534</v>
      </c>
      <c r="C275" s="1012"/>
      <c r="D275" s="667">
        <v>8</v>
      </c>
      <c r="E275" s="667"/>
      <c r="F275" s="667"/>
      <c r="G275" s="667"/>
      <c r="H275" s="667"/>
      <c r="I275" s="667"/>
      <c r="J275" s="667"/>
      <c r="K275" s="667"/>
      <c r="L275" s="667"/>
      <c r="M275" s="667"/>
      <c r="N275" s="667"/>
      <c r="O275" s="667"/>
      <c r="P275" s="667"/>
      <c r="Q275" s="667"/>
      <c r="R275" s="667"/>
      <c r="S275" s="667"/>
      <c r="T275" s="667"/>
      <c r="U275" s="1012">
        <v>12</v>
      </c>
      <c r="V275" s="668">
        <f t="shared" si="79"/>
        <v>96</v>
      </c>
      <c r="W275" s="668">
        <f t="shared" si="80"/>
        <v>0</v>
      </c>
      <c r="X275" s="668">
        <f t="shared" si="81"/>
        <v>0</v>
      </c>
      <c r="Y275" s="668">
        <f t="shared" si="82"/>
        <v>0</v>
      </c>
      <c r="Z275" s="668">
        <f t="shared" si="83"/>
        <v>0</v>
      </c>
      <c r="AA275" s="668">
        <f t="shared" si="84"/>
        <v>0</v>
      </c>
      <c r="AB275" s="668">
        <f t="shared" si="85"/>
        <v>0</v>
      </c>
      <c r="AC275" s="668">
        <f t="shared" si="94"/>
        <v>0</v>
      </c>
      <c r="AD275" s="668">
        <f t="shared" si="86"/>
        <v>0</v>
      </c>
      <c r="AE275" s="668">
        <f t="shared" si="87"/>
        <v>0</v>
      </c>
      <c r="AF275" s="668">
        <f t="shared" si="88"/>
        <v>0</v>
      </c>
      <c r="AG275" s="668">
        <f t="shared" si="89"/>
        <v>0</v>
      </c>
      <c r="AH275" s="668"/>
      <c r="AI275" s="668"/>
      <c r="AJ275" s="668"/>
      <c r="AK275" s="668"/>
      <c r="AL275" s="668"/>
      <c r="AM275" s="668">
        <f t="shared" si="95"/>
        <v>0</v>
      </c>
      <c r="AN275" s="668">
        <f t="shared" si="90"/>
        <v>0</v>
      </c>
      <c r="AO275" s="668">
        <f t="shared" si="91"/>
        <v>0</v>
      </c>
      <c r="AP275" s="668">
        <f t="shared" si="96"/>
        <v>0</v>
      </c>
      <c r="AQ275" s="668">
        <f t="shared" si="92"/>
        <v>0</v>
      </c>
      <c r="AR275" s="668">
        <f t="shared" si="93"/>
        <v>0</v>
      </c>
      <c r="AS275" s="668"/>
      <c r="AT275" s="668"/>
      <c r="AU275" s="668"/>
      <c r="AV275" s="668"/>
      <c r="AW275" s="668"/>
      <c r="AX275" s="668"/>
      <c r="AY275" s="668"/>
      <c r="AZ275" s="668"/>
      <c r="BA275" s="668"/>
      <c r="BB275" s="668">
        <f t="shared" si="97"/>
        <v>0</v>
      </c>
      <c r="BC275" s="668"/>
      <c r="BD275" s="668"/>
      <c r="BE275" s="668"/>
      <c r="BF275" s="668"/>
      <c r="BG275" s="668"/>
      <c r="BH275" s="668"/>
      <c r="BI275" s="668"/>
    </row>
    <row r="276" spans="1:61" x14ac:dyDescent="0.2">
      <c r="A276" s="1013">
        <v>2113</v>
      </c>
      <c r="B276" s="1012" t="s">
        <v>625</v>
      </c>
      <c r="C276" s="1012"/>
      <c r="D276" s="667">
        <v>45</v>
      </c>
      <c r="E276" s="667"/>
      <c r="F276" s="667"/>
      <c r="G276" s="667"/>
      <c r="H276" s="667"/>
      <c r="I276" s="667"/>
      <c r="J276" s="667"/>
      <c r="K276" s="667"/>
      <c r="L276" s="667">
        <v>2</v>
      </c>
      <c r="M276" s="667"/>
      <c r="N276" s="667"/>
      <c r="O276" s="667"/>
      <c r="P276" s="667"/>
      <c r="Q276" s="667"/>
      <c r="R276" s="667"/>
      <c r="S276" s="667"/>
      <c r="T276" s="667"/>
      <c r="U276" s="1012">
        <v>12</v>
      </c>
      <c r="V276" s="668">
        <f t="shared" si="79"/>
        <v>540</v>
      </c>
      <c r="W276" s="668">
        <f t="shared" si="80"/>
        <v>0</v>
      </c>
      <c r="X276" s="668">
        <f t="shared" si="81"/>
        <v>0</v>
      </c>
      <c r="Y276" s="668">
        <f t="shared" si="82"/>
        <v>0</v>
      </c>
      <c r="Z276" s="668">
        <f t="shared" si="83"/>
        <v>0</v>
      </c>
      <c r="AA276" s="668">
        <f t="shared" si="84"/>
        <v>0</v>
      </c>
      <c r="AB276" s="668">
        <f t="shared" si="85"/>
        <v>0</v>
      </c>
      <c r="AC276" s="668">
        <f t="shared" si="94"/>
        <v>0</v>
      </c>
      <c r="AD276" s="668">
        <f t="shared" si="86"/>
        <v>0</v>
      </c>
      <c r="AE276" s="668">
        <f t="shared" si="87"/>
        <v>0</v>
      </c>
      <c r="AF276" s="668">
        <f t="shared" si="88"/>
        <v>24</v>
      </c>
      <c r="AG276" s="668">
        <f t="shared" si="89"/>
        <v>0</v>
      </c>
      <c r="AH276" s="668"/>
      <c r="AI276" s="668"/>
      <c r="AJ276" s="668"/>
      <c r="AK276" s="668"/>
      <c r="AL276" s="668"/>
      <c r="AM276" s="668">
        <f t="shared" si="95"/>
        <v>0</v>
      </c>
      <c r="AN276" s="668">
        <f t="shared" si="90"/>
        <v>0</v>
      </c>
      <c r="AO276" s="668">
        <f t="shared" si="91"/>
        <v>0</v>
      </c>
      <c r="AP276" s="668">
        <f t="shared" si="96"/>
        <v>0</v>
      </c>
      <c r="AQ276" s="668">
        <f t="shared" si="92"/>
        <v>0</v>
      </c>
      <c r="AR276" s="668">
        <f t="shared" si="93"/>
        <v>0</v>
      </c>
      <c r="AS276" s="668"/>
      <c r="AT276" s="668"/>
      <c r="AU276" s="668"/>
      <c r="AV276" s="668"/>
      <c r="AW276" s="668"/>
      <c r="AX276" s="668"/>
      <c r="AY276" s="668"/>
      <c r="AZ276" s="668"/>
      <c r="BA276" s="668"/>
      <c r="BB276" s="668">
        <f t="shared" si="97"/>
        <v>0</v>
      </c>
      <c r="BC276" s="668"/>
      <c r="BD276" s="668"/>
      <c r="BE276" s="668"/>
      <c r="BF276" s="668"/>
      <c r="BG276" s="668"/>
      <c r="BH276" s="668"/>
      <c r="BI276" s="668"/>
    </row>
    <row r="277" spans="1:61" x14ac:dyDescent="0.2">
      <c r="A277" s="1013">
        <v>2116</v>
      </c>
      <c r="B277" s="1013" t="s">
        <v>465</v>
      </c>
      <c r="C277" s="1013" t="s">
        <v>984</v>
      </c>
      <c r="D277" s="667">
        <v>264</v>
      </c>
      <c r="E277" s="667"/>
      <c r="F277" s="667"/>
      <c r="G277" s="667"/>
      <c r="H277" s="667"/>
      <c r="I277" s="667"/>
      <c r="J277" s="667"/>
      <c r="K277" s="667"/>
      <c r="L277" s="667"/>
      <c r="M277" s="667"/>
      <c r="N277" s="667"/>
      <c r="O277" s="667"/>
      <c r="P277" s="667"/>
      <c r="Q277" s="667"/>
      <c r="R277" s="667"/>
      <c r="S277" s="667"/>
      <c r="T277" s="667"/>
      <c r="U277" s="1013">
        <v>12</v>
      </c>
      <c r="V277" s="668">
        <f t="shared" si="79"/>
        <v>3168</v>
      </c>
      <c r="W277" s="668">
        <f t="shared" si="80"/>
        <v>0</v>
      </c>
      <c r="X277" s="668">
        <f t="shared" si="81"/>
        <v>0</v>
      </c>
      <c r="Y277" s="668">
        <f t="shared" si="82"/>
        <v>0</v>
      </c>
      <c r="Z277" s="668">
        <f t="shared" si="83"/>
        <v>3168</v>
      </c>
      <c r="AA277" s="668">
        <f t="shared" si="84"/>
        <v>0</v>
      </c>
      <c r="AB277" s="668">
        <f t="shared" si="85"/>
        <v>0</v>
      </c>
      <c r="AC277" s="668">
        <f t="shared" si="94"/>
        <v>0</v>
      </c>
      <c r="AD277" s="668">
        <f t="shared" si="86"/>
        <v>0</v>
      </c>
      <c r="AE277" s="668">
        <f t="shared" si="87"/>
        <v>0</v>
      </c>
      <c r="AF277" s="668">
        <f t="shared" si="88"/>
        <v>0</v>
      </c>
      <c r="AG277" s="668">
        <f t="shared" si="89"/>
        <v>0</v>
      </c>
      <c r="AH277" s="668"/>
      <c r="AI277" s="668"/>
      <c r="AJ277" s="668"/>
      <c r="AK277" s="668"/>
      <c r="AL277" s="668"/>
      <c r="AM277" s="668">
        <f t="shared" si="95"/>
        <v>0</v>
      </c>
      <c r="AN277" s="668">
        <f t="shared" si="90"/>
        <v>0</v>
      </c>
      <c r="AO277" s="668">
        <f t="shared" si="91"/>
        <v>0</v>
      </c>
      <c r="AP277" s="668">
        <f t="shared" si="96"/>
        <v>0</v>
      </c>
      <c r="AQ277" s="668">
        <f t="shared" si="92"/>
        <v>0</v>
      </c>
      <c r="AR277" s="668">
        <f t="shared" si="93"/>
        <v>0</v>
      </c>
      <c r="AS277" s="668"/>
      <c r="AT277" s="668"/>
      <c r="AU277" s="668"/>
      <c r="AV277" s="668"/>
      <c r="AW277" s="668"/>
      <c r="AX277" s="668"/>
      <c r="AY277" s="668"/>
      <c r="AZ277" s="668"/>
      <c r="BA277" s="668"/>
      <c r="BB277" s="668">
        <f t="shared" si="97"/>
        <v>0</v>
      </c>
      <c r="BC277" s="668"/>
      <c r="BD277" s="668"/>
      <c r="BE277" s="668"/>
      <c r="BF277" s="668"/>
      <c r="BG277" s="668"/>
      <c r="BH277" s="668"/>
      <c r="BI277" s="668"/>
    </row>
    <row r="278" spans="1:61" x14ac:dyDescent="0.2">
      <c r="A278" s="1013">
        <v>2117</v>
      </c>
      <c r="B278" s="1013" t="s">
        <v>626</v>
      </c>
      <c r="C278" s="1013" t="s">
        <v>984</v>
      </c>
      <c r="D278" s="667">
        <v>112</v>
      </c>
      <c r="E278" s="667"/>
      <c r="F278" s="667"/>
      <c r="G278" s="667"/>
      <c r="H278" s="667"/>
      <c r="I278" s="667"/>
      <c r="J278" s="667"/>
      <c r="K278" s="667"/>
      <c r="L278" s="667"/>
      <c r="M278" s="667"/>
      <c r="N278" s="667"/>
      <c r="O278" s="667"/>
      <c r="P278" s="667">
        <v>32</v>
      </c>
      <c r="Q278" s="667"/>
      <c r="R278" s="667"/>
      <c r="S278" s="667"/>
      <c r="T278" s="667"/>
      <c r="U278" s="1013">
        <v>17</v>
      </c>
      <c r="V278" s="668">
        <f t="shared" si="79"/>
        <v>1904</v>
      </c>
      <c r="W278" s="668">
        <f t="shared" si="80"/>
        <v>0</v>
      </c>
      <c r="X278" s="668">
        <f t="shared" si="81"/>
        <v>0</v>
      </c>
      <c r="Y278" s="668">
        <f t="shared" si="82"/>
        <v>0</v>
      </c>
      <c r="Z278" s="668">
        <f t="shared" si="83"/>
        <v>1904</v>
      </c>
      <c r="AA278" s="668">
        <f t="shared" si="84"/>
        <v>0</v>
      </c>
      <c r="AB278" s="668">
        <f t="shared" si="85"/>
        <v>0</v>
      </c>
      <c r="AC278" s="668">
        <f t="shared" si="94"/>
        <v>544</v>
      </c>
      <c r="AD278" s="668">
        <f t="shared" si="86"/>
        <v>0</v>
      </c>
      <c r="AE278" s="668">
        <f t="shared" si="87"/>
        <v>0</v>
      </c>
      <c r="AF278" s="668">
        <f t="shared" si="88"/>
        <v>0</v>
      </c>
      <c r="AG278" s="668">
        <f t="shared" si="89"/>
        <v>0</v>
      </c>
      <c r="AH278" s="668"/>
      <c r="AI278" s="668"/>
      <c r="AJ278" s="668"/>
      <c r="AK278" s="668"/>
      <c r="AL278" s="668"/>
      <c r="AM278" s="668">
        <f t="shared" si="95"/>
        <v>0</v>
      </c>
      <c r="AN278" s="668">
        <f t="shared" si="90"/>
        <v>0</v>
      </c>
      <c r="AO278" s="668">
        <f t="shared" si="91"/>
        <v>0</v>
      </c>
      <c r="AP278" s="668">
        <f t="shared" si="96"/>
        <v>0</v>
      </c>
      <c r="AQ278" s="668">
        <f t="shared" si="92"/>
        <v>0</v>
      </c>
      <c r="AR278" s="668">
        <f t="shared" si="93"/>
        <v>0</v>
      </c>
      <c r="AS278" s="668"/>
      <c r="AT278" s="668"/>
      <c r="AU278" s="668"/>
      <c r="AV278" s="668"/>
      <c r="AW278" s="668"/>
      <c r="AX278" s="668"/>
      <c r="AY278" s="668"/>
      <c r="AZ278" s="668"/>
      <c r="BA278" s="668"/>
      <c r="BB278" s="668">
        <f t="shared" si="97"/>
        <v>0</v>
      </c>
      <c r="BC278" s="668"/>
      <c r="BD278" s="668"/>
      <c r="BE278" s="668"/>
      <c r="BF278" s="668"/>
      <c r="BG278" s="668"/>
      <c r="BH278" s="668"/>
      <c r="BI278" s="668"/>
    </row>
    <row r="279" spans="1:61" x14ac:dyDescent="0.2">
      <c r="A279" s="1013">
        <v>2118</v>
      </c>
      <c r="B279" s="1013" t="s">
        <v>627</v>
      </c>
      <c r="C279" s="1013" t="s">
        <v>984</v>
      </c>
      <c r="D279" s="667">
        <v>232</v>
      </c>
      <c r="E279" s="667"/>
      <c r="F279" s="667"/>
      <c r="G279" s="667"/>
      <c r="H279" s="667"/>
      <c r="I279" s="667"/>
      <c r="J279" s="667"/>
      <c r="K279" s="667"/>
      <c r="L279" s="667"/>
      <c r="M279" s="667"/>
      <c r="N279" s="667"/>
      <c r="O279" s="667"/>
      <c r="P279" s="667"/>
      <c r="Q279" s="667"/>
      <c r="R279" s="667"/>
      <c r="S279" s="667"/>
      <c r="T279" s="667"/>
      <c r="U279" s="1013">
        <v>12</v>
      </c>
      <c r="V279" s="668">
        <f t="shared" si="79"/>
        <v>2784</v>
      </c>
      <c r="W279" s="668">
        <f t="shared" si="80"/>
        <v>0</v>
      </c>
      <c r="X279" s="668">
        <f t="shared" si="81"/>
        <v>0</v>
      </c>
      <c r="Y279" s="668">
        <f t="shared" si="82"/>
        <v>0</v>
      </c>
      <c r="Z279" s="668">
        <f t="shared" si="83"/>
        <v>2784</v>
      </c>
      <c r="AA279" s="668">
        <f t="shared" si="84"/>
        <v>0</v>
      </c>
      <c r="AB279" s="668">
        <f t="shared" si="85"/>
        <v>0</v>
      </c>
      <c r="AC279" s="668">
        <f t="shared" si="94"/>
        <v>0</v>
      </c>
      <c r="AD279" s="668">
        <f t="shared" si="86"/>
        <v>0</v>
      </c>
      <c r="AE279" s="668">
        <f t="shared" si="87"/>
        <v>0</v>
      </c>
      <c r="AF279" s="668">
        <f t="shared" si="88"/>
        <v>0</v>
      </c>
      <c r="AG279" s="668">
        <f t="shared" si="89"/>
        <v>0</v>
      </c>
      <c r="AH279" s="668"/>
      <c r="AI279" s="668"/>
      <c r="AJ279" s="668"/>
      <c r="AK279" s="668"/>
      <c r="AL279" s="668"/>
      <c r="AM279" s="668">
        <f t="shared" si="95"/>
        <v>0</v>
      </c>
      <c r="AN279" s="668">
        <f t="shared" si="90"/>
        <v>0</v>
      </c>
      <c r="AO279" s="668">
        <f t="shared" si="91"/>
        <v>0</v>
      </c>
      <c r="AP279" s="668">
        <f t="shared" si="96"/>
        <v>0</v>
      </c>
      <c r="AQ279" s="668">
        <f t="shared" si="92"/>
        <v>0</v>
      </c>
      <c r="AR279" s="668">
        <f t="shared" si="93"/>
        <v>0</v>
      </c>
      <c r="AS279" s="668"/>
      <c r="AT279" s="668"/>
      <c r="AU279" s="668"/>
      <c r="AV279" s="668"/>
      <c r="AW279" s="668"/>
      <c r="AX279" s="668"/>
      <c r="AY279" s="668"/>
      <c r="AZ279" s="668"/>
      <c r="BA279" s="668"/>
      <c r="BB279" s="668">
        <f t="shared" si="97"/>
        <v>0</v>
      </c>
      <c r="BC279" s="668"/>
      <c r="BD279" s="668"/>
      <c r="BE279" s="668"/>
      <c r="BF279" s="668"/>
      <c r="BG279" s="668"/>
      <c r="BH279" s="668"/>
      <c r="BI279" s="668"/>
    </row>
    <row r="280" spans="1:61" x14ac:dyDescent="0.2">
      <c r="A280" s="1013">
        <v>2119</v>
      </c>
      <c r="B280" s="1013" t="s">
        <v>626</v>
      </c>
      <c r="C280" s="1013" t="s">
        <v>984</v>
      </c>
      <c r="D280" s="667">
        <v>140</v>
      </c>
      <c r="E280" s="667"/>
      <c r="F280" s="667"/>
      <c r="G280" s="667"/>
      <c r="H280" s="667"/>
      <c r="I280" s="667"/>
      <c r="J280" s="667"/>
      <c r="K280" s="667"/>
      <c r="L280" s="667"/>
      <c r="M280" s="667"/>
      <c r="N280" s="667"/>
      <c r="O280" s="667"/>
      <c r="P280" s="667">
        <v>40</v>
      </c>
      <c r="Q280" s="667"/>
      <c r="R280" s="667"/>
      <c r="S280" s="667"/>
      <c r="T280" s="667"/>
      <c r="U280" s="1013">
        <v>17</v>
      </c>
      <c r="V280" s="668">
        <f t="shared" si="79"/>
        <v>2380</v>
      </c>
      <c r="W280" s="668">
        <f t="shared" si="80"/>
        <v>0</v>
      </c>
      <c r="X280" s="668">
        <f t="shared" si="81"/>
        <v>0</v>
      </c>
      <c r="Y280" s="668">
        <f t="shared" si="82"/>
        <v>0</v>
      </c>
      <c r="Z280" s="668">
        <f t="shared" si="83"/>
        <v>2380</v>
      </c>
      <c r="AA280" s="668">
        <f t="shared" si="84"/>
        <v>0</v>
      </c>
      <c r="AB280" s="668">
        <f t="shared" si="85"/>
        <v>0</v>
      </c>
      <c r="AC280" s="668">
        <f t="shared" si="94"/>
        <v>680</v>
      </c>
      <c r="AD280" s="668">
        <f t="shared" si="86"/>
        <v>0</v>
      </c>
      <c r="AE280" s="668">
        <f t="shared" si="87"/>
        <v>0</v>
      </c>
      <c r="AF280" s="668">
        <f t="shared" si="88"/>
        <v>0</v>
      </c>
      <c r="AG280" s="668">
        <f t="shared" si="89"/>
        <v>0</v>
      </c>
      <c r="AH280" s="668"/>
      <c r="AI280" s="668"/>
      <c r="AJ280" s="668"/>
      <c r="AK280" s="668"/>
      <c r="AL280" s="668"/>
      <c r="AM280" s="668">
        <f t="shared" si="95"/>
        <v>0</v>
      </c>
      <c r="AN280" s="668">
        <f t="shared" si="90"/>
        <v>0</v>
      </c>
      <c r="AO280" s="668">
        <f t="shared" si="91"/>
        <v>0</v>
      </c>
      <c r="AP280" s="668">
        <f t="shared" si="96"/>
        <v>0</v>
      </c>
      <c r="AQ280" s="668">
        <f t="shared" si="92"/>
        <v>0</v>
      </c>
      <c r="AR280" s="668">
        <f t="shared" si="93"/>
        <v>0</v>
      </c>
      <c r="AS280" s="668"/>
      <c r="AT280" s="668"/>
      <c r="AU280" s="668"/>
      <c r="AV280" s="668"/>
      <c r="AW280" s="668"/>
      <c r="AX280" s="668"/>
      <c r="AY280" s="668"/>
      <c r="AZ280" s="668"/>
      <c r="BA280" s="668"/>
      <c r="BB280" s="668">
        <f t="shared" si="97"/>
        <v>0</v>
      </c>
      <c r="BC280" s="668"/>
      <c r="BD280" s="668"/>
      <c r="BE280" s="668"/>
      <c r="BF280" s="668"/>
      <c r="BG280" s="668"/>
      <c r="BH280" s="668"/>
      <c r="BI280" s="668"/>
    </row>
    <row r="281" spans="1:61" x14ac:dyDescent="0.2">
      <c r="A281" s="1013">
        <v>2120</v>
      </c>
      <c r="B281" s="1013" t="s">
        <v>465</v>
      </c>
      <c r="C281" s="1013" t="s">
        <v>984</v>
      </c>
      <c r="D281" s="667">
        <v>319</v>
      </c>
      <c r="E281" s="667"/>
      <c r="F281" s="667"/>
      <c r="G281" s="667"/>
      <c r="H281" s="667"/>
      <c r="I281" s="667"/>
      <c r="J281" s="667"/>
      <c r="K281" s="667"/>
      <c r="L281" s="667">
        <v>2</v>
      </c>
      <c r="M281" s="667"/>
      <c r="N281" s="667"/>
      <c r="O281" s="667"/>
      <c r="P281" s="667">
        <v>10</v>
      </c>
      <c r="Q281" s="667"/>
      <c r="R281" s="667"/>
      <c r="S281" s="667"/>
      <c r="T281" s="667"/>
      <c r="U281" s="1013">
        <v>12</v>
      </c>
      <c r="V281" s="668">
        <f t="shared" si="79"/>
        <v>3828</v>
      </c>
      <c r="W281" s="668">
        <f t="shared" si="80"/>
        <v>0</v>
      </c>
      <c r="X281" s="668">
        <f t="shared" si="81"/>
        <v>0</v>
      </c>
      <c r="Y281" s="668">
        <f t="shared" si="82"/>
        <v>0</v>
      </c>
      <c r="Z281" s="668">
        <f t="shared" si="83"/>
        <v>3828</v>
      </c>
      <c r="AA281" s="668">
        <f t="shared" si="84"/>
        <v>0</v>
      </c>
      <c r="AB281" s="668">
        <f t="shared" si="85"/>
        <v>0</v>
      </c>
      <c r="AC281" s="668">
        <f t="shared" si="94"/>
        <v>120</v>
      </c>
      <c r="AD281" s="668">
        <f t="shared" si="86"/>
        <v>0</v>
      </c>
      <c r="AE281" s="668">
        <f t="shared" si="87"/>
        <v>0</v>
      </c>
      <c r="AF281" s="668">
        <f t="shared" si="88"/>
        <v>24</v>
      </c>
      <c r="AG281" s="668">
        <f t="shared" si="89"/>
        <v>0</v>
      </c>
      <c r="AH281" s="668"/>
      <c r="AI281" s="668"/>
      <c r="AJ281" s="668"/>
      <c r="AK281" s="668"/>
      <c r="AL281" s="668"/>
      <c r="AM281" s="668">
        <f t="shared" si="95"/>
        <v>0</v>
      </c>
      <c r="AN281" s="668">
        <f t="shared" si="90"/>
        <v>0</v>
      </c>
      <c r="AO281" s="668">
        <f t="shared" si="91"/>
        <v>0</v>
      </c>
      <c r="AP281" s="668">
        <f t="shared" si="96"/>
        <v>0</v>
      </c>
      <c r="AQ281" s="668">
        <f t="shared" si="92"/>
        <v>0</v>
      </c>
      <c r="AR281" s="668">
        <f t="shared" si="93"/>
        <v>0</v>
      </c>
      <c r="AS281" s="668"/>
      <c r="AT281" s="668"/>
      <c r="AU281" s="668"/>
      <c r="AV281" s="668"/>
      <c r="AW281" s="668"/>
      <c r="AX281" s="668"/>
      <c r="AY281" s="668"/>
      <c r="AZ281" s="668"/>
      <c r="BA281" s="668"/>
      <c r="BB281" s="668">
        <f t="shared" si="97"/>
        <v>0</v>
      </c>
      <c r="BC281" s="668"/>
      <c r="BD281" s="668"/>
      <c r="BE281" s="668"/>
      <c r="BF281" s="668"/>
      <c r="BG281" s="668"/>
      <c r="BH281" s="668"/>
      <c r="BI281" s="668"/>
    </row>
    <row r="282" spans="1:61" x14ac:dyDescent="0.2">
      <c r="A282" s="1013">
        <v>2121</v>
      </c>
      <c r="B282" s="1013" t="s">
        <v>626</v>
      </c>
      <c r="C282" s="1013" t="s">
        <v>984</v>
      </c>
      <c r="D282" s="667">
        <v>112</v>
      </c>
      <c r="E282" s="667"/>
      <c r="F282" s="667"/>
      <c r="G282" s="667"/>
      <c r="H282" s="667"/>
      <c r="I282" s="667"/>
      <c r="J282" s="667"/>
      <c r="K282" s="667"/>
      <c r="L282" s="667"/>
      <c r="M282" s="667"/>
      <c r="N282" s="667"/>
      <c r="O282" s="667"/>
      <c r="P282" s="667">
        <v>80</v>
      </c>
      <c r="Q282" s="667"/>
      <c r="R282" s="667"/>
      <c r="S282" s="667"/>
      <c r="T282" s="667"/>
      <c r="U282" s="1013">
        <v>17</v>
      </c>
      <c r="V282" s="668">
        <f t="shared" si="79"/>
        <v>1904</v>
      </c>
      <c r="W282" s="668">
        <f t="shared" si="80"/>
        <v>0</v>
      </c>
      <c r="X282" s="668">
        <f t="shared" si="81"/>
        <v>0</v>
      </c>
      <c r="Y282" s="668">
        <f t="shared" si="82"/>
        <v>0</v>
      </c>
      <c r="Z282" s="668">
        <f t="shared" si="83"/>
        <v>1904</v>
      </c>
      <c r="AA282" s="668">
        <f t="shared" si="84"/>
        <v>0</v>
      </c>
      <c r="AB282" s="668">
        <f t="shared" si="85"/>
        <v>0</v>
      </c>
      <c r="AC282" s="668">
        <f t="shared" si="94"/>
        <v>1360</v>
      </c>
      <c r="AD282" s="668">
        <f t="shared" si="86"/>
        <v>0</v>
      </c>
      <c r="AE282" s="668">
        <f t="shared" si="87"/>
        <v>0</v>
      </c>
      <c r="AF282" s="668">
        <f t="shared" si="88"/>
        <v>0</v>
      </c>
      <c r="AG282" s="668">
        <f t="shared" si="89"/>
        <v>0</v>
      </c>
      <c r="AH282" s="668"/>
      <c r="AI282" s="668"/>
      <c r="AJ282" s="668"/>
      <c r="AK282" s="668"/>
      <c r="AL282" s="668"/>
      <c r="AM282" s="668">
        <f t="shared" si="95"/>
        <v>0</v>
      </c>
      <c r="AN282" s="668">
        <f t="shared" si="90"/>
        <v>0</v>
      </c>
      <c r="AO282" s="668">
        <f t="shared" si="91"/>
        <v>0</v>
      </c>
      <c r="AP282" s="668">
        <f t="shared" si="96"/>
        <v>0</v>
      </c>
      <c r="AQ282" s="668">
        <f t="shared" si="92"/>
        <v>0</v>
      </c>
      <c r="AR282" s="668">
        <f t="shared" si="93"/>
        <v>0</v>
      </c>
      <c r="AS282" s="668"/>
      <c r="AT282" s="668"/>
      <c r="AU282" s="668"/>
      <c r="AV282" s="668"/>
      <c r="AW282" s="668"/>
      <c r="AX282" s="668"/>
      <c r="AY282" s="668"/>
      <c r="AZ282" s="668"/>
      <c r="BA282" s="668"/>
      <c r="BB282" s="668">
        <f t="shared" si="97"/>
        <v>0</v>
      </c>
      <c r="BC282" s="668"/>
      <c r="BD282" s="668"/>
      <c r="BE282" s="668"/>
      <c r="BF282" s="668"/>
      <c r="BG282" s="668"/>
      <c r="BH282" s="668"/>
      <c r="BI282" s="668"/>
    </row>
    <row r="283" spans="1:61" x14ac:dyDescent="0.2">
      <c r="A283" s="1013">
        <v>2122</v>
      </c>
      <c r="B283" s="1013" t="s">
        <v>628</v>
      </c>
      <c r="C283" s="1013"/>
      <c r="D283" s="667">
        <v>295</v>
      </c>
      <c r="E283" s="667"/>
      <c r="F283" s="667"/>
      <c r="G283" s="667"/>
      <c r="H283" s="667"/>
      <c r="I283" s="667">
        <f>+D283</f>
        <v>295</v>
      </c>
      <c r="J283" s="667"/>
      <c r="K283" s="667"/>
      <c r="L283" s="667">
        <v>2</v>
      </c>
      <c r="M283" s="667"/>
      <c r="N283" s="667"/>
      <c r="O283" s="667"/>
      <c r="P283" s="667"/>
      <c r="Q283" s="667"/>
      <c r="R283" s="667"/>
      <c r="S283" s="667"/>
      <c r="T283" s="1024">
        <v>4712</v>
      </c>
      <c r="U283" s="1013">
        <v>17</v>
      </c>
      <c r="V283" s="668">
        <f t="shared" si="79"/>
        <v>5015</v>
      </c>
      <c r="W283" s="668">
        <f t="shared" si="80"/>
        <v>0</v>
      </c>
      <c r="X283" s="668">
        <f t="shared" si="81"/>
        <v>0</v>
      </c>
      <c r="Y283" s="668">
        <f t="shared" si="82"/>
        <v>0</v>
      </c>
      <c r="Z283" s="668">
        <f t="shared" si="83"/>
        <v>0</v>
      </c>
      <c r="AA283" s="668">
        <f t="shared" si="84"/>
        <v>0</v>
      </c>
      <c r="AB283" s="1032"/>
      <c r="AC283" s="668">
        <f t="shared" si="94"/>
        <v>0</v>
      </c>
      <c r="AD283" s="668">
        <f t="shared" si="86"/>
        <v>0</v>
      </c>
      <c r="AE283" s="668">
        <f t="shared" si="87"/>
        <v>0</v>
      </c>
      <c r="AF283" s="668">
        <f t="shared" si="88"/>
        <v>34</v>
      </c>
      <c r="AG283" s="668">
        <f t="shared" si="89"/>
        <v>0</v>
      </c>
      <c r="AH283" s="668"/>
      <c r="AI283" s="668"/>
      <c r="AJ283" s="668"/>
      <c r="AK283" s="668"/>
      <c r="AL283" s="668"/>
      <c r="AM283" s="668">
        <f t="shared" si="95"/>
        <v>295</v>
      </c>
      <c r="AN283" s="668">
        <f t="shared" si="90"/>
        <v>0</v>
      </c>
      <c r="AO283" s="668">
        <f t="shared" si="91"/>
        <v>0</v>
      </c>
      <c r="AP283" s="668">
        <f t="shared" si="96"/>
        <v>0</v>
      </c>
      <c r="AQ283" s="668">
        <f t="shared" si="92"/>
        <v>0</v>
      </c>
      <c r="AR283" s="668">
        <f t="shared" si="93"/>
        <v>0</v>
      </c>
      <c r="AS283" s="668"/>
      <c r="AT283" s="668"/>
      <c r="AU283" s="668"/>
      <c r="AV283" s="668"/>
      <c r="AW283" s="668"/>
      <c r="AX283" s="668"/>
      <c r="AY283" s="668"/>
      <c r="AZ283" s="668"/>
      <c r="BA283" s="668"/>
      <c r="BB283" s="668">
        <f t="shared" si="97"/>
        <v>0</v>
      </c>
      <c r="BC283" s="668"/>
      <c r="BD283" s="668"/>
      <c r="BE283" s="668"/>
      <c r="BF283" s="668"/>
      <c r="BG283" s="668"/>
      <c r="BH283" s="668"/>
      <c r="BI283" s="668"/>
    </row>
    <row r="284" spans="1:61" x14ac:dyDescent="0.2">
      <c r="A284" s="1013">
        <v>2123</v>
      </c>
      <c r="B284" s="1013" t="s">
        <v>629</v>
      </c>
      <c r="C284" s="1013"/>
      <c r="D284" s="667">
        <v>238</v>
      </c>
      <c r="E284" s="667"/>
      <c r="F284" s="667"/>
      <c r="G284" s="667"/>
      <c r="H284" s="667"/>
      <c r="I284" s="667">
        <f>+D284</f>
        <v>238</v>
      </c>
      <c r="J284" s="667"/>
      <c r="K284" s="667"/>
      <c r="L284" s="667">
        <v>2</v>
      </c>
      <c r="M284" s="667"/>
      <c r="N284" s="667"/>
      <c r="O284" s="667"/>
      <c r="P284" s="667"/>
      <c r="Q284" s="667"/>
      <c r="R284" s="667"/>
      <c r="S284" s="667"/>
      <c r="T284" s="1024">
        <v>2976</v>
      </c>
      <c r="U284" s="1013">
        <v>17</v>
      </c>
      <c r="V284" s="668">
        <f t="shared" si="79"/>
        <v>4046</v>
      </c>
      <c r="W284" s="668">
        <f t="shared" si="80"/>
        <v>0</v>
      </c>
      <c r="X284" s="668">
        <f t="shared" si="81"/>
        <v>0</v>
      </c>
      <c r="Y284" s="668">
        <f t="shared" si="82"/>
        <v>0</v>
      </c>
      <c r="Z284" s="668">
        <f t="shared" si="83"/>
        <v>0</v>
      </c>
      <c r="AA284" s="668">
        <f t="shared" si="84"/>
        <v>0</v>
      </c>
      <c r="AB284" s="1032"/>
      <c r="AC284" s="668">
        <f t="shared" si="94"/>
        <v>0</v>
      </c>
      <c r="AD284" s="668">
        <f t="shared" si="86"/>
        <v>0</v>
      </c>
      <c r="AE284" s="668">
        <f t="shared" si="87"/>
        <v>0</v>
      </c>
      <c r="AF284" s="668">
        <f t="shared" si="88"/>
        <v>34</v>
      </c>
      <c r="AG284" s="668">
        <f t="shared" si="89"/>
        <v>0</v>
      </c>
      <c r="AH284" s="668"/>
      <c r="AI284" s="668"/>
      <c r="AJ284" s="668"/>
      <c r="AK284" s="668"/>
      <c r="AL284" s="668"/>
      <c r="AM284" s="668">
        <f t="shared" si="95"/>
        <v>238</v>
      </c>
      <c r="AN284" s="668">
        <f t="shared" si="90"/>
        <v>0</v>
      </c>
      <c r="AO284" s="668">
        <f t="shared" si="91"/>
        <v>0</v>
      </c>
      <c r="AP284" s="668">
        <f t="shared" si="96"/>
        <v>0</v>
      </c>
      <c r="AQ284" s="668">
        <f t="shared" si="92"/>
        <v>0</v>
      </c>
      <c r="AR284" s="668">
        <f t="shared" si="93"/>
        <v>0</v>
      </c>
      <c r="AS284" s="668"/>
      <c r="AT284" s="668"/>
      <c r="AU284" s="668"/>
      <c r="AV284" s="668"/>
      <c r="AW284" s="668"/>
      <c r="AX284" s="668"/>
      <c r="AY284" s="668"/>
      <c r="AZ284" s="668"/>
      <c r="BA284" s="668"/>
      <c r="BB284" s="668">
        <f t="shared" si="97"/>
        <v>0</v>
      </c>
      <c r="BC284" s="668"/>
      <c r="BD284" s="668"/>
      <c r="BE284" s="668"/>
      <c r="BF284" s="668"/>
      <c r="BG284" s="668"/>
      <c r="BH284" s="668"/>
      <c r="BI284" s="668"/>
    </row>
    <row r="285" spans="1:61" x14ac:dyDescent="0.2">
      <c r="A285" s="1013">
        <v>2124</v>
      </c>
      <c r="B285" s="1013" t="s">
        <v>630</v>
      </c>
      <c r="C285" s="1013"/>
      <c r="D285" s="667">
        <v>169</v>
      </c>
      <c r="E285" s="667"/>
      <c r="F285" s="667"/>
      <c r="G285" s="667"/>
      <c r="H285" s="667"/>
      <c r="I285" s="667">
        <f>+D285</f>
        <v>169</v>
      </c>
      <c r="J285" s="667"/>
      <c r="K285" s="667"/>
      <c r="L285" s="667">
        <v>2</v>
      </c>
      <c r="M285" s="667"/>
      <c r="N285" s="667"/>
      <c r="O285" s="667"/>
      <c r="P285" s="667"/>
      <c r="Q285" s="667"/>
      <c r="R285" s="667"/>
      <c r="S285" s="667"/>
      <c r="T285" s="1024">
        <v>1577</v>
      </c>
      <c r="U285" s="1013">
        <v>17</v>
      </c>
      <c r="V285" s="668">
        <f t="shared" si="79"/>
        <v>2873</v>
      </c>
      <c r="W285" s="668">
        <f t="shared" si="80"/>
        <v>0</v>
      </c>
      <c r="X285" s="668">
        <f t="shared" si="81"/>
        <v>0</v>
      </c>
      <c r="Y285" s="668">
        <f t="shared" si="82"/>
        <v>0</v>
      </c>
      <c r="Z285" s="668">
        <f t="shared" si="83"/>
        <v>0</v>
      </c>
      <c r="AA285" s="668">
        <f t="shared" si="84"/>
        <v>0</v>
      </c>
      <c r="AB285" s="1032"/>
      <c r="AC285" s="668">
        <f t="shared" si="94"/>
        <v>0</v>
      </c>
      <c r="AD285" s="668">
        <f t="shared" si="86"/>
        <v>0</v>
      </c>
      <c r="AE285" s="668">
        <f t="shared" si="87"/>
        <v>0</v>
      </c>
      <c r="AF285" s="668">
        <f t="shared" si="88"/>
        <v>34</v>
      </c>
      <c r="AG285" s="668">
        <f t="shared" si="89"/>
        <v>0</v>
      </c>
      <c r="AH285" s="668"/>
      <c r="AI285" s="668"/>
      <c r="AJ285" s="668"/>
      <c r="AK285" s="668"/>
      <c r="AL285" s="668"/>
      <c r="AM285" s="668">
        <f t="shared" si="95"/>
        <v>169</v>
      </c>
      <c r="AN285" s="668">
        <f t="shared" si="90"/>
        <v>0</v>
      </c>
      <c r="AO285" s="668">
        <f t="shared" si="91"/>
        <v>0</v>
      </c>
      <c r="AP285" s="668">
        <f t="shared" si="96"/>
        <v>0</v>
      </c>
      <c r="AQ285" s="668">
        <f t="shared" si="92"/>
        <v>0</v>
      </c>
      <c r="AR285" s="668">
        <f t="shared" si="93"/>
        <v>0</v>
      </c>
      <c r="AS285" s="668"/>
      <c r="AT285" s="668"/>
      <c r="AU285" s="668"/>
      <c r="AV285" s="668"/>
      <c r="AW285" s="668"/>
      <c r="AX285" s="668"/>
      <c r="AY285" s="668"/>
      <c r="AZ285" s="668"/>
      <c r="BA285" s="668"/>
      <c r="BB285" s="668">
        <f t="shared" si="97"/>
        <v>0</v>
      </c>
      <c r="BC285" s="668"/>
      <c r="BD285" s="668"/>
      <c r="BE285" s="668"/>
      <c r="BF285" s="668"/>
      <c r="BG285" s="668"/>
      <c r="BH285" s="668"/>
      <c r="BI285" s="668"/>
    </row>
    <row r="286" spans="1:61" x14ac:dyDescent="0.2">
      <c r="A286" s="1013">
        <v>2125</v>
      </c>
      <c r="B286" s="1013" t="s">
        <v>486</v>
      </c>
      <c r="C286" s="1013"/>
      <c r="D286" s="667">
        <v>76</v>
      </c>
      <c r="E286" s="667"/>
      <c r="F286" s="667"/>
      <c r="G286" s="667"/>
      <c r="H286" s="667"/>
      <c r="I286" s="667"/>
      <c r="J286" s="667"/>
      <c r="K286" s="667"/>
      <c r="L286" s="667">
        <v>2</v>
      </c>
      <c r="M286" s="667"/>
      <c r="N286" s="667"/>
      <c r="O286" s="667"/>
      <c r="P286" s="667">
        <v>28</v>
      </c>
      <c r="Q286" s="1014">
        <v>559</v>
      </c>
      <c r="R286" s="667"/>
      <c r="S286" s="667"/>
      <c r="T286" s="667"/>
      <c r="U286" s="1013">
        <v>17</v>
      </c>
      <c r="V286" s="668">
        <f t="shared" si="79"/>
        <v>1292</v>
      </c>
      <c r="W286" s="668">
        <f t="shared" si="80"/>
        <v>0</v>
      </c>
      <c r="X286" s="668">
        <f t="shared" si="81"/>
        <v>0</v>
      </c>
      <c r="Y286" s="668">
        <f t="shared" si="82"/>
        <v>0</v>
      </c>
      <c r="Z286" s="668">
        <f t="shared" si="83"/>
        <v>0</v>
      </c>
      <c r="AA286" s="668">
        <f t="shared" si="84"/>
        <v>0</v>
      </c>
      <c r="AB286" s="668">
        <f t="shared" si="85"/>
        <v>0</v>
      </c>
      <c r="AC286" s="668">
        <f t="shared" si="94"/>
        <v>476</v>
      </c>
      <c r="AD286" s="668">
        <f t="shared" si="86"/>
        <v>559</v>
      </c>
      <c r="AE286" s="668">
        <f t="shared" si="87"/>
        <v>0</v>
      </c>
      <c r="AF286" s="668">
        <f t="shared" si="88"/>
        <v>34</v>
      </c>
      <c r="AG286" s="668">
        <f t="shared" si="89"/>
        <v>0</v>
      </c>
      <c r="AH286" s="668"/>
      <c r="AI286" s="668"/>
      <c r="AJ286" s="668"/>
      <c r="AK286" s="668"/>
      <c r="AL286" s="668"/>
      <c r="AM286" s="668">
        <f t="shared" si="95"/>
        <v>0</v>
      </c>
      <c r="AN286" s="668">
        <f t="shared" si="90"/>
        <v>0</v>
      </c>
      <c r="AO286" s="668">
        <f t="shared" si="91"/>
        <v>0</v>
      </c>
      <c r="AP286" s="668">
        <f t="shared" si="96"/>
        <v>0</v>
      </c>
      <c r="AQ286" s="668">
        <f t="shared" si="92"/>
        <v>0</v>
      </c>
      <c r="AR286" s="668">
        <f t="shared" si="93"/>
        <v>0</v>
      </c>
      <c r="AS286" s="668"/>
      <c r="AT286" s="668"/>
      <c r="AU286" s="668"/>
      <c r="AV286" s="668"/>
      <c r="AW286" s="668"/>
      <c r="AX286" s="668"/>
      <c r="AY286" s="668"/>
      <c r="AZ286" s="668"/>
      <c r="BA286" s="668"/>
      <c r="BB286" s="668">
        <f t="shared" si="97"/>
        <v>0</v>
      </c>
      <c r="BC286" s="668"/>
      <c r="BD286" s="668"/>
      <c r="BE286" s="668"/>
      <c r="BF286" s="668"/>
      <c r="BG286" s="668"/>
      <c r="BH286" s="668"/>
      <c r="BI286" s="668"/>
    </row>
    <row r="287" spans="1:61" x14ac:dyDescent="0.2">
      <c r="A287" s="1013">
        <v>2126</v>
      </c>
      <c r="B287" s="1013" t="s">
        <v>486</v>
      </c>
      <c r="C287" s="1013"/>
      <c r="D287" s="667">
        <v>118</v>
      </c>
      <c r="E287" s="667"/>
      <c r="F287" s="667"/>
      <c r="G287" s="667"/>
      <c r="H287" s="667"/>
      <c r="I287" s="667"/>
      <c r="J287" s="667"/>
      <c r="K287" s="667"/>
      <c r="L287" s="667">
        <v>2</v>
      </c>
      <c r="M287" s="667"/>
      <c r="N287" s="667"/>
      <c r="O287" s="667"/>
      <c r="P287" s="667">
        <v>2</v>
      </c>
      <c r="Q287" s="1014">
        <v>672</v>
      </c>
      <c r="R287" s="667"/>
      <c r="S287" s="667"/>
      <c r="T287" s="667"/>
      <c r="U287" s="1013">
        <v>17</v>
      </c>
      <c r="V287" s="668">
        <f t="shared" si="79"/>
        <v>2006</v>
      </c>
      <c r="W287" s="668">
        <f t="shared" si="80"/>
        <v>0</v>
      </c>
      <c r="X287" s="668">
        <f t="shared" si="81"/>
        <v>0</v>
      </c>
      <c r="Y287" s="668">
        <f t="shared" si="82"/>
        <v>0</v>
      </c>
      <c r="Z287" s="668">
        <f t="shared" si="83"/>
        <v>0</v>
      </c>
      <c r="AA287" s="668">
        <f t="shared" si="84"/>
        <v>0</v>
      </c>
      <c r="AB287" s="668">
        <f t="shared" si="85"/>
        <v>0</v>
      </c>
      <c r="AC287" s="668">
        <f t="shared" si="94"/>
        <v>34</v>
      </c>
      <c r="AD287" s="668">
        <f t="shared" si="86"/>
        <v>672</v>
      </c>
      <c r="AE287" s="668">
        <f t="shared" si="87"/>
        <v>0</v>
      </c>
      <c r="AF287" s="668">
        <f t="shared" si="88"/>
        <v>34</v>
      </c>
      <c r="AG287" s="668">
        <f t="shared" si="89"/>
        <v>0</v>
      </c>
      <c r="AH287" s="668"/>
      <c r="AI287" s="668"/>
      <c r="AJ287" s="668"/>
      <c r="AK287" s="668"/>
      <c r="AL287" s="668"/>
      <c r="AM287" s="668">
        <f t="shared" si="95"/>
        <v>0</v>
      </c>
      <c r="AN287" s="668">
        <f t="shared" si="90"/>
        <v>0</v>
      </c>
      <c r="AO287" s="668">
        <f t="shared" si="91"/>
        <v>0</v>
      </c>
      <c r="AP287" s="668">
        <f t="shared" si="96"/>
        <v>0</v>
      </c>
      <c r="AQ287" s="668">
        <f t="shared" si="92"/>
        <v>0</v>
      </c>
      <c r="AR287" s="668">
        <f t="shared" si="93"/>
        <v>0</v>
      </c>
      <c r="AS287" s="668"/>
      <c r="AT287" s="668"/>
      <c r="AU287" s="668"/>
      <c r="AV287" s="668"/>
      <c r="AW287" s="668"/>
      <c r="AX287" s="668"/>
      <c r="AY287" s="668"/>
      <c r="AZ287" s="668"/>
      <c r="BA287" s="668"/>
      <c r="BB287" s="668">
        <f t="shared" si="97"/>
        <v>0</v>
      </c>
      <c r="BC287" s="668"/>
      <c r="BD287" s="668"/>
      <c r="BE287" s="668"/>
      <c r="BF287" s="668"/>
      <c r="BG287" s="668"/>
      <c r="BH287" s="668"/>
      <c r="BI287" s="668"/>
    </row>
    <row r="288" spans="1:61" x14ac:dyDescent="0.2">
      <c r="A288" s="1013">
        <v>2127</v>
      </c>
      <c r="B288" s="1013" t="s">
        <v>631</v>
      </c>
      <c r="C288" s="1013"/>
      <c r="D288" s="667">
        <v>284</v>
      </c>
      <c r="E288" s="667"/>
      <c r="F288" s="667"/>
      <c r="G288" s="667"/>
      <c r="H288" s="667"/>
      <c r="I288" s="667">
        <f>+D288</f>
        <v>284</v>
      </c>
      <c r="J288" s="667"/>
      <c r="K288" s="667"/>
      <c r="L288" s="667">
        <v>6</v>
      </c>
      <c r="M288" s="667"/>
      <c r="N288" s="667"/>
      <c r="O288" s="667"/>
      <c r="P288" s="667"/>
      <c r="Q288" s="667"/>
      <c r="R288" s="667"/>
      <c r="S288" s="667"/>
      <c r="T288" s="1024">
        <v>4039</v>
      </c>
      <c r="U288" s="1013">
        <v>17</v>
      </c>
      <c r="V288" s="668">
        <f t="shared" si="79"/>
        <v>4828</v>
      </c>
      <c r="W288" s="668">
        <f t="shared" si="80"/>
        <v>0</v>
      </c>
      <c r="X288" s="668">
        <f t="shared" si="81"/>
        <v>0</v>
      </c>
      <c r="Y288" s="668">
        <f t="shared" si="82"/>
        <v>0</v>
      </c>
      <c r="Z288" s="668">
        <f t="shared" si="83"/>
        <v>0</v>
      </c>
      <c r="AA288" s="668">
        <f t="shared" si="84"/>
        <v>0</v>
      </c>
      <c r="AB288" s="1032"/>
      <c r="AC288" s="668">
        <f t="shared" si="94"/>
        <v>0</v>
      </c>
      <c r="AD288" s="668">
        <f t="shared" si="86"/>
        <v>0</v>
      </c>
      <c r="AE288" s="668">
        <f t="shared" si="87"/>
        <v>0</v>
      </c>
      <c r="AF288" s="668">
        <f t="shared" si="88"/>
        <v>102</v>
      </c>
      <c r="AG288" s="668">
        <f t="shared" si="89"/>
        <v>0</v>
      </c>
      <c r="AH288" s="668"/>
      <c r="AI288" s="668"/>
      <c r="AJ288" s="668"/>
      <c r="AK288" s="668"/>
      <c r="AL288" s="668"/>
      <c r="AM288" s="668">
        <f t="shared" si="95"/>
        <v>284</v>
      </c>
      <c r="AN288" s="668">
        <f t="shared" si="90"/>
        <v>0</v>
      </c>
      <c r="AO288" s="668">
        <f t="shared" si="91"/>
        <v>0</v>
      </c>
      <c r="AP288" s="668">
        <f t="shared" si="96"/>
        <v>0</v>
      </c>
      <c r="AQ288" s="668">
        <f t="shared" si="92"/>
        <v>0</v>
      </c>
      <c r="AR288" s="668">
        <f t="shared" si="93"/>
        <v>0</v>
      </c>
      <c r="AS288" s="668"/>
      <c r="AT288" s="668"/>
      <c r="AU288" s="668"/>
      <c r="AV288" s="668"/>
      <c r="AW288" s="668"/>
      <c r="AX288" s="668"/>
      <c r="AY288" s="668"/>
      <c r="AZ288" s="668"/>
      <c r="BA288" s="668"/>
      <c r="BB288" s="668">
        <f t="shared" si="97"/>
        <v>0</v>
      </c>
      <c r="BC288" s="668"/>
      <c r="BD288" s="668"/>
      <c r="BE288" s="668"/>
      <c r="BF288" s="668"/>
      <c r="BG288" s="668"/>
      <c r="BH288" s="668"/>
      <c r="BI288" s="668"/>
    </row>
    <row r="289" spans="1:61" x14ac:dyDescent="0.2">
      <c r="A289" s="1013">
        <v>2128</v>
      </c>
      <c r="B289" s="1013" t="s">
        <v>632</v>
      </c>
      <c r="C289" s="1013"/>
      <c r="D289" s="667">
        <v>259</v>
      </c>
      <c r="E289" s="667"/>
      <c r="F289" s="667"/>
      <c r="G289" s="667"/>
      <c r="H289" s="667"/>
      <c r="I289" s="667">
        <f>+D289</f>
        <v>259</v>
      </c>
      <c r="J289" s="667"/>
      <c r="K289" s="667"/>
      <c r="L289" s="667">
        <v>6</v>
      </c>
      <c r="M289" s="667"/>
      <c r="N289" s="667"/>
      <c r="O289" s="667"/>
      <c r="P289" s="667"/>
      <c r="Q289" s="667"/>
      <c r="R289" s="667"/>
      <c r="S289" s="667"/>
      <c r="T289" s="1024">
        <v>3715</v>
      </c>
      <c r="U289" s="1013">
        <v>17</v>
      </c>
      <c r="V289" s="668">
        <f t="shared" si="79"/>
        <v>4403</v>
      </c>
      <c r="W289" s="668">
        <f t="shared" si="80"/>
        <v>0</v>
      </c>
      <c r="X289" s="668">
        <f t="shared" si="81"/>
        <v>0</v>
      </c>
      <c r="Y289" s="668">
        <f t="shared" si="82"/>
        <v>0</v>
      </c>
      <c r="Z289" s="668">
        <f t="shared" si="83"/>
        <v>0</v>
      </c>
      <c r="AA289" s="668">
        <f t="shared" si="84"/>
        <v>0</v>
      </c>
      <c r="AB289" s="1032"/>
      <c r="AC289" s="668">
        <f t="shared" si="94"/>
        <v>0</v>
      </c>
      <c r="AD289" s="668">
        <f t="shared" si="86"/>
        <v>0</v>
      </c>
      <c r="AE289" s="668">
        <f t="shared" si="87"/>
        <v>0</v>
      </c>
      <c r="AF289" s="668">
        <f t="shared" si="88"/>
        <v>102</v>
      </c>
      <c r="AG289" s="668">
        <f t="shared" si="89"/>
        <v>0</v>
      </c>
      <c r="AH289" s="668"/>
      <c r="AI289" s="668"/>
      <c r="AJ289" s="668"/>
      <c r="AK289" s="668"/>
      <c r="AL289" s="668"/>
      <c r="AM289" s="668">
        <f t="shared" si="95"/>
        <v>259</v>
      </c>
      <c r="AN289" s="668">
        <f t="shared" si="90"/>
        <v>0</v>
      </c>
      <c r="AO289" s="668">
        <f t="shared" si="91"/>
        <v>0</v>
      </c>
      <c r="AP289" s="668">
        <f t="shared" si="96"/>
        <v>0</v>
      </c>
      <c r="AQ289" s="668">
        <f t="shared" si="92"/>
        <v>0</v>
      </c>
      <c r="AR289" s="668">
        <f t="shared" si="93"/>
        <v>0</v>
      </c>
      <c r="AS289" s="668"/>
      <c r="AT289" s="668"/>
      <c r="AU289" s="668"/>
      <c r="AV289" s="668"/>
      <c r="AW289" s="668"/>
      <c r="AX289" s="668"/>
      <c r="AY289" s="668"/>
      <c r="AZ289" s="668"/>
      <c r="BA289" s="668"/>
      <c r="BB289" s="668">
        <f t="shared" si="97"/>
        <v>0</v>
      </c>
      <c r="BC289" s="668"/>
      <c r="BD289" s="668"/>
      <c r="BE289" s="668"/>
      <c r="BF289" s="668"/>
      <c r="BG289" s="668"/>
      <c r="BH289" s="668"/>
      <c r="BI289" s="668"/>
    </row>
    <row r="290" spans="1:61" x14ac:dyDescent="0.2">
      <c r="A290" s="1013">
        <v>2129</v>
      </c>
      <c r="B290" s="1013" t="s">
        <v>633</v>
      </c>
      <c r="C290" s="1013"/>
      <c r="D290" s="667">
        <v>163</v>
      </c>
      <c r="E290" s="667"/>
      <c r="F290" s="667"/>
      <c r="G290" s="667"/>
      <c r="H290" s="667"/>
      <c r="I290" s="667">
        <f>+D290</f>
        <v>163</v>
      </c>
      <c r="J290" s="667"/>
      <c r="K290" s="667"/>
      <c r="L290" s="667">
        <v>4</v>
      </c>
      <c r="M290" s="667"/>
      <c r="N290" s="667"/>
      <c r="O290" s="667"/>
      <c r="P290" s="667"/>
      <c r="Q290" s="667"/>
      <c r="R290" s="667"/>
      <c r="S290" s="667"/>
      <c r="T290" s="1024">
        <v>1592</v>
      </c>
      <c r="U290" s="1013">
        <v>17</v>
      </c>
      <c r="V290" s="668">
        <f t="shared" si="79"/>
        <v>2771</v>
      </c>
      <c r="W290" s="668">
        <f t="shared" si="80"/>
        <v>0</v>
      </c>
      <c r="X290" s="668">
        <f t="shared" si="81"/>
        <v>0</v>
      </c>
      <c r="Y290" s="668">
        <f t="shared" si="82"/>
        <v>0</v>
      </c>
      <c r="Z290" s="668">
        <f t="shared" si="83"/>
        <v>0</v>
      </c>
      <c r="AA290" s="668">
        <f t="shared" si="84"/>
        <v>0</v>
      </c>
      <c r="AB290" s="1032"/>
      <c r="AC290" s="668">
        <f t="shared" si="94"/>
        <v>0</v>
      </c>
      <c r="AD290" s="668">
        <f t="shared" si="86"/>
        <v>0</v>
      </c>
      <c r="AE290" s="668">
        <f t="shared" si="87"/>
        <v>0</v>
      </c>
      <c r="AF290" s="668">
        <f t="shared" si="88"/>
        <v>68</v>
      </c>
      <c r="AG290" s="668">
        <f t="shared" si="89"/>
        <v>0</v>
      </c>
      <c r="AH290" s="668"/>
      <c r="AI290" s="668"/>
      <c r="AJ290" s="668"/>
      <c r="AK290" s="668"/>
      <c r="AL290" s="668"/>
      <c r="AM290" s="668">
        <f t="shared" si="95"/>
        <v>163</v>
      </c>
      <c r="AN290" s="668">
        <f t="shared" si="90"/>
        <v>0</v>
      </c>
      <c r="AO290" s="668">
        <f t="shared" si="91"/>
        <v>0</v>
      </c>
      <c r="AP290" s="668">
        <f t="shared" si="96"/>
        <v>0</v>
      </c>
      <c r="AQ290" s="668">
        <f t="shared" si="92"/>
        <v>0</v>
      </c>
      <c r="AR290" s="668">
        <f t="shared" si="93"/>
        <v>0</v>
      </c>
      <c r="AS290" s="668"/>
      <c r="AT290" s="668"/>
      <c r="AU290" s="668"/>
      <c r="AV290" s="668"/>
      <c r="AW290" s="668"/>
      <c r="AX290" s="668"/>
      <c r="AY290" s="668"/>
      <c r="AZ290" s="668"/>
      <c r="BA290" s="668"/>
      <c r="BB290" s="668">
        <f t="shared" si="97"/>
        <v>0</v>
      </c>
      <c r="BC290" s="668"/>
      <c r="BD290" s="668"/>
      <c r="BE290" s="668"/>
      <c r="BF290" s="668"/>
      <c r="BG290" s="668"/>
      <c r="BH290" s="668"/>
      <c r="BI290" s="668"/>
    </row>
    <row r="291" spans="1:61" x14ac:dyDescent="0.2">
      <c r="A291" s="1013">
        <v>2130</v>
      </c>
      <c r="B291" s="1013" t="s">
        <v>634</v>
      </c>
      <c r="C291" s="1013"/>
      <c r="D291" s="667">
        <v>186</v>
      </c>
      <c r="E291" s="667"/>
      <c r="F291" s="667"/>
      <c r="G291" s="667"/>
      <c r="H291" s="667"/>
      <c r="I291" s="667">
        <f>+D291</f>
        <v>186</v>
      </c>
      <c r="J291" s="667"/>
      <c r="K291" s="667"/>
      <c r="L291" s="667">
        <v>6</v>
      </c>
      <c r="M291" s="667"/>
      <c r="N291" s="667"/>
      <c r="O291" s="667"/>
      <c r="P291" s="667"/>
      <c r="Q291" s="667"/>
      <c r="R291" s="667"/>
      <c r="S291" s="667"/>
      <c r="T291" s="1024">
        <v>1961</v>
      </c>
      <c r="U291" s="1013">
        <v>17</v>
      </c>
      <c r="V291" s="668">
        <f t="shared" si="79"/>
        <v>3162</v>
      </c>
      <c r="W291" s="668">
        <f t="shared" si="80"/>
        <v>0</v>
      </c>
      <c r="X291" s="668">
        <f t="shared" si="81"/>
        <v>0</v>
      </c>
      <c r="Y291" s="668">
        <f t="shared" si="82"/>
        <v>0</v>
      </c>
      <c r="Z291" s="668">
        <f t="shared" si="83"/>
        <v>0</v>
      </c>
      <c r="AA291" s="668">
        <f t="shared" si="84"/>
        <v>0</v>
      </c>
      <c r="AB291" s="1032"/>
      <c r="AC291" s="668">
        <f t="shared" si="94"/>
        <v>0</v>
      </c>
      <c r="AD291" s="668">
        <f t="shared" si="86"/>
        <v>0</v>
      </c>
      <c r="AE291" s="668">
        <f t="shared" si="87"/>
        <v>0</v>
      </c>
      <c r="AF291" s="668">
        <f t="shared" si="88"/>
        <v>102</v>
      </c>
      <c r="AG291" s="668">
        <f t="shared" si="89"/>
        <v>0</v>
      </c>
      <c r="AH291" s="668"/>
      <c r="AI291" s="668"/>
      <c r="AJ291" s="668"/>
      <c r="AK291" s="668"/>
      <c r="AL291" s="668"/>
      <c r="AM291" s="668">
        <f t="shared" si="95"/>
        <v>186</v>
      </c>
      <c r="AN291" s="668">
        <f t="shared" si="90"/>
        <v>0</v>
      </c>
      <c r="AO291" s="668">
        <f t="shared" si="91"/>
        <v>0</v>
      </c>
      <c r="AP291" s="668">
        <f t="shared" si="96"/>
        <v>0</v>
      </c>
      <c r="AQ291" s="668">
        <f t="shared" si="92"/>
        <v>0</v>
      </c>
      <c r="AR291" s="668">
        <f t="shared" si="93"/>
        <v>0</v>
      </c>
      <c r="AS291" s="668"/>
      <c r="AT291" s="668"/>
      <c r="AU291" s="668"/>
      <c r="AV291" s="668"/>
      <c r="AW291" s="668"/>
      <c r="AX291" s="668"/>
      <c r="AY291" s="668"/>
      <c r="AZ291" s="668"/>
      <c r="BA291" s="668"/>
      <c r="BB291" s="668">
        <f t="shared" si="97"/>
        <v>0</v>
      </c>
      <c r="BC291" s="668"/>
      <c r="BD291" s="668"/>
      <c r="BE291" s="668"/>
      <c r="BF291" s="668"/>
      <c r="BG291" s="668"/>
      <c r="BH291" s="668"/>
      <c r="BI291" s="668"/>
    </row>
    <row r="292" spans="1:61" x14ac:dyDescent="0.2">
      <c r="A292" s="1013">
        <v>2131</v>
      </c>
      <c r="B292" s="1013" t="s">
        <v>486</v>
      </c>
      <c r="C292" s="1013"/>
      <c r="D292" s="667">
        <v>153</v>
      </c>
      <c r="E292" s="667"/>
      <c r="F292" s="667"/>
      <c r="G292" s="667"/>
      <c r="H292" s="667"/>
      <c r="I292" s="667"/>
      <c r="J292" s="667"/>
      <c r="K292" s="667"/>
      <c r="L292" s="667">
        <v>4</v>
      </c>
      <c r="M292" s="667"/>
      <c r="N292" s="667"/>
      <c r="O292" s="667"/>
      <c r="P292" s="667">
        <v>10</v>
      </c>
      <c r="Q292" s="1014">
        <v>1439</v>
      </c>
      <c r="R292" s="667"/>
      <c r="S292" s="667"/>
      <c r="T292" s="667"/>
      <c r="U292" s="1013">
        <v>17</v>
      </c>
      <c r="V292" s="668">
        <f t="shared" si="79"/>
        <v>2601</v>
      </c>
      <c r="W292" s="668">
        <f t="shared" si="80"/>
        <v>0</v>
      </c>
      <c r="X292" s="668">
        <f t="shared" si="81"/>
        <v>0</v>
      </c>
      <c r="Y292" s="668">
        <f t="shared" si="82"/>
        <v>0</v>
      </c>
      <c r="Z292" s="668">
        <f t="shared" si="83"/>
        <v>0</v>
      </c>
      <c r="AA292" s="668">
        <f t="shared" si="84"/>
        <v>0</v>
      </c>
      <c r="AB292" s="668">
        <f t="shared" si="85"/>
        <v>0</v>
      </c>
      <c r="AC292" s="668">
        <f t="shared" si="94"/>
        <v>170</v>
      </c>
      <c r="AD292" s="668">
        <f t="shared" si="86"/>
        <v>1439</v>
      </c>
      <c r="AE292" s="668">
        <f t="shared" si="87"/>
        <v>0</v>
      </c>
      <c r="AF292" s="668">
        <f t="shared" si="88"/>
        <v>68</v>
      </c>
      <c r="AG292" s="668">
        <f t="shared" si="89"/>
        <v>0</v>
      </c>
      <c r="AH292" s="668"/>
      <c r="AI292" s="668"/>
      <c r="AJ292" s="668"/>
      <c r="AK292" s="668"/>
      <c r="AL292" s="668"/>
      <c r="AM292" s="668">
        <f t="shared" si="95"/>
        <v>0</v>
      </c>
      <c r="AN292" s="668">
        <f t="shared" si="90"/>
        <v>0</v>
      </c>
      <c r="AO292" s="668">
        <f t="shared" si="91"/>
        <v>0</v>
      </c>
      <c r="AP292" s="668">
        <f t="shared" si="96"/>
        <v>0</v>
      </c>
      <c r="AQ292" s="668">
        <f t="shared" si="92"/>
        <v>0</v>
      </c>
      <c r="AR292" s="668">
        <f t="shared" si="93"/>
        <v>0</v>
      </c>
      <c r="AS292" s="668"/>
      <c r="AT292" s="668"/>
      <c r="AU292" s="668"/>
      <c r="AV292" s="668"/>
      <c r="AW292" s="668"/>
      <c r="AX292" s="668"/>
      <c r="AY292" s="668"/>
      <c r="AZ292" s="668"/>
      <c r="BA292" s="668"/>
      <c r="BB292" s="668">
        <f t="shared" si="97"/>
        <v>0</v>
      </c>
      <c r="BC292" s="668"/>
      <c r="BD292" s="668"/>
      <c r="BE292" s="668"/>
      <c r="BF292" s="668"/>
      <c r="BG292" s="668"/>
      <c r="BH292" s="668"/>
      <c r="BI292" s="668"/>
    </row>
    <row r="293" spans="1:61" x14ac:dyDescent="0.2">
      <c r="A293" s="1013">
        <v>2133</v>
      </c>
      <c r="B293" s="1013" t="s">
        <v>476</v>
      </c>
      <c r="C293" s="1013"/>
      <c r="D293" s="667">
        <v>67</v>
      </c>
      <c r="E293" s="667"/>
      <c r="F293" s="667"/>
      <c r="G293" s="667"/>
      <c r="H293" s="667"/>
      <c r="I293" s="667"/>
      <c r="J293" s="667"/>
      <c r="K293" s="667"/>
      <c r="L293" s="667"/>
      <c r="M293" s="667"/>
      <c r="N293" s="667"/>
      <c r="O293" s="667"/>
      <c r="P293" s="667">
        <v>18</v>
      </c>
      <c r="Q293" s="667"/>
      <c r="R293" s="667"/>
      <c r="S293" s="667"/>
      <c r="T293" s="667"/>
      <c r="U293" s="1013">
        <v>17</v>
      </c>
      <c r="V293" s="668">
        <f t="shared" si="79"/>
        <v>1139</v>
      </c>
      <c r="W293" s="668">
        <f t="shared" si="80"/>
        <v>0</v>
      </c>
      <c r="X293" s="668">
        <f t="shared" si="81"/>
        <v>0</v>
      </c>
      <c r="Y293" s="668">
        <f t="shared" si="82"/>
        <v>0</v>
      </c>
      <c r="Z293" s="668">
        <f t="shared" si="83"/>
        <v>0</v>
      </c>
      <c r="AA293" s="668">
        <f t="shared" si="84"/>
        <v>0</v>
      </c>
      <c r="AB293" s="668">
        <f t="shared" si="85"/>
        <v>0</v>
      </c>
      <c r="AC293" s="668">
        <f t="shared" si="94"/>
        <v>306</v>
      </c>
      <c r="AD293" s="668">
        <f t="shared" si="86"/>
        <v>0</v>
      </c>
      <c r="AE293" s="668">
        <f t="shared" si="87"/>
        <v>0</v>
      </c>
      <c r="AF293" s="668">
        <f t="shared" si="88"/>
        <v>0</v>
      </c>
      <c r="AG293" s="668">
        <f t="shared" si="89"/>
        <v>0</v>
      </c>
      <c r="AH293" s="668"/>
      <c r="AI293" s="668"/>
      <c r="AJ293" s="668"/>
      <c r="AK293" s="668"/>
      <c r="AL293" s="668"/>
      <c r="AM293" s="668">
        <f t="shared" si="95"/>
        <v>0</v>
      </c>
      <c r="AN293" s="668">
        <f t="shared" si="90"/>
        <v>0</v>
      </c>
      <c r="AO293" s="668">
        <f t="shared" si="91"/>
        <v>0</v>
      </c>
      <c r="AP293" s="668">
        <f t="shared" si="96"/>
        <v>0</v>
      </c>
      <c r="AQ293" s="668">
        <f t="shared" si="92"/>
        <v>0</v>
      </c>
      <c r="AR293" s="668">
        <f t="shared" si="93"/>
        <v>0</v>
      </c>
      <c r="AS293" s="668"/>
      <c r="AT293" s="668"/>
      <c r="AU293" s="668"/>
      <c r="AV293" s="668"/>
      <c r="AW293" s="668"/>
      <c r="AX293" s="668"/>
      <c r="AY293" s="668"/>
      <c r="AZ293" s="668"/>
      <c r="BA293" s="668"/>
      <c r="BB293" s="668">
        <f t="shared" si="97"/>
        <v>0</v>
      </c>
      <c r="BC293" s="668"/>
      <c r="BD293" s="668"/>
      <c r="BE293" s="668"/>
      <c r="BF293" s="668"/>
      <c r="BG293" s="668"/>
      <c r="BH293" s="668"/>
      <c r="BI293" s="668"/>
    </row>
    <row r="294" spans="1:61" x14ac:dyDescent="0.2">
      <c r="A294" s="1013">
        <v>2134</v>
      </c>
      <c r="B294" s="1013" t="s">
        <v>579</v>
      </c>
      <c r="C294" s="1013"/>
      <c r="D294" s="667">
        <v>57</v>
      </c>
      <c r="E294" s="667"/>
      <c r="F294" s="667"/>
      <c r="G294" s="667"/>
      <c r="H294" s="667"/>
      <c r="I294" s="667"/>
      <c r="J294" s="667"/>
      <c r="K294" s="667"/>
      <c r="L294" s="667"/>
      <c r="M294" s="667"/>
      <c r="N294" s="667"/>
      <c r="O294" s="667"/>
      <c r="P294" s="667"/>
      <c r="Q294" s="667"/>
      <c r="R294" s="667"/>
      <c r="S294" s="667"/>
      <c r="T294" s="667"/>
      <c r="U294" s="1013">
        <v>17</v>
      </c>
      <c r="V294" s="668">
        <f t="shared" si="79"/>
        <v>969</v>
      </c>
      <c r="W294" s="668">
        <f t="shared" si="80"/>
        <v>0</v>
      </c>
      <c r="X294" s="668">
        <f t="shared" si="81"/>
        <v>0</v>
      </c>
      <c r="Y294" s="668">
        <f t="shared" si="82"/>
        <v>0</v>
      </c>
      <c r="Z294" s="668">
        <f t="shared" si="83"/>
        <v>0</v>
      </c>
      <c r="AA294" s="668">
        <f t="shared" si="84"/>
        <v>0</v>
      </c>
      <c r="AB294" s="668">
        <f t="shared" si="85"/>
        <v>0</v>
      </c>
      <c r="AC294" s="668">
        <f t="shared" si="94"/>
        <v>0</v>
      </c>
      <c r="AD294" s="668">
        <f t="shared" si="86"/>
        <v>0</v>
      </c>
      <c r="AE294" s="668">
        <f t="shared" si="87"/>
        <v>0</v>
      </c>
      <c r="AF294" s="668">
        <f t="shared" si="88"/>
        <v>0</v>
      </c>
      <c r="AG294" s="668">
        <f t="shared" si="89"/>
        <v>0</v>
      </c>
      <c r="AH294" s="668"/>
      <c r="AI294" s="668"/>
      <c r="AJ294" s="668"/>
      <c r="AK294" s="668"/>
      <c r="AL294" s="668"/>
      <c r="AM294" s="668">
        <f t="shared" si="95"/>
        <v>0</v>
      </c>
      <c r="AN294" s="668">
        <f t="shared" si="90"/>
        <v>0</v>
      </c>
      <c r="AO294" s="668">
        <f t="shared" si="91"/>
        <v>0</v>
      </c>
      <c r="AP294" s="668">
        <f t="shared" si="96"/>
        <v>0</v>
      </c>
      <c r="AQ294" s="668">
        <f t="shared" si="92"/>
        <v>0</v>
      </c>
      <c r="AR294" s="668">
        <f t="shared" si="93"/>
        <v>0</v>
      </c>
      <c r="AS294" s="668"/>
      <c r="AT294" s="668"/>
      <c r="AU294" s="668"/>
      <c r="AV294" s="668"/>
      <c r="AW294" s="668"/>
      <c r="AX294" s="668"/>
      <c r="AY294" s="668"/>
      <c r="AZ294" s="668"/>
      <c r="BA294" s="668"/>
      <c r="BB294" s="668">
        <f t="shared" si="97"/>
        <v>0</v>
      </c>
      <c r="BC294" s="668"/>
      <c r="BD294" s="668"/>
      <c r="BE294" s="668"/>
      <c r="BF294" s="668"/>
      <c r="BG294" s="668"/>
      <c r="BH294" s="668"/>
      <c r="BI294" s="668"/>
    </row>
    <row r="295" spans="1:61" x14ac:dyDescent="0.2">
      <c r="A295" s="1013">
        <v>2135</v>
      </c>
      <c r="B295" s="1013" t="s">
        <v>635</v>
      </c>
      <c r="C295" s="1013"/>
      <c r="D295" s="667">
        <v>63</v>
      </c>
      <c r="E295" s="667"/>
      <c r="F295" s="667"/>
      <c r="G295" s="667"/>
      <c r="H295" s="667"/>
      <c r="I295" s="667"/>
      <c r="J295" s="667"/>
      <c r="K295" s="667"/>
      <c r="L295" s="667">
        <v>2</v>
      </c>
      <c r="M295" s="667"/>
      <c r="N295" s="667"/>
      <c r="O295" s="667"/>
      <c r="P295" s="667">
        <v>5</v>
      </c>
      <c r="Q295" s="1014">
        <v>178</v>
      </c>
      <c r="R295" s="667"/>
      <c r="S295" s="667"/>
      <c r="T295" s="667"/>
      <c r="U295" s="1013">
        <v>17</v>
      </c>
      <c r="V295" s="668">
        <f t="shared" si="79"/>
        <v>1071</v>
      </c>
      <c r="W295" s="668">
        <f t="shared" si="80"/>
        <v>0</v>
      </c>
      <c r="X295" s="668">
        <f t="shared" si="81"/>
        <v>0</v>
      </c>
      <c r="Y295" s="668">
        <f t="shared" si="82"/>
        <v>0</v>
      </c>
      <c r="Z295" s="668">
        <f t="shared" si="83"/>
        <v>0</v>
      </c>
      <c r="AA295" s="668">
        <f t="shared" si="84"/>
        <v>0</v>
      </c>
      <c r="AB295" s="668">
        <f t="shared" si="85"/>
        <v>0</v>
      </c>
      <c r="AC295" s="668">
        <f t="shared" si="94"/>
        <v>85</v>
      </c>
      <c r="AD295" s="668">
        <f t="shared" si="86"/>
        <v>178</v>
      </c>
      <c r="AE295" s="668">
        <f t="shared" si="87"/>
        <v>0</v>
      </c>
      <c r="AF295" s="668">
        <f t="shared" si="88"/>
        <v>34</v>
      </c>
      <c r="AG295" s="668">
        <f t="shared" si="89"/>
        <v>0</v>
      </c>
      <c r="AH295" s="668"/>
      <c r="AI295" s="668"/>
      <c r="AJ295" s="668"/>
      <c r="AK295" s="668"/>
      <c r="AL295" s="668"/>
      <c r="AM295" s="668">
        <f t="shared" si="95"/>
        <v>0</v>
      </c>
      <c r="AN295" s="668">
        <f t="shared" si="90"/>
        <v>0</v>
      </c>
      <c r="AO295" s="668">
        <f t="shared" si="91"/>
        <v>0</v>
      </c>
      <c r="AP295" s="668">
        <f t="shared" si="96"/>
        <v>0</v>
      </c>
      <c r="AQ295" s="668">
        <f t="shared" si="92"/>
        <v>0</v>
      </c>
      <c r="AR295" s="668">
        <f t="shared" si="93"/>
        <v>0</v>
      </c>
      <c r="AS295" s="668"/>
      <c r="AT295" s="668"/>
      <c r="AU295" s="668"/>
      <c r="AV295" s="668"/>
      <c r="AW295" s="668"/>
      <c r="AX295" s="668"/>
      <c r="AY295" s="668"/>
      <c r="AZ295" s="668"/>
      <c r="BA295" s="668"/>
      <c r="BB295" s="668">
        <f t="shared" si="97"/>
        <v>0</v>
      </c>
      <c r="BC295" s="668"/>
      <c r="BD295" s="668"/>
      <c r="BE295" s="668"/>
      <c r="BF295" s="668"/>
      <c r="BG295" s="668"/>
      <c r="BH295" s="668"/>
      <c r="BI295" s="668"/>
    </row>
    <row r="296" spans="1:61" x14ac:dyDescent="0.2">
      <c r="A296" s="1013">
        <v>2136</v>
      </c>
      <c r="B296" s="1013" t="s">
        <v>636</v>
      </c>
      <c r="C296" s="1013"/>
      <c r="D296" s="667">
        <v>167</v>
      </c>
      <c r="E296" s="667"/>
      <c r="F296" s="667"/>
      <c r="G296" s="667"/>
      <c r="H296" s="667"/>
      <c r="I296" s="667">
        <f>+D296</f>
        <v>167</v>
      </c>
      <c r="J296" s="667"/>
      <c r="K296" s="667"/>
      <c r="L296" s="667">
        <v>4</v>
      </c>
      <c r="M296" s="667"/>
      <c r="N296" s="667"/>
      <c r="O296" s="667"/>
      <c r="P296" s="667"/>
      <c r="Q296" s="667"/>
      <c r="R296" s="667"/>
      <c r="S296" s="667"/>
      <c r="T296" s="1024">
        <v>1623</v>
      </c>
      <c r="U296" s="1013">
        <v>17</v>
      </c>
      <c r="V296" s="668">
        <f t="shared" si="79"/>
        <v>2839</v>
      </c>
      <c r="W296" s="668">
        <f t="shared" si="80"/>
        <v>0</v>
      </c>
      <c r="X296" s="668">
        <f t="shared" si="81"/>
        <v>0</v>
      </c>
      <c r="Y296" s="668">
        <f t="shared" si="82"/>
        <v>0</v>
      </c>
      <c r="Z296" s="668">
        <f t="shared" si="83"/>
        <v>0</v>
      </c>
      <c r="AA296" s="668">
        <f t="shared" si="84"/>
        <v>0</v>
      </c>
      <c r="AB296" s="1032"/>
      <c r="AC296" s="668">
        <f t="shared" si="94"/>
        <v>0</v>
      </c>
      <c r="AD296" s="668">
        <f t="shared" si="86"/>
        <v>0</v>
      </c>
      <c r="AE296" s="668">
        <f t="shared" si="87"/>
        <v>0</v>
      </c>
      <c r="AF296" s="668">
        <f t="shared" si="88"/>
        <v>68</v>
      </c>
      <c r="AG296" s="668">
        <f t="shared" si="89"/>
        <v>0</v>
      </c>
      <c r="AH296" s="668"/>
      <c r="AI296" s="668"/>
      <c r="AJ296" s="668"/>
      <c r="AK296" s="668"/>
      <c r="AL296" s="668"/>
      <c r="AM296" s="668">
        <f t="shared" si="95"/>
        <v>167</v>
      </c>
      <c r="AN296" s="668">
        <f t="shared" si="90"/>
        <v>0</v>
      </c>
      <c r="AO296" s="668">
        <f t="shared" si="91"/>
        <v>0</v>
      </c>
      <c r="AP296" s="668">
        <f t="shared" si="96"/>
        <v>0</v>
      </c>
      <c r="AQ296" s="668">
        <f t="shared" si="92"/>
        <v>0</v>
      </c>
      <c r="AR296" s="668">
        <f t="shared" si="93"/>
        <v>0</v>
      </c>
      <c r="AS296" s="668"/>
      <c r="AT296" s="668"/>
      <c r="AU296" s="668"/>
      <c r="AV296" s="668"/>
      <c r="AW296" s="668"/>
      <c r="AX296" s="668"/>
      <c r="AY296" s="668"/>
      <c r="AZ296" s="668"/>
      <c r="BA296" s="668"/>
      <c r="BB296" s="668">
        <f t="shared" si="97"/>
        <v>0</v>
      </c>
      <c r="BC296" s="668"/>
      <c r="BD296" s="668"/>
      <c r="BE296" s="668"/>
      <c r="BF296" s="668"/>
      <c r="BG296" s="668"/>
      <c r="BH296" s="668"/>
      <c r="BI296" s="668"/>
    </row>
    <row r="297" spans="1:61" x14ac:dyDescent="0.2">
      <c r="A297" s="1013">
        <v>2137</v>
      </c>
      <c r="B297" s="1013" t="s">
        <v>637</v>
      </c>
      <c r="C297" s="1013"/>
      <c r="D297" s="667">
        <v>323</v>
      </c>
      <c r="E297" s="667"/>
      <c r="F297" s="667"/>
      <c r="G297" s="667"/>
      <c r="H297" s="667"/>
      <c r="I297" s="667">
        <f>+D297</f>
        <v>323</v>
      </c>
      <c r="J297" s="667"/>
      <c r="K297" s="667"/>
      <c r="L297" s="667">
        <v>2</v>
      </c>
      <c r="M297" s="667"/>
      <c r="N297" s="667"/>
      <c r="O297" s="667"/>
      <c r="P297" s="667"/>
      <c r="Q297" s="667"/>
      <c r="R297" s="667"/>
      <c r="S297" s="667"/>
      <c r="T297" s="1024">
        <v>5750</v>
      </c>
      <c r="U297" s="1013">
        <v>17</v>
      </c>
      <c r="V297" s="668">
        <f t="shared" si="79"/>
        <v>5491</v>
      </c>
      <c r="W297" s="668">
        <f t="shared" si="80"/>
        <v>0</v>
      </c>
      <c r="X297" s="668">
        <f t="shared" si="81"/>
        <v>0</v>
      </c>
      <c r="Y297" s="668">
        <f t="shared" si="82"/>
        <v>0</v>
      </c>
      <c r="Z297" s="668">
        <f t="shared" si="83"/>
        <v>0</v>
      </c>
      <c r="AA297" s="668">
        <f t="shared" si="84"/>
        <v>0</v>
      </c>
      <c r="AB297" s="1032"/>
      <c r="AC297" s="668">
        <f t="shared" si="94"/>
        <v>0</v>
      </c>
      <c r="AD297" s="668">
        <f t="shared" si="86"/>
        <v>0</v>
      </c>
      <c r="AE297" s="668">
        <f t="shared" si="87"/>
        <v>0</v>
      </c>
      <c r="AF297" s="668">
        <f t="shared" si="88"/>
        <v>34</v>
      </c>
      <c r="AG297" s="668">
        <f t="shared" si="89"/>
        <v>0</v>
      </c>
      <c r="AH297" s="668"/>
      <c r="AI297" s="668"/>
      <c r="AJ297" s="668"/>
      <c r="AK297" s="668"/>
      <c r="AL297" s="668"/>
      <c r="AM297" s="668">
        <f t="shared" si="95"/>
        <v>323</v>
      </c>
      <c r="AN297" s="668">
        <f t="shared" si="90"/>
        <v>0</v>
      </c>
      <c r="AO297" s="668">
        <f t="shared" si="91"/>
        <v>0</v>
      </c>
      <c r="AP297" s="668">
        <f t="shared" si="96"/>
        <v>0</v>
      </c>
      <c r="AQ297" s="668">
        <f t="shared" si="92"/>
        <v>0</v>
      </c>
      <c r="AR297" s="668">
        <f t="shared" si="93"/>
        <v>0</v>
      </c>
      <c r="AS297" s="668"/>
      <c r="AT297" s="668"/>
      <c r="AU297" s="668"/>
      <c r="AV297" s="668"/>
      <c r="AW297" s="668"/>
      <c r="AX297" s="668"/>
      <c r="AY297" s="668"/>
      <c r="AZ297" s="668"/>
      <c r="BA297" s="668"/>
      <c r="BB297" s="668">
        <f t="shared" si="97"/>
        <v>0</v>
      </c>
      <c r="BC297" s="668"/>
      <c r="BD297" s="668"/>
      <c r="BE297" s="668"/>
      <c r="BF297" s="668"/>
      <c r="BG297" s="668"/>
      <c r="BH297" s="668"/>
      <c r="BI297" s="668"/>
    </row>
    <row r="298" spans="1:61" x14ac:dyDescent="0.2">
      <c r="A298" s="1013">
        <v>2138</v>
      </c>
      <c r="B298" s="1013" t="s">
        <v>638</v>
      </c>
      <c r="C298" s="1013"/>
      <c r="D298" s="667">
        <v>157</v>
      </c>
      <c r="E298" s="667"/>
      <c r="F298" s="667"/>
      <c r="G298" s="667"/>
      <c r="H298" s="667"/>
      <c r="I298" s="667">
        <f>+D298</f>
        <v>157</v>
      </c>
      <c r="J298" s="667"/>
      <c r="K298" s="667"/>
      <c r="L298" s="667">
        <v>4</v>
      </c>
      <c r="M298" s="667"/>
      <c r="N298" s="667"/>
      <c r="O298" s="667"/>
      <c r="P298" s="667"/>
      <c r="Q298" s="667"/>
      <c r="R298" s="667"/>
      <c r="S298" s="667"/>
      <c r="T298" s="1024">
        <v>1268</v>
      </c>
      <c r="U298" s="1013">
        <v>17</v>
      </c>
      <c r="V298" s="668">
        <f t="shared" si="79"/>
        <v>2669</v>
      </c>
      <c r="W298" s="668">
        <f t="shared" si="80"/>
        <v>0</v>
      </c>
      <c r="X298" s="668">
        <f t="shared" si="81"/>
        <v>0</v>
      </c>
      <c r="Y298" s="668">
        <f t="shared" si="82"/>
        <v>0</v>
      </c>
      <c r="Z298" s="668">
        <f t="shared" si="83"/>
        <v>0</v>
      </c>
      <c r="AA298" s="668">
        <f t="shared" si="84"/>
        <v>0</v>
      </c>
      <c r="AB298" s="1032"/>
      <c r="AC298" s="668">
        <f t="shared" si="94"/>
        <v>0</v>
      </c>
      <c r="AD298" s="668">
        <f t="shared" si="86"/>
        <v>0</v>
      </c>
      <c r="AE298" s="668">
        <f t="shared" si="87"/>
        <v>0</v>
      </c>
      <c r="AF298" s="668">
        <f t="shared" si="88"/>
        <v>68</v>
      </c>
      <c r="AG298" s="668">
        <f t="shared" si="89"/>
        <v>0</v>
      </c>
      <c r="AH298" s="668"/>
      <c r="AI298" s="668"/>
      <c r="AJ298" s="668"/>
      <c r="AK298" s="668"/>
      <c r="AL298" s="668"/>
      <c r="AM298" s="668">
        <f t="shared" si="95"/>
        <v>157</v>
      </c>
      <c r="AN298" s="668">
        <f t="shared" si="90"/>
        <v>0</v>
      </c>
      <c r="AO298" s="668">
        <f t="shared" si="91"/>
        <v>0</v>
      </c>
      <c r="AP298" s="668">
        <f t="shared" si="96"/>
        <v>0</v>
      </c>
      <c r="AQ298" s="668">
        <f t="shared" si="92"/>
        <v>0</v>
      </c>
      <c r="AR298" s="668">
        <f t="shared" si="93"/>
        <v>0</v>
      </c>
      <c r="AS298" s="668"/>
      <c r="AT298" s="668"/>
      <c r="AU298" s="668"/>
      <c r="AV298" s="668"/>
      <c r="AW298" s="668"/>
      <c r="AX298" s="668"/>
      <c r="AY298" s="668"/>
      <c r="AZ298" s="668"/>
      <c r="BA298" s="668"/>
      <c r="BB298" s="668">
        <f t="shared" si="97"/>
        <v>0</v>
      </c>
      <c r="BC298" s="668"/>
      <c r="BD298" s="668"/>
      <c r="BE298" s="668"/>
      <c r="BF298" s="668"/>
      <c r="BG298" s="668"/>
      <c r="BH298" s="668"/>
      <c r="BI298" s="668"/>
    </row>
    <row r="299" spans="1:61" x14ac:dyDescent="0.2">
      <c r="A299" s="1013">
        <v>2139</v>
      </c>
      <c r="B299" s="1013" t="s">
        <v>468</v>
      </c>
      <c r="C299" s="1013"/>
      <c r="D299" s="667">
        <v>43</v>
      </c>
      <c r="E299" s="667"/>
      <c r="F299" s="667"/>
      <c r="G299" s="667"/>
      <c r="H299" s="667"/>
      <c r="I299" s="667"/>
      <c r="J299" s="667"/>
      <c r="K299" s="667"/>
      <c r="L299" s="667">
        <v>2</v>
      </c>
      <c r="M299" s="667"/>
      <c r="N299" s="667"/>
      <c r="O299" s="667"/>
      <c r="P299" s="667"/>
      <c r="Q299" s="1014">
        <v>114</v>
      </c>
      <c r="R299" s="667"/>
      <c r="S299" s="667"/>
      <c r="T299" s="667"/>
      <c r="U299" s="1013">
        <v>13</v>
      </c>
      <c r="V299" s="668">
        <f t="shared" ref="V299:V362" si="98">+U299*D299</f>
        <v>559</v>
      </c>
      <c r="W299" s="668">
        <f t="shared" ref="W299:W362" si="99">+U299*G299</f>
        <v>0</v>
      </c>
      <c r="X299" s="668">
        <f t="shared" ref="X299:X362" si="100">+U299*H299</f>
        <v>0</v>
      </c>
      <c r="Y299" s="668">
        <f t="shared" ref="Y299:Y362" si="101">+U299*J299</f>
        <v>0</v>
      </c>
      <c r="Z299" s="668">
        <f t="shared" ref="Z299:Z362" si="102">IF(C299="y",V299+W299+X299+Y299,0)</f>
        <v>0</v>
      </c>
      <c r="AA299" s="668">
        <f t="shared" ref="AA299:AA362" si="103">+S299</f>
        <v>0</v>
      </c>
      <c r="AB299" s="668">
        <f t="shared" ref="AB299:AB362" si="104">+T299</f>
        <v>0</v>
      </c>
      <c r="AC299" s="668">
        <f t="shared" si="94"/>
        <v>0</v>
      </c>
      <c r="AD299" s="668">
        <f t="shared" ref="AD299:AD362" si="105">+Q299</f>
        <v>114</v>
      </c>
      <c r="AE299" s="668">
        <f t="shared" ref="AE299:AE362" si="106">+U299*M299</f>
        <v>0</v>
      </c>
      <c r="AF299" s="668">
        <f t="shared" ref="AF299:AF362" si="107">+L299*U299</f>
        <v>26</v>
      </c>
      <c r="AG299" s="668">
        <f t="shared" ref="AG299:AG362" si="108">+$AG$4*N299</f>
        <v>0</v>
      </c>
      <c r="AH299" s="668"/>
      <c r="AI299" s="668"/>
      <c r="AJ299" s="668"/>
      <c r="AK299" s="668"/>
      <c r="AL299" s="668"/>
      <c r="AM299" s="668">
        <f t="shared" si="95"/>
        <v>0</v>
      </c>
      <c r="AN299" s="668">
        <f t="shared" si="90"/>
        <v>0</v>
      </c>
      <c r="AO299" s="668">
        <f t="shared" si="91"/>
        <v>0</v>
      </c>
      <c r="AP299" s="668">
        <f t="shared" si="96"/>
        <v>0</v>
      </c>
      <c r="AQ299" s="668">
        <f t="shared" si="92"/>
        <v>0</v>
      </c>
      <c r="AR299" s="668">
        <f t="shared" si="93"/>
        <v>0</v>
      </c>
      <c r="AS299" s="668"/>
      <c r="AT299" s="668"/>
      <c r="AU299" s="668"/>
      <c r="AV299" s="668"/>
      <c r="AW299" s="668"/>
      <c r="AX299" s="668"/>
      <c r="AY299" s="668"/>
      <c r="AZ299" s="668"/>
      <c r="BA299" s="668"/>
      <c r="BB299" s="668">
        <f t="shared" si="97"/>
        <v>0</v>
      </c>
      <c r="BC299" s="668"/>
      <c r="BD299" s="668"/>
      <c r="BE299" s="668"/>
      <c r="BF299" s="668"/>
      <c r="BG299" s="668"/>
      <c r="BH299" s="668"/>
      <c r="BI299" s="668"/>
    </row>
    <row r="300" spans="1:61" x14ac:dyDescent="0.2">
      <c r="A300" s="1013">
        <v>2140</v>
      </c>
      <c r="B300" s="1013" t="s">
        <v>621</v>
      </c>
      <c r="C300" s="1013" t="s">
        <v>984</v>
      </c>
      <c r="D300" s="667">
        <v>344</v>
      </c>
      <c r="E300" s="667"/>
      <c r="F300" s="667"/>
      <c r="G300" s="667"/>
      <c r="H300" s="667"/>
      <c r="I300" s="667"/>
      <c r="J300" s="667"/>
      <c r="K300" s="667"/>
      <c r="L300" s="667">
        <v>2</v>
      </c>
      <c r="M300" s="667"/>
      <c r="N300" s="667"/>
      <c r="O300" s="667"/>
      <c r="P300" s="667"/>
      <c r="Q300" s="667"/>
      <c r="R300" s="667"/>
      <c r="S300" s="667"/>
      <c r="T300" s="667"/>
      <c r="U300" s="1013">
        <v>12</v>
      </c>
      <c r="V300" s="668">
        <f t="shared" si="98"/>
        <v>4128</v>
      </c>
      <c r="W300" s="668">
        <f t="shared" si="99"/>
        <v>0</v>
      </c>
      <c r="X300" s="668">
        <f t="shared" si="100"/>
        <v>0</v>
      </c>
      <c r="Y300" s="668">
        <f t="shared" si="101"/>
        <v>0</v>
      </c>
      <c r="Z300" s="668">
        <f t="shared" si="102"/>
        <v>4128</v>
      </c>
      <c r="AA300" s="668">
        <f t="shared" si="103"/>
        <v>0</v>
      </c>
      <c r="AB300" s="668">
        <f t="shared" si="104"/>
        <v>0</v>
      </c>
      <c r="AC300" s="668">
        <f t="shared" si="94"/>
        <v>0</v>
      </c>
      <c r="AD300" s="668">
        <f t="shared" si="105"/>
        <v>0</v>
      </c>
      <c r="AE300" s="668">
        <f t="shared" si="106"/>
        <v>0</v>
      </c>
      <c r="AF300" s="668">
        <f t="shared" si="107"/>
        <v>24</v>
      </c>
      <c r="AG300" s="668">
        <f t="shared" si="108"/>
        <v>0</v>
      </c>
      <c r="AH300" s="668"/>
      <c r="AI300" s="668"/>
      <c r="AJ300" s="668"/>
      <c r="AK300" s="668"/>
      <c r="AL300" s="668"/>
      <c r="AM300" s="668">
        <f t="shared" si="95"/>
        <v>0</v>
      </c>
      <c r="AN300" s="668">
        <f t="shared" si="90"/>
        <v>0</v>
      </c>
      <c r="AO300" s="668">
        <f t="shared" si="91"/>
        <v>0</v>
      </c>
      <c r="AP300" s="668">
        <f t="shared" si="96"/>
        <v>0</v>
      </c>
      <c r="AQ300" s="668">
        <f t="shared" si="92"/>
        <v>0</v>
      </c>
      <c r="AR300" s="668">
        <f t="shared" si="93"/>
        <v>0</v>
      </c>
      <c r="AS300" s="668"/>
      <c r="AT300" s="668"/>
      <c r="AU300" s="668"/>
      <c r="AV300" s="668"/>
      <c r="AW300" s="668"/>
      <c r="AX300" s="668"/>
      <c r="AY300" s="668"/>
      <c r="AZ300" s="668"/>
      <c r="BA300" s="668"/>
      <c r="BB300" s="668">
        <f t="shared" si="97"/>
        <v>0</v>
      </c>
      <c r="BC300" s="668"/>
      <c r="BD300" s="668"/>
      <c r="BE300" s="668"/>
      <c r="BF300" s="668"/>
      <c r="BG300" s="668"/>
      <c r="BH300" s="668"/>
      <c r="BI300" s="668"/>
    </row>
    <row r="301" spans="1:61" x14ac:dyDescent="0.2">
      <c r="A301" s="1013">
        <v>2141</v>
      </c>
      <c r="B301" s="1013" t="s">
        <v>467</v>
      </c>
      <c r="C301" s="1013"/>
      <c r="D301" s="667">
        <v>80</v>
      </c>
      <c r="E301" s="667"/>
      <c r="F301" s="667"/>
      <c r="G301" s="667"/>
      <c r="H301" s="667"/>
      <c r="I301" s="667"/>
      <c r="J301" s="667"/>
      <c r="K301" s="667"/>
      <c r="L301" s="667"/>
      <c r="M301" s="667"/>
      <c r="N301" s="667"/>
      <c r="O301" s="667"/>
      <c r="P301" s="667"/>
      <c r="Q301" s="667"/>
      <c r="R301" s="667"/>
      <c r="S301" s="667"/>
      <c r="T301" s="667"/>
      <c r="U301" s="1013">
        <v>3</v>
      </c>
      <c r="V301" s="668">
        <f t="shared" si="98"/>
        <v>240</v>
      </c>
      <c r="W301" s="668">
        <f t="shared" si="99"/>
        <v>0</v>
      </c>
      <c r="X301" s="668">
        <f t="shared" si="100"/>
        <v>0</v>
      </c>
      <c r="Y301" s="668">
        <f t="shared" si="101"/>
        <v>0</v>
      </c>
      <c r="Z301" s="668">
        <f t="shared" si="102"/>
        <v>0</v>
      </c>
      <c r="AA301" s="668">
        <f t="shared" si="103"/>
        <v>0</v>
      </c>
      <c r="AB301" s="668">
        <f t="shared" si="104"/>
        <v>0</v>
      </c>
      <c r="AC301" s="668">
        <f t="shared" si="94"/>
        <v>0</v>
      </c>
      <c r="AD301" s="668">
        <f t="shared" si="105"/>
        <v>0</v>
      </c>
      <c r="AE301" s="668">
        <f t="shared" si="106"/>
        <v>0</v>
      </c>
      <c r="AF301" s="668">
        <f t="shared" si="107"/>
        <v>0</v>
      </c>
      <c r="AG301" s="668">
        <f t="shared" si="108"/>
        <v>0</v>
      </c>
      <c r="AH301" s="668"/>
      <c r="AI301" s="668"/>
      <c r="AJ301" s="668"/>
      <c r="AK301" s="668"/>
      <c r="AL301" s="668"/>
      <c r="AM301" s="668">
        <f t="shared" si="95"/>
        <v>0</v>
      </c>
      <c r="AN301" s="668">
        <f t="shared" si="90"/>
        <v>0</v>
      </c>
      <c r="AO301" s="668">
        <f t="shared" si="91"/>
        <v>0</v>
      </c>
      <c r="AP301" s="668">
        <f t="shared" si="96"/>
        <v>0</v>
      </c>
      <c r="AQ301" s="668">
        <f t="shared" si="92"/>
        <v>0</v>
      </c>
      <c r="AR301" s="668">
        <f t="shared" si="93"/>
        <v>0</v>
      </c>
      <c r="AS301" s="668"/>
      <c r="AT301" s="668"/>
      <c r="AU301" s="668"/>
      <c r="AV301" s="668"/>
      <c r="AW301" s="668"/>
      <c r="AX301" s="668"/>
      <c r="AY301" s="668"/>
      <c r="AZ301" s="668"/>
      <c r="BA301" s="668"/>
      <c r="BB301" s="668">
        <f t="shared" si="97"/>
        <v>0</v>
      </c>
      <c r="BC301" s="668"/>
      <c r="BD301" s="668"/>
      <c r="BE301" s="668"/>
      <c r="BF301" s="668"/>
      <c r="BG301" s="668"/>
      <c r="BH301" s="668"/>
      <c r="BI301" s="668"/>
    </row>
    <row r="302" spans="1:61" x14ac:dyDescent="0.2">
      <c r="A302" s="1013">
        <v>2142</v>
      </c>
      <c r="B302" s="1013" t="s">
        <v>466</v>
      </c>
      <c r="C302" s="1013"/>
      <c r="D302" s="667">
        <v>80</v>
      </c>
      <c r="E302" s="667"/>
      <c r="F302" s="667"/>
      <c r="G302" s="667"/>
      <c r="H302" s="667"/>
      <c r="I302" s="667"/>
      <c r="J302" s="667"/>
      <c r="K302" s="667"/>
      <c r="L302" s="667"/>
      <c r="M302" s="667"/>
      <c r="N302" s="667"/>
      <c r="O302" s="667"/>
      <c r="P302" s="667"/>
      <c r="Q302" s="667"/>
      <c r="R302" s="667"/>
      <c r="S302" s="667"/>
      <c r="T302" s="667"/>
      <c r="U302" s="1013"/>
      <c r="V302" s="668">
        <f t="shared" si="98"/>
        <v>0</v>
      </c>
      <c r="W302" s="668">
        <f t="shared" si="99"/>
        <v>0</v>
      </c>
      <c r="X302" s="668">
        <f t="shared" si="100"/>
        <v>0</v>
      </c>
      <c r="Y302" s="668">
        <f t="shared" si="101"/>
        <v>0</v>
      </c>
      <c r="Z302" s="668">
        <f t="shared" si="102"/>
        <v>0</v>
      </c>
      <c r="AA302" s="668">
        <f t="shared" si="103"/>
        <v>0</v>
      </c>
      <c r="AB302" s="668">
        <f t="shared" si="104"/>
        <v>0</v>
      </c>
      <c r="AC302" s="668">
        <f t="shared" si="94"/>
        <v>0</v>
      </c>
      <c r="AD302" s="668">
        <f t="shared" si="105"/>
        <v>0</v>
      </c>
      <c r="AE302" s="668">
        <f t="shared" si="106"/>
        <v>0</v>
      </c>
      <c r="AF302" s="668">
        <f t="shared" si="107"/>
        <v>0</v>
      </c>
      <c r="AG302" s="668">
        <f t="shared" si="108"/>
        <v>0</v>
      </c>
      <c r="AH302" s="668"/>
      <c r="AI302" s="668"/>
      <c r="AJ302" s="668"/>
      <c r="AK302" s="668"/>
      <c r="AL302" s="668"/>
      <c r="AM302" s="668">
        <f t="shared" si="95"/>
        <v>0</v>
      </c>
      <c r="AN302" s="668">
        <f t="shared" si="90"/>
        <v>0</v>
      </c>
      <c r="AO302" s="668">
        <f t="shared" si="91"/>
        <v>0</v>
      </c>
      <c r="AP302" s="668">
        <f t="shared" si="96"/>
        <v>0</v>
      </c>
      <c r="AQ302" s="668">
        <f t="shared" si="92"/>
        <v>0</v>
      </c>
      <c r="AR302" s="668">
        <f t="shared" si="93"/>
        <v>0</v>
      </c>
      <c r="AS302" s="668"/>
      <c r="AT302" s="668"/>
      <c r="AU302" s="668"/>
      <c r="AV302" s="668"/>
      <c r="AW302" s="668"/>
      <c r="AX302" s="668"/>
      <c r="AY302" s="668"/>
      <c r="AZ302" s="668"/>
      <c r="BA302" s="668"/>
      <c r="BB302" s="668">
        <f t="shared" si="97"/>
        <v>0</v>
      </c>
      <c r="BC302" s="668"/>
      <c r="BD302" s="668"/>
      <c r="BE302" s="668"/>
      <c r="BF302" s="668"/>
      <c r="BG302" s="668"/>
      <c r="BH302" s="668"/>
      <c r="BI302" s="668"/>
    </row>
    <row r="303" spans="1:61" x14ac:dyDescent="0.2">
      <c r="A303" s="1013">
        <v>2143</v>
      </c>
      <c r="B303" s="1013" t="s">
        <v>486</v>
      </c>
      <c r="C303" s="1013"/>
      <c r="D303" s="667">
        <v>73</v>
      </c>
      <c r="E303" s="667"/>
      <c r="F303" s="667"/>
      <c r="G303" s="667"/>
      <c r="H303" s="667"/>
      <c r="I303" s="667"/>
      <c r="J303" s="667"/>
      <c r="K303" s="667"/>
      <c r="L303" s="667"/>
      <c r="M303" s="667"/>
      <c r="N303" s="667"/>
      <c r="O303" s="667"/>
      <c r="P303" s="667"/>
      <c r="Q303" s="1014">
        <v>279</v>
      </c>
      <c r="R303" s="667"/>
      <c r="S303" s="667"/>
      <c r="T303" s="667"/>
      <c r="U303" s="1013">
        <v>17</v>
      </c>
      <c r="V303" s="668">
        <f t="shared" si="98"/>
        <v>1241</v>
      </c>
      <c r="W303" s="668">
        <f t="shared" si="99"/>
        <v>0</v>
      </c>
      <c r="X303" s="668">
        <f t="shared" si="100"/>
        <v>0</v>
      </c>
      <c r="Y303" s="668">
        <f t="shared" si="101"/>
        <v>0</v>
      </c>
      <c r="Z303" s="668">
        <f t="shared" si="102"/>
        <v>0</v>
      </c>
      <c r="AA303" s="668">
        <f t="shared" si="103"/>
        <v>0</v>
      </c>
      <c r="AB303" s="668">
        <f t="shared" si="104"/>
        <v>0</v>
      </c>
      <c r="AC303" s="668">
        <f t="shared" si="94"/>
        <v>0</v>
      </c>
      <c r="AD303" s="668">
        <f t="shared" si="105"/>
        <v>279</v>
      </c>
      <c r="AE303" s="668">
        <f t="shared" si="106"/>
        <v>0</v>
      </c>
      <c r="AF303" s="668">
        <f t="shared" si="107"/>
        <v>0</v>
      </c>
      <c r="AG303" s="668">
        <f t="shared" si="108"/>
        <v>0</v>
      </c>
      <c r="AH303" s="668"/>
      <c r="AI303" s="668"/>
      <c r="AJ303" s="668"/>
      <c r="AK303" s="668"/>
      <c r="AL303" s="668"/>
      <c r="AM303" s="668">
        <f t="shared" si="95"/>
        <v>0</v>
      </c>
      <c r="AN303" s="668">
        <f t="shared" si="90"/>
        <v>0</v>
      </c>
      <c r="AO303" s="668">
        <f t="shared" si="91"/>
        <v>0</v>
      </c>
      <c r="AP303" s="668">
        <f t="shared" si="96"/>
        <v>0</v>
      </c>
      <c r="AQ303" s="668">
        <f t="shared" si="92"/>
        <v>0</v>
      </c>
      <c r="AR303" s="668">
        <f t="shared" si="93"/>
        <v>0</v>
      </c>
      <c r="AS303" s="668"/>
      <c r="AT303" s="668"/>
      <c r="AU303" s="668"/>
      <c r="AV303" s="668"/>
      <c r="AW303" s="668"/>
      <c r="AX303" s="668"/>
      <c r="AY303" s="668"/>
      <c r="AZ303" s="668"/>
      <c r="BA303" s="668"/>
      <c r="BB303" s="668">
        <f t="shared" si="97"/>
        <v>0</v>
      </c>
      <c r="BC303" s="668"/>
      <c r="BD303" s="668"/>
      <c r="BE303" s="668"/>
      <c r="BF303" s="668"/>
      <c r="BG303" s="668"/>
      <c r="BH303" s="668"/>
      <c r="BI303" s="668"/>
    </row>
    <row r="304" spans="1:61" x14ac:dyDescent="0.2">
      <c r="A304" s="1013">
        <v>2144</v>
      </c>
      <c r="B304" s="1013" t="s">
        <v>486</v>
      </c>
      <c r="C304" s="1013"/>
      <c r="D304" s="667">
        <v>148</v>
      </c>
      <c r="E304" s="667"/>
      <c r="F304" s="667"/>
      <c r="G304" s="667"/>
      <c r="H304" s="667"/>
      <c r="I304" s="667"/>
      <c r="J304" s="667"/>
      <c r="K304" s="667"/>
      <c r="L304" s="667">
        <v>2</v>
      </c>
      <c r="M304" s="667"/>
      <c r="N304" s="667"/>
      <c r="O304" s="667"/>
      <c r="P304" s="667">
        <v>16</v>
      </c>
      <c r="Q304" s="1014">
        <v>952</v>
      </c>
      <c r="R304" s="667"/>
      <c r="S304" s="667"/>
      <c r="T304" s="667"/>
      <c r="U304" s="1013">
        <v>17</v>
      </c>
      <c r="V304" s="668">
        <f t="shared" si="98"/>
        <v>2516</v>
      </c>
      <c r="W304" s="668">
        <f t="shared" si="99"/>
        <v>0</v>
      </c>
      <c r="X304" s="668">
        <f t="shared" si="100"/>
        <v>0</v>
      </c>
      <c r="Y304" s="668">
        <f t="shared" si="101"/>
        <v>0</v>
      </c>
      <c r="Z304" s="668">
        <f t="shared" si="102"/>
        <v>0</v>
      </c>
      <c r="AA304" s="668">
        <f t="shared" si="103"/>
        <v>0</v>
      </c>
      <c r="AB304" s="668">
        <f t="shared" si="104"/>
        <v>0</v>
      </c>
      <c r="AC304" s="668">
        <f t="shared" si="94"/>
        <v>272</v>
      </c>
      <c r="AD304" s="668">
        <f t="shared" si="105"/>
        <v>952</v>
      </c>
      <c r="AE304" s="668">
        <f t="shared" si="106"/>
        <v>0</v>
      </c>
      <c r="AF304" s="668">
        <f t="shared" si="107"/>
        <v>34</v>
      </c>
      <c r="AG304" s="668">
        <f t="shared" si="108"/>
        <v>0</v>
      </c>
      <c r="AH304" s="668"/>
      <c r="AI304" s="668"/>
      <c r="AJ304" s="668"/>
      <c r="AK304" s="668"/>
      <c r="AL304" s="668"/>
      <c r="AM304" s="668">
        <f t="shared" si="95"/>
        <v>0</v>
      </c>
      <c r="AN304" s="668">
        <f t="shared" si="90"/>
        <v>0</v>
      </c>
      <c r="AO304" s="668">
        <f t="shared" si="91"/>
        <v>0</v>
      </c>
      <c r="AP304" s="668">
        <f t="shared" si="96"/>
        <v>0</v>
      </c>
      <c r="AQ304" s="668">
        <f t="shared" si="92"/>
        <v>0</v>
      </c>
      <c r="AR304" s="668">
        <f t="shared" si="93"/>
        <v>0</v>
      </c>
      <c r="AS304" s="668"/>
      <c r="AT304" s="668"/>
      <c r="AU304" s="668"/>
      <c r="AV304" s="668"/>
      <c r="AW304" s="668"/>
      <c r="AX304" s="668"/>
      <c r="AY304" s="668"/>
      <c r="AZ304" s="668"/>
      <c r="BA304" s="668"/>
      <c r="BB304" s="668">
        <f t="shared" si="97"/>
        <v>0</v>
      </c>
      <c r="BC304" s="668"/>
      <c r="BD304" s="668"/>
      <c r="BE304" s="668"/>
      <c r="BF304" s="668"/>
      <c r="BG304" s="668"/>
      <c r="BH304" s="668"/>
      <c r="BI304" s="668"/>
    </row>
    <row r="305" spans="1:61" x14ac:dyDescent="0.2">
      <c r="A305" s="1013">
        <v>2146</v>
      </c>
      <c r="B305" s="1013" t="s">
        <v>486</v>
      </c>
      <c r="C305" s="1013"/>
      <c r="D305" s="667">
        <v>104</v>
      </c>
      <c r="E305" s="667"/>
      <c r="F305" s="667"/>
      <c r="G305" s="667"/>
      <c r="H305" s="667"/>
      <c r="I305" s="667"/>
      <c r="J305" s="667"/>
      <c r="K305" s="667"/>
      <c r="L305" s="667">
        <v>2</v>
      </c>
      <c r="M305" s="667"/>
      <c r="N305" s="667"/>
      <c r="O305" s="667"/>
      <c r="P305" s="667">
        <v>8</v>
      </c>
      <c r="Q305" s="1014">
        <v>527</v>
      </c>
      <c r="R305" s="667"/>
      <c r="S305" s="667"/>
      <c r="T305" s="667"/>
      <c r="U305" s="1013">
        <v>17</v>
      </c>
      <c r="V305" s="668">
        <f t="shared" si="98"/>
        <v>1768</v>
      </c>
      <c r="W305" s="668">
        <f t="shared" si="99"/>
        <v>0</v>
      </c>
      <c r="X305" s="668">
        <f t="shared" si="100"/>
        <v>0</v>
      </c>
      <c r="Y305" s="668">
        <f t="shared" si="101"/>
        <v>0</v>
      </c>
      <c r="Z305" s="668">
        <f t="shared" si="102"/>
        <v>0</v>
      </c>
      <c r="AA305" s="668">
        <f t="shared" si="103"/>
        <v>0</v>
      </c>
      <c r="AB305" s="668">
        <f t="shared" si="104"/>
        <v>0</v>
      </c>
      <c r="AC305" s="668">
        <f t="shared" si="94"/>
        <v>136</v>
      </c>
      <c r="AD305" s="668">
        <f t="shared" si="105"/>
        <v>527</v>
      </c>
      <c r="AE305" s="668">
        <f t="shared" si="106"/>
        <v>0</v>
      </c>
      <c r="AF305" s="668">
        <f t="shared" si="107"/>
        <v>34</v>
      </c>
      <c r="AG305" s="668">
        <f t="shared" si="108"/>
        <v>0</v>
      </c>
      <c r="AH305" s="668"/>
      <c r="AI305" s="668"/>
      <c r="AJ305" s="668"/>
      <c r="AK305" s="668"/>
      <c r="AL305" s="668"/>
      <c r="AM305" s="668">
        <f t="shared" si="95"/>
        <v>0</v>
      </c>
      <c r="AN305" s="668">
        <f t="shared" si="90"/>
        <v>0</v>
      </c>
      <c r="AO305" s="668">
        <f t="shared" si="91"/>
        <v>0</v>
      </c>
      <c r="AP305" s="668">
        <f t="shared" si="96"/>
        <v>0</v>
      </c>
      <c r="AQ305" s="668">
        <f t="shared" si="92"/>
        <v>0</v>
      </c>
      <c r="AR305" s="668">
        <f t="shared" si="93"/>
        <v>0</v>
      </c>
      <c r="AS305" s="668"/>
      <c r="AT305" s="668"/>
      <c r="AU305" s="668"/>
      <c r="AV305" s="668"/>
      <c r="AW305" s="668"/>
      <c r="AX305" s="668"/>
      <c r="AY305" s="668"/>
      <c r="AZ305" s="668"/>
      <c r="BA305" s="668"/>
      <c r="BB305" s="668">
        <f t="shared" si="97"/>
        <v>0</v>
      </c>
      <c r="BC305" s="668"/>
      <c r="BD305" s="668"/>
      <c r="BE305" s="668"/>
      <c r="BF305" s="668"/>
      <c r="BG305" s="668"/>
      <c r="BH305" s="668"/>
      <c r="BI305" s="668"/>
    </row>
    <row r="306" spans="1:61" x14ac:dyDescent="0.2">
      <c r="A306" s="1013">
        <v>2147</v>
      </c>
      <c r="B306" s="1013" t="s">
        <v>635</v>
      </c>
      <c r="C306" s="1013"/>
      <c r="D306" s="667">
        <v>67</v>
      </c>
      <c r="E306" s="667"/>
      <c r="F306" s="667"/>
      <c r="G306" s="667"/>
      <c r="H306" s="667"/>
      <c r="I306" s="667"/>
      <c r="J306" s="667"/>
      <c r="K306" s="667"/>
      <c r="L306" s="667">
        <v>4</v>
      </c>
      <c r="M306" s="667"/>
      <c r="N306" s="667"/>
      <c r="O306" s="667"/>
      <c r="P306" s="667"/>
      <c r="Q306" s="1014">
        <v>225</v>
      </c>
      <c r="R306" s="667"/>
      <c r="S306" s="667"/>
      <c r="T306" s="667"/>
      <c r="U306" s="1013">
        <v>17</v>
      </c>
      <c r="V306" s="668">
        <f t="shared" si="98"/>
        <v>1139</v>
      </c>
      <c r="W306" s="668">
        <f t="shared" si="99"/>
        <v>0</v>
      </c>
      <c r="X306" s="668">
        <f t="shared" si="100"/>
        <v>0</v>
      </c>
      <c r="Y306" s="668">
        <f t="shared" si="101"/>
        <v>0</v>
      </c>
      <c r="Z306" s="668">
        <f t="shared" si="102"/>
        <v>0</v>
      </c>
      <c r="AA306" s="668">
        <f t="shared" si="103"/>
        <v>0</v>
      </c>
      <c r="AB306" s="668">
        <f t="shared" si="104"/>
        <v>0</v>
      </c>
      <c r="AC306" s="668">
        <f t="shared" si="94"/>
        <v>0</v>
      </c>
      <c r="AD306" s="668">
        <f t="shared" si="105"/>
        <v>225</v>
      </c>
      <c r="AE306" s="668">
        <f t="shared" si="106"/>
        <v>0</v>
      </c>
      <c r="AF306" s="668">
        <f t="shared" si="107"/>
        <v>68</v>
      </c>
      <c r="AG306" s="668">
        <f t="shared" si="108"/>
        <v>0</v>
      </c>
      <c r="AH306" s="668"/>
      <c r="AI306" s="668"/>
      <c r="AJ306" s="668"/>
      <c r="AK306" s="668"/>
      <c r="AL306" s="668"/>
      <c r="AM306" s="668">
        <f t="shared" si="95"/>
        <v>0</v>
      </c>
      <c r="AN306" s="668">
        <f t="shared" si="90"/>
        <v>0</v>
      </c>
      <c r="AO306" s="668">
        <f t="shared" si="91"/>
        <v>0</v>
      </c>
      <c r="AP306" s="668">
        <f t="shared" si="96"/>
        <v>0</v>
      </c>
      <c r="AQ306" s="668">
        <f t="shared" si="92"/>
        <v>0</v>
      </c>
      <c r="AR306" s="668">
        <f t="shared" si="93"/>
        <v>0</v>
      </c>
      <c r="AS306" s="668"/>
      <c r="AT306" s="668"/>
      <c r="AU306" s="668"/>
      <c r="AV306" s="668"/>
      <c r="AW306" s="668"/>
      <c r="AX306" s="668"/>
      <c r="AY306" s="668"/>
      <c r="AZ306" s="668"/>
      <c r="BA306" s="668"/>
      <c r="BB306" s="668">
        <f t="shared" si="97"/>
        <v>0</v>
      </c>
      <c r="BC306" s="668"/>
      <c r="BD306" s="668"/>
      <c r="BE306" s="668"/>
      <c r="BF306" s="668"/>
      <c r="BG306" s="668"/>
      <c r="BH306" s="668"/>
      <c r="BI306" s="668"/>
    </row>
    <row r="307" spans="1:61" x14ac:dyDescent="0.2">
      <c r="A307" s="1013">
        <v>2148</v>
      </c>
      <c r="B307" s="1013" t="s">
        <v>573</v>
      </c>
      <c r="C307" s="1013"/>
      <c r="D307" s="667">
        <v>39</v>
      </c>
      <c r="E307" s="667"/>
      <c r="F307" s="667"/>
      <c r="G307" s="667"/>
      <c r="H307" s="667"/>
      <c r="I307" s="667"/>
      <c r="J307" s="667"/>
      <c r="K307" s="667"/>
      <c r="L307" s="667"/>
      <c r="M307" s="667"/>
      <c r="N307" s="667"/>
      <c r="O307" s="667"/>
      <c r="P307" s="667"/>
      <c r="Q307" s="667"/>
      <c r="R307" s="667"/>
      <c r="S307" s="667"/>
      <c r="T307" s="667"/>
      <c r="U307" s="1013">
        <v>12</v>
      </c>
      <c r="V307" s="668">
        <f t="shared" si="98"/>
        <v>468</v>
      </c>
      <c r="W307" s="668">
        <f t="shared" si="99"/>
        <v>0</v>
      </c>
      <c r="X307" s="668">
        <f t="shared" si="100"/>
        <v>0</v>
      </c>
      <c r="Y307" s="668">
        <f t="shared" si="101"/>
        <v>0</v>
      </c>
      <c r="Z307" s="668">
        <f t="shared" si="102"/>
        <v>0</v>
      </c>
      <c r="AA307" s="668">
        <f t="shared" si="103"/>
        <v>0</v>
      </c>
      <c r="AB307" s="668">
        <f t="shared" si="104"/>
        <v>0</v>
      </c>
      <c r="AC307" s="668">
        <f t="shared" si="94"/>
        <v>0</v>
      </c>
      <c r="AD307" s="668">
        <f t="shared" si="105"/>
        <v>0</v>
      </c>
      <c r="AE307" s="668">
        <f t="shared" si="106"/>
        <v>0</v>
      </c>
      <c r="AF307" s="668">
        <f t="shared" si="107"/>
        <v>0</v>
      </c>
      <c r="AG307" s="668">
        <f t="shared" si="108"/>
        <v>0</v>
      </c>
      <c r="AH307" s="668"/>
      <c r="AI307" s="668"/>
      <c r="AJ307" s="668"/>
      <c r="AK307" s="668"/>
      <c r="AL307" s="668"/>
      <c r="AM307" s="668">
        <f t="shared" si="95"/>
        <v>0</v>
      </c>
      <c r="AN307" s="668">
        <f t="shared" si="90"/>
        <v>0</v>
      </c>
      <c r="AO307" s="668">
        <f t="shared" si="91"/>
        <v>0</v>
      </c>
      <c r="AP307" s="668">
        <f t="shared" si="96"/>
        <v>0</v>
      </c>
      <c r="AQ307" s="668">
        <f t="shared" si="92"/>
        <v>0</v>
      </c>
      <c r="AR307" s="668">
        <f t="shared" si="93"/>
        <v>0</v>
      </c>
      <c r="AS307" s="668"/>
      <c r="AT307" s="668"/>
      <c r="AU307" s="668"/>
      <c r="AV307" s="668"/>
      <c r="AW307" s="668"/>
      <c r="AX307" s="668"/>
      <c r="AY307" s="668"/>
      <c r="AZ307" s="668"/>
      <c r="BA307" s="668"/>
      <c r="BB307" s="668">
        <f t="shared" si="97"/>
        <v>0</v>
      </c>
      <c r="BC307" s="668"/>
      <c r="BD307" s="668"/>
      <c r="BE307" s="668"/>
      <c r="BF307" s="668"/>
      <c r="BG307" s="668"/>
      <c r="BH307" s="668"/>
      <c r="BI307" s="668"/>
    </row>
    <row r="308" spans="1:61" x14ac:dyDescent="0.2">
      <c r="A308" s="1013">
        <v>2149</v>
      </c>
      <c r="B308" s="1013" t="s">
        <v>486</v>
      </c>
      <c r="C308" s="1013"/>
      <c r="D308" s="667">
        <v>45</v>
      </c>
      <c r="E308" s="667"/>
      <c r="F308" s="667"/>
      <c r="G308" s="667"/>
      <c r="H308" s="667"/>
      <c r="I308" s="667"/>
      <c r="J308" s="667"/>
      <c r="K308" s="667"/>
      <c r="L308" s="667"/>
      <c r="M308" s="667"/>
      <c r="N308" s="667"/>
      <c r="O308" s="667"/>
      <c r="P308" s="667"/>
      <c r="Q308" s="1014">
        <v>90</v>
      </c>
      <c r="R308" s="667"/>
      <c r="S308" s="667"/>
      <c r="T308" s="667"/>
      <c r="U308" s="1013">
        <v>17</v>
      </c>
      <c r="V308" s="668">
        <f t="shared" si="98"/>
        <v>765</v>
      </c>
      <c r="W308" s="668">
        <f t="shared" si="99"/>
        <v>0</v>
      </c>
      <c r="X308" s="668">
        <f t="shared" si="100"/>
        <v>0</v>
      </c>
      <c r="Y308" s="668">
        <f t="shared" si="101"/>
        <v>0</v>
      </c>
      <c r="Z308" s="668">
        <f t="shared" si="102"/>
        <v>0</v>
      </c>
      <c r="AA308" s="668">
        <f t="shared" si="103"/>
        <v>0</v>
      </c>
      <c r="AB308" s="668">
        <f t="shared" si="104"/>
        <v>0</v>
      </c>
      <c r="AC308" s="668">
        <f t="shared" si="94"/>
        <v>0</v>
      </c>
      <c r="AD308" s="668">
        <f t="shared" si="105"/>
        <v>90</v>
      </c>
      <c r="AE308" s="668">
        <f t="shared" si="106"/>
        <v>0</v>
      </c>
      <c r="AF308" s="668">
        <f t="shared" si="107"/>
        <v>0</v>
      </c>
      <c r="AG308" s="668">
        <f t="shared" si="108"/>
        <v>0</v>
      </c>
      <c r="AH308" s="668"/>
      <c r="AI308" s="668"/>
      <c r="AJ308" s="668"/>
      <c r="AK308" s="668"/>
      <c r="AL308" s="668"/>
      <c r="AM308" s="668">
        <f t="shared" si="95"/>
        <v>0</v>
      </c>
      <c r="AN308" s="668">
        <f t="shared" si="90"/>
        <v>0</v>
      </c>
      <c r="AO308" s="668">
        <f t="shared" si="91"/>
        <v>0</v>
      </c>
      <c r="AP308" s="668">
        <f t="shared" si="96"/>
        <v>0</v>
      </c>
      <c r="AQ308" s="668">
        <f t="shared" si="92"/>
        <v>0</v>
      </c>
      <c r="AR308" s="668">
        <f t="shared" si="93"/>
        <v>0</v>
      </c>
      <c r="AS308" s="668"/>
      <c r="AT308" s="668"/>
      <c r="AU308" s="668"/>
      <c r="AV308" s="668"/>
      <c r="AW308" s="668"/>
      <c r="AX308" s="668"/>
      <c r="AY308" s="668"/>
      <c r="AZ308" s="668"/>
      <c r="BA308" s="668"/>
      <c r="BB308" s="668">
        <f t="shared" si="97"/>
        <v>0</v>
      </c>
      <c r="BC308" s="668"/>
      <c r="BD308" s="668"/>
      <c r="BE308" s="668"/>
      <c r="BF308" s="668"/>
      <c r="BG308" s="668"/>
      <c r="BH308" s="668"/>
      <c r="BI308" s="668"/>
    </row>
    <row r="309" spans="1:61" x14ac:dyDescent="0.2">
      <c r="A309" s="1013">
        <v>2150</v>
      </c>
      <c r="B309" s="1013" t="s">
        <v>574</v>
      </c>
      <c r="C309" s="1013"/>
      <c r="D309" s="667">
        <v>42</v>
      </c>
      <c r="E309" s="667"/>
      <c r="F309" s="667"/>
      <c r="G309" s="667"/>
      <c r="H309" s="667"/>
      <c r="I309" s="667"/>
      <c r="J309" s="667"/>
      <c r="K309" s="667"/>
      <c r="L309" s="667"/>
      <c r="M309" s="667"/>
      <c r="N309" s="667"/>
      <c r="O309" s="667"/>
      <c r="P309" s="667"/>
      <c r="Q309" s="667"/>
      <c r="R309" s="667"/>
      <c r="S309" s="667"/>
      <c r="T309" s="667"/>
      <c r="U309" s="1013">
        <v>12</v>
      </c>
      <c r="V309" s="668">
        <f t="shared" si="98"/>
        <v>504</v>
      </c>
      <c r="W309" s="668">
        <f t="shared" si="99"/>
        <v>0</v>
      </c>
      <c r="X309" s="668">
        <f t="shared" si="100"/>
        <v>0</v>
      </c>
      <c r="Y309" s="668">
        <f t="shared" si="101"/>
        <v>0</v>
      </c>
      <c r="Z309" s="668">
        <f t="shared" si="102"/>
        <v>0</v>
      </c>
      <c r="AA309" s="668">
        <f t="shared" si="103"/>
        <v>0</v>
      </c>
      <c r="AB309" s="668">
        <f t="shared" si="104"/>
        <v>0</v>
      </c>
      <c r="AC309" s="668">
        <f t="shared" si="94"/>
        <v>0</v>
      </c>
      <c r="AD309" s="668">
        <f t="shared" si="105"/>
        <v>0</v>
      </c>
      <c r="AE309" s="668">
        <f t="shared" si="106"/>
        <v>0</v>
      </c>
      <c r="AF309" s="668">
        <f t="shared" si="107"/>
        <v>0</v>
      </c>
      <c r="AG309" s="668">
        <f t="shared" si="108"/>
        <v>0</v>
      </c>
      <c r="AH309" s="668"/>
      <c r="AI309" s="668"/>
      <c r="AJ309" s="668"/>
      <c r="AK309" s="668"/>
      <c r="AL309" s="668"/>
      <c r="AM309" s="668">
        <f t="shared" si="95"/>
        <v>0</v>
      </c>
      <c r="AN309" s="668">
        <f t="shared" si="90"/>
        <v>0</v>
      </c>
      <c r="AO309" s="668">
        <f t="shared" si="91"/>
        <v>0</v>
      </c>
      <c r="AP309" s="668">
        <f t="shared" si="96"/>
        <v>0</v>
      </c>
      <c r="AQ309" s="668">
        <f t="shared" si="92"/>
        <v>0</v>
      </c>
      <c r="AR309" s="668">
        <f t="shared" si="93"/>
        <v>0</v>
      </c>
      <c r="AS309" s="668"/>
      <c r="AT309" s="668"/>
      <c r="AU309" s="668"/>
      <c r="AV309" s="668"/>
      <c r="AW309" s="668"/>
      <c r="AX309" s="668"/>
      <c r="AY309" s="668"/>
      <c r="AZ309" s="668"/>
      <c r="BA309" s="668"/>
      <c r="BB309" s="668">
        <f t="shared" si="97"/>
        <v>0</v>
      </c>
      <c r="BC309" s="668"/>
      <c r="BD309" s="668"/>
      <c r="BE309" s="668"/>
      <c r="BF309" s="668"/>
      <c r="BG309" s="668"/>
      <c r="BH309" s="668"/>
      <c r="BI309" s="668"/>
    </row>
    <row r="310" spans="1:61" x14ac:dyDescent="0.2">
      <c r="A310" s="1013">
        <v>2152</v>
      </c>
      <c r="B310" s="1013" t="s">
        <v>639</v>
      </c>
      <c r="C310" s="1013"/>
      <c r="D310" s="667">
        <v>260</v>
      </c>
      <c r="E310" s="667"/>
      <c r="F310" s="667"/>
      <c r="G310" s="667"/>
      <c r="H310" s="667"/>
      <c r="I310" s="667">
        <v>260</v>
      </c>
      <c r="J310" s="667"/>
      <c r="K310" s="667"/>
      <c r="L310" s="667">
        <v>2</v>
      </c>
      <c r="M310" s="667"/>
      <c r="N310" s="667"/>
      <c r="O310" s="667"/>
      <c r="P310" s="667"/>
      <c r="Q310" s="667"/>
      <c r="R310" s="667"/>
      <c r="S310" s="667"/>
      <c r="T310" s="1024">
        <v>4048</v>
      </c>
      <c r="U310" s="1013">
        <v>17</v>
      </c>
      <c r="V310" s="668">
        <f t="shared" si="98"/>
        <v>4420</v>
      </c>
      <c r="W310" s="668">
        <f t="shared" si="99"/>
        <v>0</v>
      </c>
      <c r="X310" s="668">
        <f t="shared" si="100"/>
        <v>0</v>
      </c>
      <c r="Y310" s="668">
        <f t="shared" si="101"/>
        <v>0</v>
      </c>
      <c r="Z310" s="668">
        <f t="shared" si="102"/>
        <v>0</v>
      </c>
      <c r="AA310" s="668">
        <f t="shared" si="103"/>
        <v>0</v>
      </c>
      <c r="AB310" s="1032"/>
      <c r="AC310" s="668">
        <f t="shared" si="94"/>
        <v>0</v>
      </c>
      <c r="AD310" s="668">
        <f t="shared" si="105"/>
        <v>0</v>
      </c>
      <c r="AE310" s="668">
        <f t="shared" si="106"/>
        <v>0</v>
      </c>
      <c r="AF310" s="668">
        <f t="shared" si="107"/>
        <v>34</v>
      </c>
      <c r="AG310" s="668">
        <f t="shared" si="108"/>
        <v>0</v>
      </c>
      <c r="AH310" s="668"/>
      <c r="AI310" s="668"/>
      <c r="AJ310" s="668"/>
      <c r="AK310" s="668"/>
      <c r="AL310" s="668"/>
      <c r="AM310" s="668">
        <f t="shared" si="95"/>
        <v>260</v>
      </c>
      <c r="AN310" s="668">
        <f t="shared" si="90"/>
        <v>0</v>
      </c>
      <c r="AO310" s="668">
        <f t="shared" si="91"/>
        <v>0</v>
      </c>
      <c r="AP310" s="668">
        <f t="shared" si="96"/>
        <v>0</v>
      </c>
      <c r="AQ310" s="668">
        <f t="shared" si="92"/>
        <v>0</v>
      </c>
      <c r="AR310" s="668">
        <f t="shared" si="93"/>
        <v>0</v>
      </c>
      <c r="AS310" s="668"/>
      <c r="AT310" s="668"/>
      <c r="AU310" s="668"/>
      <c r="AV310" s="668"/>
      <c r="AW310" s="668"/>
      <c r="AX310" s="668"/>
      <c r="AY310" s="668"/>
      <c r="AZ310" s="668"/>
      <c r="BA310" s="668"/>
      <c r="BB310" s="668">
        <f t="shared" si="97"/>
        <v>0</v>
      </c>
      <c r="BC310" s="668"/>
      <c r="BD310" s="668"/>
      <c r="BE310" s="668"/>
      <c r="BF310" s="668"/>
      <c r="BG310" s="668"/>
      <c r="BH310" s="668"/>
      <c r="BI310" s="668"/>
    </row>
    <row r="311" spans="1:61" x14ac:dyDescent="0.2">
      <c r="A311" s="1013">
        <v>2153</v>
      </c>
      <c r="B311" s="1013" t="s">
        <v>640</v>
      </c>
      <c r="C311" s="1013"/>
      <c r="D311" s="667">
        <v>171</v>
      </c>
      <c r="E311" s="667"/>
      <c r="F311" s="667"/>
      <c r="G311" s="667"/>
      <c r="H311" s="667"/>
      <c r="I311" s="667">
        <f>+D311</f>
        <v>171</v>
      </c>
      <c r="J311" s="667"/>
      <c r="K311" s="667"/>
      <c r="L311" s="667"/>
      <c r="M311" s="667"/>
      <c r="N311" s="667"/>
      <c r="O311" s="667"/>
      <c r="P311" s="667"/>
      <c r="Q311" s="667"/>
      <c r="R311" s="667"/>
      <c r="S311" s="667"/>
      <c r="T311" s="1024">
        <v>1711</v>
      </c>
      <c r="U311" s="1013">
        <v>17</v>
      </c>
      <c r="V311" s="668">
        <f t="shared" si="98"/>
        <v>2907</v>
      </c>
      <c r="W311" s="668">
        <f t="shared" si="99"/>
        <v>0</v>
      </c>
      <c r="X311" s="668">
        <f t="shared" si="100"/>
        <v>0</v>
      </c>
      <c r="Y311" s="668">
        <f t="shared" si="101"/>
        <v>0</v>
      </c>
      <c r="Z311" s="668">
        <f t="shared" si="102"/>
        <v>0</v>
      </c>
      <c r="AA311" s="668">
        <f t="shared" si="103"/>
        <v>0</v>
      </c>
      <c r="AB311" s="1032"/>
      <c r="AC311" s="668">
        <f t="shared" si="94"/>
        <v>0</v>
      </c>
      <c r="AD311" s="668">
        <f t="shared" si="105"/>
        <v>0</v>
      </c>
      <c r="AE311" s="668">
        <f t="shared" si="106"/>
        <v>0</v>
      </c>
      <c r="AF311" s="668">
        <f t="shared" si="107"/>
        <v>0</v>
      </c>
      <c r="AG311" s="668">
        <f t="shared" si="108"/>
        <v>0</v>
      </c>
      <c r="AH311" s="668"/>
      <c r="AI311" s="668"/>
      <c r="AJ311" s="668"/>
      <c r="AK311" s="668"/>
      <c r="AL311" s="668"/>
      <c r="AM311" s="668">
        <f t="shared" si="95"/>
        <v>171</v>
      </c>
      <c r="AN311" s="668">
        <f t="shared" si="90"/>
        <v>0</v>
      </c>
      <c r="AO311" s="668">
        <f t="shared" si="91"/>
        <v>0</v>
      </c>
      <c r="AP311" s="668">
        <f t="shared" si="96"/>
        <v>0</v>
      </c>
      <c r="AQ311" s="668">
        <f t="shared" si="92"/>
        <v>0</v>
      </c>
      <c r="AR311" s="668">
        <f t="shared" si="93"/>
        <v>0</v>
      </c>
      <c r="AS311" s="668"/>
      <c r="AT311" s="668"/>
      <c r="AU311" s="668"/>
      <c r="AV311" s="668"/>
      <c r="AW311" s="668"/>
      <c r="AX311" s="668"/>
      <c r="AY311" s="668"/>
      <c r="AZ311" s="668"/>
      <c r="BA311" s="668"/>
      <c r="BB311" s="668">
        <f t="shared" si="97"/>
        <v>0</v>
      </c>
      <c r="BC311" s="668"/>
      <c r="BD311" s="668"/>
      <c r="BE311" s="668"/>
      <c r="BF311" s="668"/>
      <c r="BG311" s="668"/>
      <c r="BH311" s="668"/>
      <c r="BI311" s="668"/>
    </row>
    <row r="312" spans="1:61" x14ac:dyDescent="0.2">
      <c r="A312" s="1013">
        <v>2154</v>
      </c>
      <c r="B312" s="1013" t="s">
        <v>486</v>
      </c>
      <c r="C312" s="1013"/>
      <c r="D312" s="667">
        <v>118</v>
      </c>
      <c r="E312" s="667"/>
      <c r="F312" s="667"/>
      <c r="G312" s="667"/>
      <c r="H312" s="667"/>
      <c r="I312" s="667"/>
      <c r="J312" s="667"/>
      <c r="K312" s="667"/>
      <c r="L312" s="667">
        <v>8</v>
      </c>
      <c r="M312" s="667"/>
      <c r="N312" s="667"/>
      <c r="O312" s="667"/>
      <c r="P312" s="667">
        <v>28</v>
      </c>
      <c r="Q312" s="1014">
        <v>675</v>
      </c>
      <c r="R312" s="667"/>
      <c r="S312" s="667"/>
      <c r="T312" s="667"/>
      <c r="U312" s="1013">
        <v>17</v>
      </c>
      <c r="V312" s="668">
        <f t="shared" si="98"/>
        <v>2006</v>
      </c>
      <c r="W312" s="668">
        <f t="shared" si="99"/>
        <v>0</v>
      </c>
      <c r="X312" s="668">
        <f t="shared" si="100"/>
        <v>0</v>
      </c>
      <c r="Y312" s="668">
        <f t="shared" si="101"/>
        <v>0</v>
      </c>
      <c r="Z312" s="668">
        <f t="shared" si="102"/>
        <v>0</v>
      </c>
      <c r="AA312" s="668">
        <f t="shared" si="103"/>
        <v>0</v>
      </c>
      <c r="AB312" s="668">
        <f t="shared" si="104"/>
        <v>0</v>
      </c>
      <c r="AC312" s="668">
        <f t="shared" si="94"/>
        <v>476</v>
      </c>
      <c r="AD312" s="668">
        <f t="shared" si="105"/>
        <v>675</v>
      </c>
      <c r="AE312" s="668">
        <f t="shared" si="106"/>
        <v>0</v>
      </c>
      <c r="AF312" s="668">
        <f t="shared" si="107"/>
        <v>136</v>
      </c>
      <c r="AG312" s="668">
        <f t="shared" si="108"/>
        <v>0</v>
      </c>
      <c r="AH312" s="668"/>
      <c r="AI312" s="668"/>
      <c r="AJ312" s="668"/>
      <c r="AK312" s="668"/>
      <c r="AL312" s="668"/>
      <c r="AM312" s="668">
        <f t="shared" si="95"/>
        <v>0</v>
      </c>
      <c r="AN312" s="668">
        <f t="shared" si="90"/>
        <v>0</v>
      </c>
      <c r="AO312" s="668">
        <f t="shared" si="91"/>
        <v>0</v>
      </c>
      <c r="AP312" s="668">
        <f t="shared" si="96"/>
        <v>0</v>
      </c>
      <c r="AQ312" s="668">
        <f t="shared" si="92"/>
        <v>0</v>
      </c>
      <c r="AR312" s="668">
        <f t="shared" si="93"/>
        <v>0</v>
      </c>
      <c r="AS312" s="668"/>
      <c r="AT312" s="668"/>
      <c r="AU312" s="668"/>
      <c r="AV312" s="668"/>
      <c r="AW312" s="668"/>
      <c r="AX312" s="668"/>
      <c r="AY312" s="668"/>
      <c r="AZ312" s="668"/>
      <c r="BA312" s="668"/>
      <c r="BB312" s="668">
        <f t="shared" si="97"/>
        <v>0</v>
      </c>
      <c r="BC312" s="668"/>
      <c r="BD312" s="668"/>
      <c r="BE312" s="668"/>
      <c r="BF312" s="668"/>
      <c r="BG312" s="668"/>
      <c r="BH312" s="668"/>
      <c r="BI312" s="668"/>
    </row>
    <row r="313" spans="1:61" x14ac:dyDescent="0.2">
      <c r="A313" s="1013">
        <v>2155</v>
      </c>
      <c r="B313" s="1013" t="s">
        <v>579</v>
      </c>
      <c r="C313" s="1013"/>
      <c r="D313" s="667">
        <v>52</v>
      </c>
      <c r="E313" s="667"/>
      <c r="F313" s="667"/>
      <c r="G313" s="667"/>
      <c r="H313" s="667"/>
      <c r="I313" s="667"/>
      <c r="J313" s="667"/>
      <c r="K313" s="667"/>
      <c r="L313" s="667"/>
      <c r="M313" s="667"/>
      <c r="N313" s="667"/>
      <c r="O313" s="667"/>
      <c r="P313" s="667"/>
      <c r="Q313" s="667"/>
      <c r="R313" s="667"/>
      <c r="S313" s="667"/>
      <c r="T313" s="667"/>
      <c r="U313" s="1013">
        <v>17</v>
      </c>
      <c r="V313" s="668">
        <f t="shared" si="98"/>
        <v>884</v>
      </c>
      <c r="W313" s="668">
        <f t="shared" si="99"/>
        <v>0</v>
      </c>
      <c r="X313" s="668">
        <f t="shared" si="100"/>
        <v>0</v>
      </c>
      <c r="Y313" s="668">
        <f t="shared" si="101"/>
        <v>0</v>
      </c>
      <c r="Z313" s="668">
        <f t="shared" si="102"/>
        <v>0</v>
      </c>
      <c r="AA313" s="668">
        <f t="shared" si="103"/>
        <v>0</v>
      </c>
      <c r="AB313" s="668">
        <f t="shared" si="104"/>
        <v>0</v>
      </c>
      <c r="AC313" s="668">
        <f t="shared" si="94"/>
        <v>0</v>
      </c>
      <c r="AD313" s="668">
        <f t="shared" si="105"/>
        <v>0</v>
      </c>
      <c r="AE313" s="668">
        <f t="shared" si="106"/>
        <v>0</v>
      </c>
      <c r="AF313" s="668">
        <f t="shared" si="107"/>
        <v>0</v>
      </c>
      <c r="AG313" s="668">
        <f t="shared" si="108"/>
        <v>0</v>
      </c>
      <c r="AH313" s="668"/>
      <c r="AI313" s="668"/>
      <c r="AJ313" s="668"/>
      <c r="AK313" s="668"/>
      <c r="AL313" s="668"/>
      <c r="AM313" s="668">
        <f t="shared" si="95"/>
        <v>0</v>
      </c>
      <c r="AN313" s="668">
        <f t="shared" si="90"/>
        <v>0</v>
      </c>
      <c r="AO313" s="668">
        <f t="shared" si="91"/>
        <v>0</v>
      </c>
      <c r="AP313" s="668">
        <f t="shared" si="96"/>
        <v>0</v>
      </c>
      <c r="AQ313" s="668">
        <f t="shared" si="92"/>
        <v>0</v>
      </c>
      <c r="AR313" s="668">
        <f t="shared" si="93"/>
        <v>0</v>
      </c>
      <c r="AS313" s="668"/>
      <c r="AT313" s="668"/>
      <c r="AU313" s="668"/>
      <c r="AV313" s="668"/>
      <c r="AW313" s="668"/>
      <c r="AX313" s="668"/>
      <c r="AY313" s="668"/>
      <c r="AZ313" s="668"/>
      <c r="BA313" s="668"/>
      <c r="BB313" s="668">
        <f t="shared" si="97"/>
        <v>0</v>
      </c>
      <c r="BC313" s="668"/>
      <c r="BD313" s="668"/>
      <c r="BE313" s="668"/>
      <c r="BF313" s="668"/>
      <c r="BG313" s="668"/>
      <c r="BH313" s="668"/>
      <c r="BI313" s="668"/>
    </row>
    <row r="314" spans="1:61" x14ac:dyDescent="0.2">
      <c r="A314" s="1013">
        <v>2156</v>
      </c>
      <c r="B314" s="1013" t="s">
        <v>476</v>
      </c>
      <c r="C314" s="1013"/>
      <c r="D314" s="667">
        <v>58</v>
      </c>
      <c r="E314" s="667"/>
      <c r="F314" s="667"/>
      <c r="G314" s="667"/>
      <c r="H314" s="667"/>
      <c r="I314" s="667"/>
      <c r="J314" s="667"/>
      <c r="K314" s="667"/>
      <c r="L314" s="667"/>
      <c r="M314" s="667"/>
      <c r="N314" s="667"/>
      <c r="O314" s="667"/>
      <c r="P314" s="667"/>
      <c r="Q314" s="667"/>
      <c r="R314" s="667"/>
      <c r="S314" s="667"/>
      <c r="T314" s="667"/>
      <c r="U314" s="1013">
        <v>17</v>
      </c>
      <c r="V314" s="668">
        <f t="shared" si="98"/>
        <v>986</v>
      </c>
      <c r="W314" s="668">
        <f t="shared" si="99"/>
        <v>0</v>
      </c>
      <c r="X314" s="668">
        <f t="shared" si="100"/>
        <v>0</v>
      </c>
      <c r="Y314" s="668">
        <f t="shared" si="101"/>
        <v>0</v>
      </c>
      <c r="Z314" s="668">
        <f t="shared" si="102"/>
        <v>0</v>
      </c>
      <c r="AA314" s="668">
        <f t="shared" si="103"/>
        <v>0</v>
      </c>
      <c r="AB314" s="668">
        <f t="shared" si="104"/>
        <v>0</v>
      </c>
      <c r="AC314" s="668">
        <f t="shared" si="94"/>
        <v>0</v>
      </c>
      <c r="AD314" s="668">
        <f t="shared" si="105"/>
        <v>0</v>
      </c>
      <c r="AE314" s="668">
        <f t="shared" si="106"/>
        <v>0</v>
      </c>
      <c r="AF314" s="668">
        <f t="shared" si="107"/>
        <v>0</v>
      </c>
      <c r="AG314" s="668">
        <f t="shared" si="108"/>
        <v>0</v>
      </c>
      <c r="AH314" s="668"/>
      <c r="AI314" s="668"/>
      <c r="AJ314" s="668"/>
      <c r="AK314" s="668"/>
      <c r="AL314" s="668"/>
      <c r="AM314" s="668">
        <f t="shared" si="95"/>
        <v>0</v>
      </c>
      <c r="AN314" s="668">
        <f t="shared" si="90"/>
        <v>0</v>
      </c>
      <c r="AO314" s="668">
        <f t="shared" si="91"/>
        <v>0</v>
      </c>
      <c r="AP314" s="668">
        <f t="shared" si="96"/>
        <v>0</v>
      </c>
      <c r="AQ314" s="668">
        <f t="shared" si="92"/>
        <v>0</v>
      </c>
      <c r="AR314" s="668">
        <f t="shared" si="93"/>
        <v>0</v>
      </c>
      <c r="AS314" s="668"/>
      <c r="AT314" s="668"/>
      <c r="AU314" s="668"/>
      <c r="AV314" s="668"/>
      <c r="AW314" s="668"/>
      <c r="AX314" s="668"/>
      <c r="AY314" s="668"/>
      <c r="AZ314" s="668"/>
      <c r="BA314" s="668"/>
      <c r="BB314" s="668">
        <f t="shared" si="97"/>
        <v>0</v>
      </c>
      <c r="BC314" s="668"/>
      <c r="BD314" s="668"/>
      <c r="BE314" s="668"/>
      <c r="BF314" s="668"/>
      <c r="BG314" s="668"/>
      <c r="BH314" s="668"/>
      <c r="BI314" s="668"/>
    </row>
    <row r="315" spans="1:61" x14ac:dyDescent="0.2">
      <c r="A315" s="1013">
        <v>2157</v>
      </c>
      <c r="B315" s="1013" t="s">
        <v>486</v>
      </c>
      <c r="C315" s="1013"/>
      <c r="D315" s="667">
        <v>67</v>
      </c>
      <c r="E315" s="667"/>
      <c r="F315" s="667"/>
      <c r="G315" s="667"/>
      <c r="H315" s="667"/>
      <c r="I315" s="667"/>
      <c r="J315" s="667"/>
      <c r="K315" s="667"/>
      <c r="L315" s="667"/>
      <c r="M315" s="667"/>
      <c r="N315" s="667"/>
      <c r="O315" s="667"/>
      <c r="P315" s="667"/>
      <c r="Q315" s="1014">
        <v>276</v>
      </c>
      <c r="R315" s="667"/>
      <c r="S315" s="667"/>
      <c r="T315" s="667"/>
      <c r="U315" s="1013">
        <v>17</v>
      </c>
      <c r="V315" s="668">
        <f t="shared" si="98"/>
        <v>1139</v>
      </c>
      <c r="W315" s="668">
        <f t="shared" si="99"/>
        <v>0</v>
      </c>
      <c r="X315" s="668">
        <f t="shared" si="100"/>
        <v>0</v>
      </c>
      <c r="Y315" s="668">
        <f t="shared" si="101"/>
        <v>0</v>
      </c>
      <c r="Z315" s="668">
        <f t="shared" si="102"/>
        <v>0</v>
      </c>
      <c r="AA315" s="668">
        <f t="shared" si="103"/>
        <v>0</v>
      </c>
      <c r="AB315" s="668">
        <f t="shared" si="104"/>
        <v>0</v>
      </c>
      <c r="AC315" s="668">
        <f t="shared" si="94"/>
        <v>0</v>
      </c>
      <c r="AD315" s="668">
        <f t="shared" si="105"/>
        <v>276</v>
      </c>
      <c r="AE315" s="668">
        <f t="shared" si="106"/>
        <v>0</v>
      </c>
      <c r="AF315" s="668">
        <f t="shared" si="107"/>
        <v>0</v>
      </c>
      <c r="AG315" s="668">
        <f t="shared" si="108"/>
        <v>0</v>
      </c>
      <c r="AH315" s="668"/>
      <c r="AI315" s="668"/>
      <c r="AJ315" s="668"/>
      <c r="AK315" s="668"/>
      <c r="AL315" s="668"/>
      <c r="AM315" s="668">
        <f t="shared" si="95"/>
        <v>0</v>
      </c>
      <c r="AN315" s="668">
        <f t="shared" si="90"/>
        <v>0</v>
      </c>
      <c r="AO315" s="668">
        <f t="shared" si="91"/>
        <v>0</v>
      </c>
      <c r="AP315" s="668">
        <f t="shared" si="96"/>
        <v>0</v>
      </c>
      <c r="AQ315" s="668">
        <f t="shared" si="92"/>
        <v>0</v>
      </c>
      <c r="AR315" s="668">
        <f t="shared" si="93"/>
        <v>0</v>
      </c>
      <c r="AS315" s="668"/>
      <c r="AT315" s="668"/>
      <c r="AU315" s="668"/>
      <c r="AV315" s="668"/>
      <c r="AW315" s="668"/>
      <c r="AX315" s="668"/>
      <c r="AY315" s="668"/>
      <c r="AZ315" s="668"/>
      <c r="BA315" s="668"/>
      <c r="BB315" s="668">
        <f t="shared" si="97"/>
        <v>0</v>
      </c>
      <c r="BC315" s="668"/>
      <c r="BD315" s="668"/>
      <c r="BE315" s="668"/>
      <c r="BF315" s="668"/>
      <c r="BG315" s="668"/>
      <c r="BH315" s="668"/>
      <c r="BI315" s="668"/>
    </row>
    <row r="316" spans="1:61" x14ac:dyDescent="0.2">
      <c r="A316" s="1013">
        <v>2158</v>
      </c>
      <c r="B316" s="1013" t="s">
        <v>641</v>
      </c>
      <c r="C316" s="1013"/>
      <c r="D316" s="667">
        <v>249</v>
      </c>
      <c r="E316" s="667"/>
      <c r="F316" s="667"/>
      <c r="G316" s="667"/>
      <c r="H316" s="667"/>
      <c r="I316" s="667">
        <f>+D316</f>
        <v>249</v>
      </c>
      <c r="J316" s="667"/>
      <c r="K316" s="667"/>
      <c r="L316" s="667">
        <v>4</v>
      </c>
      <c r="M316" s="667"/>
      <c r="N316" s="667"/>
      <c r="O316" s="667"/>
      <c r="P316" s="667"/>
      <c r="Q316" s="667"/>
      <c r="R316" s="667"/>
      <c r="S316" s="667"/>
      <c r="T316" s="1024">
        <v>3006</v>
      </c>
      <c r="U316" s="1013">
        <v>17</v>
      </c>
      <c r="V316" s="668">
        <f t="shared" si="98"/>
        <v>4233</v>
      </c>
      <c r="W316" s="668">
        <f t="shared" si="99"/>
        <v>0</v>
      </c>
      <c r="X316" s="668">
        <f t="shared" si="100"/>
        <v>0</v>
      </c>
      <c r="Y316" s="668">
        <f t="shared" si="101"/>
        <v>0</v>
      </c>
      <c r="Z316" s="668">
        <f t="shared" si="102"/>
        <v>0</v>
      </c>
      <c r="AA316" s="668">
        <f t="shared" si="103"/>
        <v>0</v>
      </c>
      <c r="AB316" s="1032"/>
      <c r="AC316" s="668">
        <f t="shared" si="94"/>
        <v>0</v>
      </c>
      <c r="AD316" s="668">
        <f t="shared" si="105"/>
        <v>0</v>
      </c>
      <c r="AE316" s="668">
        <f t="shared" si="106"/>
        <v>0</v>
      </c>
      <c r="AF316" s="668">
        <f t="shared" si="107"/>
        <v>68</v>
      </c>
      <c r="AG316" s="668">
        <f t="shared" si="108"/>
        <v>0</v>
      </c>
      <c r="AH316" s="668"/>
      <c r="AI316" s="668"/>
      <c r="AJ316" s="668"/>
      <c r="AK316" s="668"/>
      <c r="AL316" s="668"/>
      <c r="AM316" s="668">
        <f t="shared" si="95"/>
        <v>249</v>
      </c>
      <c r="AN316" s="668">
        <f t="shared" si="90"/>
        <v>0</v>
      </c>
      <c r="AO316" s="668">
        <f t="shared" si="91"/>
        <v>0</v>
      </c>
      <c r="AP316" s="668">
        <f t="shared" si="96"/>
        <v>0</v>
      </c>
      <c r="AQ316" s="668">
        <f t="shared" si="92"/>
        <v>0</v>
      </c>
      <c r="AR316" s="668">
        <f t="shared" si="93"/>
        <v>0</v>
      </c>
      <c r="AS316" s="668"/>
      <c r="AT316" s="668"/>
      <c r="AU316" s="668"/>
      <c r="AV316" s="668"/>
      <c r="AW316" s="668"/>
      <c r="AX316" s="668"/>
      <c r="AY316" s="668"/>
      <c r="AZ316" s="668"/>
      <c r="BA316" s="668"/>
      <c r="BB316" s="668">
        <f t="shared" si="97"/>
        <v>0</v>
      </c>
      <c r="BC316" s="668"/>
      <c r="BD316" s="668"/>
      <c r="BE316" s="668"/>
      <c r="BF316" s="668"/>
      <c r="BG316" s="668"/>
      <c r="BH316" s="668"/>
      <c r="BI316" s="668"/>
    </row>
    <row r="317" spans="1:61" x14ac:dyDescent="0.2">
      <c r="A317" s="1013">
        <v>2159</v>
      </c>
      <c r="B317" s="1013" t="s">
        <v>642</v>
      </c>
      <c r="C317" s="1013"/>
      <c r="D317" s="667">
        <v>281</v>
      </c>
      <c r="E317" s="667"/>
      <c r="F317" s="667"/>
      <c r="G317" s="667"/>
      <c r="H317" s="667"/>
      <c r="I317" s="667">
        <f>+D317</f>
        <v>281</v>
      </c>
      <c r="J317" s="667"/>
      <c r="K317" s="667"/>
      <c r="L317" s="667">
        <v>4</v>
      </c>
      <c r="M317" s="667"/>
      <c r="N317" s="667"/>
      <c r="O317" s="667"/>
      <c r="P317" s="667"/>
      <c r="Q317" s="667"/>
      <c r="R317" s="667"/>
      <c r="S317" s="667"/>
      <c r="T317" s="1024">
        <v>4280</v>
      </c>
      <c r="U317" s="1013">
        <v>17</v>
      </c>
      <c r="V317" s="668">
        <f t="shared" si="98"/>
        <v>4777</v>
      </c>
      <c r="W317" s="668">
        <f t="shared" si="99"/>
        <v>0</v>
      </c>
      <c r="X317" s="668">
        <f t="shared" si="100"/>
        <v>0</v>
      </c>
      <c r="Y317" s="668">
        <f t="shared" si="101"/>
        <v>0</v>
      </c>
      <c r="Z317" s="668">
        <f t="shared" si="102"/>
        <v>0</v>
      </c>
      <c r="AA317" s="668">
        <f t="shared" si="103"/>
        <v>0</v>
      </c>
      <c r="AB317" s="1032"/>
      <c r="AC317" s="668">
        <f t="shared" si="94"/>
        <v>0</v>
      </c>
      <c r="AD317" s="668">
        <f t="shared" si="105"/>
        <v>0</v>
      </c>
      <c r="AE317" s="668">
        <f t="shared" si="106"/>
        <v>0</v>
      </c>
      <c r="AF317" s="668">
        <f t="shared" si="107"/>
        <v>68</v>
      </c>
      <c r="AG317" s="668">
        <f t="shared" si="108"/>
        <v>0</v>
      </c>
      <c r="AH317" s="668"/>
      <c r="AI317" s="668"/>
      <c r="AJ317" s="668"/>
      <c r="AK317" s="668"/>
      <c r="AL317" s="668"/>
      <c r="AM317" s="668">
        <f t="shared" si="95"/>
        <v>281</v>
      </c>
      <c r="AN317" s="668">
        <f t="shared" si="90"/>
        <v>0</v>
      </c>
      <c r="AO317" s="668">
        <f t="shared" si="91"/>
        <v>0</v>
      </c>
      <c r="AP317" s="668">
        <f t="shared" si="96"/>
        <v>0</v>
      </c>
      <c r="AQ317" s="668">
        <f t="shared" si="92"/>
        <v>0</v>
      </c>
      <c r="AR317" s="668">
        <f t="shared" si="93"/>
        <v>0</v>
      </c>
      <c r="AS317" s="668"/>
      <c r="AT317" s="668"/>
      <c r="AU317" s="668"/>
      <c r="AV317" s="668"/>
      <c r="AW317" s="668"/>
      <c r="AX317" s="668"/>
      <c r="AY317" s="668"/>
      <c r="AZ317" s="668"/>
      <c r="BA317" s="668"/>
      <c r="BB317" s="668">
        <f t="shared" si="97"/>
        <v>0</v>
      </c>
      <c r="BC317" s="668"/>
      <c r="BD317" s="668"/>
      <c r="BE317" s="668"/>
      <c r="BF317" s="668"/>
      <c r="BG317" s="668"/>
      <c r="BH317" s="668"/>
      <c r="BI317" s="668"/>
    </row>
    <row r="318" spans="1:61" x14ac:dyDescent="0.2">
      <c r="A318" s="1013">
        <v>2160</v>
      </c>
      <c r="B318" s="1013" t="s">
        <v>643</v>
      </c>
      <c r="C318" s="1013"/>
      <c r="D318" s="667">
        <v>209</v>
      </c>
      <c r="E318" s="667"/>
      <c r="F318" s="667"/>
      <c r="G318" s="667"/>
      <c r="H318" s="667"/>
      <c r="I318" s="667">
        <f t="shared" ref="I318:I319" si="109">+D318</f>
        <v>209</v>
      </c>
      <c r="J318" s="667"/>
      <c r="K318" s="667"/>
      <c r="L318" s="667">
        <v>4</v>
      </c>
      <c r="M318" s="667"/>
      <c r="N318" s="667"/>
      <c r="O318" s="667"/>
      <c r="P318" s="667"/>
      <c r="Q318" s="667"/>
      <c r="R318" s="667"/>
      <c r="S318" s="667"/>
      <c r="T318" s="1024">
        <v>2400</v>
      </c>
      <c r="U318" s="1013">
        <v>17</v>
      </c>
      <c r="V318" s="668">
        <f t="shared" si="98"/>
        <v>3553</v>
      </c>
      <c r="W318" s="668">
        <f t="shared" si="99"/>
        <v>0</v>
      </c>
      <c r="X318" s="668">
        <f t="shared" si="100"/>
        <v>0</v>
      </c>
      <c r="Y318" s="668">
        <f t="shared" si="101"/>
        <v>0</v>
      </c>
      <c r="Z318" s="668">
        <f t="shared" si="102"/>
        <v>0</v>
      </c>
      <c r="AA318" s="668">
        <f t="shared" si="103"/>
        <v>0</v>
      </c>
      <c r="AB318" s="1032"/>
      <c r="AC318" s="668">
        <f t="shared" si="94"/>
        <v>0</v>
      </c>
      <c r="AD318" s="668">
        <f t="shared" si="105"/>
        <v>0</v>
      </c>
      <c r="AE318" s="668">
        <f t="shared" si="106"/>
        <v>0</v>
      </c>
      <c r="AF318" s="668">
        <f t="shared" si="107"/>
        <v>68</v>
      </c>
      <c r="AG318" s="668">
        <f t="shared" si="108"/>
        <v>0</v>
      </c>
      <c r="AH318" s="668"/>
      <c r="AI318" s="668"/>
      <c r="AJ318" s="668"/>
      <c r="AK318" s="668"/>
      <c r="AL318" s="668"/>
      <c r="AM318" s="668">
        <f t="shared" si="95"/>
        <v>209</v>
      </c>
      <c r="AN318" s="668">
        <f t="shared" si="90"/>
        <v>0</v>
      </c>
      <c r="AO318" s="668">
        <f t="shared" si="91"/>
        <v>0</v>
      </c>
      <c r="AP318" s="668">
        <f t="shared" si="96"/>
        <v>0</v>
      </c>
      <c r="AQ318" s="668">
        <f t="shared" si="92"/>
        <v>0</v>
      </c>
      <c r="AR318" s="668">
        <f t="shared" si="93"/>
        <v>0</v>
      </c>
      <c r="AS318" s="668"/>
      <c r="AT318" s="668"/>
      <c r="AU318" s="668"/>
      <c r="AV318" s="668"/>
      <c r="AW318" s="668"/>
      <c r="AX318" s="668"/>
      <c r="AY318" s="668"/>
      <c r="AZ318" s="668"/>
      <c r="BA318" s="668"/>
      <c r="BB318" s="668">
        <f t="shared" si="97"/>
        <v>0</v>
      </c>
      <c r="BC318" s="668"/>
      <c r="BD318" s="668"/>
      <c r="BE318" s="668"/>
      <c r="BF318" s="668"/>
      <c r="BG318" s="668"/>
      <c r="BH318" s="668"/>
      <c r="BI318" s="668"/>
    </row>
    <row r="319" spans="1:61" x14ac:dyDescent="0.2">
      <c r="A319" s="1013">
        <v>2161</v>
      </c>
      <c r="B319" s="1013" t="s">
        <v>644</v>
      </c>
      <c r="C319" s="1013"/>
      <c r="D319" s="667">
        <v>189</v>
      </c>
      <c r="E319" s="667"/>
      <c r="F319" s="667"/>
      <c r="G319" s="667"/>
      <c r="H319" s="667"/>
      <c r="I319" s="667">
        <f t="shared" si="109"/>
        <v>189</v>
      </c>
      <c r="J319" s="667"/>
      <c r="K319" s="667"/>
      <c r="L319" s="667">
        <v>4</v>
      </c>
      <c r="M319" s="667"/>
      <c r="N319" s="667"/>
      <c r="O319" s="667"/>
      <c r="P319" s="667"/>
      <c r="Q319" s="667"/>
      <c r="R319" s="667"/>
      <c r="S319" s="667"/>
      <c r="T319" s="1024">
        <v>1903</v>
      </c>
      <c r="U319" s="1013">
        <v>17</v>
      </c>
      <c r="V319" s="668">
        <f t="shared" si="98"/>
        <v>3213</v>
      </c>
      <c r="W319" s="668">
        <f t="shared" si="99"/>
        <v>0</v>
      </c>
      <c r="X319" s="668">
        <f t="shared" si="100"/>
        <v>0</v>
      </c>
      <c r="Y319" s="668">
        <f t="shared" si="101"/>
        <v>0</v>
      </c>
      <c r="Z319" s="668">
        <f t="shared" si="102"/>
        <v>0</v>
      </c>
      <c r="AA319" s="668">
        <f t="shared" si="103"/>
        <v>0</v>
      </c>
      <c r="AB319" s="1032"/>
      <c r="AC319" s="668">
        <f t="shared" si="94"/>
        <v>0</v>
      </c>
      <c r="AD319" s="668">
        <f t="shared" si="105"/>
        <v>0</v>
      </c>
      <c r="AE319" s="668">
        <f t="shared" si="106"/>
        <v>0</v>
      </c>
      <c r="AF319" s="668">
        <f t="shared" si="107"/>
        <v>68</v>
      </c>
      <c r="AG319" s="668">
        <f t="shared" si="108"/>
        <v>0</v>
      </c>
      <c r="AH319" s="668"/>
      <c r="AI319" s="668"/>
      <c r="AJ319" s="668"/>
      <c r="AK319" s="668"/>
      <c r="AL319" s="668"/>
      <c r="AM319" s="668">
        <f t="shared" si="95"/>
        <v>189</v>
      </c>
      <c r="AN319" s="668">
        <f t="shared" si="90"/>
        <v>0</v>
      </c>
      <c r="AO319" s="668">
        <f t="shared" si="91"/>
        <v>0</v>
      </c>
      <c r="AP319" s="668">
        <f t="shared" si="96"/>
        <v>0</v>
      </c>
      <c r="AQ319" s="668">
        <f t="shared" si="92"/>
        <v>0</v>
      </c>
      <c r="AR319" s="668">
        <f t="shared" si="93"/>
        <v>0</v>
      </c>
      <c r="AS319" s="668"/>
      <c r="AT319" s="668"/>
      <c r="AU319" s="668"/>
      <c r="AV319" s="668"/>
      <c r="AW319" s="668"/>
      <c r="AX319" s="668"/>
      <c r="AY319" s="668"/>
      <c r="AZ319" s="668"/>
      <c r="BA319" s="668"/>
      <c r="BB319" s="668">
        <f t="shared" si="97"/>
        <v>0</v>
      </c>
      <c r="BC319" s="668"/>
      <c r="BD319" s="668"/>
      <c r="BE319" s="668"/>
      <c r="BF319" s="668"/>
      <c r="BG319" s="668"/>
      <c r="BH319" s="668"/>
      <c r="BI319" s="668"/>
    </row>
    <row r="320" spans="1:61" x14ac:dyDescent="0.2">
      <c r="A320" s="1013">
        <v>2162</v>
      </c>
      <c r="B320" s="1013" t="s">
        <v>486</v>
      </c>
      <c r="C320" s="1013"/>
      <c r="D320" s="667">
        <v>116</v>
      </c>
      <c r="E320" s="667"/>
      <c r="F320" s="667"/>
      <c r="G320" s="667"/>
      <c r="H320" s="667"/>
      <c r="I320" s="667"/>
      <c r="J320" s="667"/>
      <c r="K320" s="667"/>
      <c r="L320" s="667">
        <v>2</v>
      </c>
      <c r="M320" s="667"/>
      <c r="N320" s="667"/>
      <c r="O320" s="667"/>
      <c r="P320" s="667">
        <v>14</v>
      </c>
      <c r="Q320" s="1014">
        <v>415</v>
      </c>
      <c r="R320" s="667"/>
      <c r="S320" s="667"/>
      <c r="T320" s="667"/>
      <c r="U320" s="1013">
        <v>17</v>
      </c>
      <c r="V320" s="668">
        <f t="shared" si="98"/>
        <v>1972</v>
      </c>
      <c r="W320" s="668">
        <f t="shared" si="99"/>
        <v>0</v>
      </c>
      <c r="X320" s="668">
        <f t="shared" si="100"/>
        <v>0</v>
      </c>
      <c r="Y320" s="668">
        <f t="shared" si="101"/>
        <v>0</v>
      </c>
      <c r="Z320" s="668">
        <f t="shared" si="102"/>
        <v>0</v>
      </c>
      <c r="AA320" s="668">
        <f t="shared" si="103"/>
        <v>0</v>
      </c>
      <c r="AB320" s="668">
        <f t="shared" si="104"/>
        <v>0</v>
      </c>
      <c r="AC320" s="668">
        <f t="shared" si="94"/>
        <v>238</v>
      </c>
      <c r="AD320" s="668">
        <f t="shared" si="105"/>
        <v>415</v>
      </c>
      <c r="AE320" s="668">
        <f t="shared" si="106"/>
        <v>0</v>
      </c>
      <c r="AF320" s="668">
        <f t="shared" si="107"/>
        <v>34</v>
      </c>
      <c r="AG320" s="668">
        <f t="shared" si="108"/>
        <v>0</v>
      </c>
      <c r="AH320" s="668"/>
      <c r="AI320" s="668"/>
      <c r="AJ320" s="668"/>
      <c r="AK320" s="668"/>
      <c r="AL320" s="668"/>
      <c r="AM320" s="668">
        <f t="shared" si="95"/>
        <v>0</v>
      </c>
      <c r="AN320" s="668">
        <f t="shared" si="90"/>
        <v>0</v>
      </c>
      <c r="AO320" s="668">
        <f t="shared" si="91"/>
        <v>0</v>
      </c>
      <c r="AP320" s="668">
        <f t="shared" si="96"/>
        <v>0</v>
      </c>
      <c r="AQ320" s="668">
        <f t="shared" si="92"/>
        <v>0</v>
      </c>
      <c r="AR320" s="668">
        <f t="shared" si="93"/>
        <v>0</v>
      </c>
      <c r="AS320" s="668"/>
      <c r="AT320" s="668"/>
      <c r="AU320" s="668"/>
      <c r="AV320" s="668"/>
      <c r="AW320" s="668"/>
      <c r="AX320" s="668"/>
      <c r="AY320" s="668"/>
      <c r="AZ320" s="668"/>
      <c r="BA320" s="668"/>
      <c r="BB320" s="668">
        <f t="shared" si="97"/>
        <v>0</v>
      </c>
      <c r="BC320" s="668"/>
      <c r="BD320" s="668"/>
      <c r="BE320" s="668"/>
      <c r="BF320" s="668"/>
      <c r="BG320" s="668"/>
      <c r="BH320" s="668"/>
      <c r="BI320" s="668"/>
    </row>
    <row r="321" spans="1:61" x14ac:dyDescent="0.2">
      <c r="A321" s="1013">
        <v>2163</v>
      </c>
      <c r="B321" s="1013" t="s">
        <v>579</v>
      </c>
      <c r="C321" s="1013"/>
      <c r="D321" s="667">
        <v>51</v>
      </c>
      <c r="E321" s="667"/>
      <c r="F321" s="667"/>
      <c r="G321" s="667"/>
      <c r="H321" s="667"/>
      <c r="I321" s="667"/>
      <c r="J321" s="667"/>
      <c r="K321" s="667"/>
      <c r="L321" s="667">
        <v>4</v>
      </c>
      <c r="M321" s="667"/>
      <c r="N321" s="667"/>
      <c r="O321" s="667"/>
      <c r="P321" s="667"/>
      <c r="Q321" s="667"/>
      <c r="R321" s="667"/>
      <c r="S321" s="667"/>
      <c r="T321" s="667"/>
      <c r="U321" s="1013">
        <v>17</v>
      </c>
      <c r="V321" s="668">
        <f t="shared" si="98"/>
        <v>867</v>
      </c>
      <c r="W321" s="668">
        <f t="shared" si="99"/>
        <v>0</v>
      </c>
      <c r="X321" s="668">
        <f t="shared" si="100"/>
        <v>0</v>
      </c>
      <c r="Y321" s="668">
        <f t="shared" si="101"/>
        <v>0</v>
      </c>
      <c r="Z321" s="668">
        <f t="shared" si="102"/>
        <v>0</v>
      </c>
      <c r="AA321" s="668">
        <f t="shared" si="103"/>
        <v>0</v>
      </c>
      <c r="AB321" s="668">
        <f t="shared" si="104"/>
        <v>0</v>
      </c>
      <c r="AC321" s="668">
        <f t="shared" si="94"/>
        <v>0</v>
      </c>
      <c r="AD321" s="668">
        <f t="shared" si="105"/>
        <v>0</v>
      </c>
      <c r="AE321" s="668">
        <f t="shared" si="106"/>
        <v>0</v>
      </c>
      <c r="AF321" s="668">
        <f t="shared" si="107"/>
        <v>68</v>
      </c>
      <c r="AG321" s="668">
        <f t="shared" si="108"/>
        <v>0</v>
      </c>
      <c r="AH321" s="668"/>
      <c r="AI321" s="668"/>
      <c r="AJ321" s="668"/>
      <c r="AK321" s="668"/>
      <c r="AL321" s="668"/>
      <c r="AM321" s="668">
        <f t="shared" si="95"/>
        <v>0</v>
      </c>
      <c r="AN321" s="668">
        <f t="shared" si="90"/>
        <v>0</v>
      </c>
      <c r="AO321" s="668">
        <f t="shared" si="91"/>
        <v>0</v>
      </c>
      <c r="AP321" s="668">
        <f t="shared" si="96"/>
        <v>0</v>
      </c>
      <c r="AQ321" s="668">
        <f t="shared" si="92"/>
        <v>0</v>
      </c>
      <c r="AR321" s="668">
        <f t="shared" si="93"/>
        <v>0</v>
      </c>
      <c r="AS321" s="668"/>
      <c r="AT321" s="668"/>
      <c r="AU321" s="668"/>
      <c r="AV321" s="668"/>
      <c r="AW321" s="668"/>
      <c r="AX321" s="668"/>
      <c r="AY321" s="668"/>
      <c r="AZ321" s="668"/>
      <c r="BA321" s="668"/>
      <c r="BB321" s="668">
        <f t="shared" si="97"/>
        <v>0</v>
      </c>
      <c r="BC321" s="668"/>
      <c r="BD321" s="668"/>
      <c r="BE321" s="668"/>
      <c r="BF321" s="668"/>
      <c r="BG321" s="668"/>
      <c r="BH321" s="668"/>
      <c r="BI321" s="668"/>
    </row>
    <row r="322" spans="1:61" x14ac:dyDescent="0.2">
      <c r="A322" s="1013">
        <v>2164</v>
      </c>
      <c r="B322" s="1012" t="s">
        <v>476</v>
      </c>
      <c r="C322" s="1012"/>
      <c r="D322" s="667">
        <v>52</v>
      </c>
      <c r="E322" s="667"/>
      <c r="F322" s="667"/>
      <c r="G322" s="667"/>
      <c r="H322" s="667"/>
      <c r="I322" s="667"/>
      <c r="J322" s="667"/>
      <c r="K322" s="667"/>
      <c r="L322" s="667"/>
      <c r="M322" s="667"/>
      <c r="N322" s="667"/>
      <c r="O322" s="667"/>
      <c r="P322" s="667"/>
      <c r="Q322" s="667"/>
      <c r="R322" s="667"/>
      <c r="S322" s="667"/>
      <c r="T322" s="667"/>
      <c r="U322" s="1012">
        <v>17</v>
      </c>
      <c r="V322" s="668">
        <f t="shared" si="98"/>
        <v>884</v>
      </c>
      <c r="W322" s="668">
        <f t="shared" si="99"/>
        <v>0</v>
      </c>
      <c r="X322" s="668">
        <f t="shared" si="100"/>
        <v>0</v>
      </c>
      <c r="Y322" s="668">
        <f t="shared" si="101"/>
        <v>0</v>
      </c>
      <c r="Z322" s="668">
        <f t="shared" si="102"/>
        <v>0</v>
      </c>
      <c r="AA322" s="668">
        <f t="shared" si="103"/>
        <v>0</v>
      </c>
      <c r="AB322" s="668">
        <f t="shared" si="104"/>
        <v>0</v>
      </c>
      <c r="AC322" s="668">
        <f t="shared" si="94"/>
        <v>0</v>
      </c>
      <c r="AD322" s="668">
        <f t="shared" si="105"/>
        <v>0</v>
      </c>
      <c r="AE322" s="668">
        <f t="shared" si="106"/>
        <v>0</v>
      </c>
      <c r="AF322" s="668">
        <f t="shared" si="107"/>
        <v>0</v>
      </c>
      <c r="AG322" s="668">
        <f t="shared" si="108"/>
        <v>0</v>
      </c>
      <c r="AH322" s="668"/>
      <c r="AI322" s="668"/>
      <c r="AJ322" s="668"/>
      <c r="AK322" s="668"/>
      <c r="AL322" s="668"/>
      <c r="AM322" s="668">
        <f t="shared" si="95"/>
        <v>0</v>
      </c>
      <c r="AN322" s="668">
        <f t="shared" si="90"/>
        <v>0</v>
      </c>
      <c r="AO322" s="668">
        <f t="shared" si="91"/>
        <v>0</v>
      </c>
      <c r="AP322" s="668">
        <f t="shared" si="96"/>
        <v>0</v>
      </c>
      <c r="AQ322" s="668">
        <f t="shared" si="92"/>
        <v>0</v>
      </c>
      <c r="AR322" s="668">
        <f t="shared" si="93"/>
        <v>0</v>
      </c>
      <c r="AS322" s="668"/>
      <c r="AT322" s="668"/>
      <c r="AU322" s="668"/>
      <c r="AV322" s="668"/>
      <c r="AW322" s="668"/>
      <c r="AX322" s="668"/>
      <c r="AY322" s="668"/>
      <c r="AZ322" s="668"/>
      <c r="BA322" s="668"/>
      <c r="BB322" s="668">
        <f t="shared" si="97"/>
        <v>0</v>
      </c>
      <c r="BC322" s="668"/>
      <c r="BD322" s="668"/>
      <c r="BE322" s="668"/>
      <c r="BF322" s="668"/>
      <c r="BG322" s="668"/>
      <c r="BH322" s="668"/>
      <c r="BI322" s="668"/>
    </row>
    <row r="323" spans="1:61" x14ac:dyDescent="0.2">
      <c r="A323" s="1013">
        <v>2165</v>
      </c>
      <c r="B323" s="1012" t="s">
        <v>598</v>
      </c>
      <c r="C323" s="1012"/>
      <c r="D323" s="667"/>
      <c r="E323" s="667"/>
      <c r="F323" s="667"/>
      <c r="G323" s="667"/>
      <c r="H323" s="667"/>
      <c r="I323" s="667"/>
      <c r="J323" s="667"/>
      <c r="K323" s="667"/>
      <c r="L323" s="667"/>
      <c r="M323" s="667"/>
      <c r="N323" s="667"/>
      <c r="O323" s="667"/>
      <c r="P323" s="667"/>
      <c r="Q323" s="1014"/>
      <c r="R323" s="667"/>
      <c r="S323" s="667"/>
      <c r="T323" s="667"/>
      <c r="U323" s="1012"/>
      <c r="V323" s="668">
        <f t="shared" si="98"/>
        <v>0</v>
      </c>
      <c r="W323" s="668">
        <f t="shared" si="99"/>
        <v>0</v>
      </c>
      <c r="X323" s="668">
        <f t="shared" si="100"/>
        <v>0</v>
      </c>
      <c r="Y323" s="668">
        <f t="shared" si="101"/>
        <v>0</v>
      </c>
      <c r="Z323" s="668">
        <f t="shared" si="102"/>
        <v>0</v>
      </c>
      <c r="AA323" s="668">
        <f t="shared" si="103"/>
        <v>0</v>
      </c>
      <c r="AB323" s="668">
        <f t="shared" si="104"/>
        <v>0</v>
      </c>
      <c r="AC323" s="668">
        <f t="shared" si="94"/>
        <v>0</v>
      </c>
      <c r="AD323" s="668">
        <f t="shared" si="105"/>
        <v>0</v>
      </c>
      <c r="AE323" s="668">
        <f t="shared" si="106"/>
        <v>0</v>
      </c>
      <c r="AF323" s="668">
        <f t="shared" si="107"/>
        <v>0</v>
      </c>
      <c r="AG323" s="668">
        <f t="shared" si="108"/>
        <v>0</v>
      </c>
      <c r="AH323" s="668"/>
      <c r="AI323" s="668"/>
      <c r="AJ323" s="668"/>
      <c r="AK323" s="668"/>
      <c r="AL323" s="668"/>
      <c r="AM323" s="668">
        <f t="shared" si="95"/>
        <v>0</v>
      </c>
      <c r="AN323" s="668">
        <f t="shared" si="90"/>
        <v>0</v>
      </c>
      <c r="AO323" s="668">
        <f t="shared" si="91"/>
        <v>0</v>
      </c>
      <c r="AP323" s="668">
        <f t="shared" si="96"/>
        <v>0</v>
      </c>
      <c r="AQ323" s="668">
        <f t="shared" si="92"/>
        <v>0</v>
      </c>
      <c r="AR323" s="668">
        <f t="shared" si="93"/>
        <v>0</v>
      </c>
      <c r="AS323" s="668"/>
      <c r="AT323" s="668"/>
      <c r="AU323" s="668"/>
      <c r="AV323" s="668"/>
      <c r="AW323" s="668"/>
      <c r="AX323" s="668"/>
      <c r="AY323" s="668"/>
      <c r="AZ323" s="668"/>
      <c r="BA323" s="668"/>
      <c r="BB323" s="668">
        <f t="shared" si="97"/>
        <v>0</v>
      </c>
      <c r="BC323" s="668"/>
      <c r="BD323" s="668"/>
      <c r="BE323" s="668"/>
      <c r="BF323" s="668"/>
      <c r="BG323" s="668"/>
      <c r="BH323" s="668"/>
      <c r="BI323" s="668"/>
    </row>
    <row r="324" spans="1:61" x14ac:dyDescent="0.2">
      <c r="A324" s="1013">
        <v>2166</v>
      </c>
      <c r="B324" s="1012" t="s">
        <v>486</v>
      </c>
      <c r="C324" s="1012"/>
      <c r="D324" s="667">
        <v>60</v>
      </c>
      <c r="E324" s="667"/>
      <c r="F324" s="667"/>
      <c r="G324" s="667"/>
      <c r="H324" s="667"/>
      <c r="I324" s="667"/>
      <c r="J324" s="667"/>
      <c r="K324" s="667"/>
      <c r="L324" s="667"/>
      <c r="M324" s="667"/>
      <c r="N324" s="667"/>
      <c r="O324" s="667"/>
      <c r="P324" s="667">
        <v>15</v>
      </c>
      <c r="Q324" s="1014">
        <v>329</v>
      </c>
      <c r="R324" s="667"/>
      <c r="S324" s="667"/>
      <c r="T324" s="667"/>
      <c r="U324" s="1012">
        <v>17</v>
      </c>
      <c r="V324" s="668">
        <f t="shared" si="98"/>
        <v>1020</v>
      </c>
      <c r="W324" s="668">
        <f t="shared" si="99"/>
        <v>0</v>
      </c>
      <c r="X324" s="668">
        <f t="shared" si="100"/>
        <v>0</v>
      </c>
      <c r="Y324" s="668">
        <f t="shared" si="101"/>
        <v>0</v>
      </c>
      <c r="Z324" s="668">
        <f t="shared" si="102"/>
        <v>0</v>
      </c>
      <c r="AA324" s="668">
        <f t="shared" si="103"/>
        <v>0</v>
      </c>
      <c r="AB324" s="668">
        <f t="shared" si="104"/>
        <v>0</v>
      </c>
      <c r="AC324" s="668">
        <f t="shared" si="94"/>
        <v>255</v>
      </c>
      <c r="AD324" s="668">
        <f t="shared" si="105"/>
        <v>329</v>
      </c>
      <c r="AE324" s="668">
        <f t="shared" si="106"/>
        <v>0</v>
      </c>
      <c r="AF324" s="668">
        <f t="shared" si="107"/>
        <v>0</v>
      </c>
      <c r="AG324" s="668">
        <f t="shared" si="108"/>
        <v>0</v>
      </c>
      <c r="AH324" s="668"/>
      <c r="AI324" s="668"/>
      <c r="AJ324" s="668"/>
      <c r="AK324" s="668"/>
      <c r="AL324" s="668"/>
      <c r="AM324" s="668">
        <f t="shared" si="95"/>
        <v>0</v>
      </c>
      <c r="AN324" s="668">
        <f t="shared" si="90"/>
        <v>0</v>
      </c>
      <c r="AO324" s="668">
        <f t="shared" si="91"/>
        <v>0</v>
      </c>
      <c r="AP324" s="668">
        <f t="shared" si="96"/>
        <v>0</v>
      </c>
      <c r="AQ324" s="668">
        <f t="shared" si="92"/>
        <v>0</v>
      </c>
      <c r="AR324" s="668">
        <f t="shared" si="93"/>
        <v>0</v>
      </c>
      <c r="AS324" s="668"/>
      <c r="AT324" s="668"/>
      <c r="AU324" s="668"/>
      <c r="AV324" s="668"/>
      <c r="AW324" s="668"/>
      <c r="AX324" s="668"/>
      <c r="AY324" s="668"/>
      <c r="AZ324" s="668"/>
      <c r="BA324" s="668"/>
      <c r="BB324" s="668">
        <f t="shared" si="97"/>
        <v>0</v>
      </c>
      <c r="BC324" s="668"/>
      <c r="BD324" s="668"/>
      <c r="BE324" s="668"/>
      <c r="BF324" s="668"/>
      <c r="BG324" s="668"/>
      <c r="BH324" s="668"/>
      <c r="BI324" s="668"/>
    </row>
    <row r="325" spans="1:61" x14ac:dyDescent="0.2">
      <c r="A325" s="1013">
        <v>2167</v>
      </c>
      <c r="B325" s="1012" t="s">
        <v>622</v>
      </c>
      <c r="C325" s="1012" t="s">
        <v>984</v>
      </c>
      <c r="D325" s="667">
        <v>620</v>
      </c>
      <c r="E325" s="667"/>
      <c r="F325" s="667"/>
      <c r="G325" s="667"/>
      <c r="H325" s="667"/>
      <c r="I325" s="667"/>
      <c r="J325" s="667"/>
      <c r="K325" s="667"/>
      <c r="L325" s="667">
        <v>14</v>
      </c>
      <c r="M325" s="667"/>
      <c r="N325" s="667"/>
      <c r="O325" s="667"/>
      <c r="P325" s="667"/>
      <c r="Q325" s="1014">
        <v>4153</v>
      </c>
      <c r="R325" s="667"/>
      <c r="S325" s="667"/>
      <c r="T325" s="667">
        <v>4153</v>
      </c>
      <c r="U325" s="1012">
        <v>17</v>
      </c>
      <c r="V325" s="668">
        <f t="shared" si="98"/>
        <v>10540</v>
      </c>
      <c r="W325" s="668">
        <f t="shared" si="99"/>
        <v>0</v>
      </c>
      <c r="X325" s="668">
        <f t="shared" si="100"/>
        <v>0</v>
      </c>
      <c r="Y325" s="668">
        <f t="shared" si="101"/>
        <v>0</v>
      </c>
      <c r="Z325" s="668">
        <f t="shared" si="102"/>
        <v>10540</v>
      </c>
      <c r="AA325" s="668">
        <f t="shared" si="103"/>
        <v>0</v>
      </c>
      <c r="AB325" s="668">
        <f t="shared" si="104"/>
        <v>4153</v>
      </c>
      <c r="AC325" s="668">
        <f t="shared" si="94"/>
        <v>0</v>
      </c>
      <c r="AD325" s="668">
        <f t="shared" si="105"/>
        <v>4153</v>
      </c>
      <c r="AE325" s="668">
        <f t="shared" si="106"/>
        <v>0</v>
      </c>
      <c r="AF325" s="668">
        <f t="shared" si="107"/>
        <v>238</v>
      </c>
      <c r="AG325" s="668">
        <f t="shared" si="108"/>
        <v>0</v>
      </c>
      <c r="AH325" s="668"/>
      <c r="AI325" s="668"/>
      <c r="AJ325" s="668"/>
      <c r="AK325" s="668"/>
      <c r="AL325" s="668"/>
      <c r="AM325" s="668">
        <f t="shared" si="95"/>
        <v>0</v>
      </c>
      <c r="AN325" s="668">
        <f t="shared" si="90"/>
        <v>0</v>
      </c>
      <c r="AO325" s="668">
        <f t="shared" si="91"/>
        <v>0</v>
      </c>
      <c r="AP325" s="668">
        <f t="shared" si="96"/>
        <v>0</v>
      </c>
      <c r="AQ325" s="668">
        <f t="shared" si="92"/>
        <v>0</v>
      </c>
      <c r="AR325" s="668">
        <f t="shared" si="93"/>
        <v>0</v>
      </c>
      <c r="AS325" s="668"/>
      <c r="AT325" s="668"/>
      <c r="AU325" s="668"/>
      <c r="AV325" s="668"/>
      <c r="AW325" s="668"/>
      <c r="AX325" s="668"/>
      <c r="AY325" s="668"/>
      <c r="AZ325" s="668"/>
      <c r="BA325" s="668"/>
      <c r="BB325" s="668">
        <f t="shared" si="97"/>
        <v>0</v>
      </c>
      <c r="BC325" s="668"/>
      <c r="BD325" s="668"/>
      <c r="BE325" s="668"/>
      <c r="BF325" s="668"/>
      <c r="BG325" s="668"/>
      <c r="BH325" s="668"/>
      <c r="BI325" s="668"/>
    </row>
    <row r="326" spans="1:61" x14ac:dyDescent="0.2">
      <c r="A326" s="1013">
        <v>2168</v>
      </c>
      <c r="B326" s="1012" t="s">
        <v>584</v>
      </c>
      <c r="C326" s="1012"/>
      <c r="D326" s="667"/>
      <c r="E326" s="667"/>
      <c r="F326" s="667"/>
      <c r="G326" s="667"/>
      <c r="H326" s="667"/>
      <c r="I326" s="667"/>
      <c r="J326" s="667"/>
      <c r="K326" s="667"/>
      <c r="L326" s="667"/>
      <c r="M326" s="667"/>
      <c r="N326" s="667"/>
      <c r="O326" s="667"/>
      <c r="P326" s="667"/>
      <c r="Q326" s="1014"/>
      <c r="R326" s="667"/>
      <c r="S326" s="667"/>
      <c r="T326" s="667"/>
      <c r="U326" s="1012"/>
      <c r="V326" s="668">
        <f t="shared" si="98"/>
        <v>0</v>
      </c>
      <c r="W326" s="668">
        <f t="shared" si="99"/>
        <v>0</v>
      </c>
      <c r="X326" s="668">
        <f t="shared" si="100"/>
        <v>0</v>
      </c>
      <c r="Y326" s="668">
        <f t="shared" si="101"/>
        <v>0</v>
      </c>
      <c r="Z326" s="668">
        <f t="shared" si="102"/>
        <v>0</v>
      </c>
      <c r="AA326" s="668">
        <f t="shared" si="103"/>
        <v>0</v>
      </c>
      <c r="AB326" s="668">
        <f t="shared" si="104"/>
        <v>0</v>
      </c>
      <c r="AC326" s="668">
        <f t="shared" si="94"/>
        <v>0</v>
      </c>
      <c r="AD326" s="668">
        <f t="shared" si="105"/>
        <v>0</v>
      </c>
      <c r="AE326" s="668">
        <f t="shared" si="106"/>
        <v>0</v>
      </c>
      <c r="AF326" s="668">
        <f t="shared" si="107"/>
        <v>0</v>
      </c>
      <c r="AG326" s="668">
        <f t="shared" si="108"/>
        <v>0</v>
      </c>
      <c r="AH326" s="668"/>
      <c r="AI326" s="668"/>
      <c r="AJ326" s="668"/>
      <c r="AK326" s="668"/>
      <c r="AL326" s="668"/>
      <c r="AM326" s="668">
        <f t="shared" si="95"/>
        <v>0</v>
      </c>
      <c r="AN326" s="668">
        <f t="shared" si="90"/>
        <v>0</v>
      </c>
      <c r="AO326" s="668">
        <f t="shared" si="91"/>
        <v>0</v>
      </c>
      <c r="AP326" s="668">
        <f t="shared" si="96"/>
        <v>0</v>
      </c>
      <c r="AQ326" s="668">
        <f t="shared" si="92"/>
        <v>0</v>
      </c>
      <c r="AR326" s="668">
        <f t="shared" si="93"/>
        <v>0</v>
      </c>
      <c r="AS326" s="668"/>
      <c r="AT326" s="668"/>
      <c r="AU326" s="668"/>
      <c r="AV326" s="668"/>
      <c r="AW326" s="668"/>
      <c r="AX326" s="668"/>
      <c r="AY326" s="668"/>
      <c r="AZ326" s="668"/>
      <c r="BA326" s="668"/>
      <c r="BB326" s="668">
        <f t="shared" si="97"/>
        <v>0</v>
      </c>
      <c r="BC326" s="668"/>
      <c r="BD326" s="668"/>
      <c r="BE326" s="668"/>
      <c r="BF326" s="668"/>
      <c r="BG326" s="668"/>
      <c r="BH326" s="668"/>
      <c r="BI326" s="668"/>
    </row>
    <row r="327" spans="1:61" x14ac:dyDescent="0.2">
      <c r="A327" s="1013">
        <v>2169</v>
      </c>
      <c r="B327" s="1012" t="s">
        <v>585</v>
      </c>
      <c r="C327" s="1012"/>
      <c r="D327" s="667"/>
      <c r="E327" s="667"/>
      <c r="F327" s="667"/>
      <c r="G327" s="667"/>
      <c r="H327" s="667"/>
      <c r="I327" s="667"/>
      <c r="J327" s="667"/>
      <c r="K327" s="667"/>
      <c r="L327" s="667"/>
      <c r="M327" s="667"/>
      <c r="N327" s="667"/>
      <c r="O327" s="667"/>
      <c r="P327" s="667"/>
      <c r="Q327" s="1014"/>
      <c r="R327" s="667"/>
      <c r="S327" s="667"/>
      <c r="T327" s="667"/>
      <c r="U327" s="1012"/>
      <c r="V327" s="668">
        <f t="shared" si="98"/>
        <v>0</v>
      </c>
      <c r="W327" s="668">
        <f t="shared" si="99"/>
        <v>0</v>
      </c>
      <c r="X327" s="668">
        <f t="shared" si="100"/>
        <v>0</v>
      </c>
      <c r="Y327" s="668">
        <f t="shared" si="101"/>
        <v>0</v>
      </c>
      <c r="Z327" s="668">
        <f t="shared" si="102"/>
        <v>0</v>
      </c>
      <c r="AA327" s="668">
        <f t="shared" si="103"/>
        <v>0</v>
      </c>
      <c r="AB327" s="668">
        <f t="shared" si="104"/>
        <v>0</v>
      </c>
      <c r="AC327" s="668">
        <f t="shared" si="94"/>
        <v>0</v>
      </c>
      <c r="AD327" s="668">
        <f t="shared" si="105"/>
        <v>0</v>
      </c>
      <c r="AE327" s="668">
        <f t="shared" si="106"/>
        <v>0</v>
      </c>
      <c r="AF327" s="668">
        <f t="shared" si="107"/>
        <v>0</v>
      </c>
      <c r="AG327" s="668">
        <f t="shared" si="108"/>
        <v>0</v>
      </c>
      <c r="AH327" s="668"/>
      <c r="AI327" s="668"/>
      <c r="AJ327" s="668"/>
      <c r="AK327" s="668"/>
      <c r="AL327" s="668"/>
      <c r="AM327" s="668">
        <f t="shared" si="95"/>
        <v>0</v>
      </c>
      <c r="AN327" s="668">
        <f t="shared" si="90"/>
        <v>0</v>
      </c>
      <c r="AO327" s="668">
        <f t="shared" si="91"/>
        <v>0</v>
      </c>
      <c r="AP327" s="668">
        <f t="shared" si="96"/>
        <v>0</v>
      </c>
      <c r="AQ327" s="668">
        <f t="shared" si="92"/>
        <v>0</v>
      </c>
      <c r="AR327" s="668">
        <f t="shared" si="93"/>
        <v>0</v>
      </c>
      <c r="AS327" s="668"/>
      <c r="AT327" s="668"/>
      <c r="AU327" s="668"/>
      <c r="AV327" s="668"/>
      <c r="AW327" s="668"/>
      <c r="AX327" s="668"/>
      <c r="AY327" s="668"/>
      <c r="AZ327" s="668"/>
      <c r="BA327" s="668"/>
      <c r="BB327" s="668">
        <f t="shared" si="97"/>
        <v>0</v>
      </c>
      <c r="BC327" s="668"/>
      <c r="BD327" s="668"/>
      <c r="BE327" s="668"/>
      <c r="BF327" s="668"/>
      <c r="BG327" s="668"/>
      <c r="BH327" s="668"/>
      <c r="BI327" s="668"/>
    </row>
    <row r="328" spans="1:61" x14ac:dyDescent="0.2">
      <c r="A328" s="1013">
        <v>2171</v>
      </c>
      <c r="B328" s="1012" t="s">
        <v>465</v>
      </c>
      <c r="C328" s="1012"/>
      <c r="D328" s="667"/>
      <c r="E328" s="667"/>
      <c r="F328" s="667"/>
      <c r="G328" s="667"/>
      <c r="H328" s="667"/>
      <c r="I328" s="667"/>
      <c r="J328" s="667"/>
      <c r="K328" s="667"/>
      <c r="L328" s="667"/>
      <c r="M328" s="667"/>
      <c r="N328" s="667"/>
      <c r="O328" s="667"/>
      <c r="P328" s="667"/>
      <c r="Q328" s="1014"/>
      <c r="R328" s="667"/>
      <c r="S328" s="667"/>
      <c r="T328" s="667"/>
      <c r="U328" s="1012"/>
      <c r="V328" s="668">
        <f t="shared" si="98"/>
        <v>0</v>
      </c>
      <c r="W328" s="668">
        <f t="shared" si="99"/>
        <v>0</v>
      </c>
      <c r="X328" s="668">
        <f t="shared" si="100"/>
        <v>0</v>
      </c>
      <c r="Y328" s="668">
        <f t="shared" si="101"/>
        <v>0</v>
      </c>
      <c r="Z328" s="668">
        <f t="shared" si="102"/>
        <v>0</v>
      </c>
      <c r="AA328" s="668">
        <f t="shared" si="103"/>
        <v>0</v>
      </c>
      <c r="AB328" s="668">
        <f t="shared" si="104"/>
        <v>0</v>
      </c>
      <c r="AC328" s="668">
        <f t="shared" si="94"/>
        <v>0</v>
      </c>
      <c r="AD328" s="668">
        <f t="shared" si="105"/>
        <v>0</v>
      </c>
      <c r="AE328" s="668">
        <f t="shared" si="106"/>
        <v>0</v>
      </c>
      <c r="AF328" s="668">
        <f t="shared" si="107"/>
        <v>0</v>
      </c>
      <c r="AG328" s="668">
        <f t="shared" si="108"/>
        <v>0</v>
      </c>
      <c r="AH328" s="668"/>
      <c r="AI328" s="668"/>
      <c r="AJ328" s="668"/>
      <c r="AK328" s="668"/>
      <c r="AL328" s="668"/>
      <c r="AM328" s="668">
        <f t="shared" si="95"/>
        <v>0</v>
      </c>
      <c r="AN328" s="668">
        <f t="shared" ref="AN328:AN391" si="110">+U328*E328</f>
        <v>0</v>
      </c>
      <c r="AO328" s="668">
        <f t="shared" ref="AO328:AO391" si="111">+U328*O328</f>
        <v>0</v>
      </c>
      <c r="AP328" s="668">
        <f t="shared" si="96"/>
        <v>0</v>
      </c>
      <c r="AQ328" s="668">
        <f t="shared" ref="AQ328:AQ391" si="112">+$AQ$4*K328</f>
        <v>0</v>
      </c>
      <c r="AR328" s="668">
        <f t="shared" ref="AR328:AR391" si="113">+$AR$4*K328</f>
        <v>0</v>
      </c>
      <c r="AS328" s="668"/>
      <c r="AT328" s="668"/>
      <c r="AU328" s="668"/>
      <c r="AV328" s="668"/>
      <c r="AW328" s="668"/>
      <c r="AX328" s="668"/>
      <c r="AY328" s="668"/>
      <c r="AZ328" s="668"/>
      <c r="BA328" s="668"/>
      <c r="BB328" s="668">
        <f t="shared" si="97"/>
        <v>0</v>
      </c>
      <c r="BC328" s="668"/>
      <c r="BD328" s="668"/>
      <c r="BE328" s="668"/>
      <c r="BF328" s="668"/>
      <c r="BG328" s="668"/>
      <c r="BH328" s="668"/>
      <c r="BI328" s="668"/>
    </row>
    <row r="329" spans="1:61" x14ac:dyDescent="0.2">
      <c r="A329" s="1013" t="s">
        <v>645</v>
      </c>
      <c r="B329" s="1012" t="s">
        <v>647</v>
      </c>
      <c r="C329" s="1012" t="s">
        <v>984</v>
      </c>
      <c r="D329" s="667">
        <v>255</v>
      </c>
      <c r="E329" s="667"/>
      <c r="F329" s="667"/>
      <c r="G329" s="667"/>
      <c r="H329" s="667"/>
      <c r="I329" s="667"/>
      <c r="J329" s="667"/>
      <c r="K329" s="667"/>
      <c r="L329" s="667">
        <v>2</v>
      </c>
      <c r="M329" s="667"/>
      <c r="N329" s="667"/>
      <c r="O329" s="667"/>
      <c r="P329" s="667"/>
      <c r="Q329" s="1014">
        <v>2310</v>
      </c>
      <c r="R329" s="667"/>
      <c r="S329" s="667"/>
      <c r="T329" s="667">
        <v>2310</v>
      </c>
      <c r="U329" s="1012">
        <v>17</v>
      </c>
      <c r="V329" s="668">
        <f t="shared" si="98"/>
        <v>4335</v>
      </c>
      <c r="W329" s="668">
        <f t="shared" si="99"/>
        <v>0</v>
      </c>
      <c r="X329" s="668">
        <f t="shared" si="100"/>
        <v>0</v>
      </c>
      <c r="Y329" s="668">
        <f t="shared" si="101"/>
        <v>0</v>
      </c>
      <c r="Z329" s="668">
        <f t="shared" si="102"/>
        <v>4335</v>
      </c>
      <c r="AA329" s="668">
        <f t="shared" si="103"/>
        <v>0</v>
      </c>
      <c r="AB329" s="668">
        <f t="shared" si="104"/>
        <v>2310</v>
      </c>
      <c r="AC329" s="668">
        <f t="shared" si="94"/>
        <v>0</v>
      </c>
      <c r="AD329" s="668">
        <f t="shared" si="105"/>
        <v>2310</v>
      </c>
      <c r="AE329" s="668">
        <f t="shared" si="106"/>
        <v>0</v>
      </c>
      <c r="AF329" s="668">
        <f t="shared" si="107"/>
        <v>34</v>
      </c>
      <c r="AG329" s="668">
        <f t="shared" si="108"/>
        <v>0</v>
      </c>
      <c r="AH329" s="668"/>
      <c r="AI329" s="668"/>
      <c r="AJ329" s="668"/>
      <c r="AK329" s="668"/>
      <c r="AL329" s="668"/>
      <c r="AM329" s="668">
        <f t="shared" si="95"/>
        <v>0</v>
      </c>
      <c r="AN329" s="668">
        <f t="shared" si="110"/>
        <v>0</v>
      </c>
      <c r="AO329" s="668">
        <f t="shared" si="111"/>
        <v>0</v>
      </c>
      <c r="AP329" s="668">
        <f t="shared" si="96"/>
        <v>0</v>
      </c>
      <c r="AQ329" s="668">
        <f t="shared" si="112"/>
        <v>0</v>
      </c>
      <c r="AR329" s="668">
        <f t="shared" si="113"/>
        <v>0</v>
      </c>
      <c r="AS329" s="668"/>
      <c r="AT329" s="668"/>
      <c r="AU329" s="668"/>
      <c r="AV329" s="668"/>
      <c r="AW329" s="668"/>
      <c r="AX329" s="668"/>
      <c r="AY329" s="668"/>
      <c r="AZ329" s="668"/>
      <c r="BA329" s="668"/>
      <c r="BB329" s="668">
        <f t="shared" si="97"/>
        <v>0</v>
      </c>
      <c r="BC329" s="668"/>
      <c r="BD329" s="668"/>
      <c r="BE329" s="668"/>
      <c r="BF329" s="668"/>
      <c r="BG329" s="668"/>
      <c r="BH329" s="668"/>
      <c r="BI329" s="668"/>
    </row>
    <row r="330" spans="1:61" x14ac:dyDescent="0.2">
      <c r="A330" s="1013" t="s">
        <v>646</v>
      </c>
      <c r="B330" s="1013" t="s">
        <v>589</v>
      </c>
      <c r="C330" s="1013"/>
      <c r="D330" s="667"/>
      <c r="E330" s="667"/>
      <c r="F330" s="667"/>
      <c r="G330" s="667"/>
      <c r="H330" s="667"/>
      <c r="I330" s="667"/>
      <c r="J330" s="667"/>
      <c r="K330" s="667"/>
      <c r="L330" s="667"/>
      <c r="M330" s="667"/>
      <c r="N330" s="667"/>
      <c r="O330" s="667"/>
      <c r="P330" s="667"/>
      <c r="Q330" s="1014"/>
      <c r="R330" s="667"/>
      <c r="S330" s="667"/>
      <c r="T330" s="667"/>
      <c r="U330" s="1013"/>
      <c r="V330" s="668">
        <f t="shared" si="98"/>
        <v>0</v>
      </c>
      <c r="W330" s="668">
        <f t="shared" si="99"/>
        <v>0</v>
      </c>
      <c r="X330" s="668">
        <f t="shared" si="100"/>
        <v>0</v>
      </c>
      <c r="Y330" s="668">
        <f t="shared" si="101"/>
        <v>0</v>
      </c>
      <c r="Z330" s="668">
        <f t="shared" si="102"/>
        <v>0</v>
      </c>
      <c r="AA330" s="668">
        <f t="shared" si="103"/>
        <v>0</v>
      </c>
      <c r="AB330" s="668">
        <f t="shared" si="104"/>
        <v>0</v>
      </c>
      <c r="AC330" s="668">
        <f t="shared" ref="AC330:AC393" si="114">+U330*P330</f>
        <v>0</v>
      </c>
      <c r="AD330" s="668">
        <f t="shared" si="105"/>
        <v>0</v>
      </c>
      <c r="AE330" s="668">
        <f t="shared" si="106"/>
        <v>0</v>
      </c>
      <c r="AF330" s="668">
        <f t="shared" si="107"/>
        <v>0</v>
      </c>
      <c r="AG330" s="668">
        <f t="shared" si="108"/>
        <v>0</v>
      </c>
      <c r="AH330" s="668"/>
      <c r="AI330" s="668"/>
      <c r="AJ330" s="668"/>
      <c r="AK330" s="668"/>
      <c r="AL330" s="668"/>
      <c r="AM330" s="668">
        <f t="shared" si="95"/>
        <v>0</v>
      </c>
      <c r="AN330" s="668">
        <f t="shared" si="110"/>
        <v>0</v>
      </c>
      <c r="AO330" s="668">
        <f t="shared" si="111"/>
        <v>0</v>
      </c>
      <c r="AP330" s="668">
        <f t="shared" si="96"/>
        <v>0</v>
      </c>
      <c r="AQ330" s="668">
        <f t="shared" si="112"/>
        <v>0</v>
      </c>
      <c r="AR330" s="668">
        <f t="shared" si="113"/>
        <v>0</v>
      </c>
      <c r="AS330" s="668"/>
      <c r="AT330" s="668"/>
      <c r="AU330" s="668"/>
      <c r="AV330" s="668"/>
      <c r="AW330" s="668"/>
      <c r="AX330" s="668"/>
      <c r="AY330" s="668"/>
      <c r="AZ330" s="668"/>
      <c r="BA330" s="668"/>
      <c r="BB330" s="668">
        <f t="shared" si="97"/>
        <v>0</v>
      </c>
      <c r="BC330" s="668"/>
      <c r="BD330" s="668"/>
      <c r="BE330" s="668"/>
      <c r="BF330" s="668"/>
      <c r="BG330" s="668"/>
      <c r="BH330" s="668"/>
      <c r="BI330" s="668"/>
    </row>
    <row r="331" spans="1:61" x14ac:dyDescent="0.2">
      <c r="A331" s="1013">
        <v>2174</v>
      </c>
      <c r="B331" s="1012" t="s">
        <v>486</v>
      </c>
      <c r="C331" s="1012"/>
      <c r="D331" s="667">
        <v>150</v>
      </c>
      <c r="E331" s="667"/>
      <c r="F331" s="667"/>
      <c r="G331" s="667"/>
      <c r="H331" s="667"/>
      <c r="I331" s="667"/>
      <c r="J331" s="667"/>
      <c r="K331" s="667"/>
      <c r="L331" s="667"/>
      <c r="M331" s="667"/>
      <c r="N331" s="667"/>
      <c r="O331" s="667"/>
      <c r="P331" s="667">
        <v>108</v>
      </c>
      <c r="Q331" s="1014">
        <v>1616</v>
      </c>
      <c r="R331" s="667"/>
      <c r="S331" s="667"/>
      <c r="T331" s="667"/>
      <c r="U331" s="1012">
        <v>17</v>
      </c>
      <c r="V331" s="668">
        <f t="shared" si="98"/>
        <v>2550</v>
      </c>
      <c r="W331" s="668">
        <f t="shared" si="99"/>
        <v>0</v>
      </c>
      <c r="X331" s="668">
        <f t="shared" si="100"/>
        <v>0</v>
      </c>
      <c r="Y331" s="668">
        <f t="shared" si="101"/>
        <v>0</v>
      </c>
      <c r="Z331" s="668">
        <f t="shared" si="102"/>
        <v>0</v>
      </c>
      <c r="AA331" s="668">
        <f t="shared" si="103"/>
        <v>0</v>
      </c>
      <c r="AB331" s="668">
        <f t="shared" si="104"/>
        <v>0</v>
      </c>
      <c r="AC331" s="668">
        <f t="shared" si="114"/>
        <v>1836</v>
      </c>
      <c r="AD331" s="668">
        <f t="shared" si="105"/>
        <v>1616</v>
      </c>
      <c r="AE331" s="668">
        <f t="shared" si="106"/>
        <v>0</v>
      </c>
      <c r="AF331" s="668">
        <f t="shared" si="107"/>
        <v>0</v>
      </c>
      <c r="AG331" s="668">
        <f t="shared" si="108"/>
        <v>0</v>
      </c>
      <c r="AH331" s="668"/>
      <c r="AI331" s="668"/>
      <c r="AJ331" s="668"/>
      <c r="AK331" s="668"/>
      <c r="AL331" s="668"/>
      <c r="AM331" s="668">
        <f t="shared" si="95"/>
        <v>0</v>
      </c>
      <c r="AN331" s="668">
        <f t="shared" si="110"/>
        <v>0</v>
      </c>
      <c r="AO331" s="668">
        <f t="shared" si="111"/>
        <v>0</v>
      </c>
      <c r="AP331" s="668">
        <f t="shared" si="96"/>
        <v>0</v>
      </c>
      <c r="AQ331" s="668">
        <f t="shared" si="112"/>
        <v>0</v>
      </c>
      <c r="AR331" s="668">
        <f t="shared" si="113"/>
        <v>0</v>
      </c>
      <c r="AS331" s="668"/>
      <c r="AT331" s="668"/>
      <c r="AU331" s="668"/>
      <c r="AV331" s="668"/>
      <c r="AW331" s="668"/>
      <c r="AX331" s="668"/>
      <c r="AY331" s="668"/>
      <c r="AZ331" s="668"/>
      <c r="BA331" s="668"/>
      <c r="BB331" s="668">
        <f t="shared" si="97"/>
        <v>0</v>
      </c>
      <c r="BC331" s="668"/>
      <c r="BD331" s="668"/>
      <c r="BE331" s="668"/>
      <c r="BF331" s="668"/>
      <c r="BG331" s="668"/>
      <c r="BH331" s="668"/>
      <c r="BI331" s="668"/>
    </row>
    <row r="332" spans="1:61" x14ac:dyDescent="0.2">
      <c r="A332" s="1013">
        <v>2175</v>
      </c>
      <c r="B332" s="1012" t="s">
        <v>648</v>
      </c>
      <c r="C332" s="1012"/>
      <c r="D332" s="667">
        <v>146</v>
      </c>
      <c r="E332" s="667"/>
      <c r="F332" s="667"/>
      <c r="G332" s="667"/>
      <c r="H332" s="667"/>
      <c r="I332" s="667"/>
      <c r="J332" s="667"/>
      <c r="K332" s="667"/>
      <c r="L332" s="667">
        <v>2</v>
      </c>
      <c r="M332" s="667"/>
      <c r="N332" s="667"/>
      <c r="O332" s="667"/>
      <c r="P332" s="667">
        <v>111</v>
      </c>
      <c r="Q332" s="1014">
        <v>1517</v>
      </c>
      <c r="R332" s="667"/>
      <c r="S332" s="667"/>
      <c r="T332" s="667"/>
      <c r="U332" s="1012">
        <v>17</v>
      </c>
      <c r="V332" s="668">
        <f t="shared" si="98"/>
        <v>2482</v>
      </c>
      <c r="W332" s="668">
        <f t="shared" si="99"/>
        <v>0</v>
      </c>
      <c r="X332" s="668">
        <f t="shared" si="100"/>
        <v>0</v>
      </c>
      <c r="Y332" s="668">
        <f t="shared" si="101"/>
        <v>0</v>
      </c>
      <c r="Z332" s="668">
        <f t="shared" si="102"/>
        <v>0</v>
      </c>
      <c r="AA332" s="668">
        <f t="shared" si="103"/>
        <v>0</v>
      </c>
      <c r="AB332" s="668">
        <f t="shared" si="104"/>
        <v>0</v>
      </c>
      <c r="AC332" s="668">
        <f t="shared" si="114"/>
        <v>1887</v>
      </c>
      <c r="AD332" s="668">
        <f t="shared" si="105"/>
        <v>1517</v>
      </c>
      <c r="AE332" s="668">
        <f t="shared" si="106"/>
        <v>0</v>
      </c>
      <c r="AF332" s="668">
        <f t="shared" si="107"/>
        <v>34</v>
      </c>
      <c r="AG332" s="668">
        <f t="shared" si="108"/>
        <v>0</v>
      </c>
      <c r="AH332" s="668"/>
      <c r="AI332" s="668"/>
      <c r="AJ332" s="668"/>
      <c r="AK332" s="668"/>
      <c r="AL332" s="668"/>
      <c r="AM332" s="668">
        <f t="shared" si="95"/>
        <v>0</v>
      </c>
      <c r="AN332" s="668">
        <f t="shared" si="110"/>
        <v>0</v>
      </c>
      <c r="AO332" s="668">
        <f t="shared" si="111"/>
        <v>0</v>
      </c>
      <c r="AP332" s="668">
        <f t="shared" si="96"/>
        <v>0</v>
      </c>
      <c r="AQ332" s="668">
        <f t="shared" si="112"/>
        <v>0</v>
      </c>
      <c r="AR332" s="668">
        <f t="shared" si="113"/>
        <v>0</v>
      </c>
      <c r="AS332" s="668"/>
      <c r="AT332" s="668"/>
      <c r="AU332" s="668"/>
      <c r="AV332" s="668"/>
      <c r="AW332" s="668"/>
      <c r="AX332" s="668"/>
      <c r="AY332" s="668"/>
      <c r="AZ332" s="668"/>
      <c r="BA332" s="668"/>
      <c r="BB332" s="668">
        <f t="shared" si="97"/>
        <v>0</v>
      </c>
      <c r="BC332" s="668"/>
      <c r="BD332" s="668"/>
      <c r="BE332" s="668"/>
      <c r="BF332" s="668"/>
      <c r="BG332" s="668"/>
      <c r="BH332" s="668"/>
      <c r="BI332" s="668"/>
    </row>
    <row r="333" spans="1:61" x14ac:dyDescent="0.2">
      <c r="A333" s="1013">
        <v>2176</v>
      </c>
      <c r="B333" s="1012" t="s">
        <v>649</v>
      </c>
      <c r="C333" s="1012"/>
      <c r="D333" s="667">
        <v>206</v>
      </c>
      <c r="E333" s="667"/>
      <c r="F333" s="667"/>
      <c r="G333" s="667"/>
      <c r="H333" s="667"/>
      <c r="I333" s="667"/>
      <c r="J333" s="667"/>
      <c r="K333" s="667"/>
      <c r="L333" s="667">
        <v>6</v>
      </c>
      <c r="M333" s="667"/>
      <c r="N333" s="667"/>
      <c r="O333" s="667"/>
      <c r="P333" s="667"/>
      <c r="Q333" s="667"/>
      <c r="R333" s="667"/>
      <c r="S333" s="667"/>
      <c r="T333" s="667">
        <v>2246</v>
      </c>
      <c r="U333" s="1012">
        <v>17</v>
      </c>
      <c r="V333" s="668">
        <f t="shared" si="98"/>
        <v>3502</v>
      </c>
      <c r="W333" s="668">
        <f t="shared" si="99"/>
        <v>0</v>
      </c>
      <c r="X333" s="668">
        <f t="shared" si="100"/>
        <v>0</v>
      </c>
      <c r="Y333" s="668">
        <f t="shared" si="101"/>
        <v>0</v>
      </c>
      <c r="Z333" s="668">
        <f t="shared" si="102"/>
        <v>0</v>
      </c>
      <c r="AA333" s="668">
        <f t="shared" si="103"/>
        <v>0</v>
      </c>
      <c r="AB333" s="668">
        <f t="shared" si="104"/>
        <v>2246</v>
      </c>
      <c r="AC333" s="668">
        <f t="shared" si="114"/>
        <v>0</v>
      </c>
      <c r="AD333" s="668">
        <f t="shared" si="105"/>
        <v>0</v>
      </c>
      <c r="AE333" s="668">
        <f t="shared" si="106"/>
        <v>0</v>
      </c>
      <c r="AF333" s="668">
        <f t="shared" si="107"/>
        <v>102</v>
      </c>
      <c r="AG333" s="668">
        <f t="shared" si="108"/>
        <v>0</v>
      </c>
      <c r="AH333" s="668"/>
      <c r="AI333" s="668"/>
      <c r="AJ333" s="668"/>
      <c r="AK333" s="668"/>
      <c r="AL333" s="668"/>
      <c r="AM333" s="668">
        <f t="shared" si="95"/>
        <v>0</v>
      </c>
      <c r="AN333" s="668">
        <f t="shared" si="110"/>
        <v>0</v>
      </c>
      <c r="AO333" s="668">
        <f t="shared" si="111"/>
        <v>0</v>
      </c>
      <c r="AP333" s="668">
        <f t="shared" si="96"/>
        <v>0</v>
      </c>
      <c r="AQ333" s="668">
        <f t="shared" si="112"/>
        <v>0</v>
      </c>
      <c r="AR333" s="668">
        <f t="shared" si="113"/>
        <v>0</v>
      </c>
      <c r="AS333" s="668"/>
      <c r="AT333" s="668"/>
      <c r="AU333" s="668"/>
      <c r="AV333" s="668"/>
      <c r="AW333" s="668"/>
      <c r="AX333" s="668"/>
      <c r="AY333" s="668"/>
      <c r="AZ333" s="668"/>
      <c r="BA333" s="668"/>
      <c r="BB333" s="668">
        <f t="shared" si="97"/>
        <v>0</v>
      </c>
      <c r="BC333" s="668"/>
      <c r="BD333" s="668"/>
      <c r="BE333" s="668"/>
      <c r="BF333" s="668"/>
      <c r="BG333" s="668"/>
      <c r="BH333" s="668"/>
      <c r="BI333" s="668"/>
    </row>
    <row r="334" spans="1:61" x14ac:dyDescent="0.2">
      <c r="A334" s="1013">
        <v>2177</v>
      </c>
      <c r="B334" s="1012" t="s">
        <v>486</v>
      </c>
      <c r="C334" s="1012"/>
      <c r="D334" s="667">
        <v>45</v>
      </c>
      <c r="E334" s="667"/>
      <c r="F334" s="667"/>
      <c r="G334" s="667"/>
      <c r="H334" s="667"/>
      <c r="I334" s="667"/>
      <c r="J334" s="667"/>
      <c r="K334" s="667"/>
      <c r="L334" s="667"/>
      <c r="M334" s="667"/>
      <c r="N334" s="667"/>
      <c r="O334" s="667"/>
      <c r="P334" s="667">
        <v>6</v>
      </c>
      <c r="Q334" s="1014">
        <v>109</v>
      </c>
      <c r="R334" s="667"/>
      <c r="S334" s="667"/>
      <c r="T334" s="667"/>
      <c r="U334" s="1012">
        <v>17</v>
      </c>
      <c r="V334" s="668">
        <f t="shared" si="98"/>
        <v>765</v>
      </c>
      <c r="W334" s="668">
        <f t="shared" si="99"/>
        <v>0</v>
      </c>
      <c r="X334" s="668">
        <f t="shared" si="100"/>
        <v>0</v>
      </c>
      <c r="Y334" s="668">
        <f t="shared" si="101"/>
        <v>0</v>
      </c>
      <c r="Z334" s="668">
        <f t="shared" si="102"/>
        <v>0</v>
      </c>
      <c r="AA334" s="668">
        <f t="shared" si="103"/>
        <v>0</v>
      </c>
      <c r="AB334" s="668">
        <f t="shared" si="104"/>
        <v>0</v>
      </c>
      <c r="AC334" s="668">
        <f t="shared" si="114"/>
        <v>102</v>
      </c>
      <c r="AD334" s="668">
        <f t="shared" si="105"/>
        <v>109</v>
      </c>
      <c r="AE334" s="668">
        <f t="shared" si="106"/>
        <v>0</v>
      </c>
      <c r="AF334" s="668">
        <f t="shared" si="107"/>
        <v>0</v>
      </c>
      <c r="AG334" s="668">
        <f t="shared" si="108"/>
        <v>0</v>
      </c>
      <c r="AH334" s="668"/>
      <c r="AI334" s="668"/>
      <c r="AJ334" s="668"/>
      <c r="AK334" s="668"/>
      <c r="AL334" s="668"/>
      <c r="AM334" s="668">
        <f t="shared" si="95"/>
        <v>0</v>
      </c>
      <c r="AN334" s="668">
        <f t="shared" si="110"/>
        <v>0</v>
      </c>
      <c r="AO334" s="668">
        <f t="shared" si="111"/>
        <v>0</v>
      </c>
      <c r="AP334" s="668">
        <f t="shared" si="96"/>
        <v>0</v>
      </c>
      <c r="AQ334" s="668">
        <f t="shared" si="112"/>
        <v>0</v>
      </c>
      <c r="AR334" s="668">
        <f t="shared" si="113"/>
        <v>0</v>
      </c>
      <c r="AS334" s="668"/>
      <c r="AT334" s="668"/>
      <c r="AU334" s="668"/>
      <c r="AV334" s="668"/>
      <c r="AW334" s="668"/>
      <c r="AX334" s="668"/>
      <c r="AY334" s="668"/>
      <c r="AZ334" s="668"/>
      <c r="BA334" s="668"/>
      <c r="BB334" s="668">
        <f t="shared" si="97"/>
        <v>0</v>
      </c>
      <c r="BC334" s="668"/>
      <c r="BD334" s="668"/>
      <c r="BE334" s="668"/>
      <c r="BF334" s="668"/>
      <c r="BG334" s="668"/>
      <c r="BH334" s="668"/>
      <c r="BI334" s="668"/>
    </row>
    <row r="335" spans="1:61" x14ac:dyDescent="0.2">
      <c r="A335" s="1013">
        <v>2179</v>
      </c>
      <c r="B335" s="1012" t="s">
        <v>590</v>
      </c>
      <c r="C335" s="1012"/>
      <c r="D335" s="667"/>
      <c r="E335" s="667"/>
      <c r="F335" s="667"/>
      <c r="G335" s="667"/>
      <c r="H335" s="667"/>
      <c r="I335" s="667"/>
      <c r="J335" s="667"/>
      <c r="K335" s="667"/>
      <c r="L335" s="667"/>
      <c r="M335" s="667"/>
      <c r="N335" s="667"/>
      <c r="O335" s="667"/>
      <c r="P335" s="667"/>
      <c r="Q335" s="1014"/>
      <c r="R335" s="667"/>
      <c r="S335" s="667"/>
      <c r="T335" s="667"/>
      <c r="U335" s="1012"/>
      <c r="V335" s="668">
        <f t="shared" si="98"/>
        <v>0</v>
      </c>
      <c r="W335" s="668">
        <f t="shared" si="99"/>
        <v>0</v>
      </c>
      <c r="X335" s="668">
        <f t="shared" si="100"/>
        <v>0</v>
      </c>
      <c r="Y335" s="668">
        <f t="shared" si="101"/>
        <v>0</v>
      </c>
      <c r="Z335" s="668">
        <f t="shared" si="102"/>
        <v>0</v>
      </c>
      <c r="AA335" s="668">
        <f t="shared" si="103"/>
        <v>0</v>
      </c>
      <c r="AB335" s="668">
        <f t="shared" si="104"/>
        <v>0</v>
      </c>
      <c r="AC335" s="668">
        <f t="shared" si="114"/>
        <v>0</v>
      </c>
      <c r="AD335" s="668">
        <f t="shared" si="105"/>
        <v>0</v>
      </c>
      <c r="AE335" s="668">
        <f t="shared" si="106"/>
        <v>0</v>
      </c>
      <c r="AF335" s="668">
        <f t="shared" si="107"/>
        <v>0</v>
      </c>
      <c r="AG335" s="668">
        <f t="shared" si="108"/>
        <v>0</v>
      </c>
      <c r="AH335" s="668"/>
      <c r="AI335" s="668"/>
      <c r="AJ335" s="668"/>
      <c r="AK335" s="668"/>
      <c r="AL335" s="668"/>
      <c r="AM335" s="668">
        <f t="shared" si="95"/>
        <v>0</v>
      </c>
      <c r="AN335" s="668">
        <f t="shared" si="110"/>
        <v>0</v>
      </c>
      <c r="AO335" s="668">
        <f t="shared" si="111"/>
        <v>0</v>
      </c>
      <c r="AP335" s="668">
        <f t="shared" si="96"/>
        <v>0</v>
      </c>
      <c r="AQ335" s="668">
        <f t="shared" si="112"/>
        <v>0</v>
      </c>
      <c r="AR335" s="668">
        <f t="shared" si="113"/>
        <v>0</v>
      </c>
      <c r="AS335" s="668"/>
      <c r="AT335" s="668"/>
      <c r="AU335" s="668"/>
      <c r="AV335" s="668"/>
      <c r="AW335" s="668"/>
      <c r="AX335" s="668"/>
      <c r="AY335" s="668"/>
      <c r="AZ335" s="668"/>
      <c r="BA335" s="668"/>
      <c r="BB335" s="668">
        <f t="shared" si="97"/>
        <v>0</v>
      </c>
      <c r="BC335" s="668"/>
      <c r="BD335" s="668"/>
      <c r="BE335" s="668"/>
      <c r="BF335" s="668"/>
      <c r="BG335" s="668"/>
      <c r="BH335" s="668"/>
      <c r="BI335" s="668"/>
    </row>
    <row r="336" spans="1:61" x14ac:dyDescent="0.2">
      <c r="A336" s="1013">
        <v>2181</v>
      </c>
      <c r="B336" s="1012" t="s">
        <v>486</v>
      </c>
      <c r="C336" s="1012"/>
      <c r="D336" s="667">
        <v>65</v>
      </c>
      <c r="E336" s="667"/>
      <c r="F336" s="667"/>
      <c r="G336" s="667"/>
      <c r="H336" s="667"/>
      <c r="I336" s="667"/>
      <c r="J336" s="667"/>
      <c r="K336" s="667"/>
      <c r="L336" s="667"/>
      <c r="M336" s="667"/>
      <c r="N336" s="667"/>
      <c r="O336" s="667"/>
      <c r="P336" s="667"/>
      <c r="Q336" s="1014">
        <v>263</v>
      </c>
      <c r="R336" s="667"/>
      <c r="S336" s="667"/>
      <c r="T336" s="667"/>
      <c r="U336" s="1012">
        <v>17</v>
      </c>
      <c r="V336" s="668">
        <f t="shared" si="98"/>
        <v>1105</v>
      </c>
      <c r="W336" s="668">
        <f t="shared" si="99"/>
        <v>0</v>
      </c>
      <c r="X336" s="668">
        <f t="shared" si="100"/>
        <v>0</v>
      </c>
      <c r="Y336" s="668">
        <f t="shared" si="101"/>
        <v>0</v>
      </c>
      <c r="Z336" s="668">
        <f t="shared" si="102"/>
        <v>0</v>
      </c>
      <c r="AA336" s="668">
        <f t="shared" si="103"/>
        <v>0</v>
      </c>
      <c r="AB336" s="668">
        <f t="shared" si="104"/>
        <v>0</v>
      </c>
      <c r="AC336" s="668">
        <f t="shared" si="114"/>
        <v>0</v>
      </c>
      <c r="AD336" s="668">
        <f t="shared" si="105"/>
        <v>263</v>
      </c>
      <c r="AE336" s="668">
        <f t="shared" si="106"/>
        <v>0</v>
      </c>
      <c r="AF336" s="668">
        <f t="shared" si="107"/>
        <v>0</v>
      </c>
      <c r="AG336" s="668">
        <f t="shared" si="108"/>
        <v>0</v>
      </c>
      <c r="AH336" s="668"/>
      <c r="AI336" s="668"/>
      <c r="AJ336" s="668"/>
      <c r="AK336" s="668"/>
      <c r="AL336" s="668"/>
      <c r="AM336" s="668">
        <f t="shared" si="95"/>
        <v>0</v>
      </c>
      <c r="AN336" s="668">
        <f t="shared" si="110"/>
        <v>0</v>
      </c>
      <c r="AO336" s="668">
        <f t="shared" si="111"/>
        <v>0</v>
      </c>
      <c r="AP336" s="668">
        <f t="shared" si="96"/>
        <v>0</v>
      </c>
      <c r="AQ336" s="668">
        <f t="shared" si="112"/>
        <v>0</v>
      </c>
      <c r="AR336" s="668">
        <f t="shared" si="113"/>
        <v>0</v>
      </c>
      <c r="AS336" s="668"/>
      <c r="AT336" s="668"/>
      <c r="AU336" s="668"/>
      <c r="AV336" s="668"/>
      <c r="AW336" s="668"/>
      <c r="AX336" s="668"/>
      <c r="AY336" s="668"/>
      <c r="AZ336" s="668"/>
      <c r="BA336" s="668"/>
      <c r="BB336" s="668">
        <f t="shared" si="97"/>
        <v>0</v>
      </c>
      <c r="BC336" s="668"/>
      <c r="BD336" s="668"/>
      <c r="BE336" s="668"/>
      <c r="BF336" s="668"/>
      <c r="BG336" s="668"/>
      <c r="BH336" s="668"/>
      <c r="BI336" s="668"/>
    </row>
    <row r="337" spans="1:61" x14ac:dyDescent="0.2">
      <c r="A337" s="1012">
        <v>2218</v>
      </c>
      <c r="B337" s="1012" t="s">
        <v>626</v>
      </c>
      <c r="C337" s="1012"/>
      <c r="D337" s="667"/>
      <c r="E337" s="667"/>
      <c r="F337" s="667"/>
      <c r="G337" s="667"/>
      <c r="H337" s="667"/>
      <c r="I337" s="667"/>
      <c r="J337" s="667"/>
      <c r="K337" s="667"/>
      <c r="L337" s="667"/>
      <c r="M337" s="667"/>
      <c r="N337" s="667"/>
      <c r="O337" s="667"/>
      <c r="P337" s="667"/>
      <c r="Q337" s="667"/>
      <c r="R337" s="667"/>
      <c r="S337" s="667"/>
      <c r="T337" s="667"/>
      <c r="U337" s="1012"/>
      <c r="V337" s="668">
        <f t="shared" si="98"/>
        <v>0</v>
      </c>
      <c r="W337" s="668">
        <f t="shared" si="99"/>
        <v>0</v>
      </c>
      <c r="X337" s="668">
        <f t="shared" si="100"/>
        <v>0</v>
      </c>
      <c r="Y337" s="668">
        <f t="shared" si="101"/>
        <v>0</v>
      </c>
      <c r="Z337" s="668">
        <f t="shared" si="102"/>
        <v>0</v>
      </c>
      <c r="AA337" s="668">
        <f t="shared" si="103"/>
        <v>0</v>
      </c>
      <c r="AB337" s="668">
        <f t="shared" si="104"/>
        <v>0</v>
      </c>
      <c r="AC337" s="668">
        <f t="shared" si="114"/>
        <v>0</v>
      </c>
      <c r="AD337" s="668">
        <f t="shared" si="105"/>
        <v>0</v>
      </c>
      <c r="AE337" s="668">
        <f t="shared" si="106"/>
        <v>0</v>
      </c>
      <c r="AF337" s="668">
        <f t="shared" si="107"/>
        <v>0</v>
      </c>
      <c r="AG337" s="668">
        <f t="shared" si="108"/>
        <v>0</v>
      </c>
      <c r="AH337" s="668"/>
      <c r="AI337" s="668"/>
      <c r="AJ337" s="668"/>
      <c r="AK337" s="668"/>
      <c r="AL337" s="668"/>
      <c r="AM337" s="668">
        <f t="shared" ref="AM337:AM400" si="115">+I337</f>
        <v>0</v>
      </c>
      <c r="AN337" s="668">
        <f t="shared" si="110"/>
        <v>0</v>
      </c>
      <c r="AO337" s="668">
        <f t="shared" si="111"/>
        <v>0</v>
      </c>
      <c r="AP337" s="668">
        <f t="shared" si="96"/>
        <v>0</v>
      </c>
      <c r="AQ337" s="668">
        <f t="shared" si="112"/>
        <v>0</v>
      </c>
      <c r="AR337" s="668">
        <f t="shared" si="113"/>
        <v>0</v>
      </c>
      <c r="AS337" s="668"/>
      <c r="AT337" s="668"/>
      <c r="AU337" s="668"/>
      <c r="AV337" s="668"/>
      <c r="AW337" s="668"/>
      <c r="AX337" s="668"/>
      <c r="AY337" s="668"/>
      <c r="AZ337" s="668"/>
      <c r="BA337" s="668"/>
      <c r="BB337" s="668">
        <f t="shared" si="97"/>
        <v>0</v>
      </c>
      <c r="BC337" s="668"/>
      <c r="BD337" s="668"/>
      <c r="BE337" s="668"/>
      <c r="BF337" s="668"/>
      <c r="BG337" s="668"/>
      <c r="BH337" s="668"/>
      <c r="BI337" s="668"/>
    </row>
    <row r="338" spans="1:61" x14ac:dyDescent="0.2">
      <c r="A338" s="1012" t="s">
        <v>650</v>
      </c>
      <c r="B338" s="1012" t="s">
        <v>606</v>
      </c>
      <c r="C338" s="1012"/>
      <c r="D338" s="667"/>
      <c r="E338" s="667"/>
      <c r="F338" s="667"/>
      <c r="G338" s="667"/>
      <c r="H338" s="667"/>
      <c r="I338" s="667"/>
      <c r="J338" s="667">
        <v>67</v>
      </c>
      <c r="K338" s="667"/>
      <c r="L338" s="667"/>
      <c r="M338" s="667"/>
      <c r="N338" s="667"/>
      <c r="O338" s="667"/>
      <c r="P338" s="667"/>
      <c r="Q338" s="667"/>
      <c r="R338" s="667"/>
      <c r="S338" s="667"/>
      <c r="T338" s="667"/>
      <c r="U338" s="1012">
        <v>20</v>
      </c>
      <c r="V338" s="668">
        <f t="shared" si="98"/>
        <v>0</v>
      </c>
      <c r="W338" s="668">
        <f t="shared" si="99"/>
        <v>0</v>
      </c>
      <c r="X338" s="668">
        <f t="shared" si="100"/>
        <v>0</v>
      </c>
      <c r="Y338" s="668">
        <f t="shared" si="101"/>
        <v>1340</v>
      </c>
      <c r="Z338" s="668">
        <f t="shared" si="102"/>
        <v>0</v>
      </c>
      <c r="AA338" s="668">
        <f t="shared" si="103"/>
        <v>0</v>
      </c>
      <c r="AB338" s="668">
        <f t="shared" si="104"/>
        <v>0</v>
      </c>
      <c r="AC338" s="668">
        <f t="shared" si="114"/>
        <v>0</v>
      </c>
      <c r="AD338" s="668">
        <f t="shared" si="105"/>
        <v>0</v>
      </c>
      <c r="AE338" s="668">
        <f t="shared" si="106"/>
        <v>0</v>
      </c>
      <c r="AF338" s="668">
        <f t="shared" si="107"/>
        <v>0</v>
      </c>
      <c r="AG338" s="668">
        <f t="shared" si="108"/>
        <v>0</v>
      </c>
      <c r="AH338" s="668"/>
      <c r="AI338" s="668"/>
      <c r="AJ338" s="668"/>
      <c r="AK338" s="668"/>
      <c r="AL338" s="668"/>
      <c r="AM338" s="668">
        <f t="shared" si="115"/>
        <v>0</v>
      </c>
      <c r="AN338" s="668">
        <f t="shared" si="110"/>
        <v>0</v>
      </c>
      <c r="AO338" s="668">
        <f t="shared" si="111"/>
        <v>0</v>
      </c>
      <c r="AP338" s="668">
        <f t="shared" ref="AP338:AP401" si="116">+U338*F338</f>
        <v>0</v>
      </c>
      <c r="AQ338" s="668">
        <f t="shared" si="112"/>
        <v>0</v>
      </c>
      <c r="AR338" s="668">
        <f t="shared" si="113"/>
        <v>0</v>
      </c>
      <c r="AS338" s="668"/>
      <c r="AT338" s="668"/>
      <c r="AU338" s="668"/>
      <c r="AV338" s="668"/>
      <c r="AW338" s="668"/>
      <c r="AX338" s="668"/>
      <c r="AY338" s="668"/>
      <c r="AZ338" s="668"/>
      <c r="BA338" s="668"/>
      <c r="BB338" s="668">
        <f t="shared" ref="BB338:BB401" si="117">+AP338</f>
        <v>0</v>
      </c>
      <c r="BC338" s="668"/>
      <c r="BD338" s="668"/>
      <c r="BE338" s="668"/>
      <c r="BF338" s="668"/>
      <c r="BG338" s="668"/>
      <c r="BH338" s="668"/>
      <c r="BI338" s="668"/>
    </row>
    <row r="339" spans="1:61" x14ac:dyDescent="0.2">
      <c r="A339" s="1013" t="s">
        <v>651</v>
      </c>
      <c r="B339" s="1013" t="s">
        <v>607</v>
      </c>
      <c r="C339" s="1013"/>
      <c r="D339" s="667"/>
      <c r="E339" s="667"/>
      <c r="F339" s="667"/>
      <c r="G339" s="667"/>
      <c r="H339" s="667"/>
      <c r="I339" s="667"/>
      <c r="J339" s="667">
        <v>63</v>
      </c>
      <c r="K339" s="667"/>
      <c r="L339" s="667"/>
      <c r="M339" s="667"/>
      <c r="N339" s="667"/>
      <c r="O339" s="667"/>
      <c r="P339" s="667"/>
      <c r="Q339" s="667"/>
      <c r="R339" s="667"/>
      <c r="S339" s="667"/>
      <c r="T339" s="667"/>
      <c r="U339" s="1013">
        <v>20</v>
      </c>
      <c r="V339" s="668">
        <f t="shared" si="98"/>
        <v>0</v>
      </c>
      <c r="W339" s="668">
        <f t="shared" si="99"/>
        <v>0</v>
      </c>
      <c r="X339" s="668">
        <f t="shared" si="100"/>
        <v>0</v>
      </c>
      <c r="Y339" s="668">
        <f t="shared" si="101"/>
        <v>1260</v>
      </c>
      <c r="Z339" s="668">
        <f t="shared" si="102"/>
        <v>0</v>
      </c>
      <c r="AA339" s="668">
        <f t="shared" si="103"/>
        <v>0</v>
      </c>
      <c r="AB339" s="668">
        <f t="shared" si="104"/>
        <v>0</v>
      </c>
      <c r="AC339" s="668">
        <f t="shared" si="114"/>
        <v>0</v>
      </c>
      <c r="AD339" s="668">
        <f t="shared" si="105"/>
        <v>0</v>
      </c>
      <c r="AE339" s="668">
        <f t="shared" si="106"/>
        <v>0</v>
      </c>
      <c r="AF339" s="668">
        <f t="shared" si="107"/>
        <v>0</v>
      </c>
      <c r="AG339" s="668">
        <f t="shared" si="108"/>
        <v>0</v>
      </c>
      <c r="AH339" s="668"/>
      <c r="AI339" s="668"/>
      <c r="AJ339" s="668"/>
      <c r="AK339" s="668"/>
      <c r="AL339" s="668"/>
      <c r="AM339" s="668">
        <f t="shared" si="115"/>
        <v>0</v>
      </c>
      <c r="AN339" s="668">
        <f t="shared" si="110"/>
        <v>0</v>
      </c>
      <c r="AO339" s="668">
        <f t="shared" si="111"/>
        <v>0</v>
      </c>
      <c r="AP339" s="668">
        <f t="shared" si="116"/>
        <v>0</v>
      </c>
      <c r="AQ339" s="668">
        <f t="shared" si="112"/>
        <v>0</v>
      </c>
      <c r="AR339" s="668">
        <f t="shared" si="113"/>
        <v>0</v>
      </c>
      <c r="AS339" s="668"/>
      <c r="AT339" s="668"/>
      <c r="AU339" s="668"/>
      <c r="AV339" s="668"/>
      <c r="AW339" s="668"/>
      <c r="AX339" s="668"/>
      <c r="AY339" s="668"/>
      <c r="AZ339" s="668"/>
      <c r="BA339" s="668"/>
      <c r="BB339" s="668">
        <f t="shared" si="117"/>
        <v>0</v>
      </c>
      <c r="BC339" s="668"/>
      <c r="BD339" s="668"/>
      <c r="BE339" s="668"/>
      <c r="BF339" s="668"/>
      <c r="BG339" s="668"/>
      <c r="BH339" s="668"/>
      <c r="BI339" s="668"/>
    </row>
    <row r="340" spans="1:61" x14ac:dyDescent="0.2">
      <c r="A340" s="1013" t="s">
        <v>652</v>
      </c>
      <c r="B340" s="1013" t="s">
        <v>608</v>
      </c>
      <c r="C340" s="1013"/>
      <c r="D340" s="667"/>
      <c r="E340" s="667"/>
      <c r="F340" s="667"/>
      <c r="G340" s="667"/>
      <c r="H340" s="667"/>
      <c r="I340" s="667"/>
      <c r="J340" s="667">
        <v>86</v>
      </c>
      <c r="K340" s="667"/>
      <c r="L340" s="667"/>
      <c r="M340" s="667"/>
      <c r="N340" s="667"/>
      <c r="O340" s="667"/>
      <c r="P340" s="667"/>
      <c r="Q340" s="667"/>
      <c r="R340" s="667"/>
      <c r="S340" s="667"/>
      <c r="T340" s="667"/>
      <c r="U340" s="1013">
        <v>20</v>
      </c>
      <c r="V340" s="668">
        <f t="shared" si="98"/>
        <v>0</v>
      </c>
      <c r="W340" s="668">
        <f t="shared" si="99"/>
        <v>0</v>
      </c>
      <c r="X340" s="668">
        <f t="shared" si="100"/>
        <v>0</v>
      </c>
      <c r="Y340" s="668">
        <f t="shared" si="101"/>
        <v>1720</v>
      </c>
      <c r="Z340" s="668">
        <f t="shared" si="102"/>
        <v>0</v>
      </c>
      <c r="AA340" s="668">
        <f t="shared" si="103"/>
        <v>0</v>
      </c>
      <c r="AB340" s="668">
        <f t="shared" si="104"/>
        <v>0</v>
      </c>
      <c r="AC340" s="668">
        <f t="shared" si="114"/>
        <v>0</v>
      </c>
      <c r="AD340" s="668">
        <f t="shared" si="105"/>
        <v>0</v>
      </c>
      <c r="AE340" s="668">
        <f t="shared" si="106"/>
        <v>0</v>
      </c>
      <c r="AF340" s="668">
        <f t="shared" si="107"/>
        <v>0</v>
      </c>
      <c r="AG340" s="668">
        <f t="shared" si="108"/>
        <v>0</v>
      </c>
      <c r="AH340" s="668"/>
      <c r="AI340" s="668"/>
      <c r="AJ340" s="668"/>
      <c r="AK340" s="668"/>
      <c r="AL340" s="668"/>
      <c r="AM340" s="668">
        <f t="shared" si="115"/>
        <v>0</v>
      </c>
      <c r="AN340" s="668">
        <f t="shared" si="110"/>
        <v>0</v>
      </c>
      <c r="AO340" s="668">
        <f t="shared" si="111"/>
        <v>0</v>
      </c>
      <c r="AP340" s="668">
        <f t="shared" si="116"/>
        <v>0</v>
      </c>
      <c r="AQ340" s="668">
        <f t="shared" si="112"/>
        <v>0</v>
      </c>
      <c r="AR340" s="668">
        <f t="shared" si="113"/>
        <v>0</v>
      </c>
      <c r="AS340" s="668"/>
      <c r="AT340" s="668"/>
      <c r="AU340" s="668"/>
      <c r="AV340" s="668"/>
      <c r="AW340" s="668"/>
      <c r="AX340" s="668"/>
      <c r="AY340" s="668"/>
      <c r="AZ340" s="668"/>
      <c r="BA340" s="668"/>
      <c r="BB340" s="668">
        <f t="shared" si="117"/>
        <v>0</v>
      </c>
      <c r="BC340" s="668"/>
      <c r="BD340" s="668"/>
      <c r="BE340" s="668"/>
      <c r="BF340" s="668"/>
      <c r="BG340" s="668"/>
      <c r="BH340" s="668"/>
      <c r="BI340" s="668"/>
    </row>
    <row r="341" spans="1:61" x14ac:dyDescent="0.2">
      <c r="A341" s="1013" t="s">
        <v>653</v>
      </c>
      <c r="B341" s="1013" t="s">
        <v>609</v>
      </c>
      <c r="C341" s="1013"/>
      <c r="D341" s="667"/>
      <c r="E341" s="667"/>
      <c r="F341" s="667"/>
      <c r="G341" s="667"/>
      <c r="H341" s="667"/>
      <c r="I341" s="667"/>
      <c r="J341" s="667">
        <v>64</v>
      </c>
      <c r="K341" s="667"/>
      <c r="L341" s="667"/>
      <c r="M341" s="667"/>
      <c r="N341" s="667"/>
      <c r="O341" s="667"/>
      <c r="P341" s="667"/>
      <c r="Q341" s="667"/>
      <c r="R341" s="667"/>
      <c r="S341" s="667"/>
      <c r="T341" s="667"/>
      <c r="U341" s="1013">
        <v>20</v>
      </c>
      <c r="V341" s="668">
        <f t="shared" si="98"/>
        <v>0</v>
      </c>
      <c r="W341" s="668">
        <f t="shared" si="99"/>
        <v>0</v>
      </c>
      <c r="X341" s="668">
        <f t="shared" si="100"/>
        <v>0</v>
      </c>
      <c r="Y341" s="668">
        <f t="shared" si="101"/>
        <v>1280</v>
      </c>
      <c r="Z341" s="668">
        <f t="shared" si="102"/>
        <v>0</v>
      </c>
      <c r="AA341" s="668">
        <f t="shared" si="103"/>
        <v>0</v>
      </c>
      <c r="AB341" s="668">
        <f t="shared" si="104"/>
        <v>0</v>
      </c>
      <c r="AC341" s="668">
        <f t="shared" si="114"/>
        <v>0</v>
      </c>
      <c r="AD341" s="668">
        <f t="shared" si="105"/>
        <v>0</v>
      </c>
      <c r="AE341" s="668">
        <f t="shared" si="106"/>
        <v>0</v>
      </c>
      <c r="AF341" s="668">
        <f t="shared" si="107"/>
        <v>0</v>
      </c>
      <c r="AG341" s="668">
        <f t="shared" si="108"/>
        <v>0</v>
      </c>
      <c r="AH341" s="668"/>
      <c r="AI341" s="668"/>
      <c r="AJ341" s="668"/>
      <c r="AK341" s="668"/>
      <c r="AL341" s="668"/>
      <c r="AM341" s="668">
        <f t="shared" si="115"/>
        <v>0</v>
      </c>
      <c r="AN341" s="668">
        <f t="shared" si="110"/>
        <v>0</v>
      </c>
      <c r="AO341" s="668">
        <f t="shared" si="111"/>
        <v>0</v>
      </c>
      <c r="AP341" s="668">
        <f t="shared" si="116"/>
        <v>0</v>
      </c>
      <c r="AQ341" s="668">
        <f t="shared" si="112"/>
        <v>0</v>
      </c>
      <c r="AR341" s="668">
        <f t="shared" si="113"/>
        <v>0</v>
      </c>
      <c r="AS341" s="668"/>
      <c r="AT341" s="668"/>
      <c r="AU341" s="668"/>
      <c r="AV341" s="668"/>
      <c r="AW341" s="668"/>
      <c r="AX341" s="668"/>
      <c r="AY341" s="668"/>
      <c r="AZ341" s="668"/>
      <c r="BA341" s="668"/>
      <c r="BB341" s="668">
        <f t="shared" si="117"/>
        <v>0</v>
      </c>
      <c r="BC341" s="668"/>
      <c r="BD341" s="668"/>
      <c r="BE341" s="668"/>
      <c r="BF341" s="668"/>
      <c r="BG341" s="668"/>
      <c r="BH341" s="668"/>
      <c r="BI341" s="668"/>
    </row>
    <row r="342" spans="1:61" x14ac:dyDescent="0.2">
      <c r="A342" s="1013"/>
      <c r="B342" s="1013" t="s">
        <v>610</v>
      </c>
      <c r="C342" s="1013"/>
      <c r="D342" s="667"/>
      <c r="E342" s="667"/>
      <c r="F342" s="667"/>
      <c r="G342" s="667"/>
      <c r="H342" s="667"/>
      <c r="I342" s="667"/>
      <c r="J342" s="667">
        <v>122</v>
      </c>
      <c r="K342" s="667"/>
      <c r="L342" s="667"/>
      <c r="M342" s="667"/>
      <c r="N342" s="667"/>
      <c r="O342" s="667"/>
      <c r="P342" s="667"/>
      <c r="Q342" s="667"/>
      <c r="R342" s="667"/>
      <c r="S342" s="667"/>
      <c r="T342" s="667"/>
      <c r="U342" s="1013">
        <v>17</v>
      </c>
      <c r="V342" s="668">
        <f t="shared" si="98"/>
        <v>0</v>
      </c>
      <c r="W342" s="668">
        <f t="shared" si="99"/>
        <v>0</v>
      </c>
      <c r="X342" s="668">
        <f t="shared" si="100"/>
        <v>0</v>
      </c>
      <c r="Y342" s="668">
        <f t="shared" si="101"/>
        <v>2074</v>
      </c>
      <c r="Z342" s="668">
        <f t="shared" si="102"/>
        <v>0</v>
      </c>
      <c r="AA342" s="668">
        <f t="shared" si="103"/>
        <v>0</v>
      </c>
      <c r="AB342" s="668">
        <f t="shared" si="104"/>
        <v>0</v>
      </c>
      <c r="AC342" s="668">
        <f t="shared" si="114"/>
        <v>0</v>
      </c>
      <c r="AD342" s="668">
        <f t="shared" si="105"/>
        <v>0</v>
      </c>
      <c r="AE342" s="668">
        <f t="shared" si="106"/>
        <v>0</v>
      </c>
      <c r="AF342" s="668">
        <f t="shared" si="107"/>
        <v>0</v>
      </c>
      <c r="AG342" s="668">
        <f t="shared" si="108"/>
        <v>0</v>
      </c>
      <c r="AH342" s="668"/>
      <c r="AI342" s="668"/>
      <c r="AJ342" s="668"/>
      <c r="AK342" s="668"/>
      <c r="AL342" s="668"/>
      <c r="AM342" s="668">
        <f t="shared" si="115"/>
        <v>0</v>
      </c>
      <c r="AN342" s="668">
        <f t="shared" si="110"/>
        <v>0</v>
      </c>
      <c r="AO342" s="668">
        <f t="shared" si="111"/>
        <v>0</v>
      </c>
      <c r="AP342" s="668">
        <f t="shared" si="116"/>
        <v>0</v>
      </c>
      <c r="AQ342" s="668">
        <f t="shared" si="112"/>
        <v>0</v>
      </c>
      <c r="AR342" s="668">
        <f t="shared" si="113"/>
        <v>0</v>
      </c>
      <c r="AS342" s="668"/>
      <c r="AT342" s="668"/>
      <c r="AU342" s="668"/>
      <c r="AV342" s="668"/>
      <c r="AW342" s="668"/>
      <c r="AX342" s="668"/>
      <c r="AY342" s="668"/>
      <c r="AZ342" s="668"/>
      <c r="BA342" s="668"/>
      <c r="BB342" s="668">
        <f t="shared" si="117"/>
        <v>0</v>
      </c>
      <c r="BC342" s="668"/>
      <c r="BD342" s="668"/>
      <c r="BE342" s="668"/>
      <c r="BF342" s="668"/>
      <c r="BG342" s="668"/>
      <c r="BH342" s="668"/>
      <c r="BI342" s="668"/>
    </row>
    <row r="343" spans="1:61" x14ac:dyDescent="0.2">
      <c r="A343" s="1013"/>
      <c r="B343" s="1019" t="s">
        <v>654</v>
      </c>
      <c r="C343" s="1013"/>
      <c r="D343" s="667"/>
      <c r="E343" s="667"/>
      <c r="F343" s="667"/>
      <c r="G343" s="667"/>
      <c r="H343" s="667"/>
      <c r="I343" s="667"/>
      <c r="J343" s="667"/>
      <c r="K343" s="667"/>
      <c r="L343" s="667"/>
      <c r="M343" s="667"/>
      <c r="N343" s="667"/>
      <c r="O343" s="667"/>
      <c r="P343" s="667"/>
      <c r="Q343" s="667"/>
      <c r="R343" s="667"/>
      <c r="S343" s="667"/>
      <c r="T343" s="667"/>
      <c r="U343" s="1013"/>
      <c r="V343" s="668">
        <f t="shared" si="98"/>
        <v>0</v>
      </c>
      <c r="W343" s="668">
        <f t="shared" si="99"/>
        <v>0</v>
      </c>
      <c r="X343" s="668">
        <f t="shared" si="100"/>
        <v>0</v>
      </c>
      <c r="Y343" s="668">
        <f t="shared" si="101"/>
        <v>0</v>
      </c>
      <c r="Z343" s="668">
        <f t="shared" si="102"/>
        <v>0</v>
      </c>
      <c r="AA343" s="668">
        <f t="shared" si="103"/>
        <v>0</v>
      </c>
      <c r="AB343" s="668">
        <f t="shared" si="104"/>
        <v>0</v>
      </c>
      <c r="AC343" s="668">
        <f t="shared" si="114"/>
        <v>0</v>
      </c>
      <c r="AD343" s="668">
        <f t="shared" si="105"/>
        <v>0</v>
      </c>
      <c r="AE343" s="668">
        <f t="shared" si="106"/>
        <v>0</v>
      </c>
      <c r="AF343" s="668">
        <f t="shared" si="107"/>
        <v>0</v>
      </c>
      <c r="AG343" s="668">
        <f t="shared" si="108"/>
        <v>0</v>
      </c>
      <c r="AH343" s="668"/>
      <c r="AI343" s="668"/>
      <c r="AJ343" s="668"/>
      <c r="AK343" s="668"/>
      <c r="AL343" s="668"/>
      <c r="AM343" s="668">
        <f t="shared" si="115"/>
        <v>0</v>
      </c>
      <c r="AN343" s="668">
        <f t="shared" si="110"/>
        <v>0</v>
      </c>
      <c r="AO343" s="668">
        <f t="shared" si="111"/>
        <v>0</v>
      </c>
      <c r="AP343" s="668">
        <f t="shared" si="116"/>
        <v>0</v>
      </c>
      <c r="AQ343" s="668">
        <f t="shared" si="112"/>
        <v>0</v>
      </c>
      <c r="AR343" s="668">
        <f t="shared" si="113"/>
        <v>0</v>
      </c>
      <c r="AS343" s="668">
        <v>5</v>
      </c>
      <c r="AT343" s="668">
        <v>5</v>
      </c>
      <c r="AU343" s="668"/>
      <c r="AV343" s="668"/>
      <c r="AW343" s="668"/>
      <c r="AX343" s="668"/>
      <c r="AY343" s="668"/>
      <c r="AZ343" s="668"/>
      <c r="BA343" s="668"/>
      <c r="BB343" s="668">
        <f t="shared" si="117"/>
        <v>0</v>
      </c>
      <c r="BC343" s="668"/>
      <c r="BD343" s="668"/>
      <c r="BE343" s="668"/>
      <c r="BF343" s="668"/>
      <c r="BG343" s="668"/>
      <c r="BH343" s="668"/>
      <c r="BI343" s="668"/>
    </row>
    <row r="344" spans="1:61" x14ac:dyDescent="0.2">
      <c r="A344" s="1013">
        <v>2000</v>
      </c>
      <c r="B344" s="1013" t="s">
        <v>465</v>
      </c>
      <c r="C344" s="1013" t="s">
        <v>984</v>
      </c>
      <c r="D344" s="667">
        <v>342</v>
      </c>
      <c r="E344" s="667"/>
      <c r="F344" s="667"/>
      <c r="G344" s="667"/>
      <c r="H344" s="667"/>
      <c r="I344" s="667">
        <v>60</v>
      </c>
      <c r="J344" s="667"/>
      <c r="K344" s="667"/>
      <c r="L344" s="667"/>
      <c r="M344" s="667"/>
      <c r="N344" s="667"/>
      <c r="O344" s="667"/>
      <c r="P344" s="667"/>
      <c r="Q344" s="667"/>
      <c r="R344" s="667"/>
      <c r="S344" s="667"/>
      <c r="T344" s="667"/>
      <c r="U344" s="1013">
        <v>12</v>
      </c>
      <c r="V344" s="668">
        <f t="shared" si="98"/>
        <v>4104</v>
      </c>
      <c r="W344" s="668">
        <f t="shared" si="99"/>
        <v>0</v>
      </c>
      <c r="X344" s="668">
        <f t="shared" si="100"/>
        <v>0</v>
      </c>
      <c r="Y344" s="668">
        <f t="shared" si="101"/>
        <v>0</v>
      </c>
      <c r="Z344" s="668">
        <f t="shared" si="102"/>
        <v>4104</v>
      </c>
      <c r="AA344" s="668">
        <f t="shared" si="103"/>
        <v>0</v>
      </c>
      <c r="AB344" s="668">
        <f t="shared" si="104"/>
        <v>0</v>
      </c>
      <c r="AC344" s="668">
        <f t="shared" si="114"/>
        <v>0</v>
      </c>
      <c r="AD344" s="668">
        <f t="shared" si="105"/>
        <v>0</v>
      </c>
      <c r="AE344" s="668">
        <f t="shared" si="106"/>
        <v>0</v>
      </c>
      <c r="AF344" s="668">
        <f t="shared" si="107"/>
        <v>0</v>
      </c>
      <c r="AG344" s="668">
        <f t="shared" si="108"/>
        <v>0</v>
      </c>
      <c r="AH344" s="668"/>
      <c r="AI344" s="668"/>
      <c r="AJ344" s="668"/>
      <c r="AK344" s="668"/>
      <c r="AL344" s="668"/>
      <c r="AM344" s="668">
        <f t="shared" si="115"/>
        <v>60</v>
      </c>
      <c r="AN344" s="668">
        <f t="shared" si="110"/>
        <v>0</v>
      </c>
      <c r="AO344" s="668">
        <f t="shared" si="111"/>
        <v>0</v>
      </c>
      <c r="AP344" s="668">
        <f t="shared" si="116"/>
        <v>0</v>
      </c>
      <c r="AQ344" s="668">
        <f t="shared" si="112"/>
        <v>0</v>
      </c>
      <c r="AR344" s="668">
        <f t="shared" si="113"/>
        <v>0</v>
      </c>
      <c r="AS344" s="668"/>
      <c r="AT344" s="668"/>
      <c r="AU344" s="668"/>
      <c r="AV344" s="668"/>
      <c r="AW344" s="668"/>
      <c r="AX344" s="668"/>
      <c r="AY344" s="668"/>
      <c r="AZ344" s="668"/>
      <c r="BA344" s="668"/>
      <c r="BB344" s="668">
        <f t="shared" si="117"/>
        <v>0</v>
      </c>
      <c r="BC344" s="668"/>
      <c r="BD344" s="668"/>
      <c r="BE344" s="668"/>
      <c r="BF344" s="668"/>
      <c r="BG344" s="668"/>
      <c r="BH344" s="668"/>
      <c r="BI344" s="668"/>
    </row>
    <row r="345" spans="1:61" x14ac:dyDescent="0.2">
      <c r="A345" s="1013" t="s">
        <v>655</v>
      </c>
      <c r="B345" s="1013" t="s">
        <v>668</v>
      </c>
      <c r="C345" s="1013"/>
      <c r="D345" s="667">
        <v>40</v>
      </c>
      <c r="E345" s="667"/>
      <c r="F345" s="667"/>
      <c r="G345" s="667"/>
      <c r="H345" s="667"/>
      <c r="I345" s="667"/>
      <c r="J345" s="667"/>
      <c r="K345" s="667"/>
      <c r="L345" s="667"/>
      <c r="M345" s="667"/>
      <c r="N345" s="667"/>
      <c r="O345" s="667"/>
      <c r="P345" s="667"/>
      <c r="Q345" s="667"/>
      <c r="R345" s="667"/>
      <c r="S345" s="667"/>
      <c r="T345" s="667"/>
      <c r="U345" s="1013">
        <v>12</v>
      </c>
      <c r="V345" s="668">
        <f t="shared" si="98"/>
        <v>480</v>
      </c>
      <c r="W345" s="668">
        <f t="shared" si="99"/>
        <v>0</v>
      </c>
      <c r="X345" s="668">
        <f t="shared" si="100"/>
        <v>0</v>
      </c>
      <c r="Y345" s="668">
        <f t="shared" si="101"/>
        <v>0</v>
      </c>
      <c r="Z345" s="668">
        <f t="shared" si="102"/>
        <v>0</v>
      </c>
      <c r="AA345" s="668">
        <f t="shared" si="103"/>
        <v>0</v>
      </c>
      <c r="AB345" s="668">
        <f t="shared" si="104"/>
        <v>0</v>
      </c>
      <c r="AC345" s="668">
        <f t="shared" si="114"/>
        <v>0</v>
      </c>
      <c r="AD345" s="668">
        <f t="shared" si="105"/>
        <v>0</v>
      </c>
      <c r="AE345" s="668">
        <f t="shared" si="106"/>
        <v>0</v>
      </c>
      <c r="AF345" s="668">
        <f t="shared" si="107"/>
        <v>0</v>
      </c>
      <c r="AG345" s="668">
        <f t="shared" si="108"/>
        <v>0</v>
      </c>
      <c r="AH345" s="668"/>
      <c r="AI345" s="668"/>
      <c r="AJ345" s="668"/>
      <c r="AK345" s="668"/>
      <c r="AL345" s="668"/>
      <c r="AM345" s="668">
        <f t="shared" si="115"/>
        <v>0</v>
      </c>
      <c r="AN345" s="668">
        <f t="shared" si="110"/>
        <v>0</v>
      </c>
      <c r="AO345" s="668">
        <f t="shared" si="111"/>
        <v>0</v>
      </c>
      <c r="AP345" s="668">
        <f t="shared" si="116"/>
        <v>0</v>
      </c>
      <c r="AQ345" s="668">
        <f t="shared" si="112"/>
        <v>0</v>
      </c>
      <c r="AR345" s="668">
        <f t="shared" si="113"/>
        <v>0</v>
      </c>
      <c r="AS345" s="668"/>
      <c r="AT345" s="668"/>
      <c r="AU345" s="668"/>
      <c r="AV345" s="668"/>
      <c r="AW345" s="668"/>
      <c r="AX345" s="668"/>
      <c r="AY345" s="668"/>
      <c r="AZ345" s="668"/>
      <c r="BA345" s="668"/>
      <c r="BB345" s="668">
        <f t="shared" si="117"/>
        <v>0</v>
      </c>
      <c r="BC345" s="668"/>
      <c r="BD345" s="668"/>
      <c r="BE345" s="668"/>
      <c r="BF345" s="668"/>
      <c r="BG345" s="668"/>
      <c r="BH345" s="668"/>
      <c r="BI345" s="668"/>
    </row>
    <row r="346" spans="1:61" x14ac:dyDescent="0.2">
      <c r="A346" s="1013" t="s">
        <v>656</v>
      </c>
      <c r="B346" s="1013" t="s">
        <v>669</v>
      </c>
      <c r="C346" s="1013"/>
      <c r="D346" s="667"/>
      <c r="E346" s="667"/>
      <c r="F346" s="667"/>
      <c r="G346" s="667"/>
      <c r="H346" s="667"/>
      <c r="I346" s="667"/>
      <c r="J346" s="667"/>
      <c r="K346" s="667"/>
      <c r="L346" s="667"/>
      <c r="M346" s="667"/>
      <c r="N346" s="667"/>
      <c r="O346" s="667"/>
      <c r="P346" s="667"/>
      <c r="Q346" s="667"/>
      <c r="R346" s="667"/>
      <c r="S346" s="667"/>
      <c r="T346" s="667"/>
      <c r="U346" s="1013"/>
      <c r="V346" s="668">
        <f t="shared" si="98"/>
        <v>0</v>
      </c>
      <c r="W346" s="668">
        <f t="shared" si="99"/>
        <v>0</v>
      </c>
      <c r="X346" s="668">
        <f t="shared" si="100"/>
        <v>0</v>
      </c>
      <c r="Y346" s="668">
        <f t="shared" si="101"/>
        <v>0</v>
      </c>
      <c r="Z346" s="668">
        <f t="shared" si="102"/>
        <v>0</v>
      </c>
      <c r="AA346" s="668">
        <f t="shared" si="103"/>
        <v>0</v>
      </c>
      <c r="AB346" s="668">
        <f t="shared" si="104"/>
        <v>0</v>
      </c>
      <c r="AC346" s="668">
        <f t="shared" si="114"/>
        <v>0</v>
      </c>
      <c r="AD346" s="668">
        <f t="shared" si="105"/>
        <v>0</v>
      </c>
      <c r="AE346" s="668">
        <f t="shared" si="106"/>
        <v>0</v>
      </c>
      <c r="AF346" s="668">
        <f t="shared" si="107"/>
        <v>0</v>
      </c>
      <c r="AG346" s="668">
        <f t="shared" si="108"/>
        <v>0</v>
      </c>
      <c r="AH346" s="668"/>
      <c r="AI346" s="668"/>
      <c r="AJ346" s="668"/>
      <c r="AK346" s="668"/>
      <c r="AL346" s="668"/>
      <c r="AM346" s="668">
        <f t="shared" si="115"/>
        <v>0</v>
      </c>
      <c r="AN346" s="668">
        <f t="shared" si="110"/>
        <v>0</v>
      </c>
      <c r="AO346" s="668">
        <f t="shared" si="111"/>
        <v>0</v>
      </c>
      <c r="AP346" s="668">
        <f t="shared" si="116"/>
        <v>0</v>
      </c>
      <c r="AQ346" s="668">
        <f t="shared" si="112"/>
        <v>0</v>
      </c>
      <c r="AR346" s="668">
        <f t="shared" si="113"/>
        <v>0</v>
      </c>
      <c r="AS346" s="668"/>
      <c r="AT346" s="668"/>
      <c r="AU346" s="668"/>
      <c r="AV346" s="668"/>
      <c r="AW346" s="668"/>
      <c r="AX346" s="668"/>
      <c r="AY346" s="668"/>
      <c r="AZ346" s="668"/>
      <c r="BA346" s="668"/>
      <c r="BB346" s="668">
        <f t="shared" si="117"/>
        <v>0</v>
      </c>
      <c r="BC346" s="668"/>
      <c r="BD346" s="668"/>
      <c r="BE346" s="668"/>
      <c r="BF346" s="668"/>
      <c r="BG346" s="668"/>
      <c r="BH346" s="668"/>
      <c r="BI346" s="668"/>
    </row>
    <row r="347" spans="1:61" x14ac:dyDescent="0.2">
      <c r="A347" s="1013" t="s">
        <v>657</v>
      </c>
      <c r="B347" s="1013" t="s">
        <v>670</v>
      </c>
      <c r="C347" s="1013"/>
      <c r="D347" s="667">
        <v>69</v>
      </c>
      <c r="E347" s="667"/>
      <c r="F347" s="667"/>
      <c r="G347" s="667"/>
      <c r="H347" s="667"/>
      <c r="I347" s="667"/>
      <c r="J347" s="667"/>
      <c r="K347" s="667"/>
      <c r="L347" s="667">
        <v>4</v>
      </c>
      <c r="M347" s="667"/>
      <c r="N347" s="667"/>
      <c r="O347" s="667"/>
      <c r="P347" s="667"/>
      <c r="Q347" s="667"/>
      <c r="R347" s="667"/>
      <c r="S347" s="667"/>
      <c r="T347" s="667"/>
      <c r="U347" s="1013">
        <v>13</v>
      </c>
      <c r="V347" s="668">
        <f t="shared" si="98"/>
        <v>897</v>
      </c>
      <c r="W347" s="668">
        <f t="shared" si="99"/>
        <v>0</v>
      </c>
      <c r="X347" s="668">
        <f t="shared" si="100"/>
        <v>0</v>
      </c>
      <c r="Y347" s="668">
        <f t="shared" si="101"/>
        <v>0</v>
      </c>
      <c r="Z347" s="668">
        <f t="shared" si="102"/>
        <v>0</v>
      </c>
      <c r="AA347" s="668">
        <f t="shared" si="103"/>
        <v>0</v>
      </c>
      <c r="AB347" s="668">
        <f t="shared" si="104"/>
        <v>0</v>
      </c>
      <c r="AC347" s="668">
        <f t="shared" si="114"/>
        <v>0</v>
      </c>
      <c r="AD347" s="668">
        <f t="shared" si="105"/>
        <v>0</v>
      </c>
      <c r="AE347" s="668">
        <f t="shared" si="106"/>
        <v>0</v>
      </c>
      <c r="AF347" s="668">
        <f t="shared" si="107"/>
        <v>52</v>
      </c>
      <c r="AG347" s="668">
        <f t="shared" si="108"/>
        <v>0</v>
      </c>
      <c r="AH347" s="668"/>
      <c r="AI347" s="668"/>
      <c r="AJ347" s="668"/>
      <c r="AK347" s="668"/>
      <c r="AL347" s="668"/>
      <c r="AM347" s="668">
        <f t="shared" si="115"/>
        <v>0</v>
      </c>
      <c r="AN347" s="668">
        <f t="shared" si="110"/>
        <v>0</v>
      </c>
      <c r="AO347" s="668">
        <f t="shared" si="111"/>
        <v>0</v>
      </c>
      <c r="AP347" s="668">
        <f t="shared" si="116"/>
        <v>0</v>
      </c>
      <c r="AQ347" s="668">
        <f t="shared" si="112"/>
        <v>0</v>
      </c>
      <c r="AR347" s="668">
        <f t="shared" si="113"/>
        <v>0</v>
      </c>
      <c r="AS347" s="668"/>
      <c r="AT347" s="668"/>
      <c r="AU347" s="668"/>
      <c r="AV347" s="668"/>
      <c r="AW347" s="668"/>
      <c r="AX347" s="668"/>
      <c r="AY347" s="668"/>
      <c r="AZ347" s="668"/>
      <c r="BA347" s="668"/>
      <c r="BB347" s="668">
        <f t="shared" si="117"/>
        <v>0</v>
      </c>
      <c r="BC347" s="668"/>
      <c r="BD347" s="668"/>
      <c r="BE347" s="668"/>
      <c r="BF347" s="668"/>
      <c r="BG347" s="668"/>
      <c r="BH347" s="668"/>
      <c r="BI347" s="668"/>
    </row>
    <row r="348" spans="1:61" x14ac:dyDescent="0.2">
      <c r="A348" s="1013" t="s">
        <v>658</v>
      </c>
      <c r="B348" s="1013" t="s">
        <v>476</v>
      </c>
      <c r="C348" s="1013"/>
      <c r="D348" s="667">
        <v>73</v>
      </c>
      <c r="E348" s="667"/>
      <c r="F348" s="667"/>
      <c r="G348" s="667"/>
      <c r="H348" s="667"/>
      <c r="I348" s="667"/>
      <c r="J348" s="667"/>
      <c r="K348" s="667"/>
      <c r="L348" s="667">
        <v>4</v>
      </c>
      <c r="M348" s="667"/>
      <c r="N348" s="667"/>
      <c r="O348" s="667"/>
      <c r="P348" s="667"/>
      <c r="Q348" s="667"/>
      <c r="R348" s="667"/>
      <c r="S348" s="667"/>
      <c r="T348" s="667"/>
      <c r="U348" s="1013">
        <v>13</v>
      </c>
      <c r="V348" s="668">
        <f t="shared" si="98"/>
        <v>949</v>
      </c>
      <c r="W348" s="668">
        <f t="shared" si="99"/>
        <v>0</v>
      </c>
      <c r="X348" s="668">
        <f t="shared" si="100"/>
        <v>0</v>
      </c>
      <c r="Y348" s="668">
        <f t="shared" si="101"/>
        <v>0</v>
      </c>
      <c r="Z348" s="668">
        <f t="shared" si="102"/>
        <v>0</v>
      </c>
      <c r="AA348" s="668">
        <f t="shared" si="103"/>
        <v>0</v>
      </c>
      <c r="AB348" s="668">
        <f t="shared" si="104"/>
        <v>0</v>
      </c>
      <c r="AC348" s="668">
        <f t="shared" si="114"/>
        <v>0</v>
      </c>
      <c r="AD348" s="668">
        <f t="shared" si="105"/>
        <v>0</v>
      </c>
      <c r="AE348" s="668">
        <f t="shared" si="106"/>
        <v>0</v>
      </c>
      <c r="AF348" s="668">
        <f t="shared" si="107"/>
        <v>52</v>
      </c>
      <c r="AG348" s="668">
        <f t="shared" si="108"/>
        <v>0</v>
      </c>
      <c r="AH348" s="668"/>
      <c r="AI348" s="668"/>
      <c r="AJ348" s="668"/>
      <c r="AK348" s="668"/>
      <c r="AL348" s="668"/>
      <c r="AM348" s="668">
        <f t="shared" si="115"/>
        <v>0</v>
      </c>
      <c r="AN348" s="668">
        <f t="shared" si="110"/>
        <v>0</v>
      </c>
      <c r="AO348" s="668">
        <f t="shared" si="111"/>
        <v>0</v>
      </c>
      <c r="AP348" s="668">
        <f t="shared" si="116"/>
        <v>0</v>
      </c>
      <c r="AQ348" s="668">
        <f t="shared" si="112"/>
        <v>0</v>
      </c>
      <c r="AR348" s="668">
        <f t="shared" si="113"/>
        <v>0</v>
      </c>
      <c r="AS348" s="668"/>
      <c r="AT348" s="668"/>
      <c r="AU348" s="668"/>
      <c r="AV348" s="668"/>
      <c r="AW348" s="668"/>
      <c r="AX348" s="668"/>
      <c r="AY348" s="668"/>
      <c r="AZ348" s="668"/>
      <c r="BA348" s="668"/>
      <c r="BB348" s="668">
        <f t="shared" si="117"/>
        <v>0</v>
      </c>
      <c r="BC348" s="668"/>
      <c r="BD348" s="668"/>
      <c r="BE348" s="668"/>
      <c r="BF348" s="668"/>
      <c r="BG348" s="668"/>
      <c r="BH348" s="668"/>
      <c r="BI348" s="668"/>
    </row>
    <row r="349" spans="1:61" x14ac:dyDescent="0.2">
      <c r="A349" s="1013" t="s">
        <v>659</v>
      </c>
      <c r="B349" s="1013" t="s">
        <v>533</v>
      </c>
      <c r="C349" s="1013"/>
      <c r="D349" s="667"/>
      <c r="E349" s="667"/>
      <c r="F349" s="667"/>
      <c r="G349" s="667"/>
      <c r="H349" s="667"/>
      <c r="I349" s="667"/>
      <c r="J349" s="667"/>
      <c r="K349" s="667"/>
      <c r="L349" s="667"/>
      <c r="M349" s="667"/>
      <c r="N349" s="667"/>
      <c r="O349" s="667"/>
      <c r="P349" s="667"/>
      <c r="Q349" s="667"/>
      <c r="R349" s="667"/>
      <c r="S349" s="667"/>
      <c r="T349" s="667"/>
      <c r="U349" s="1013"/>
      <c r="V349" s="668">
        <f t="shared" si="98"/>
        <v>0</v>
      </c>
      <c r="W349" s="668">
        <f t="shared" si="99"/>
        <v>0</v>
      </c>
      <c r="X349" s="668">
        <f t="shared" si="100"/>
        <v>0</v>
      </c>
      <c r="Y349" s="668">
        <f t="shared" si="101"/>
        <v>0</v>
      </c>
      <c r="Z349" s="668">
        <f t="shared" si="102"/>
        <v>0</v>
      </c>
      <c r="AA349" s="668">
        <f t="shared" si="103"/>
        <v>0</v>
      </c>
      <c r="AB349" s="668">
        <f t="shared" si="104"/>
        <v>0</v>
      </c>
      <c r="AC349" s="668">
        <f t="shared" si="114"/>
        <v>0</v>
      </c>
      <c r="AD349" s="668">
        <f t="shared" si="105"/>
        <v>0</v>
      </c>
      <c r="AE349" s="668">
        <f t="shared" si="106"/>
        <v>0</v>
      </c>
      <c r="AF349" s="668">
        <f t="shared" si="107"/>
        <v>0</v>
      </c>
      <c r="AG349" s="668">
        <f t="shared" si="108"/>
        <v>0</v>
      </c>
      <c r="AH349" s="668"/>
      <c r="AI349" s="668"/>
      <c r="AJ349" s="668"/>
      <c r="AK349" s="668"/>
      <c r="AL349" s="668"/>
      <c r="AM349" s="668">
        <f t="shared" si="115"/>
        <v>0</v>
      </c>
      <c r="AN349" s="668">
        <f t="shared" si="110"/>
        <v>0</v>
      </c>
      <c r="AO349" s="668">
        <f t="shared" si="111"/>
        <v>0</v>
      </c>
      <c r="AP349" s="668">
        <f t="shared" si="116"/>
        <v>0</v>
      </c>
      <c r="AQ349" s="668">
        <f t="shared" si="112"/>
        <v>0</v>
      </c>
      <c r="AR349" s="668">
        <f t="shared" si="113"/>
        <v>0</v>
      </c>
      <c r="AS349" s="668"/>
      <c r="AT349" s="668"/>
      <c r="AU349" s="668"/>
      <c r="AV349" s="668"/>
      <c r="AW349" s="668"/>
      <c r="AX349" s="668"/>
      <c r="AY349" s="668"/>
      <c r="AZ349" s="668"/>
      <c r="BA349" s="668"/>
      <c r="BB349" s="668">
        <f t="shared" si="117"/>
        <v>0</v>
      </c>
      <c r="BC349" s="668"/>
      <c r="BD349" s="668"/>
      <c r="BE349" s="668"/>
      <c r="BF349" s="668"/>
      <c r="BG349" s="668"/>
      <c r="BH349" s="668"/>
      <c r="BI349" s="668"/>
    </row>
    <row r="350" spans="1:61" x14ac:dyDescent="0.2">
      <c r="A350" s="1013" t="s">
        <v>660</v>
      </c>
      <c r="B350" s="1013" t="s">
        <v>543</v>
      </c>
      <c r="C350" s="1013"/>
      <c r="D350" s="667"/>
      <c r="E350" s="667"/>
      <c r="F350" s="667"/>
      <c r="G350" s="667"/>
      <c r="H350" s="667"/>
      <c r="I350" s="667"/>
      <c r="J350" s="667"/>
      <c r="K350" s="667"/>
      <c r="L350" s="667"/>
      <c r="M350" s="667"/>
      <c r="N350" s="667"/>
      <c r="O350" s="667"/>
      <c r="P350" s="667"/>
      <c r="Q350" s="667"/>
      <c r="R350" s="667"/>
      <c r="S350" s="667"/>
      <c r="T350" s="667"/>
      <c r="U350" s="1013">
        <v>12</v>
      </c>
      <c r="V350" s="668">
        <f t="shared" si="98"/>
        <v>0</v>
      </c>
      <c r="W350" s="668">
        <f t="shared" si="99"/>
        <v>0</v>
      </c>
      <c r="X350" s="668">
        <f t="shared" si="100"/>
        <v>0</v>
      </c>
      <c r="Y350" s="668">
        <f t="shared" si="101"/>
        <v>0</v>
      </c>
      <c r="Z350" s="668">
        <f t="shared" si="102"/>
        <v>0</v>
      </c>
      <c r="AA350" s="668">
        <f t="shared" si="103"/>
        <v>0</v>
      </c>
      <c r="AB350" s="668">
        <f t="shared" si="104"/>
        <v>0</v>
      </c>
      <c r="AC350" s="668">
        <f t="shared" si="114"/>
        <v>0</v>
      </c>
      <c r="AD350" s="668">
        <f t="shared" si="105"/>
        <v>0</v>
      </c>
      <c r="AE350" s="668">
        <f t="shared" si="106"/>
        <v>0</v>
      </c>
      <c r="AF350" s="668">
        <f t="shared" si="107"/>
        <v>0</v>
      </c>
      <c r="AG350" s="668">
        <f t="shared" si="108"/>
        <v>0</v>
      </c>
      <c r="AH350" s="668"/>
      <c r="AI350" s="668"/>
      <c r="AJ350" s="668"/>
      <c r="AK350" s="668"/>
      <c r="AL350" s="668"/>
      <c r="AM350" s="668">
        <f t="shared" si="115"/>
        <v>0</v>
      </c>
      <c r="AN350" s="668">
        <f t="shared" si="110"/>
        <v>0</v>
      </c>
      <c r="AO350" s="668">
        <f t="shared" si="111"/>
        <v>0</v>
      </c>
      <c r="AP350" s="668">
        <f t="shared" si="116"/>
        <v>0</v>
      </c>
      <c r="AQ350" s="668">
        <f t="shared" si="112"/>
        <v>0</v>
      </c>
      <c r="AR350" s="668">
        <f t="shared" si="113"/>
        <v>0</v>
      </c>
      <c r="AS350" s="668"/>
      <c r="AT350" s="668"/>
      <c r="AU350" s="668"/>
      <c r="AV350" s="668"/>
      <c r="AW350" s="668"/>
      <c r="AX350" s="668"/>
      <c r="AY350" s="668"/>
      <c r="AZ350" s="668"/>
      <c r="BA350" s="668"/>
      <c r="BB350" s="668">
        <f t="shared" si="117"/>
        <v>0</v>
      </c>
      <c r="BC350" s="668"/>
      <c r="BD350" s="668"/>
      <c r="BE350" s="668"/>
      <c r="BF350" s="668"/>
      <c r="BG350" s="668"/>
      <c r="BH350" s="668"/>
      <c r="BI350" s="668"/>
    </row>
    <row r="351" spans="1:61" x14ac:dyDescent="0.2">
      <c r="A351" s="1013" t="s">
        <v>661</v>
      </c>
      <c r="B351" s="1013" t="s">
        <v>466</v>
      </c>
      <c r="C351" s="1013"/>
      <c r="D351" s="667">
        <v>28</v>
      </c>
      <c r="E351" s="667"/>
      <c r="F351" s="667"/>
      <c r="G351" s="667"/>
      <c r="H351" s="667"/>
      <c r="I351" s="667"/>
      <c r="J351" s="667"/>
      <c r="K351" s="667"/>
      <c r="L351" s="667"/>
      <c r="M351" s="667"/>
      <c r="N351" s="667"/>
      <c r="O351" s="667"/>
      <c r="P351" s="667"/>
      <c r="Q351" s="667"/>
      <c r="R351" s="667"/>
      <c r="S351" s="667"/>
      <c r="T351" s="667"/>
      <c r="U351" s="1013">
        <v>3</v>
      </c>
      <c r="V351" s="668">
        <f t="shared" si="98"/>
        <v>84</v>
      </c>
      <c r="W351" s="668">
        <f t="shared" si="99"/>
        <v>0</v>
      </c>
      <c r="X351" s="668">
        <f t="shared" si="100"/>
        <v>0</v>
      </c>
      <c r="Y351" s="668">
        <f t="shared" si="101"/>
        <v>0</v>
      </c>
      <c r="Z351" s="668">
        <f t="shared" si="102"/>
        <v>0</v>
      </c>
      <c r="AA351" s="668">
        <f t="shared" si="103"/>
        <v>0</v>
      </c>
      <c r="AB351" s="668">
        <f t="shared" si="104"/>
        <v>0</v>
      </c>
      <c r="AC351" s="668">
        <f t="shared" si="114"/>
        <v>0</v>
      </c>
      <c r="AD351" s="668">
        <f t="shared" si="105"/>
        <v>0</v>
      </c>
      <c r="AE351" s="668">
        <f t="shared" si="106"/>
        <v>0</v>
      </c>
      <c r="AF351" s="668">
        <f t="shared" si="107"/>
        <v>0</v>
      </c>
      <c r="AG351" s="668">
        <f t="shared" si="108"/>
        <v>0</v>
      </c>
      <c r="AH351" s="668"/>
      <c r="AI351" s="668"/>
      <c r="AJ351" s="668"/>
      <c r="AK351" s="668"/>
      <c r="AL351" s="668"/>
      <c r="AM351" s="668">
        <f t="shared" si="115"/>
        <v>0</v>
      </c>
      <c r="AN351" s="668">
        <f t="shared" si="110"/>
        <v>0</v>
      </c>
      <c r="AO351" s="668">
        <f t="shared" si="111"/>
        <v>0</v>
      </c>
      <c r="AP351" s="668">
        <f t="shared" si="116"/>
        <v>0</v>
      </c>
      <c r="AQ351" s="668">
        <f t="shared" si="112"/>
        <v>0</v>
      </c>
      <c r="AR351" s="668">
        <f t="shared" si="113"/>
        <v>0</v>
      </c>
      <c r="AS351" s="668"/>
      <c r="AT351" s="668"/>
      <c r="AU351" s="668"/>
      <c r="AV351" s="668"/>
      <c r="AW351" s="668"/>
      <c r="AX351" s="668"/>
      <c r="AY351" s="668"/>
      <c r="AZ351" s="668"/>
      <c r="BA351" s="668"/>
      <c r="BB351" s="668">
        <f t="shared" si="117"/>
        <v>0</v>
      </c>
      <c r="BC351" s="668"/>
      <c r="BD351" s="668"/>
      <c r="BE351" s="668"/>
      <c r="BF351" s="668"/>
      <c r="BG351" s="668"/>
      <c r="BH351" s="668"/>
      <c r="BI351" s="668"/>
    </row>
    <row r="352" spans="1:61" x14ac:dyDescent="0.2">
      <c r="A352" s="1013" t="s">
        <v>662</v>
      </c>
      <c r="B352" s="1013" t="s">
        <v>466</v>
      </c>
      <c r="C352" s="1013"/>
      <c r="D352" s="667">
        <v>28</v>
      </c>
      <c r="E352" s="667"/>
      <c r="F352" s="667"/>
      <c r="G352" s="667"/>
      <c r="H352" s="667"/>
      <c r="I352" s="667"/>
      <c r="J352" s="667"/>
      <c r="K352" s="667"/>
      <c r="L352" s="667"/>
      <c r="M352" s="667"/>
      <c r="N352" s="667"/>
      <c r="O352" s="667"/>
      <c r="P352" s="667"/>
      <c r="Q352" s="667"/>
      <c r="R352" s="667"/>
      <c r="S352" s="667"/>
      <c r="T352" s="667"/>
      <c r="U352" s="1013">
        <v>3</v>
      </c>
      <c r="V352" s="668">
        <f t="shared" si="98"/>
        <v>84</v>
      </c>
      <c r="W352" s="668">
        <f t="shared" si="99"/>
        <v>0</v>
      </c>
      <c r="X352" s="668">
        <f t="shared" si="100"/>
        <v>0</v>
      </c>
      <c r="Y352" s="668">
        <f t="shared" si="101"/>
        <v>0</v>
      </c>
      <c r="Z352" s="668">
        <f t="shared" si="102"/>
        <v>0</v>
      </c>
      <c r="AA352" s="668">
        <f t="shared" si="103"/>
        <v>0</v>
      </c>
      <c r="AB352" s="668">
        <f t="shared" si="104"/>
        <v>0</v>
      </c>
      <c r="AC352" s="668">
        <f t="shared" si="114"/>
        <v>0</v>
      </c>
      <c r="AD352" s="668">
        <f t="shared" si="105"/>
        <v>0</v>
      </c>
      <c r="AE352" s="668">
        <f t="shared" si="106"/>
        <v>0</v>
      </c>
      <c r="AF352" s="668">
        <f t="shared" si="107"/>
        <v>0</v>
      </c>
      <c r="AG352" s="668">
        <f t="shared" si="108"/>
        <v>0</v>
      </c>
      <c r="AH352" s="668"/>
      <c r="AI352" s="668"/>
      <c r="AJ352" s="668"/>
      <c r="AK352" s="668"/>
      <c r="AL352" s="668"/>
      <c r="AM352" s="668">
        <f t="shared" si="115"/>
        <v>0</v>
      </c>
      <c r="AN352" s="668">
        <f t="shared" si="110"/>
        <v>0</v>
      </c>
      <c r="AO352" s="668">
        <f t="shared" si="111"/>
        <v>0</v>
      </c>
      <c r="AP352" s="668">
        <f t="shared" si="116"/>
        <v>0</v>
      </c>
      <c r="AQ352" s="668">
        <f t="shared" si="112"/>
        <v>0</v>
      </c>
      <c r="AR352" s="668">
        <f t="shared" si="113"/>
        <v>0</v>
      </c>
      <c r="AS352" s="668"/>
      <c r="AT352" s="668"/>
      <c r="AU352" s="668"/>
      <c r="AV352" s="668"/>
      <c r="AW352" s="668"/>
      <c r="AX352" s="668"/>
      <c r="AY352" s="668"/>
      <c r="AZ352" s="668"/>
      <c r="BA352" s="668"/>
      <c r="BB352" s="668">
        <f t="shared" si="117"/>
        <v>0</v>
      </c>
      <c r="BC352" s="668"/>
      <c r="BD352" s="668"/>
      <c r="BE352" s="668"/>
      <c r="BF352" s="668"/>
      <c r="BG352" s="668"/>
      <c r="BH352" s="668"/>
      <c r="BI352" s="668"/>
    </row>
    <row r="353" spans="1:61" x14ac:dyDescent="0.2">
      <c r="A353" s="1013" t="s">
        <v>663</v>
      </c>
      <c r="B353" s="1013" t="s">
        <v>467</v>
      </c>
      <c r="C353" s="1013"/>
      <c r="D353" s="667">
        <v>28</v>
      </c>
      <c r="E353" s="667"/>
      <c r="F353" s="667"/>
      <c r="G353" s="667"/>
      <c r="H353" s="667"/>
      <c r="I353" s="667"/>
      <c r="J353" s="667"/>
      <c r="K353" s="667"/>
      <c r="L353" s="667"/>
      <c r="M353" s="667"/>
      <c r="N353" s="667"/>
      <c r="O353" s="667"/>
      <c r="P353" s="667"/>
      <c r="Q353" s="667"/>
      <c r="R353" s="667"/>
      <c r="S353" s="667"/>
      <c r="T353" s="667"/>
      <c r="U353" s="1013">
        <v>3</v>
      </c>
      <c r="V353" s="668">
        <f t="shared" si="98"/>
        <v>84</v>
      </c>
      <c r="W353" s="668">
        <f t="shared" si="99"/>
        <v>0</v>
      </c>
      <c r="X353" s="668">
        <f t="shared" si="100"/>
        <v>0</v>
      </c>
      <c r="Y353" s="668">
        <f t="shared" si="101"/>
        <v>0</v>
      </c>
      <c r="Z353" s="668">
        <f t="shared" si="102"/>
        <v>0</v>
      </c>
      <c r="AA353" s="668">
        <f t="shared" si="103"/>
        <v>0</v>
      </c>
      <c r="AB353" s="668">
        <f t="shared" si="104"/>
        <v>0</v>
      </c>
      <c r="AC353" s="668">
        <f t="shared" si="114"/>
        <v>0</v>
      </c>
      <c r="AD353" s="668">
        <f t="shared" si="105"/>
        <v>0</v>
      </c>
      <c r="AE353" s="668">
        <f t="shared" si="106"/>
        <v>0</v>
      </c>
      <c r="AF353" s="668">
        <f t="shared" si="107"/>
        <v>0</v>
      </c>
      <c r="AG353" s="668">
        <f t="shared" si="108"/>
        <v>0</v>
      </c>
      <c r="AH353" s="668"/>
      <c r="AI353" s="668"/>
      <c r="AJ353" s="668"/>
      <c r="AK353" s="668"/>
      <c r="AL353" s="668"/>
      <c r="AM353" s="668">
        <f t="shared" si="115"/>
        <v>0</v>
      </c>
      <c r="AN353" s="668">
        <f t="shared" si="110"/>
        <v>0</v>
      </c>
      <c r="AO353" s="668">
        <f t="shared" si="111"/>
        <v>0</v>
      </c>
      <c r="AP353" s="668">
        <f t="shared" si="116"/>
        <v>0</v>
      </c>
      <c r="AQ353" s="668">
        <f t="shared" si="112"/>
        <v>0</v>
      </c>
      <c r="AR353" s="668">
        <f t="shared" si="113"/>
        <v>0</v>
      </c>
      <c r="AS353" s="668"/>
      <c r="AT353" s="668"/>
      <c r="AU353" s="668"/>
      <c r="AV353" s="668"/>
      <c r="AW353" s="668"/>
      <c r="AX353" s="668"/>
      <c r="AY353" s="668"/>
      <c r="AZ353" s="668"/>
      <c r="BA353" s="668"/>
      <c r="BB353" s="668">
        <f t="shared" si="117"/>
        <v>0</v>
      </c>
      <c r="BC353" s="668"/>
      <c r="BD353" s="668"/>
      <c r="BE353" s="668"/>
      <c r="BF353" s="668"/>
      <c r="BG353" s="668"/>
      <c r="BH353" s="668"/>
      <c r="BI353" s="668"/>
    </row>
    <row r="354" spans="1:61" x14ac:dyDescent="0.2">
      <c r="A354" s="1013" t="s">
        <v>664</v>
      </c>
      <c r="B354" s="1013" t="s">
        <v>467</v>
      </c>
      <c r="C354" s="1013"/>
      <c r="D354" s="667">
        <v>28</v>
      </c>
      <c r="E354" s="667"/>
      <c r="F354" s="667"/>
      <c r="G354" s="667"/>
      <c r="H354" s="667"/>
      <c r="I354" s="667"/>
      <c r="J354" s="667"/>
      <c r="K354" s="667"/>
      <c r="L354" s="667"/>
      <c r="M354" s="667"/>
      <c r="N354" s="667"/>
      <c r="O354" s="667"/>
      <c r="P354" s="667"/>
      <c r="Q354" s="667"/>
      <c r="R354" s="667"/>
      <c r="S354" s="667"/>
      <c r="T354" s="667"/>
      <c r="U354" s="1013">
        <v>3</v>
      </c>
      <c r="V354" s="668">
        <f t="shared" si="98"/>
        <v>84</v>
      </c>
      <c r="W354" s="668">
        <f t="shared" si="99"/>
        <v>0</v>
      </c>
      <c r="X354" s="668">
        <f t="shared" si="100"/>
        <v>0</v>
      </c>
      <c r="Y354" s="668">
        <f t="shared" si="101"/>
        <v>0</v>
      </c>
      <c r="Z354" s="668">
        <f t="shared" si="102"/>
        <v>0</v>
      </c>
      <c r="AA354" s="668">
        <f t="shared" si="103"/>
        <v>0</v>
      </c>
      <c r="AB354" s="668">
        <f t="shared" si="104"/>
        <v>0</v>
      </c>
      <c r="AC354" s="668">
        <f t="shared" si="114"/>
        <v>0</v>
      </c>
      <c r="AD354" s="668">
        <f t="shared" si="105"/>
        <v>0</v>
      </c>
      <c r="AE354" s="668">
        <f t="shared" si="106"/>
        <v>0</v>
      </c>
      <c r="AF354" s="668">
        <f t="shared" si="107"/>
        <v>0</v>
      </c>
      <c r="AG354" s="668">
        <f t="shared" si="108"/>
        <v>0</v>
      </c>
      <c r="AH354" s="668"/>
      <c r="AI354" s="668"/>
      <c r="AJ354" s="668"/>
      <c r="AK354" s="668"/>
      <c r="AL354" s="668"/>
      <c r="AM354" s="668">
        <f t="shared" si="115"/>
        <v>0</v>
      </c>
      <c r="AN354" s="668">
        <f t="shared" si="110"/>
        <v>0</v>
      </c>
      <c r="AO354" s="668">
        <f t="shared" si="111"/>
        <v>0</v>
      </c>
      <c r="AP354" s="668">
        <f t="shared" si="116"/>
        <v>0</v>
      </c>
      <c r="AQ354" s="668">
        <f t="shared" si="112"/>
        <v>0</v>
      </c>
      <c r="AR354" s="668">
        <f t="shared" si="113"/>
        <v>0</v>
      </c>
      <c r="AS354" s="668"/>
      <c r="AT354" s="668"/>
      <c r="AU354" s="668"/>
      <c r="AV354" s="668"/>
      <c r="AW354" s="668"/>
      <c r="AX354" s="668"/>
      <c r="AY354" s="668"/>
      <c r="AZ354" s="668"/>
      <c r="BA354" s="668"/>
      <c r="BB354" s="668">
        <f t="shared" si="117"/>
        <v>0</v>
      </c>
      <c r="BC354" s="668"/>
      <c r="BD354" s="668"/>
      <c r="BE354" s="668"/>
      <c r="BF354" s="668"/>
      <c r="BG354" s="668"/>
      <c r="BH354" s="668"/>
      <c r="BI354" s="668"/>
    </row>
    <row r="355" spans="1:61" x14ac:dyDescent="0.2">
      <c r="A355" s="1013" t="s">
        <v>665</v>
      </c>
      <c r="B355" s="1013" t="s">
        <v>671</v>
      </c>
      <c r="C355" s="1013"/>
      <c r="D355" s="667">
        <v>19</v>
      </c>
      <c r="E355" s="667">
        <v>24</v>
      </c>
      <c r="F355" s="667"/>
      <c r="G355" s="667"/>
      <c r="H355" s="667"/>
      <c r="I355" s="667">
        <f>+D355+E355</f>
        <v>43</v>
      </c>
      <c r="J355" s="667"/>
      <c r="K355" s="667"/>
      <c r="L355" s="667"/>
      <c r="M355" s="667"/>
      <c r="N355" s="667"/>
      <c r="O355" s="667"/>
      <c r="P355" s="667"/>
      <c r="Q355" s="667"/>
      <c r="R355" s="667"/>
      <c r="S355" s="667"/>
      <c r="T355" s="667"/>
      <c r="U355" s="1013">
        <v>13</v>
      </c>
      <c r="V355" s="668">
        <f t="shared" si="98"/>
        <v>247</v>
      </c>
      <c r="W355" s="668">
        <f t="shared" si="99"/>
        <v>0</v>
      </c>
      <c r="X355" s="668">
        <f t="shared" si="100"/>
        <v>0</v>
      </c>
      <c r="Y355" s="668">
        <f t="shared" si="101"/>
        <v>0</v>
      </c>
      <c r="Z355" s="668">
        <f t="shared" si="102"/>
        <v>0</v>
      </c>
      <c r="AA355" s="668">
        <f t="shared" si="103"/>
        <v>0</v>
      </c>
      <c r="AB355" s="668">
        <f t="shared" si="104"/>
        <v>0</v>
      </c>
      <c r="AC355" s="668">
        <f t="shared" si="114"/>
        <v>0</v>
      </c>
      <c r="AD355" s="668">
        <f t="shared" si="105"/>
        <v>0</v>
      </c>
      <c r="AE355" s="668">
        <f t="shared" si="106"/>
        <v>0</v>
      </c>
      <c r="AF355" s="668">
        <f t="shared" si="107"/>
        <v>0</v>
      </c>
      <c r="AG355" s="668">
        <f t="shared" si="108"/>
        <v>0</v>
      </c>
      <c r="AH355" s="668"/>
      <c r="AI355" s="668"/>
      <c r="AJ355" s="668"/>
      <c r="AK355" s="668"/>
      <c r="AL355" s="668"/>
      <c r="AM355" s="668">
        <f t="shared" si="115"/>
        <v>43</v>
      </c>
      <c r="AN355" s="668">
        <f t="shared" si="110"/>
        <v>312</v>
      </c>
      <c r="AO355" s="668">
        <f t="shared" si="111"/>
        <v>0</v>
      </c>
      <c r="AP355" s="668">
        <f t="shared" si="116"/>
        <v>0</v>
      </c>
      <c r="AQ355" s="668">
        <f t="shared" si="112"/>
        <v>0</v>
      </c>
      <c r="AR355" s="668">
        <f t="shared" si="113"/>
        <v>0</v>
      </c>
      <c r="AS355" s="668"/>
      <c r="AT355" s="668"/>
      <c r="AU355" s="668"/>
      <c r="AV355" s="668"/>
      <c r="AW355" s="668"/>
      <c r="AX355" s="668"/>
      <c r="AY355" s="668"/>
      <c r="AZ355" s="668"/>
      <c r="BA355" s="668"/>
      <c r="BB355" s="668">
        <f t="shared" si="117"/>
        <v>0</v>
      </c>
      <c r="BC355" s="668"/>
      <c r="BD355" s="668"/>
      <c r="BE355" s="668"/>
      <c r="BF355" s="668"/>
      <c r="BG355" s="668"/>
      <c r="BH355" s="668"/>
      <c r="BI355" s="668"/>
    </row>
    <row r="356" spans="1:61" x14ac:dyDescent="0.2">
      <c r="A356" s="1013">
        <v>2007</v>
      </c>
      <c r="B356" s="1013" t="s">
        <v>672</v>
      </c>
      <c r="C356" s="1013"/>
      <c r="D356" s="667">
        <v>35</v>
      </c>
      <c r="E356" s="667"/>
      <c r="F356" s="667">
        <v>15</v>
      </c>
      <c r="G356" s="667"/>
      <c r="H356" s="667"/>
      <c r="I356" s="667">
        <f t="shared" ref="I356:I357" si="118">+D356+E356</f>
        <v>35</v>
      </c>
      <c r="J356" s="667"/>
      <c r="K356" s="667"/>
      <c r="L356" s="667"/>
      <c r="M356" s="667"/>
      <c r="N356" s="667"/>
      <c r="O356" s="667"/>
      <c r="P356" s="667"/>
      <c r="Q356" s="667"/>
      <c r="R356" s="667"/>
      <c r="S356" s="667"/>
      <c r="T356" s="667"/>
      <c r="U356" s="1013">
        <v>10</v>
      </c>
      <c r="V356" s="668">
        <f t="shared" si="98"/>
        <v>350</v>
      </c>
      <c r="W356" s="668">
        <f t="shared" si="99"/>
        <v>0</v>
      </c>
      <c r="X356" s="668">
        <f t="shared" si="100"/>
        <v>0</v>
      </c>
      <c r="Y356" s="668">
        <f t="shared" si="101"/>
        <v>0</v>
      </c>
      <c r="Z356" s="668">
        <f t="shared" si="102"/>
        <v>0</v>
      </c>
      <c r="AA356" s="668">
        <f t="shared" si="103"/>
        <v>0</v>
      </c>
      <c r="AB356" s="668">
        <f t="shared" si="104"/>
        <v>0</v>
      </c>
      <c r="AC356" s="668">
        <f t="shared" si="114"/>
        <v>0</v>
      </c>
      <c r="AD356" s="668">
        <f t="shared" si="105"/>
        <v>0</v>
      </c>
      <c r="AE356" s="668">
        <f t="shared" si="106"/>
        <v>0</v>
      </c>
      <c r="AF356" s="668">
        <f t="shared" si="107"/>
        <v>0</v>
      </c>
      <c r="AG356" s="668">
        <f t="shared" si="108"/>
        <v>0</v>
      </c>
      <c r="AH356" s="668"/>
      <c r="AI356" s="668"/>
      <c r="AJ356" s="668"/>
      <c r="AK356" s="668"/>
      <c r="AL356" s="668"/>
      <c r="AM356" s="668">
        <f t="shared" si="115"/>
        <v>35</v>
      </c>
      <c r="AN356" s="668">
        <f t="shared" si="110"/>
        <v>0</v>
      </c>
      <c r="AO356" s="668">
        <f t="shared" si="111"/>
        <v>0</v>
      </c>
      <c r="AP356" s="668">
        <f t="shared" si="116"/>
        <v>150</v>
      </c>
      <c r="AQ356" s="668">
        <f t="shared" si="112"/>
        <v>0</v>
      </c>
      <c r="AR356" s="668">
        <f t="shared" si="113"/>
        <v>0</v>
      </c>
      <c r="AS356" s="668"/>
      <c r="AT356" s="668"/>
      <c r="AU356" s="668"/>
      <c r="AV356" s="668"/>
      <c r="AW356" s="668"/>
      <c r="AX356" s="668"/>
      <c r="AY356" s="668"/>
      <c r="AZ356" s="668"/>
      <c r="BA356" s="668"/>
      <c r="BB356" s="668">
        <f t="shared" si="117"/>
        <v>150</v>
      </c>
      <c r="BC356" s="668"/>
      <c r="BD356" s="668"/>
      <c r="BE356" s="668"/>
      <c r="BF356" s="668"/>
      <c r="BG356" s="668"/>
      <c r="BH356" s="668"/>
      <c r="BI356" s="668"/>
    </row>
    <row r="357" spans="1:61" x14ac:dyDescent="0.2">
      <c r="A357" s="1013">
        <v>2008</v>
      </c>
      <c r="B357" s="1013" t="s">
        <v>672</v>
      </c>
      <c r="C357" s="1013"/>
      <c r="D357" s="667">
        <v>35</v>
      </c>
      <c r="E357" s="667"/>
      <c r="F357" s="667">
        <v>15</v>
      </c>
      <c r="G357" s="667"/>
      <c r="H357" s="667"/>
      <c r="I357" s="667">
        <f t="shared" si="118"/>
        <v>35</v>
      </c>
      <c r="J357" s="667"/>
      <c r="K357" s="667"/>
      <c r="L357" s="667"/>
      <c r="M357" s="667"/>
      <c r="N357" s="667"/>
      <c r="O357" s="667"/>
      <c r="P357" s="667"/>
      <c r="Q357" s="667"/>
      <c r="R357" s="667"/>
      <c r="S357" s="667"/>
      <c r="T357" s="667"/>
      <c r="U357" s="1013">
        <v>10</v>
      </c>
      <c r="V357" s="668">
        <f t="shared" si="98"/>
        <v>350</v>
      </c>
      <c r="W357" s="668">
        <f t="shared" si="99"/>
        <v>0</v>
      </c>
      <c r="X357" s="668">
        <f t="shared" si="100"/>
        <v>0</v>
      </c>
      <c r="Y357" s="668">
        <f t="shared" si="101"/>
        <v>0</v>
      </c>
      <c r="Z357" s="668">
        <f t="shared" si="102"/>
        <v>0</v>
      </c>
      <c r="AA357" s="668">
        <f t="shared" si="103"/>
        <v>0</v>
      </c>
      <c r="AB357" s="668">
        <f t="shared" si="104"/>
        <v>0</v>
      </c>
      <c r="AC357" s="668">
        <f t="shared" si="114"/>
        <v>0</v>
      </c>
      <c r="AD357" s="668">
        <f t="shared" si="105"/>
        <v>0</v>
      </c>
      <c r="AE357" s="668">
        <f t="shared" si="106"/>
        <v>0</v>
      </c>
      <c r="AF357" s="668">
        <f t="shared" si="107"/>
        <v>0</v>
      </c>
      <c r="AG357" s="668">
        <f t="shared" si="108"/>
        <v>0</v>
      </c>
      <c r="AH357" s="668"/>
      <c r="AI357" s="668"/>
      <c r="AJ357" s="668"/>
      <c r="AK357" s="668"/>
      <c r="AL357" s="668"/>
      <c r="AM357" s="668">
        <f t="shared" si="115"/>
        <v>35</v>
      </c>
      <c r="AN357" s="668">
        <f t="shared" si="110"/>
        <v>0</v>
      </c>
      <c r="AO357" s="668">
        <f t="shared" si="111"/>
        <v>0</v>
      </c>
      <c r="AP357" s="668">
        <f t="shared" si="116"/>
        <v>150</v>
      </c>
      <c r="AQ357" s="668">
        <f t="shared" si="112"/>
        <v>0</v>
      </c>
      <c r="AR357" s="668">
        <f t="shared" si="113"/>
        <v>0</v>
      </c>
      <c r="AS357" s="668"/>
      <c r="AT357" s="668"/>
      <c r="AU357" s="668"/>
      <c r="AV357" s="668"/>
      <c r="AW357" s="668"/>
      <c r="AX357" s="668"/>
      <c r="AY357" s="668"/>
      <c r="AZ357" s="668"/>
      <c r="BA357" s="668"/>
      <c r="BB357" s="668">
        <f t="shared" si="117"/>
        <v>150</v>
      </c>
      <c r="BC357" s="668"/>
      <c r="BD357" s="668"/>
      <c r="BE357" s="668"/>
      <c r="BF357" s="668"/>
      <c r="BG357" s="668"/>
      <c r="BH357" s="668"/>
      <c r="BI357" s="668"/>
    </row>
    <row r="358" spans="1:61" x14ac:dyDescent="0.2">
      <c r="A358" s="1013" t="s">
        <v>666</v>
      </c>
      <c r="B358" s="1013" t="s">
        <v>672</v>
      </c>
      <c r="C358" s="1013"/>
      <c r="D358" s="667">
        <v>35</v>
      </c>
      <c r="E358" s="667"/>
      <c r="F358" s="667">
        <v>15</v>
      </c>
      <c r="G358" s="667"/>
      <c r="H358" s="667"/>
      <c r="I358" s="667"/>
      <c r="J358" s="667"/>
      <c r="K358" s="667"/>
      <c r="L358" s="667"/>
      <c r="M358" s="667"/>
      <c r="N358" s="667"/>
      <c r="O358" s="667"/>
      <c r="P358" s="667"/>
      <c r="Q358" s="667"/>
      <c r="R358" s="667"/>
      <c r="S358" s="667"/>
      <c r="T358" s="667"/>
      <c r="U358" s="1013">
        <v>10</v>
      </c>
      <c r="V358" s="668">
        <f t="shared" si="98"/>
        <v>350</v>
      </c>
      <c r="W358" s="668">
        <f t="shared" si="99"/>
        <v>0</v>
      </c>
      <c r="X358" s="668">
        <f t="shared" si="100"/>
        <v>0</v>
      </c>
      <c r="Y358" s="668">
        <f t="shared" si="101"/>
        <v>0</v>
      </c>
      <c r="Z358" s="668">
        <f t="shared" si="102"/>
        <v>0</v>
      </c>
      <c r="AA358" s="668">
        <f t="shared" si="103"/>
        <v>0</v>
      </c>
      <c r="AB358" s="668">
        <f t="shared" si="104"/>
        <v>0</v>
      </c>
      <c r="AC358" s="668">
        <f t="shared" si="114"/>
        <v>0</v>
      </c>
      <c r="AD358" s="668">
        <f t="shared" si="105"/>
        <v>0</v>
      </c>
      <c r="AE358" s="668">
        <f t="shared" si="106"/>
        <v>0</v>
      </c>
      <c r="AF358" s="668">
        <f t="shared" si="107"/>
        <v>0</v>
      </c>
      <c r="AG358" s="668">
        <f t="shared" si="108"/>
        <v>0</v>
      </c>
      <c r="AH358" s="668"/>
      <c r="AI358" s="668"/>
      <c r="AJ358" s="668"/>
      <c r="AK358" s="668"/>
      <c r="AL358" s="668"/>
      <c r="AM358" s="668">
        <f t="shared" si="115"/>
        <v>0</v>
      </c>
      <c r="AN358" s="668">
        <f t="shared" si="110"/>
        <v>0</v>
      </c>
      <c r="AO358" s="668">
        <f t="shared" si="111"/>
        <v>0</v>
      </c>
      <c r="AP358" s="668">
        <f t="shared" si="116"/>
        <v>150</v>
      </c>
      <c r="AQ358" s="668">
        <f t="shared" si="112"/>
        <v>0</v>
      </c>
      <c r="AR358" s="668">
        <f t="shared" si="113"/>
        <v>0</v>
      </c>
      <c r="AS358" s="668"/>
      <c r="AT358" s="668"/>
      <c r="AU358" s="668"/>
      <c r="AV358" s="668"/>
      <c r="AW358" s="668"/>
      <c r="AX358" s="668"/>
      <c r="AY358" s="668"/>
      <c r="AZ358" s="668"/>
      <c r="BA358" s="668"/>
      <c r="BB358" s="668">
        <f t="shared" si="117"/>
        <v>150</v>
      </c>
      <c r="BC358" s="668"/>
      <c r="BD358" s="668"/>
      <c r="BE358" s="668"/>
      <c r="BF358" s="668"/>
      <c r="BG358" s="668"/>
      <c r="BH358" s="668"/>
      <c r="BI358" s="668"/>
    </row>
    <row r="359" spans="1:61" x14ac:dyDescent="0.2">
      <c r="A359" s="1013" t="s">
        <v>667</v>
      </c>
      <c r="B359" s="1013" t="s">
        <v>672</v>
      </c>
      <c r="C359" s="1013"/>
      <c r="D359" s="667">
        <v>35</v>
      </c>
      <c r="E359" s="667"/>
      <c r="F359" s="667">
        <v>15</v>
      </c>
      <c r="G359" s="667"/>
      <c r="H359" s="667"/>
      <c r="I359" s="667"/>
      <c r="J359" s="667"/>
      <c r="K359" s="667"/>
      <c r="L359" s="667"/>
      <c r="M359" s="667"/>
      <c r="N359" s="667"/>
      <c r="O359" s="667"/>
      <c r="P359" s="667"/>
      <c r="Q359" s="667"/>
      <c r="R359" s="667"/>
      <c r="S359" s="667"/>
      <c r="T359" s="667"/>
      <c r="U359" s="1013">
        <v>10</v>
      </c>
      <c r="V359" s="668">
        <f t="shared" si="98"/>
        <v>350</v>
      </c>
      <c r="W359" s="668">
        <f t="shared" si="99"/>
        <v>0</v>
      </c>
      <c r="X359" s="668">
        <f t="shared" si="100"/>
        <v>0</v>
      </c>
      <c r="Y359" s="668">
        <f t="shared" si="101"/>
        <v>0</v>
      </c>
      <c r="Z359" s="668">
        <f t="shared" si="102"/>
        <v>0</v>
      </c>
      <c r="AA359" s="668">
        <f t="shared" si="103"/>
        <v>0</v>
      </c>
      <c r="AB359" s="668">
        <f t="shared" si="104"/>
        <v>0</v>
      </c>
      <c r="AC359" s="668">
        <f t="shared" si="114"/>
        <v>0</v>
      </c>
      <c r="AD359" s="668">
        <f t="shared" si="105"/>
        <v>0</v>
      </c>
      <c r="AE359" s="668">
        <f t="shared" si="106"/>
        <v>0</v>
      </c>
      <c r="AF359" s="668">
        <f t="shared" si="107"/>
        <v>0</v>
      </c>
      <c r="AG359" s="668">
        <f t="shared" si="108"/>
        <v>0</v>
      </c>
      <c r="AH359" s="668"/>
      <c r="AI359" s="668"/>
      <c r="AJ359" s="668"/>
      <c r="AK359" s="668"/>
      <c r="AL359" s="668"/>
      <c r="AM359" s="668">
        <f t="shared" si="115"/>
        <v>0</v>
      </c>
      <c r="AN359" s="668">
        <f t="shared" si="110"/>
        <v>0</v>
      </c>
      <c r="AO359" s="668">
        <f t="shared" si="111"/>
        <v>0</v>
      </c>
      <c r="AP359" s="668">
        <f t="shared" si="116"/>
        <v>150</v>
      </c>
      <c r="AQ359" s="668">
        <f t="shared" si="112"/>
        <v>0</v>
      </c>
      <c r="AR359" s="668">
        <f t="shared" si="113"/>
        <v>0</v>
      </c>
      <c r="AS359" s="668"/>
      <c r="AT359" s="668"/>
      <c r="AU359" s="668"/>
      <c r="AV359" s="668"/>
      <c r="AW359" s="668"/>
      <c r="AX359" s="668"/>
      <c r="AY359" s="668"/>
      <c r="AZ359" s="668"/>
      <c r="BA359" s="668"/>
      <c r="BB359" s="668">
        <f t="shared" si="117"/>
        <v>150</v>
      </c>
      <c r="BC359" s="668"/>
      <c r="BD359" s="668"/>
      <c r="BE359" s="668"/>
      <c r="BF359" s="668"/>
      <c r="BG359" s="668"/>
      <c r="BH359" s="668"/>
      <c r="BI359" s="668"/>
    </row>
    <row r="360" spans="1:61" x14ac:dyDescent="0.2">
      <c r="A360" s="1013">
        <v>2010</v>
      </c>
      <c r="B360" s="1013" t="s">
        <v>682</v>
      </c>
      <c r="C360" s="1013"/>
      <c r="D360" s="667">
        <v>35</v>
      </c>
      <c r="E360" s="667"/>
      <c r="F360" s="667">
        <v>35</v>
      </c>
      <c r="G360" s="667"/>
      <c r="H360" s="667"/>
      <c r="I360" s="667"/>
      <c r="J360" s="667"/>
      <c r="K360" s="667"/>
      <c r="L360" s="667"/>
      <c r="M360" s="667"/>
      <c r="N360" s="667"/>
      <c r="O360" s="667"/>
      <c r="P360" s="667"/>
      <c r="Q360" s="667"/>
      <c r="R360" s="667"/>
      <c r="S360" s="667"/>
      <c r="T360" s="667"/>
      <c r="U360" s="1013">
        <v>10</v>
      </c>
      <c r="V360" s="668">
        <f t="shared" si="98"/>
        <v>350</v>
      </c>
      <c r="W360" s="668">
        <f t="shared" si="99"/>
        <v>0</v>
      </c>
      <c r="X360" s="668">
        <f t="shared" si="100"/>
        <v>0</v>
      </c>
      <c r="Y360" s="668">
        <f t="shared" si="101"/>
        <v>0</v>
      </c>
      <c r="Z360" s="668">
        <f t="shared" si="102"/>
        <v>0</v>
      </c>
      <c r="AA360" s="668">
        <f t="shared" si="103"/>
        <v>0</v>
      </c>
      <c r="AB360" s="668">
        <f t="shared" si="104"/>
        <v>0</v>
      </c>
      <c r="AC360" s="668">
        <f t="shared" si="114"/>
        <v>0</v>
      </c>
      <c r="AD360" s="668">
        <f t="shared" si="105"/>
        <v>0</v>
      </c>
      <c r="AE360" s="668">
        <f t="shared" si="106"/>
        <v>0</v>
      </c>
      <c r="AF360" s="668">
        <f t="shared" si="107"/>
        <v>0</v>
      </c>
      <c r="AG360" s="668">
        <f t="shared" si="108"/>
        <v>0</v>
      </c>
      <c r="AH360" s="668"/>
      <c r="AI360" s="668"/>
      <c r="AJ360" s="668"/>
      <c r="AK360" s="668"/>
      <c r="AL360" s="668"/>
      <c r="AM360" s="668">
        <f t="shared" si="115"/>
        <v>0</v>
      </c>
      <c r="AN360" s="668">
        <f t="shared" si="110"/>
        <v>0</v>
      </c>
      <c r="AO360" s="668">
        <f t="shared" si="111"/>
        <v>0</v>
      </c>
      <c r="AP360" s="668">
        <f t="shared" si="116"/>
        <v>350</v>
      </c>
      <c r="AQ360" s="668">
        <f t="shared" si="112"/>
        <v>0</v>
      </c>
      <c r="AR360" s="668">
        <f t="shared" si="113"/>
        <v>0</v>
      </c>
      <c r="AS360" s="668"/>
      <c r="AT360" s="668"/>
      <c r="AU360" s="668"/>
      <c r="AV360" s="668"/>
      <c r="AW360" s="668"/>
      <c r="AX360" s="668"/>
      <c r="AY360" s="668"/>
      <c r="AZ360" s="668"/>
      <c r="BA360" s="668"/>
      <c r="BB360" s="668">
        <f t="shared" si="117"/>
        <v>350</v>
      </c>
      <c r="BC360" s="668"/>
      <c r="BD360" s="668"/>
      <c r="BE360" s="668"/>
      <c r="BF360" s="668"/>
      <c r="BG360" s="668"/>
      <c r="BH360" s="668"/>
      <c r="BI360" s="668"/>
    </row>
    <row r="361" spans="1:61" x14ac:dyDescent="0.2">
      <c r="A361" s="1013" t="s">
        <v>678</v>
      </c>
      <c r="B361" s="1013" t="s">
        <v>682</v>
      </c>
      <c r="C361" s="1013"/>
      <c r="D361" s="667">
        <v>35</v>
      </c>
      <c r="E361" s="667"/>
      <c r="F361" s="667">
        <v>35</v>
      </c>
      <c r="G361" s="667"/>
      <c r="H361" s="667"/>
      <c r="I361" s="667"/>
      <c r="J361" s="667"/>
      <c r="K361" s="667"/>
      <c r="L361" s="667"/>
      <c r="M361" s="667"/>
      <c r="N361" s="667"/>
      <c r="O361" s="667"/>
      <c r="P361" s="667"/>
      <c r="Q361" s="667"/>
      <c r="R361" s="667"/>
      <c r="S361" s="667"/>
      <c r="T361" s="667"/>
      <c r="U361" s="1013">
        <v>10</v>
      </c>
      <c r="V361" s="668">
        <f t="shared" si="98"/>
        <v>350</v>
      </c>
      <c r="W361" s="668">
        <f t="shared" si="99"/>
        <v>0</v>
      </c>
      <c r="X361" s="668">
        <f t="shared" si="100"/>
        <v>0</v>
      </c>
      <c r="Y361" s="668">
        <f t="shared" si="101"/>
        <v>0</v>
      </c>
      <c r="Z361" s="668">
        <f t="shared" si="102"/>
        <v>0</v>
      </c>
      <c r="AA361" s="668">
        <f t="shared" si="103"/>
        <v>0</v>
      </c>
      <c r="AB361" s="668">
        <f t="shared" si="104"/>
        <v>0</v>
      </c>
      <c r="AC361" s="668">
        <f t="shared" si="114"/>
        <v>0</v>
      </c>
      <c r="AD361" s="668">
        <f t="shared" si="105"/>
        <v>0</v>
      </c>
      <c r="AE361" s="668">
        <f t="shared" si="106"/>
        <v>0</v>
      </c>
      <c r="AF361" s="668">
        <f t="shared" si="107"/>
        <v>0</v>
      </c>
      <c r="AG361" s="668">
        <f t="shared" si="108"/>
        <v>0</v>
      </c>
      <c r="AH361" s="668"/>
      <c r="AI361" s="668"/>
      <c r="AJ361" s="668"/>
      <c r="AK361" s="668"/>
      <c r="AL361" s="668"/>
      <c r="AM361" s="668">
        <f t="shared" si="115"/>
        <v>0</v>
      </c>
      <c r="AN361" s="668">
        <f t="shared" si="110"/>
        <v>0</v>
      </c>
      <c r="AO361" s="668">
        <f t="shared" si="111"/>
        <v>0</v>
      </c>
      <c r="AP361" s="668">
        <f t="shared" si="116"/>
        <v>350</v>
      </c>
      <c r="AQ361" s="668">
        <f t="shared" si="112"/>
        <v>0</v>
      </c>
      <c r="AR361" s="668">
        <f t="shared" si="113"/>
        <v>0</v>
      </c>
      <c r="AS361" s="668"/>
      <c r="AT361" s="668"/>
      <c r="AU361" s="668"/>
      <c r="AV361" s="668"/>
      <c r="AW361" s="668"/>
      <c r="AX361" s="668"/>
      <c r="AY361" s="668"/>
      <c r="AZ361" s="668"/>
      <c r="BA361" s="668"/>
      <c r="BB361" s="668">
        <f t="shared" si="117"/>
        <v>350</v>
      </c>
      <c r="BC361" s="668"/>
      <c r="BD361" s="668"/>
      <c r="BE361" s="668"/>
      <c r="BF361" s="668"/>
      <c r="BG361" s="668"/>
      <c r="BH361" s="668"/>
      <c r="BI361" s="668"/>
    </row>
    <row r="362" spans="1:61" x14ac:dyDescent="0.2">
      <c r="A362" s="1013" t="s">
        <v>673</v>
      </c>
      <c r="B362" s="1013" t="s">
        <v>682</v>
      </c>
      <c r="C362" s="1013"/>
      <c r="D362" s="667">
        <v>35</v>
      </c>
      <c r="E362" s="667"/>
      <c r="F362" s="667">
        <v>35</v>
      </c>
      <c r="G362" s="667"/>
      <c r="H362" s="667"/>
      <c r="I362" s="667"/>
      <c r="J362" s="667"/>
      <c r="K362" s="667"/>
      <c r="L362" s="667"/>
      <c r="M362" s="667"/>
      <c r="N362" s="667"/>
      <c r="O362" s="667"/>
      <c r="P362" s="667"/>
      <c r="Q362" s="667"/>
      <c r="R362" s="667"/>
      <c r="S362" s="667"/>
      <c r="T362" s="667"/>
      <c r="U362" s="1013">
        <v>10</v>
      </c>
      <c r="V362" s="668">
        <f t="shared" si="98"/>
        <v>350</v>
      </c>
      <c r="W362" s="668">
        <f t="shared" si="99"/>
        <v>0</v>
      </c>
      <c r="X362" s="668">
        <f t="shared" si="100"/>
        <v>0</v>
      </c>
      <c r="Y362" s="668">
        <f t="shared" si="101"/>
        <v>0</v>
      </c>
      <c r="Z362" s="668">
        <f t="shared" si="102"/>
        <v>0</v>
      </c>
      <c r="AA362" s="668">
        <f t="shared" si="103"/>
        <v>0</v>
      </c>
      <c r="AB362" s="668">
        <f t="shared" si="104"/>
        <v>0</v>
      </c>
      <c r="AC362" s="668">
        <f t="shared" si="114"/>
        <v>0</v>
      </c>
      <c r="AD362" s="668">
        <f t="shared" si="105"/>
        <v>0</v>
      </c>
      <c r="AE362" s="668">
        <f t="shared" si="106"/>
        <v>0</v>
      </c>
      <c r="AF362" s="668">
        <f t="shared" si="107"/>
        <v>0</v>
      </c>
      <c r="AG362" s="668">
        <f t="shared" si="108"/>
        <v>0</v>
      </c>
      <c r="AH362" s="668"/>
      <c r="AI362" s="668"/>
      <c r="AJ362" s="668"/>
      <c r="AK362" s="668"/>
      <c r="AL362" s="668"/>
      <c r="AM362" s="668">
        <f t="shared" si="115"/>
        <v>0</v>
      </c>
      <c r="AN362" s="668">
        <f t="shared" si="110"/>
        <v>0</v>
      </c>
      <c r="AO362" s="668">
        <f t="shared" si="111"/>
        <v>0</v>
      </c>
      <c r="AP362" s="668">
        <f t="shared" si="116"/>
        <v>350</v>
      </c>
      <c r="AQ362" s="668">
        <f t="shared" si="112"/>
        <v>0</v>
      </c>
      <c r="AR362" s="668">
        <f t="shared" si="113"/>
        <v>0</v>
      </c>
      <c r="AS362" s="668"/>
      <c r="AT362" s="668"/>
      <c r="AU362" s="668"/>
      <c r="AV362" s="668"/>
      <c r="AW362" s="668"/>
      <c r="AX362" s="668"/>
      <c r="AY362" s="668"/>
      <c r="AZ362" s="668"/>
      <c r="BA362" s="668"/>
      <c r="BB362" s="668">
        <f t="shared" si="117"/>
        <v>350</v>
      </c>
      <c r="BC362" s="668"/>
      <c r="BD362" s="668"/>
      <c r="BE362" s="668"/>
      <c r="BF362" s="668"/>
      <c r="BG362" s="668"/>
      <c r="BH362" s="668"/>
      <c r="BI362" s="668"/>
    </row>
    <row r="363" spans="1:61" x14ac:dyDescent="0.2">
      <c r="A363" s="1013" t="s">
        <v>679</v>
      </c>
      <c r="B363" s="1013" t="s">
        <v>683</v>
      </c>
      <c r="C363" s="1013"/>
      <c r="D363" s="667">
        <v>25</v>
      </c>
      <c r="E363" s="667"/>
      <c r="F363" s="667"/>
      <c r="G363" s="667"/>
      <c r="H363" s="667"/>
      <c r="I363" s="667"/>
      <c r="J363" s="667"/>
      <c r="K363" s="667"/>
      <c r="L363" s="667"/>
      <c r="M363" s="667"/>
      <c r="N363" s="667"/>
      <c r="O363" s="667"/>
      <c r="P363" s="667"/>
      <c r="Q363" s="667"/>
      <c r="R363" s="667"/>
      <c r="S363" s="667"/>
      <c r="T363" s="667"/>
      <c r="U363" s="1013">
        <v>9</v>
      </c>
      <c r="V363" s="668">
        <f t="shared" ref="V363:V426" si="119">+U363*D363</f>
        <v>225</v>
      </c>
      <c r="W363" s="668">
        <f t="shared" ref="W363:W426" si="120">+U363*G363</f>
        <v>0</v>
      </c>
      <c r="X363" s="668">
        <f t="shared" ref="X363:X426" si="121">+U363*H363</f>
        <v>0</v>
      </c>
      <c r="Y363" s="668">
        <f t="shared" ref="Y363:Y426" si="122">+U363*J363</f>
        <v>0</v>
      </c>
      <c r="Z363" s="668">
        <f t="shared" ref="Z363:Z426" si="123">IF(C363="y",V363+W363+X363+Y363,0)</f>
        <v>0</v>
      </c>
      <c r="AA363" s="668">
        <f t="shared" ref="AA363:AA426" si="124">+S363</f>
        <v>0</v>
      </c>
      <c r="AB363" s="668">
        <f t="shared" ref="AB363:AB426" si="125">+T363</f>
        <v>0</v>
      </c>
      <c r="AC363" s="668">
        <f t="shared" si="114"/>
        <v>0</v>
      </c>
      <c r="AD363" s="668">
        <f t="shared" ref="AD363:AD426" si="126">+Q363</f>
        <v>0</v>
      </c>
      <c r="AE363" s="668">
        <f t="shared" ref="AE363:AE426" si="127">+U363*M363</f>
        <v>0</v>
      </c>
      <c r="AF363" s="668">
        <f t="shared" ref="AF363:AF426" si="128">+L363*U363</f>
        <v>0</v>
      </c>
      <c r="AG363" s="668">
        <f t="shared" ref="AG363:AG426" si="129">+$AG$4*N363</f>
        <v>0</v>
      </c>
      <c r="AH363" s="668"/>
      <c r="AI363" s="668"/>
      <c r="AJ363" s="668"/>
      <c r="AK363" s="668"/>
      <c r="AL363" s="668"/>
      <c r="AM363" s="668">
        <f t="shared" si="115"/>
        <v>0</v>
      </c>
      <c r="AN363" s="668">
        <f t="shared" si="110"/>
        <v>0</v>
      </c>
      <c r="AO363" s="668">
        <f t="shared" si="111"/>
        <v>0</v>
      </c>
      <c r="AP363" s="668">
        <f t="shared" si="116"/>
        <v>0</v>
      </c>
      <c r="AQ363" s="668">
        <f t="shared" si="112"/>
        <v>0</v>
      </c>
      <c r="AR363" s="668">
        <f t="shared" si="113"/>
        <v>0</v>
      </c>
      <c r="AS363" s="668"/>
      <c r="AT363" s="668"/>
      <c r="AU363" s="668"/>
      <c r="AV363" s="668"/>
      <c r="AW363" s="668"/>
      <c r="AX363" s="668"/>
      <c r="AY363" s="668"/>
      <c r="AZ363" s="668"/>
      <c r="BA363" s="668"/>
      <c r="BB363" s="668">
        <f t="shared" si="117"/>
        <v>0</v>
      </c>
      <c r="BC363" s="668"/>
      <c r="BD363" s="668"/>
      <c r="BE363" s="668"/>
      <c r="BF363" s="668"/>
      <c r="BG363" s="668"/>
      <c r="BH363" s="668"/>
      <c r="BI363" s="668"/>
    </row>
    <row r="364" spans="1:61" x14ac:dyDescent="0.2">
      <c r="A364" s="1013" t="s">
        <v>674</v>
      </c>
      <c r="B364" s="1013" t="s">
        <v>683</v>
      </c>
      <c r="C364" s="1013"/>
      <c r="D364" s="667">
        <v>25</v>
      </c>
      <c r="E364" s="667"/>
      <c r="F364" s="667"/>
      <c r="G364" s="667"/>
      <c r="H364" s="667"/>
      <c r="I364" s="667"/>
      <c r="J364" s="667"/>
      <c r="K364" s="667"/>
      <c r="L364" s="667"/>
      <c r="M364" s="667"/>
      <c r="N364" s="667"/>
      <c r="O364" s="667"/>
      <c r="P364" s="667"/>
      <c r="Q364" s="667"/>
      <c r="R364" s="667"/>
      <c r="S364" s="667"/>
      <c r="T364" s="667"/>
      <c r="U364" s="1013">
        <v>9</v>
      </c>
      <c r="V364" s="668">
        <f t="shared" si="119"/>
        <v>225</v>
      </c>
      <c r="W364" s="668">
        <f t="shared" si="120"/>
        <v>0</v>
      </c>
      <c r="X364" s="668">
        <f t="shared" si="121"/>
        <v>0</v>
      </c>
      <c r="Y364" s="668">
        <f t="shared" si="122"/>
        <v>0</v>
      </c>
      <c r="Z364" s="668">
        <f t="shared" si="123"/>
        <v>0</v>
      </c>
      <c r="AA364" s="668">
        <f t="shared" si="124"/>
        <v>0</v>
      </c>
      <c r="AB364" s="668">
        <f t="shared" si="125"/>
        <v>0</v>
      </c>
      <c r="AC364" s="668">
        <f t="shared" si="114"/>
        <v>0</v>
      </c>
      <c r="AD364" s="668">
        <f t="shared" si="126"/>
        <v>0</v>
      </c>
      <c r="AE364" s="668">
        <f t="shared" si="127"/>
        <v>0</v>
      </c>
      <c r="AF364" s="668">
        <f t="shared" si="128"/>
        <v>0</v>
      </c>
      <c r="AG364" s="668">
        <f t="shared" si="129"/>
        <v>0</v>
      </c>
      <c r="AH364" s="668"/>
      <c r="AI364" s="668"/>
      <c r="AJ364" s="668"/>
      <c r="AK364" s="668"/>
      <c r="AL364" s="668"/>
      <c r="AM364" s="668">
        <f t="shared" si="115"/>
        <v>0</v>
      </c>
      <c r="AN364" s="668">
        <f t="shared" si="110"/>
        <v>0</v>
      </c>
      <c r="AO364" s="668">
        <f t="shared" si="111"/>
        <v>0</v>
      </c>
      <c r="AP364" s="668">
        <f t="shared" si="116"/>
        <v>0</v>
      </c>
      <c r="AQ364" s="668">
        <f t="shared" si="112"/>
        <v>0</v>
      </c>
      <c r="AR364" s="668">
        <f t="shared" si="113"/>
        <v>0</v>
      </c>
      <c r="AS364" s="668"/>
      <c r="AT364" s="668"/>
      <c r="AU364" s="668"/>
      <c r="AV364" s="668"/>
      <c r="AW364" s="668"/>
      <c r="AX364" s="668"/>
      <c r="AY364" s="668"/>
      <c r="AZ364" s="668"/>
      <c r="BA364" s="668"/>
      <c r="BB364" s="668">
        <f t="shared" si="117"/>
        <v>0</v>
      </c>
      <c r="BC364" s="668"/>
      <c r="BD364" s="668"/>
      <c r="BE364" s="668"/>
      <c r="BF364" s="668"/>
      <c r="BG364" s="668"/>
      <c r="BH364" s="668"/>
      <c r="BI364" s="668"/>
    </row>
    <row r="365" spans="1:61" x14ac:dyDescent="0.2">
      <c r="A365" s="1013" t="s">
        <v>680</v>
      </c>
      <c r="B365" s="1013" t="s">
        <v>672</v>
      </c>
      <c r="C365" s="1013"/>
      <c r="D365" s="667">
        <v>35</v>
      </c>
      <c r="E365" s="667"/>
      <c r="F365" s="667">
        <v>15</v>
      </c>
      <c r="G365" s="667"/>
      <c r="H365" s="667"/>
      <c r="I365" s="667"/>
      <c r="J365" s="667"/>
      <c r="K365" s="667"/>
      <c r="L365" s="667"/>
      <c r="M365" s="667"/>
      <c r="N365" s="667"/>
      <c r="O365" s="667"/>
      <c r="P365" s="667"/>
      <c r="Q365" s="667"/>
      <c r="R365" s="667"/>
      <c r="S365" s="667"/>
      <c r="T365" s="667"/>
      <c r="U365" s="1013">
        <v>10</v>
      </c>
      <c r="V365" s="668">
        <f t="shared" si="119"/>
        <v>350</v>
      </c>
      <c r="W365" s="668">
        <f t="shared" si="120"/>
        <v>0</v>
      </c>
      <c r="X365" s="668">
        <f t="shared" si="121"/>
        <v>0</v>
      </c>
      <c r="Y365" s="668">
        <f t="shared" si="122"/>
        <v>0</v>
      </c>
      <c r="Z365" s="668">
        <f t="shared" si="123"/>
        <v>0</v>
      </c>
      <c r="AA365" s="668">
        <f t="shared" si="124"/>
        <v>0</v>
      </c>
      <c r="AB365" s="668">
        <f t="shared" si="125"/>
        <v>0</v>
      </c>
      <c r="AC365" s="668">
        <f t="shared" si="114"/>
        <v>0</v>
      </c>
      <c r="AD365" s="668">
        <f t="shared" si="126"/>
        <v>0</v>
      </c>
      <c r="AE365" s="668">
        <f t="shared" si="127"/>
        <v>0</v>
      </c>
      <c r="AF365" s="668">
        <f t="shared" si="128"/>
        <v>0</v>
      </c>
      <c r="AG365" s="668">
        <f t="shared" si="129"/>
        <v>0</v>
      </c>
      <c r="AH365" s="668"/>
      <c r="AI365" s="668"/>
      <c r="AJ365" s="668"/>
      <c r="AK365" s="668"/>
      <c r="AL365" s="668"/>
      <c r="AM365" s="668">
        <f t="shared" si="115"/>
        <v>0</v>
      </c>
      <c r="AN365" s="668">
        <f t="shared" si="110"/>
        <v>0</v>
      </c>
      <c r="AO365" s="668">
        <f t="shared" si="111"/>
        <v>0</v>
      </c>
      <c r="AP365" s="668">
        <f t="shared" si="116"/>
        <v>150</v>
      </c>
      <c r="AQ365" s="668">
        <f t="shared" si="112"/>
        <v>0</v>
      </c>
      <c r="AR365" s="668">
        <f t="shared" si="113"/>
        <v>0</v>
      </c>
      <c r="AS365" s="668"/>
      <c r="AT365" s="668"/>
      <c r="AU365" s="668"/>
      <c r="AV365" s="668"/>
      <c r="AW365" s="668"/>
      <c r="AX365" s="668"/>
      <c r="AY365" s="668"/>
      <c r="AZ365" s="668"/>
      <c r="BA365" s="668"/>
      <c r="BB365" s="668">
        <f t="shared" si="117"/>
        <v>150</v>
      </c>
      <c r="BC365" s="668"/>
      <c r="BD365" s="668"/>
      <c r="BE365" s="668"/>
      <c r="BF365" s="668"/>
      <c r="BG365" s="668"/>
      <c r="BH365" s="668"/>
      <c r="BI365" s="668"/>
    </row>
    <row r="366" spans="1:61" x14ac:dyDescent="0.2">
      <c r="A366" s="1013" t="s">
        <v>675</v>
      </c>
      <c r="B366" s="1013" t="s">
        <v>672</v>
      </c>
      <c r="C366" s="1013"/>
      <c r="D366" s="667">
        <v>35</v>
      </c>
      <c r="E366" s="667"/>
      <c r="F366" s="667">
        <v>15</v>
      </c>
      <c r="G366" s="667"/>
      <c r="H366" s="667"/>
      <c r="I366" s="667"/>
      <c r="J366" s="667"/>
      <c r="K366" s="667"/>
      <c r="L366" s="667"/>
      <c r="M366" s="667"/>
      <c r="N366" s="667"/>
      <c r="O366" s="667"/>
      <c r="P366" s="667"/>
      <c r="Q366" s="667"/>
      <c r="R366" s="667"/>
      <c r="S366" s="667"/>
      <c r="T366" s="667"/>
      <c r="U366" s="1013">
        <v>10</v>
      </c>
      <c r="V366" s="668">
        <f t="shared" si="119"/>
        <v>350</v>
      </c>
      <c r="W366" s="668">
        <f t="shared" si="120"/>
        <v>0</v>
      </c>
      <c r="X366" s="668">
        <f t="shared" si="121"/>
        <v>0</v>
      </c>
      <c r="Y366" s="668">
        <f t="shared" si="122"/>
        <v>0</v>
      </c>
      <c r="Z366" s="668">
        <f t="shared" si="123"/>
        <v>0</v>
      </c>
      <c r="AA366" s="668">
        <f t="shared" si="124"/>
        <v>0</v>
      </c>
      <c r="AB366" s="668">
        <f t="shared" si="125"/>
        <v>0</v>
      </c>
      <c r="AC366" s="668">
        <f t="shared" si="114"/>
        <v>0</v>
      </c>
      <c r="AD366" s="668">
        <f t="shared" si="126"/>
        <v>0</v>
      </c>
      <c r="AE366" s="668">
        <f t="shared" si="127"/>
        <v>0</v>
      </c>
      <c r="AF366" s="668">
        <f t="shared" si="128"/>
        <v>0</v>
      </c>
      <c r="AG366" s="668">
        <f t="shared" si="129"/>
        <v>0</v>
      </c>
      <c r="AH366" s="668"/>
      <c r="AI366" s="668"/>
      <c r="AJ366" s="668"/>
      <c r="AK366" s="668"/>
      <c r="AL366" s="668"/>
      <c r="AM366" s="668">
        <f t="shared" si="115"/>
        <v>0</v>
      </c>
      <c r="AN366" s="668">
        <f t="shared" si="110"/>
        <v>0</v>
      </c>
      <c r="AO366" s="668">
        <f t="shared" si="111"/>
        <v>0</v>
      </c>
      <c r="AP366" s="668">
        <f t="shared" si="116"/>
        <v>150</v>
      </c>
      <c r="AQ366" s="668">
        <f t="shared" si="112"/>
        <v>0</v>
      </c>
      <c r="AR366" s="668">
        <f t="shared" si="113"/>
        <v>0</v>
      </c>
      <c r="AS366" s="668"/>
      <c r="AT366" s="668"/>
      <c r="AU366" s="668"/>
      <c r="AV366" s="668"/>
      <c r="AW366" s="668"/>
      <c r="AX366" s="668"/>
      <c r="AY366" s="668"/>
      <c r="AZ366" s="668"/>
      <c r="BA366" s="668"/>
      <c r="BB366" s="668">
        <f t="shared" si="117"/>
        <v>150</v>
      </c>
      <c r="BC366" s="668"/>
      <c r="BD366" s="668"/>
      <c r="BE366" s="668"/>
      <c r="BF366" s="668"/>
      <c r="BG366" s="668"/>
      <c r="BH366" s="668"/>
      <c r="BI366" s="668"/>
    </row>
    <row r="367" spans="1:61" x14ac:dyDescent="0.2">
      <c r="A367" s="1013" t="s">
        <v>681</v>
      </c>
      <c r="B367" s="1013" t="s">
        <v>672</v>
      </c>
      <c r="C367" s="1013"/>
      <c r="D367" s="667">
        <v>35</v>
      </c>
      <c r="E367" s="667"/>
      <c r="F367" s="667">
        <v>15</v>
      </c>
      <c r="G367" s="667"/>
      <c r="H367" s="667"/>
      <c r="I367" s="667"/>
      <c r="J367" s="667"/>
      <c r="K367" s="667"/>
      <c r="L367" s="667"/>
      <c r="M367" s="667"/>
      <c r="N367" s="667"/>
      <c r="O367" s="667"/>
      <c r="P367" s="667"/>
      <c r="Q367" s="667"/>
      <c r="R367" s="667"/>
      <c r="S367" s="667"/>
      <c r="T367" s="667"/>
      <c r="U367" s="1013">
        <v>10</v>
      </c>
      <c r="V367" s="668">
        <f t="shared" si="119"/>
        <v>350</v>
      </c>
      <c r="W367" s="668">
        <f t="shared" si="120"/>
        <v>0</v>
      </c>
      <c r="X367" s="668">
        <f t="shared" si="121"/>
        <v>0</v>
      </c>
      <c r="Y367" s="668">
        <f t="shared" si="122"/>
        <v>0</v>
      </c>
      <c r="Z367" s="668">
        <f t="shared" si="123"/>
        <v>0</v>
      </c>
      <c r="AA367" s="668">
        <f t="shared" si="124"/>
        <v>0</v>
      </c>
      <c r="AB367" s="668">
        <f t="shared" si="125"/>
        <v>0</v>
      </c>
      <c r="AC367" s="668">
        <f t="shared" si="114"/>
        <v>0</v>
      </c>
      <c r="AD367" s="668">
        <f t="shared" si="126"/>
        <v>0</v>
      </c>
      <c r="AE367" s="668">
        <f t="shared" si="127"/>
        <v>0</v>
      </c>
      <c r="AF367" s="668">
        <f t="shared" si="128"/>
        <v>0</v>
      </c>
      <c r="AG367" s="668">
        <f t="shared" si="129"/>
        <v>0</v>
      </c>
      <c r="AH367" s="668"/>
      <c r="AI367" s="668"/>
      <c r="AJ367" s="668"/>
      <c r="AK367" s="668"/>
      <c r="AL367" s="668"/>
      <c r="AM367" s="668">
        <f t="shared" si="115"/>
        <v>0</v>
      </c>
      <c r="AN367" s="668">
        <f t="shared" si="110"/>
        <v>0</v>
      </c>
      <c r="AO367" s="668">
        <f t="shared" si="111"/>
        <v>0</v>
      </c>
      <c r="AP367" s="668">
        <f t="shared" si="116"/>
        <v>150</v>
      </c>
      <c r="AQ367" s="668">
        <f t="shared" si="112"/>
        <v>0</v>
      </c>
      <c r="AR367" s="668">
        <f t="shared" si="113"/>
        <v>0</v>
      </c>
      <c r="AS367" s="668"/>
      <c r="AT367" s="668"/>
      <c r="AU367" s="668"/>
      <c r="AV367" s="668"/>
      <c r="AW367" s="668"/>
      <c r="AX367" s="668"/>
      <c r="AY367" s="668"/>
      <c r="AZ367" s="668"/>
      <c r="BA367" s="668"/>
      <c r="BB367" s="668">
        <f t="shared" si="117"/>
        <v>150</v>
      </c>
      <c r="BC367" s="668"/>
      <c r="BD367" s="668"/>
      <c r="BE367" s="668"/>
      <c r="BF367" s="668"/>
      <c r="BG367" s="668"/>
      <c r="BH367" s="668"/>
      <c r="BI367" s="668"/>
    </row>
    <row r="368" spans="1:61" x14ac:dyDescent="0.2">
      <c r="A368" s="1013" t="s">
        <v>676</v>
      </c>
      <c r="B368" s="1013" t="s">
        <v>672</v>
      </c>
      <c r="C368" s="1013"/>
      <c r="D368" s="667">
        <v>35</v>
      </c>
      <c r="E368" s="667"/>
      <c r="F368" s="667">
        <v>15</v>
      </c>
      <c r="G368" s="667"/>
      <c r="H368" s="667"/>
      <c r="I368" s="667"/>
      <c r="J368" s="667"/>
      <c r="K368" s="667"/>
      <c r="L368" s="667"/>
      <c r="M368" s="667"/>
      <c r="N368" s="667"/>
      <c r="O368" s="667"/>
      <c r="P368" s="667"/>
      <c r="Q368" s="667"/>
      <c r="R368" s="667"/>
      <c r="S368" s="667"/>
      <c r="T368" s="667"/>
      <c r="U368" s="1013">
        <v>10</v>
      </c>
      <c r="V368" s="668">
        <f t="shared" si="119"/>
        <v>350</v>
      </c>
      <c r="W368" s="668">
        <f t="shared" si="120"/>
        <v>0</v>
      </c>
      <c r="X368" s="668">
        <f t="shared" si="121"/>
        <v>0</v>
      </c>
      <c r="Y368" s="668">
        <f t="shared" si="122"/>
        <v>0</v>
      </c>
      <c r="Z368" s="668">
        <f t="shared" si="123"/>
        <v>0</v>
      </c>
      <c r="AA368" s="668">
        <f t="shared" si="124"/>
        <v>0</v>
      </c>
      <c r="AB368" s="668">
        <f t="shared" si="125"/>
        <v>0</v>
      </c>
      <c r="AC368" s="668">
        <f t="shared" si="114"/>
        <v>0</v>
      </c>
      <c r="AD368" s="668">
        <f t="shared" si="126"/>
        <v>0</v>
      </c>
      <c r="AE368" s="668">
        <f t="shared" si="127"/>
        <v>0</v>
      </c>
      <c r="AF368" s="668">
        <f t="shared" si="128"/>
        <v>0</v>
      </c>
      <c r="AG368" s="668">
        <f t="shared" si="129"/>
        <v>0</v>
      </c>
      <c r="AH368" s="668"/>
      <c r="AI368" s="668"/>
      <c r="AJ368" s="668"/>
      <c r="AK368" s="668"/>
      <c r="AL368" s="668"/>
      <c r="AM368" s="668">
        <f t="shared" si="115"/>
        <v>0</v>
      </c>
      <c r="AN368" s="668">
        <f t="shared" si="110"/>
        <v>0</v>
      </c>
      <c r="AO368" s="668">
        <f t="shared" si="111"/>
        <v>0</v>
      </c>
      <c r="AP368" s="668">
        <f t="shared" si="116"/>
        <v>150</v>
      </c>
      <c r="AQ368" s="668">
        <f t="shared" si="112"/>
        <v>0</v>
      </c>
      <c r="AR368" s="668">
        <f t="shared" si="113"/>
        <v>0</v>
      </c>
      <c r="AS368" s="668"/>
      <c r="AT368" s="668"/>
      <c r="AU368" s="668"/>
      <c r="AV368" s="668"/>
      <c r="AW368" s="668"/>
      <c r="AX368" s="668"/>
      <c r="AY368" s="668"/>
      <c r="AZ368" s="668"/>
      <c r="BA368" s="668"/>
      <c r="BB368" s="668">
        <f t="shared" si="117"/>
        <v>150</v>
      </c>
      <c r="BC368" s="668"/>
      <c r="BD368" s="668"/>
      <c r="BE368" s="668"/>
      <c r="BF368" s="668"/>
      <c r="BG368" s="668"/>
      <c r="BH368" s="668"/>
      <c r="BI368" s="668"/>
    </row>
    <row r="369" spans="1:61" x14ac:dyDescent="0.2">
      <c r="A369" s="1013" t="s">
        <v>677</v>
      </c>
      <c r="B369" s="1013" t="s">
        <v>671</v>
      </c>
      <c r="C369" s="1013"/>
      <c r="D369" s="667">
        <v>90</v>
      </c>
      <c r="E369" s="667"/>
      <c r="F369" s="667"/>
      <c r="G369" s="667"/>
      <c r="H369" s="667"/>
      <c r="I369" s="667"/>
      <c r="J369" s="667"/>
      <c r="K369" s="667"/>
      <c r="L369" s="667"/>
      <c r="M369" s="667"/>
      <c r="N369" s="667"/>
      <c r="O369" s="667"/>
      <c r="P369" s="667"/>
      <c r="Q369" s="667"/>
      <c r="R369" s="667"/>
      <c r="S369" s="667"/>
      <c r="T369" s="667"/>
      <c r="U369" s="1013">
        <v>10</v>
      </c>
      <c r="V369" s="668">
        <f t="shared" si="119"/>
        <v>900</v>
      </c>
      <c r="W369" s="668">
        <f t="shared" si="120"/>
        <v>0</v>
      </c>
      <c r="X369" s="668">
        <f t="shared" si="121"/>
        <v>0</v>
      </c>
      <c r="Y369" s="668">
        <f t="shared" si="122"/>
        <v>0</v>
      </c>
      <c r="Z369" s="668">
        <f t="shared" si="123"/>
        <v>0</v>
      </c>
      <c r="AA369" s="668">
        <f t="shared" si="124"/>
        <v>0</v>
      </c>
      <c r="AB369" s="668">
        <f t="shared" si="125"/>
        <v>0</v>
      </c>
      <c r="AC369" s="668">
        <f t="shared" si="114"/>
        <v>0</v>
      </c>
      <c r="AD369" s="668">
        <f t="shared" si="126"/>
        <v>0</v>
      </c>
      <c r="AE369" s="668">
        <f t="shared" si="127"/>
        <v>0</v>
      </c>
      <c r="AF369" s="668">
        <f t="shared" si="128"/>
        <v>0</v>
      </c>
      <c r="AG369" s="668">
        <f t="shared" si="129"/>
        <v>0</v>
      </c>
      <c r="AH369" s="668"/>
      <c r="AI369" s="668"/>
      <c r="AJ369" s="668"/>
      <c r="AK369" s="668"/>
      <c r="AL369" s="668"/>
      <c r="AM369" s="668">
        <f t="shared" si="115"/>
        <v>0</v>
      </c>
      <c r="AN369" s="668">
        <f t="shared" si="110"/>
        <v>0</v>
      </c>
      <c r="AO369" s="668">
        <f t="shared" si="111"/>
        <v>0</v>
      </c>
      <c r="AP369" s="668">
        <f t="shared" si="116"/>
        <v>0</v>
      </c>
      <c r="AQ369" s="668">
        <f t="shared" si="112"/>
        <v>0</v>
      </c>
      <c r="AR369" s="668">
        <f t="shared" si="113"/>
        <v>0</v>
      </c>
      <c r="AS369" s="668"/>
      <c r="AT369" s="668"/>
      <c r="AU369" s="668"/>
      <c r="AV369" s="668"/>
      <c r="AW369" s="668"/>
      <c r="AX369" s="668"/>
      <c r="AY369" s="668"/>
      <c r="AZ369" s="668"/>
      <c r="BA369" s="668"/>
      <c r="BB369" s="668">
        <f t="shared" si="117"/>
        <v>0</v>
      </c>
      <c r="BC369" s="668"/>
      <c r="BD369" s="668"/>
      <c r="BE369" s="668"/>
      <c r="BF369" s="668"/>
      <c r="BG369" s="668"/>
      <c r="BH369" s="668"/>
      <c r="BI369" s="668"/>
    </row>
    <row r="370" spans="1:61" x14ac:dyDescent="0.2">
      <c r="A370" s="1013">
        <v>2016</v>
      </c>
      <c r="B370" s="1013" t="s">
        <v>519</v>
      </c>
      <c r="C370" s="1013"/>
      <c r="D370" s="667">
        <v>55</v>
      </c>
      <c r="E370" s="667"/>
      <c r="F370" s="667">
        <v>15</v>
      </c>
      <c r="G370" s="667"/>
      <c r="H370" s="667"/>
      <c r="I370" s="667"/>
      <c r="J370" s="667"/>
      <c r="K370" s="667"/>
      <c r="L370" s="667"/>
      <c r="M370" s="667"/>
      <c r="N370" s="667"/>
      <c r="O370" s="667"/>
      <c r="P370" s="667"/>
      <c r="Q370" s="667"/>
      <c r="R370" s="667"/>
      <c r="S370" s="667"/>
      <c r="T370" s="667">
        <v>245</v>
      </c>
      <c r="U370" s="1013">
        <v>10</v>
      </c>
      <c r="V370" s="668">
        <f t="shared" si="119"/>
        <v>550</v>
      </c>
      <c r="W370" s="668">
        <f t="shared" si="120"/>
        <v>0</v>
      </c>
      <c r="X370" s="668">
        <f t="shared" si="121"/>
        <v>0</v>
      </c>
      <c r="Y370" s="668">
        <f t="shared" si="122"/>
        <v>0</v>
      </c>
      <c r="Z370" s="668">
        <f t="shared" si="123"/>
        <v>0</v>
      </c>
      <c r="AA370" s="668">
        <f t="shared" si="124"/>
        <v>0</v>
      </c>
      <c r="AB370" s="668">
        <f t="shared" si="125"/>
        <v>245</v>
      </c>
      <c r="AC370" s="668">
        <f t="shared" si="114"/>
        <v>0</v>
      </c>
      <c r="AD370" s="668">
        <f t="shared" si="126"/>
        <v>0</v>
      </c>
      <c r="AE370" s="668">
        <f t="shared" si="127"/>
        <v>0</v>
      </c>
      <c r="AF370" s="668">
        <f t="shared" si="128"/>
        <v>0</v>
      </c>
      <c r="AG370" s="668">
        <f t="shared" si="129"/>
        <v>0</v>
      </c>
      <c r="AH370" s="668"/>
      <c r="AI370" s="668"/>
      <c r="AJ370" s="668"/>
      <c r="AK370" s="668"/>
      <c r="AL370" s="668"/>
      <c r="AM370" s="668">
        <f t="shared" si="115"/>
        <v>0</v>
      </c>
      <c r="AN370" s="668">
        <f t="shared" si="110"/>
        <v>0</v>
      </c>
      <c r="AO370" s="668">
        <f t="shared" si="111"/>
        <v>0</v>
      </c>
      <c r="AP370" s="668">
        <f t="shared" si="116"/>
        <v>150</v>
      </c>
      <c r="AQ370" s="668">
        <f t="shared" si="112"/>
        <v>0</v>
      </c>
      <c r="AR370" s="668">
        <f t="shared" si="113"/>
        <v>0</v>
      </c>
      <c r="AS370" s="668"/>
      <c r="AT370" s="668"/>
      <c r="AU370" s="668"/>
      <c r="AV370" s="668"/>
      <c r="AW370" s="668"/>
      <c r="AX370" s="668"/>
      <c r="AY370" s="668"/>
      <c r="AZ370" s="668"/>
      <c r="BA370" s="668"/>
      <c r="BB370" s="668">
        <f t="shared" si="117"/>
        <v>150</v>
      </c>
      <c r="BC370" s="668"/>
      <c r="BD370" s="668"/>
      <c r="BE370" s="668"/>
      <c r="BF370" s="668"/>
      <c r="BG370" s="668"/>
      <c r="BH370" s="668"/>
      <c r="BI370" s="668"/>
    </row>
    <row r="371" spans="1:61" x14ac:dyDescent="0.2">
      <c r="A371" s="1013">
        <v>2017</v>
      </c>
      <c r="B371" s="1013" t="s">
        <v>476</v>
      </c>
      <c r="C371" s="1013"/>
      <c r="D371" s="667">
        <v>56</v>
      </c>
      <c r="E371" s="667"/>
      <c r="F371" s="667"/>
      <c r="G371" s="667"/>
      <c r="H371" s="667"/>
      <c r="I371" s="667"/>
      <c r="J371" s="667"/>
      <c r="K371" s="667"/>
      <c r="L371" s="667"/>
      <c r="M371" s="667"/>
      <c r="N371" s="667"/>
      <c r="O371" s="667"/>
      <c r="P371" s="667"/>
      <c r="Q371" s="667"/>
      <c r="R371" s="667"/>
      <c r="S371" s="667"/>
      <c r="T371" s="667"/>
      <c r="U371" s="1013">
        <v>12</v>
      </c>
      <c r="V371" s="668">
        <f t="shared" si="119"/>
        <v>672</v>
      </c>
      <c r="W371" s="668">
        <f t="shared" si="120"/>
        <v>0</v>
      </c>
      <c r="X371" s="668">
        <f t="shared" si="121"/>
        <v>0</v>
      </c>
      <c r="Y371" s="668">
        <f t="shared" si="122"/>
        <v>0</v>
      </c>
      <c r="Z371" s="668">
        <f t="shared" si="123"/>
        <v>0</v>
      </c>
      <c r="AA371" s="668">
        <f t="shared" si="124"/>
        <v>0</v>
      </c>
      <c r="AB371" s="668">
        <f t="shared" si="125"/>
        <v>0</v>
      </c>
      <c r="AC371" s="668">
        <f t="shared" si="114"/>
        <v>0</v>
      </c>
      <c r="AD371" s="668">
        <f t="shared" si="126"/>
        <v>0</v>
      </c>
      <c r="AE371" s="668">
        <f t="shared" si="127"/>
        <v>0</v>
      </c>
      <c r="AF371" s="668">
        <f t="shared" si="128"/>
        <v>0</v>
      </c>
      <c r="AG371" s="668">
        <f t="shared" si="129"/>
        <v>0</v>
      </c>
      <c r="AH371" s="668"/>
      <c r="AI371" s="668"/>
      <c r="AJ371" s="668"/>
      <c r="AK371" s="668"/>
      <c r="AL371" s="668"/>
      <c r="AM371" s="668">
        <f t="shared" si="115"/>
        <v>0</v>
      </c>
      <c r="AN371" s="668">
        <f t="shared" si="110"/>
        <v>0</v>
      </c>
      <c r="AO371" s="668">
        <f t="shared" si="111"/>
        <v>0</v>
      </c>
      <c r="AP371" s="668">
        <f t="shared" si="116"/>
        <v>0</v>
      </c>
      <c r="AQ371" s="668">
        <f t="shared" si="112"/>
        <v>0</v>
      </c>
      <c r="AR371" s="668">
        <f t="shared" si="113"/>
        <v>0</v>
      </c>
      <c r="AS371" s="668"/>
      <c r="AT371" s="668"/>
      <c r="AU371" s="668"/>
      <c r="AV371" s="668"/>
      <c r="AW371" s="668"/>
      <c r="AX371" s="668"/>
      <c r="AY371" s="668"/>
      <c r="AZ371" s="668"/>
      <c r="BA371" s="668"/>
      <c r="BB371" s="668">
        <f t="shared" si="117"/>
        <v>0</v>
      </c>
      <c r="BC371" s="668"/>
      <c r="BD371" s="668"/>
      <c r="BE371" s="668"/>
      <c r="BF371" s="668"/>
      <c r="BG371" s="668"/>
      <c r="BH371" s="668"/>
      <c r="BI371" s="668"/>
    </row>
    <row r="372" spans="1:61" x14ac:dyDescent="0.2">
      <c r="A372" s="1013">
        <v>2018</v>
      </c>
      <c r="B372" s="1013" t="s">
        <v>579</v>
      </c>
      <c r="C372" s="1013"/>
      <c r="D372" s="667">
        <v>66</v>
      </c>
      <c r="E372" s="667"/>
      <c r="F372" s="667"/>
      <c r="G372" s="667"/>
      <c r="H372" s="667"/>
      <c r="I372" s="667"/>
      <c r="J372" s="667"/>
      <c r="K372" s="667"/>
      <c r="L372" s="667"/>
      <c r="M372" s="667"/>
      <c r="N372" s="667"/>
      <c r="O372" s="667"/>
      <c r="P372" s="667"/>
      <c r="Q372" s="667"/>
      <c r="R372" s="667"/>
      <c r="S372" s="667"/>
      <c r="T372" s="667"/>
      <c r="U372" s="1013">
        <v>12</v>
      </c>
      <c r="V372" s="668">
        <f t="shared" si="119"/>
        <v>792</v>
      </c>
      <c r="W372" s="668">
        <f t="shared" si="120"/>
        <v>0</v>
      </c>
      <c r="X372" s="668">
        <f t="shared" si="121"/>
        <v>0</v>
      </c>
      <c r="Y372" s="668">
        <f t="shared" si="122"/>
        <v>0</v>
      </c>
      <c r="Z372" s="668">
        <f t="shared" si="123"/>
        <v>0</v>
      </c>
      <c r="AA372" s="668">
        <f t="shared" si="124"/>
        <v>0</v>
      </c>
      <c r="AB372" s="668">
        <f t="shared" si="125"/>
        <v>0</v>
      </c>
      <c r="AC372" s="668">
        <f t="shared" si="114"/>
        <v>0</v>
      </c>
      <c r="AD372" s="668">
        <f t="shared" si="126"/>
        <v>0</v>
      </c>
      <c r="AE372" s="668">
        <f t="shared" si="127"/>
        <v>0</v>
      </c>
      <c r="AF372" s="668">
        <f t="shared" si="128"/>
        <v>0</v>
      </c>
      <c r="AG372" s="668">
        <f t="shared" si="129"/>
        <v>0</v>
      </c>
      <c r="AH372" s="668"/>
      <c r="AI372" s="668"/>
      <c r="AJ372" s="668"/>
      <c r="AK372" s="668"/>
      <c r="AL372" s="668"/>
      <c r="AM372" s="668">
        <f t="shared" si="115"/>
        <v>0</v>
      </c>
      <c r="AN372" s="668">
        <f t="shared" si="110"/>
        <v>0</v>
      </c>
      <c r="AO372" s="668">
        <f t="shared" si="111"/>
        <v>0</v>
      </c>
      <c r="AP372" s="668">
        <f t="shared" si="116"/>
        <v>0</v>
      </c>
      <c r="AQ372" s="668">
        <f t="shared" si="112"/>
        <v>0</v>
      </c>
      <c r="AR372" s="668">
        <f t="shared" si="113"/>
        <v>0</v>
      </c>
      <c r="AS372" s="668"/>
      <c r="AT372" s="668"/>
      <c r="AU372" s="668"/>
      <c r="AV372" s="668"/>
      <c r="AW372" s="668"/>
      <c r="AX372" s="668"/>
      <c r="AY372" s="668"/>
      <c r="AZ372" s="668"/>
      <c r="BA372" s="668"/>
      <c r="BB372" s="668">
        <f t="shared" si="117"/>
        <v>0</v>
      </c>
      <c r="BC372" s="668"/>
      <c r="BD372" s="668"/>
      <c r="BE372" s="668"/>
      <c r="BF372" s="668"/>
      <c r="BG372" s="668"/>
      <c r="BH372" s="668"/>
      <c r="BI372" s="668"/>
    </row>
    <row r="373" spans="1:61" x14ac:dyDescent="0.2">
      <c r="A373" s="1013">
        <v>2019</v>
      </c>
      <c r="B373" s="1013" t="s">
        <v>464</v>
      </c>
      <c r="C373" s="1013"/>
      <c r="D373" s="667">
        <v>57</v>
      </c>
      <c r="E373" s="667"/>
      <c r="F373" s="667"/>
      <c r="G373" s="667"/>
      <c r="H373" s="667"/>
      <c r="I373" s="667"/>
      <c r="J373" s="667"/>
      <c r="K373" s="667"/>
      <c r="L373" s="667"/>
      <c r="M373" s="667"/>
      <c r="N373" s="667"/>
      <c r="O373" s="667"/>
      <c r="P373" s="667"/>
      <c r="Q373" s="667"/>
      <c r="R373" s="667"/>
      <c r="S373" s="667"/>
      <c r="T373" s="667"/>
      <c r="U373" s="1013">
        <v>12</v>
      </c>
      <c r="V373" s="668">
        <f t="shared" si="119"/>
        <v>684</v>
      </c>
      <c r="W373" s="668">
        <f t="shared" si="120"/>
        <v>0</v>
      </c>
      <c r="X373" s="668">
        <f t="shared" si="121"/>
        <v>0</v>
      </c>
      <c r="Y373" s="668">
        <f t="shared" si="122"/>
        <v>0</v>
      </c>
      <c r="Z373" s="668">
        <f t="shared" si="123"/>
        <v>0</v>
      </c>
      <c r="AA373" s="668">
        <f t="shared" si="124"/>
        <v>0</v>
      </c>
      <c r="AB373" s="668">
        <f t="shared" si="125"/>
        <v>0</v>
      </c>
      <c r="AC373" s="668">
        <f t="shared" si="114"/>
        <v>0</v>
      </c>
      <c r="AD373" s="668">
        <f t="shared" si="126"/>
        <v>0</v>
      </c>
      <c r="AE373" s="668">
        <f t="shared" si="127"/>
        <v>0</v>
      </c>
      <c r="AF373" s="668">
        <f t="shared" si="128"/>
        <v>0</v>
      </c>
      <c r="AG373" s="668">
        <f t="shared" si="129"/>
        <v>0</v>
      </c>
      <c r="AH373" s="668"/>
      <c r="AI373" s="668"/>
      <c r="AJ373" s="668"/>
      <c r="AK373" s="668"/>
      <c r="AL373" s="668"/>
      <c r="AM373" s="668">
        <f t="shared" si="115"/>
        <v>0</v>
      </c>
      <c r="AN373" s="668">
        <f t="shared" si="110"/>
        <v>0</v>
      </c>
      <c r="AO373" s="668">
        <f t="shared" si="111"/>
        <v>0</v>
      </c>
      <c r="AP373" s="668">
        <f t="shared" si="116"/>
        <v>0</v>
      </c>
      <c r="AQ373" s="668">
        <f t="shared" si="112"/>
        <v>0</v>
      </c>
      <c r="AR373" s="668">
        <f t="shared" si="113"/>
        <v>0</v>
      </c>
      <c r="AS373" s="668"/>
      <c r="AT373" s="668"/>
      <c r="AU373" s="668"/>
      <c r="AV373" s="668"/>
      <c r="AW373" s="668"/>
      <c r="AX373" s="668"/>
      <c r="AY373" s="668"/>
      <c r="AZ373" s="668"/>
      <c r="BA373" s="668"/>
      <c r="BB373" s="668">
        <f t="shared" si="117"/>
        <v>0</v>
      </c>
      <c r="BC373" s="668"/>
      <c r="BD373" s="668"/>
      <c r="BE373" s="668"/>
      <c r="BF373" s="668"/>
      <c r="BG373" s="668"/>
      <c r="BH373" s="668"/>
      <c r="BI373" s="668"/>
    </row>
    <row r="374" spans="1:61" x14ac:dyDescent="0.2">
      <c r="A374" s="1013">
        <v>2020</v>
      </c>
      <c r="B374" s="1013" t="s">
        <v>684</v>
      </c>
      <c r="C374" s="1013"/>
      <c r="D374" s="667">
        <v>26</v>
      </c>
      <c r="E374" s="667"/>
      <c r="F374" s="667">
        <f>+D374</f>
        <v>26</v>
      </c>
      <c r="G374" s="667"/>
      <c r="H374" s="667"/>
      <c r="I374" s="667"/>
      <c r="J374" s="667"/>
      <c r="K374" s="667"/>
      <c r="L374" s="667"/>
      <c r="M374" s="667"/>
      <c r="N374" s="667"/>
      <c r="O374" s="667"/>
      <c r="P374" s="667"/>
      <c r="Q374" s="667"/>
      <c r="R374" s="667"/>
      <c r="S374" s="667"/>
      <c r="T374" s="667"/>
      <c r="U374" s="1013">
        <v>10</v>
      </c>
      <c r="V374" s="668">
        <f t="shared" si="119"/>
        <v>260</v>
      </c>
      <c r="W374" s="668">
        <f t="shared" si="120"/>
        <v>0</v>
      </c>
      <c r="X374" s="668">
        <f t="shared" si="121"/>
        <v>0</v>
      </c>
      <c r="Y374" s="668">
        <f t="shared" si="122"/>
        <v>0</v>
      </c>
      <c r="Z374" s="668">
        <f t="shared" si="123"/>
        <v>0</v>
      </c>
      <c r="AA374" s="668">
        <f t="shared" si="124"/>
        <v>0</v>
      </c>
      <c r="AB374" s="668">
        <f t="shared" si="125"/>
        <v>0</v>
      </c>
      <c r="AC374" s="668">
        <f t="shared" si="114"/>
        <v>0</v>
      </c>
      <c r="AD374" s="668">
        <f t="shared" si="126"/>
        <v>0</v>
      </c>
      <c r="AE374" s="668">
        <f t="shared" si="127"/>
        <v>0</v>
      </c>
      <c r="AF374" s="668">
        <f t="shared" si="128"/>
        <v>0</v>
      </c>
      <c r="AG374" s="668">
        <f t="shared" si="129"/>
        <v>0</v>
      </c>
      <c r="AH374" s="668"/>
      <c r="AI374" s="668"/>
      <c r="AJ374" s="668"/>
      <c r="AK374" s="668"/>
      <c r="AL374" s="668"/>
      <c r="AM374" s="668">
        <f t="shared" si="115"/>
        <v>0</v>
      </c>
      <c r="AN374" s="668">
        <f t="shared" si="110"/>
        <v>0</v>
      </c>
      <c r="AO374" s="668">
        <f t="shared" si="111"/>
        <v>0</v>
      </c>
      <c r="AP374" s="668">
        <f t="shared" si="116"/>
        <v>260</v>
      </c>
      <c r="AQ374" s="668">
        <f t="shared" si="112"/>
        <v>0</v>
      </c>
      <c r="AR374" s="668">
        <f t="shared" si="113"/>
        <v>0</v>
      </c>
      <c r="AS374" s="668"/>
      <c r="AT374" s="668"/>
      <c r="AU374" s="668"/>
      <c r="AV374" s="668"/>
      <c r="AW374" s="668"/>
      <c r="AX374" s="668"/>
      <c r="AY374" s="668"/>
      <c r="AZ374" s="668"/>
      <c r="BA374" s="668"/>
      <c r="BB374" s="668"/>
      <c r="BC374" s="668"/>
      <c r="BD374" s="668"/>
      <c r="BE374" s="668"/>
      <c r="BF374" s="668"/>
      <c r="BG374" s="668"/>
      <c r="BH374" s="668"/>
      <c r="BI374" s="668"/>
    </row>
    <row r="375" spans="1:61" x14ac:dyDescent="0.2">
      <c r="A375" s="1013">
        <v>2021</v>
      </c>
      <c r="B375" s="1013" t="s">
        <v>518</v>
      </c>
      <c r="C375" s="1013"/>
      <c r="D375" s="667">
        <v>87</v>
      </c>
      <c r="E375" s="667"/>
      <c r="F375" s="667"/>
      <c r="G375" s="667"/>
      <c r="H375" s="667"/>
      <c r="I375" s="667"/>
      <c r="J375" s="667"/>
      <c r="K375" s="667"/>
      <c r="L375" s="667"/>
      <c r="M375" s="667"/>
      <c r="N375" s="667"/>
      <c r="O375" s="667"/>
      <c r="P375" s="667"/>
      <c r="Q375" s="667"/>
      <c r="R375" s="667"/>
      <c r="S375" s="667"/>
      <c r="T375" s="667"/>
      <c r="U375" s="1013">
        <v>10</v>
      </c>
      <c r="V375" s="668">
        <f t="shared" si="119"/>
        <v>870</v>
      </c>
      <c r="W375" s="668">
        <f t="shared" si="120"/>
        <v>0</v>
      </c>
      <c r="X375" s="668">
        <f t="shared" si="121"/>
        <v>0</v>
      </c>
      <c r="Y375" s="668">
        <f t="shared" si="122"/>
        <v>0</v>
      </c>
      <c r="Z375" s="668">
        <f t="shared" si="123"/>
        <v>0</v>
      </c>
      <c r="AA375" s="668">
        <f t="shared" si="124"/>
        <v>0</v>
      </c>
      <c r="AB375" s="668">
        <f t="shared" si="125"/>
        <v>0</v>
      </c>
      <c r="AC375" s="668">
        <f t="shared" si="114"/>
        <v>0</v>
      </c>
      <c r="AD375" s="668">
        <f t="shared" si="126"/>
        <v>0</v>
      </c>
      <c r="AE375" s="668">
        <f t="shared" si="127"/>
        <v>0</v>
      </c>
      <c r="AF375" s="668">
        <f t="shared" si="128"/>
        <v>0</v>
      </c>
      <c r="AG375" s="668">
        <f t="shared" si="129"/>
        <v>0</v>
      </c>
      <c r="AH375" s="668"/>
      <c r="AI375" s="668"/>
      <c r="AJ375" s="668"/>
      <c r="AK375" s="668"/>
      <c r="AL375" s="668"/>
      <c r="AM375" s="668">
        <f t="shared" si="115"/>
        <v>0</v>
      </c>
      <c r="AN375" s="668">
        <f t="shared" si="110"/>
        <v>0</v>
      </c>
      <c r="AO375" s="668">
        <f t="shared" si="111"/>
        <v>0</v>
      </c>
      <c r="AP375" s="668">
        <f t="shared" si="116"/>
        <v>0</v>
      </c>
      <c r="AQ375" s="668">
        <f t="shared" si="112"/>
        <v>0</v>
      </c>
      <c r="AR375" s="668">
        <f t="shared" si="113"/>
        <v>0</v>
      </c>
      <c r="AS375" s="668"/>
      <c r="AT375" s="668"/>
      <c r="AU375" s="668"/>
      <c r="AV375" s="668"/>
      <c r="AW375" s="668"/>
      <c r="AX375" s="668"/>
      <c r="AY375" s="668"/>
      <c r="AZ375" s="668"/>
      <c r="BA375" s="668"/>
      <c r="BB375" s="668">
        <f t="shared" si="117"/>
        <v>0</v>
      </c>
      <c r="BC375" s="668"/>
      <c r="BD375" s="668"/>
      <c r="BE375" s="668"/>
      <c r="BF375" s="668"/>
      <c r="BG375" s="668"/>
      <c r="BH375" s="668"/>
      <c r="BI375" s="668"/>
    </row>
    <row r="376" spans="1:61" x14ac:dyDescent="0.2">
      <c r="A376" s="1013">
        <v>2022</v>
      </c>
      <c r="B376" s="1013" t="s">
        <v>671</v>
      </c>
      <c r="C376" s="1013"/>
      <c r="D376" s="667">
        <v>82</v>
      </c>
      <c r="E376" s="667"/>
      <c r="F376" s="667"/>
      <c r="G376" s="667"/>
      <c r="H376" s="667"/>
      <c r="I376" s="667"/>
      <c r="J376" s="667"/>
      <c r="K376" s="667"/>
      <c r="L376" s="667"/>
      <c r="M376" s="667"/>
      <c r="N376" s="667"/>
      <c r="O376" s="667"/>
      <c r="P376" s="667"/>
      <c r="Q376" s="667"/>
      <c r="R376" s="667"/>
      <c r="S376" s="667"/>
      <c r="T376" s="667"/>
      <c r="U376" s="1013">
        <v>10</v>
      </c>
      <c r="V376" s="668">
        <f t="shared" si="119"/>
        <v>820</v>
      </c>
      <c r="W376" s="668">
        <f t="shared" si="120"/>
        <v>0</v>
      </c>
      <c r="X376" s="668">
        <f t="shared" si="121"/>
        <v>0</v>
      </c>
      <c r="Y376" s="668">
        <f t="shared" si="122"/>
        <v>0</v>
      </c>
      <c r="Z376" s="668">
        <f t="shared" si="123"/>
        <v>0</v>
      </c>
      <c r="AA376" s="668">
        <f t="shared" si="124"/>
        <v>0</v>
      </c>
      <c r="AB376" s="668">
        <f t="shared" si="125"/>
        <v>0</v>
      </c>
      <c r="AC376" s="668">
        <f t="shared" si="114"/>
        <v>0</v>
      </c>
      <c r="AD376" s="668">
        <f t="shared" si="126"/>
        <v>0</v>
      </c>
      <c r="AE376" s="668">
        <f t="shared" si="127"/>
        <v>0</v>
      </c>
      <c r="AF376" s="668">
        <f t="shared" si="128"/>
        <v>0</v>
      </c>
      <c r="AG376" s="668">
        <f t="shared" si="129"/>
        <v>0</v>
      </c>
      <c r="AH376" s="668"/>
      <c r="AI376" s="668"/>
      <c r="AJ376" s="668"/>
      <c r="AK376" s="668"/>
      <c r="AL376" s="668"/>
      <c r="AM376" s="668">
        <f t="shared" si="115"/>
        <v>0</v>
      </c>
      <c r="AN376" s="668">
        <f t="shared" si="110"/>
        <v>0</v>
      </c>
      <c r="AO376" s="668">
        <f t="shared" si="111"/>
        <v>0</v>
      </c>
      <c r="AP376" s="668">
        <f t="shared" si="116"/>
        <v>0</v>
      </c>
      <c r="AQ376" s="668">
        <f t="shared" si="112"/>
        <v>0</v>
      </c>
      <c r="AR376" s="668">
        <f t="shared" si="113"/>
        <v>0</v>
      </c>
      <c r="AS376" s="668"/>
      <c r="AT376" s="668"/>
      <c r="AU376" s="668"/>
      <c r="AV376" s="668"/>
      <c r="AW376" s="668"/>
      <c r="AX376" s="668"/>
      <c r="AY376" s="668"/>
      <c r="AZ376" s="668"/>
      <c r="BA376" s="668"/>
      <c r="BB376" s="668">
        <f t="shared" si="117"/>
        <v>0</v>
      </c>
      <c r="BC376" s="668"/>
      <c r="BD376" s="668"/>
      <c r="BE376" s="668"/>
      <c r="BF376" s="668"/>
      <c r="BG376" s="668"/>
      <c r="BH376" s="668"/>
      <c r="BI376" s="668"/>
    </row>
    <row r="377" spans="1:61" x14ac:dyDescent="0.2">
      <c r="A377" s="1013">
        <v>2023</v>
      </c>
      <c r="B377" s="1013" t="s">
        <v>672</v>
      </c>
      <c r="C377" s="1013"/>
      <c r="D377" s="667">
        <v>35</v>
      </c>
      <c r="E377" s="667"/>
      <c r="F377" s="667">
        <v>15</v>
      </c>
      <c r="G377" s="667"/>
      <c r="H377" s="667"/>
      <c r="I377" s="667"/>
      <c r="J377" s="667"/>
      <c r="K377" s="667"/>
      <c r="L377" s="667"/>
      <c r="M377" s="667"/>
      <c r="N377" s="667"/>
      <c r="O377" s="667"/>
      <c r="P377" s="667"/>
      <c r="Q377" s="667"/>
      <c r="R377" s="667"/>
      <c r="S377" s="667"/>
      <c r="T377" s="667"/>
      <c r="U377" s="1013">
        <v>10</v>
      </c>
      <c r="V377" s="668">
        <f t="shared" si="119"/>
        <v>350</v>
      </c>
      <c r="W377" s="668">
        <f t="shared" si="120"/>
        <v>0</v>
      </c>
      <c r="X377" s="668">
        <f t="shared" si="121"/>
        <v>0</v>
      </c>
      <c r="Y377" s="668">
        <f t="shared" si="122"/>
        <v>0</v>
      </c>
      <c r="Z377" s="668">
        <f t="shared" si="123"/>
        <v>0</v>
      </c>
      <c r="AA377" s="668">
        <f t="shared" si="124"/>
        <v>0</v>
      </c>
      <c r="AB377" s="668">
        <f t="shared" si="125"/>
        <v>0</v>
      </c>
      <c r="AC377" s="668">
        <f t="shared" si="114"/>
        <v>0</v>
      </c>
      <c r="AD377" s="668">
        <f t="shared" si="126"/>
        <v>0</v>
      </c>
      <c r="AE377" s="668">
        <f t="shared" si="127"/>
        <v>0</v>
      </c>
      <c r="AF377" s="668">
        <f t="shared" si="128"/>
        <v>0</v>
      </c>
      <c r="AG377" s="668">
        <f t="shared" si="129"/>
        <v>0</v>
      </c>
      <c r="AH377" s="668"/>
      <c r="AI377" s="668"/>
      <c r="AJ377" s="668"/>
      <c r="AK377" s="668"/>
      <c r="AL377" s="668"/>
      <c r="AM377" s="668">
        <f t="shared" si="115"/>
        <v>0</v>
      </c>
      <c r="AN377" s="668">
        <f t="shared" si="110"/>
        <v>0</v>
      </c>
      <c r="AO377" s="668">
        <f t="shared" si="111"/>
        <v>0</v>
      </c>
      <c r="AP377" s="668">
        <f t="shared" si="116"/>
        <v>150</v>
      </c>
      <c r="AQ377" s="668">
        <f t="shared" si="112"/>
        <v>0</v>
      </c>
      <c r="AR377" s="668">
        <f t="shared" si="113"/>
        <v>0</v>
      </c>
      <c r="AS377" s="668"/>
      <c r="AT377" s="668"/>
      <c r="AU377" s="668"/>
      <c r="AV377" s="668"/>
      <c r="AW377" s="668"/>
      <c r="AX377" s="668"/>
      <c r="AY377" s="668"/>
      <c r="AZ377" s="668"/>
      <c r="BA377" s="668"/>
      <c r="BB377" s="668">
        <f t="shared" si="117"/>
        <v>150</v>
      </c>
      <c r="BC377" s="668"/>
      <c r="BD377" s="668"/>
      <c r="BE377" s="668"/>
      <c r="BF377" s="668"/>
      <c r="BG377" s="668"/>
      <c r="BH377" s="668"/>
      <c r="BI377" s="668"/>
    </row>
    <row r="378" spans="1:61" x14ac:dyDescent="0.2">
      <c r="A378" s="1013">
        <v>2024</v>
      </c>
      <c r="B378" s="1013" t="s">
        <v>486</v>
      </c>
      <c r="C378" s="1013"/>
      <c r="D378" s="667">
        <v>28</v>
      </c>
      <c r="E378" s="667"/>
      <c r="F378" s="667"/>
      <c r="G378" s="667"/>
      <c r="H378" s="667"/>
      <c r="I378" s="667"/>
      <c r="J378" s="667"/>
      <c r="K378" s="667"/>
      <c r="L378" s="667"/>
      <c r="M378" s="667"/>
      <c r="N378" s="667"/>
      <c r="O378" s="667"/>
      <c r="P378" s="667"/>
      <c r="Q378" s="667"/>
      <c r="R378" s="667"/>
      <c r="S378" s="667"/>
      <c r="T378" s="667"/>
      <c r="U378" s="1013">
        <v>12</v>
      </c>
      <c r="V378" s="668">
        <f t="shared" si="119"/>
        <v>336</v>
      </c>
      <c r="W378" s="668">
        <f t="shared" si="120"/>
        <v>0</v>
      </c>
      <c r="X378" s="668">
        <f t="shared" si="121"/>
        <v>0</v>
      </c>
      <c r="Y378" s="668">
        <f t="shared" si="122"/>
        <v>0</v>
      </c>
      <c r="Z378" s="668">
        <f t="shared" si="123"/>
        <v>0</v>
      </c>
      <c r="AA378" s="668">
        <f t="shared" si="124"/>
        <v>0</v>
      </c>
      <c r="AB378" s="668">
        <f t="shared" si="125"/>
        <v>0</v>
      </c>
      <c r="AC378" s="668">
        <f t="shared" si="114"/>
        <v>0</v>
      </c>
      <c r="AD378" s="668">
        <f t="shared" si="126"/>
        <v>0</v>
      </c>
      <c r="AE378" s="668">
        <f t="shared" si="127"/>
        <v>0</v>
      </c>
      <c r="AF378" s="668">
        <f t="shared" si="128"/>
        <v>0</v>
      </c>
      <c r="AG378" s="668">
        <f t="shared" si="129"/>
        <v>0</v>
      </c>
      <c r="AH378" s="668"/>
      <c r="AI378" s="668"/>
      <c r="AJ378" s="668"/>
      <c r="AK378" s="668"/>
      <c r="AL378" s="668"/>
      <c r="AM378" s="668">
        <f t="shared" si="115"/>
        <v>0</v>
      </c>
      <c r="AN378" s="668">
        <f t="shared" si="110"/>
        <v>0</v>
      </c>
      <c r="AO378" s="668">
        <f t="shared" si="111"/>
        <v>0</v>
      </c>
      <c r="AP378" s="668">
        <f t="shared" si="116"/>
        <v>0</v>
      </c>
      <c r="AQ378" s="668">
        <f t="shared" si="112"/>
        <v>0</v>
      </c>
      <c r="AR378" s="668">
        <f t="shared" si="113"/>
        <v>0</v>
      </c>
      <c r="AS378" s="668"/>
      <c r="AT378" s="668"/>
      <c r="AU378" s="668"/>
      <c r="AV378" s="668"/>
      <c r="AW378" s="668"/>
      <c r="AX378" s="668"/>
      <c r="AY378" s="668"/>
      <c r="AZ378" s="668"/>
      <c r="BA378" s="668"/>
      <c r="BB378" s="668">
        <f t="shared" si="117"/>
        <v>0</v>
      </c>
      <c r="BC378" s="668"/>
      <c r="BD378" s="668"/>
      <c r="BE378" s="668"/>
      <c r="BF378" s="668"/>
      <c r="BG378" s="668"/>
      <c r="BH378" s="668"/>
      <c r="BI378" s="668"/>
    </row>
    <row r="379" spans="1:61" x14ac:dyDescent="0.2">
      <c r="A379" s="1013">
        <v>2025</v>
      </c>
      <c r="B379" s="1013" t="s">
        <v>519</v>
      </c>
      <c r="C379" s="1013"/>
      <c r="D379" s="667">
        <v>48</v>
      </c>
      <c r="E379" s="667"/>
      <c r="F379" s="667"/>
      <c r="G379" s="667"/>
      <c r="H379" s="667"/>
      <c r="I379" s="667"/>
      <c r="J379" s="667"/>
      <c r="K379" s="667"/>
      <c r="L379" s="667"/>
      <c r="M379" s="667"/>
      <c r="N379" s="667"/>
      <c r="O379" s="667"/>
      <c r="P379" s="667"/>
      <c r="Q379" s="667"/>
      <c r="R379" s="667"/>
      <c r="S379" s="667"/>
      <c r="T379" s="667"/>
      <c r="U379" s="1013">
        <v>10</v>
      </c>
      <c r="V379" s="668">
        <f t="shared" si="119"/>
        <v>480</v>
      </c>
      <c r="W379" s="668">
        <f t="shared" si="120"/>
        <v>0</v>
      </c>
      <c r="X379" s="668">
        <f t="shared" si="121"/>
        <v>0</v>
      </c>
      <c r="Y379" s="668">
        <f t="shared" si="122"/>
        <v>0</v>
      </c>
      <c r="Z379" s="668">
        <f t="shared" si="123"/>
        <v>0</v>
      </c>
      <c r="AA379" s="668">
        <f t="shared" si="124"/>
        <v>0</v>
      </c>
      <c r="AB379" s="668">
        <f t="shared" si="125"/>
        <v>0</v>
      </c>
      <c r="AC379" s="668">
        <f t="shared" si="114"/>
        <v>0</v>
      </c>
      <c r="AD379" s="668">
        <f t="shared" si="126"/>
        <v>0</v>
      </c>
      <c r="AE379" s="668">
        <f t="shared" si="127"/>
        <v>0</v>
      </c>
      <c r="AF379" s="668">
        <f t="shared" si="128"/>
        <v>0</v>
      </c>
      <c r="AG379" s="668">
        <f t="shared" si="129"/>
        <v>0</v>
      </c>
      <c r="AH379" s="668"/>
      <c r="AI379" s="668"/>
      <c r="AJ379" s="668"/>
      <c r="AK379" s="668"/>
      <c r="AL379" s="668"/>
      <c r="AM379" s="668">
        <f t="shared" si="115"/>
        <v>0</v>
      </c>
      <c r="AN379" s="668">
        <f t="shared" si="110"/>
        <v>0</v>
      </c>
      <c r="AO379" s="668">
        <f t="shared" si="111"/>
        <v>0</v>
      </c>
      <c r="AP379" s="668">
        <f t="shared" si="116"/>
        <v>0</v>
      </c>
      <c r="AQ379" s="668">
        <f t="shared" si="112"/>
        <v>0</v>
      </c>
      <c r="AR379" s="668">
        <f t="shared" si="113"/>
        <v>0</v>
      </c>
      <c r="AS379" s="668"/>
      <c r="AT379" s="668"/>
      <c r="AU379" s="668"/>
      <c r="AV379" s="668"/>
      <c r="AW379" s="668"/>
      <c r="AX379" s="668"/>
      <c r="AY379" s="668"/>
      <c r="AZ379" s="668"/>
      <c r="BA379" s="668"/>
      <c r="BB379" s="668">
        <f t="shared" si="117"/>
        <v>0</v>
      </c>
      <c r="BC379" s="668"/>
      <c r="BD379" s="668"/>
      <c r="BE379" s="668"/>
      <c r="BF379" s="668"/>
      <c r="BG379" s="668"/>
      <c r="BH379" s="668"/>
      <c r="BI379" s="668"/>
    </row>
    <row r="380" spans="1:61" x14ac:dyDescent="0.2">
      <c r="A380" s="1013">
        <v>2026</v>
      </c>
      <c r="B380" s="1013" t="s">
        <v>515</v>
      </c>
      <c r="C380" s="1013"/>
      <c r="D380" s="667">
        <v>112</v>
      </c>
      <c r="E380" s="667"/>
      <c r="F380" s="667">
        <v>68</v>
      </c>
      <c r="G380" s="667"/>
      <c r="H380" s="667"/>
      <c r="I380" s="667"/>
      <c r="J380" s="667"/>
      <c r="K380" s="667"/>
      <c r="L380" s="667"/>
      <c r="M380" s="667"/>
      <c r="N380" s="667"/>
      <c r="O380" s="667"/>
      <c r="P380" s="667"/>
      <c r="Q380" s="667"/>
      <c r="R380" s="667"/>
      <c r="S380" s="667"/>
      <c r="T380" s="667">
        <v>3043</v>
      </c>
      <c r="U380" s="1013">
        <v>12</v>
      </c>
      <c r="V380" s="668">
        <f t="shared" si="119"/>
        <v>1344</v>
      </c>
      <c r="W380" s="668">
        <f t="shared" si="120"/>
        <v>0</v>
      </c>
      <c r="X380" s="668">
        <f t="shared" si="121"/>
        <v>0</v>
      </c>
      <c r="Y380" s="668">
        <f t="shared" si="122"/>
        <v>0</v>
      </c>
      <c r="Z380" s="668">
        <f t="shared" si="123"/>
        <v>0</v>
      </c>
      <c r="AA380" s="668">
        <f t="shared" si="124"/>
        <v>0</v>
      </c>
      <c r="AB380" s="668">
        <f t="shared" si="125"/>
        <v>3043</v>
      </c>
      <c r="AC380" s="668">
        <f t="shared" si="114"/>
        <v>0</v>
      </c>
      <c r="AD380" s="668">
        <f t="shared" si="126"/>
        <v>0</v>
      </c>
      <c r="AE380" s="668">
        <f t="shared" si="127"/>
        <v>0</v>
      </c>
      <c r="AF380" s="668">
        <f t="shared" si="128"/>
        <v>0</v>
      </c>
      <c r="AG380" s="668">
        <f t="shared" si="129"/>
        <v>0</v>
      </c>
      <c r="AH380" s="668"/>
      <c r="AI380" s="668"/>
      <c r="AJ380" s="668"/>
      <c r="AK380" s="668"/>
      <c r="AL380" s="668"/>
      <c r="AM380" s="668">
        <f t="shared" si="115"/>
        <v>0</v>
      </c>
      <c r="AN380" s="668">
        <f t="shared" si="110"/>
        <v>0</v>
      </c>
      <c r="AO380" s="668">
        <f t="shared" si="111"/>
        <v>0</v>
      </c>
      <c r="AP380" s="668">
        <f t="shared" si="116"/>
        <v>816</v>
      </c>
      <c r="AQ380" s="668">
        <f t="shared" si="112"/>
        <v>0</v>
      </c>
      <c r="AR380" s="668">
        <f t="shared" si="113"/>
        <v>0</v>
      </c>
      <c r="AS380" s="668"/>
      <c r="AT380" s="668"/>
      <c r="AU380" s="668"/>
      <c r="AV380" s="668"/>
      <c r="AW380" s="668"/>
      <c r="AX380" s="668"/>
      <c r="AY380" s="668"/>
      <c r="AZ380" s="668"/>
      <c r="BA380" s="668"/>
      <c r="BB380" s="668"/>
      <c r="BC380" s="668"/>
      <c r="BD380" s="668"/>
      <c r="BE380" s="668"/>
      <c r="BF380" s="668"/>
      <c r="BG380" s="668"/>
      <c r="BH380" s="668"/>
      <c r="BI380" s="668"/>
    </row>
    <row r="381" spans="1:61" x14ac:dyDescent="0.2">
      <c r="A381" s="1013">
        <v>2027</v>
      </c>
      <c r="B381" s="1013" t="s">
        <v>515</v>
      </c>
      <c r="C381" s="1013"/>
      <c r="D381" s="667">
        <v>160</v>
      </c>
      <c r="E381" s="667"/>
      <c r="F381" s="667">
        <v>68</v>
      </c>
      <c r="G381" s="667"/>
      <c r="H381" s="667"/>
      <c r="I381" s="667"/>
      <c r="J381" s="667"/>
      <c r="K381" s="667"/>
      <c r="L381" s="667"/>
      <c r="M381" s="667"/>
      <c r="N381" s="667"/>
      <c r="O381" s="667"/>
      <c r="P381" s="667"/>
      <c r="Q381" s="667"/>
      <c r="R381" s="667"/>
      <c r="S381" s="667"/>
      <c r="T381" s="667">
        <v>4525</v>
      </c>
      <c r="U381" s="1013">
        <v>12</v>
      </c>
      <c r="V381" s="668">
        <f t="shared" si="119"/>
        <v>1920</v>
      </c>
      <c r="W381" s="668">
        <f t="shared" si="120"/>
        <v>0</v>
      </c>
      <c r="X381" s="668">
        <f t="shared" si="121"/>
        <v>0</v>
      </c>
      <c r="Y381" s="668">
        <f t="shared" si="122"/>
        <v>0</v>
      </c>
      <c r="Z381" s="668">
        <f t="shared" si="123"/>
        <v>0</v>
      </c>
      <c r="AA381" s="668">
        <f t="shared" si="124"/>
        <v>0</v>
      </c>
      <c r="AB381" s="668">
        <f t="shared" si="125"/>
        <v>4525</v>
      </c>
      <c r="AC381" s="668">
        <f t="shared" si="114"/>
        <v>0</v>
      </c>
      <c r="AD381" s="668">
        <f t="shared" si="126"/>
        <v>0</v>
      </c>
      <c r="AE381" s="668">
        <f t="shared" si="127"/>
        <v>0</v>
      </c>
      <c r="AF381" s="668">
        <f t="shared" si="128"/>
        <v>0</v>
      </c>
      <c r="AG381" s="668">
        <f t="shared" si="129"/>
        <v>0</v>
      </c>
      <c r="AH381" s="668"/>
      <c r="AI381" s="668"/>
      <c r="AJ381" s="668"/>
      <c r="AK381" s="668"/>
      <c r="AL381" s="668"/>
      <c r="AM381" s="668">
        <f t="shared" si="115"/>
        <v>0</v>
      </c>
      <c r="AN381" s="668">
        <f t="shared" si="110"/>
        <v>0</v>
      </c>
      <c r="AO381" s="668">
        <f t="shared" si="111"/>
        <v>0</v>
      </c>
      <c r="AP381" s="668">
        <f t="shared" si="116"/>
        <v>816</v>
      </c>
      <c r="AQ381" s="668">
        <f t="shared" si="112"/>
        <v>0</v>
      </c>
      <c r="AR381" s="668">
        <f t="shared" si="113"/>
        <v>0</v>
      </c>
      <c r="AS381" s="668"/>
      <c r="AT381" s="668"/>
      <c r="AU381" s="668"/>
      <c r="AV381" s="668"/>
      <c r="AW381" s="668"/>
      <c r="AX381" s="668"/>
      <c r="AY381" s="668"/>
      <c r="AZ381" s="668"/>
      <c r="BA381" s="668"/>
      <c r="BB381" s="668"/>
      <c r="BC381" s="668"/>
      <c r="BD381" s="668"/>
      <c r="BE381" s="668"/>
      <c r="BF381" s="668"/>
      <c r="BG381" s="668"/>
      <c r="BH381" s="668"/>
      <c r="BI381" s="668"/>
    </row>
    <row r="382" spans="1:61" x14ac:dyDescent="0.2">
      <c r="A382" s="1013">
        <v>2028</v>
      </c>
      <c r="B382" s="1013" t="s">
        <v>519</v>
      </c>
      <c r="C382" s="1013"/>
      <c r="D382" s="667">
        <v>35</v>
      </c>
      <c r="E382" s="667"/>
      <c r="F382" s="667">
        <v>15</v>
      </c>
      <c r="G382" s="667"/>
      <c r="H382" s="667"/>
      <c r="I382" s="667"/>
      <c r="J382" s="667"/>
      <c r="K382" s="667"/>
      <c r="L382" s="667"/>
      <c r="M382" s="667"/>
      <c r="N382" s="667"/>
      <c r="O382" s="667"/>
      <c r="P382" s="667"/>
      <c r="Q382" s="667"/>
      <c r="R382" s="667"/>
      <c r="S382" s="667"/>
      <c r="T382" s="667">
        <v>155</v>
      </c>
      <c r="U382" s="1013">
        <v>12</v>
      </c>
      <c r="V382" s="668">
        <f t="shared" si="119"/>
        <v>420</v>
      </c>
      <c r="W382" s="668">
        <f t="shared" si="120"/>
        <v>0</v>
      </c>
      <c r="X382" s="668">
        <f t="shared" si="121"/>
        <v>0</v>
      </c>
      <c r="Y382" s="668">
        <f t="shared" si="122"/>
        <v>0</v>
      </c>
      <c r="Z382" s="668">
        <f t="shared" si="123"/>
        <v>0</v>
      </c>
      <c r="AA382" s="668">
        <f t="shared" si="124"/>
        <v>0</v>
      </c>
      <c r="AB382" s="668">
        <f t="shared" si="125"/>
        <v>155</v>
      </c>
      <c r="AC382" s="668">
        <f t="shared" si="114"/>
        <v>0</v>
      </c>
      <c r="AD382" s="668">
        <f t="shared" si="126"/>
        <v>0</v>
      </c>
      <c r="AE382" s="668">
        <f t="shared" si="127"/>
        <v>0</v>
      </c>
      <c r="AF382" s="668">
        <f t="shared" si="128"/>
        <v>0</v>
      </c>
      <c r="AG382" s="668">
        <f t="shared" si="129"/>
        <v>0</v>
      </c>
      <c r="AH382" s="668"/>
      <c r="AI382" s="668"/>
      <c r="AJ382" s="668"/>
      <c r="AK382" s="668"/>
      <c r="AL382" s="668"/>
      <c r="AM382" s="668">
        <f t="shared" si="115"/>
        <v>0</v>
      </c>
      <c r="AN382" s="668">
        <f t="shared" si="110"/>
        <v>0</v>
      </c>
      <c r="AO382" s="668">
        <f t="shared" si="111"/>
        <v>0</v>
      </c>
      <c r="AP382" s="668">
        <f t="shared" si="116"/>
        <v>180</v>
      </c>
      <c r="AQ382" s="668">
        <f t="shared" si="112"/>
        <v>0</v>
      </c>
      <c r="AR382" s="668">
        <f t="shared" si="113"/>
        <v>0</v>
      </c>
      <c r="AS382" s="668"/>
      <c r="AT382" s="668"/>
      <c r="AU382" s="668"/>
      <c r="AV382" s="668"/>
      <c r="AW382" s="668"/>
      <c r="AX382" s="668"/>
      <c r="AY382" s="668"/>
      <c r="AZ382" s="668"/>
      <c r="BA382" s="668"/>
      <c r="BB382" s="668">
        <f t="shared" si="117"/>
        <v>180</v>
      </c>
      <c r="BC382" s="668"/>
      <c r="BD382" s="668"/>
      <c r="BE382" s="668"/>
      <c r="BF382" s="668"/>
      <c r="BG382" s="668"/>
      <c r="BH382" s="668"/>
      <c r="BI382" s="668"/>
    </row>
    <row r="383" spans="1:61" x14ac:dyDescent="0.2">
      <c r="A383" s="1013">
        <v>2029</v>
      </c>
      <c r="B383" s="1013" t="s">
        <v>519</v>
      </c>
      <c r="C383" s="1013"/>
      <c r="D383" s="667">
        <v>35</v>
      </c>
      <c r="E383" s="667"/>
      <c r="F383" s="667">
        <v>15</v>
      </c>
      <c r="G383" s="667"/>
      <c r="H383" s="667"/>
      <c r="I383" s="667"/>
      <c r="J383" s="667"/>
      <c r="K383" s="667"/>
      <c r="L383" s="667"/>
      <c r="M383" s="667"/>
      <c r="N383" s="667"/>
      <c r="O383" s="667"/>
      <c r="P383" s="667"/>
      <c r="Q383" s="667"/>
      <c r="R383" s="667"/>
      <c r="S383" s="667"/>
      <c r="T383" s="667">
        <v>155</v>
      </c>
      <c r="U383" s="1013">
        <v>12</v>
      </c>
      <c r="V383" s="668">
        <f t="shared" si="119"/>
        <v>420</v>
      </c>
      <c r="W383" s="668">
        <f t="shared" si="120"/>
        <v>0</v>
      </c>
      <c r="X383" s="668">
        <f t="shared" si="121"/>
        <v>0</v>
      </c>
      <c r="Y383" s="668">
        <f t="shared" si="122"/>
        <v>0</v>
      </c>
      <c r="Z383" s="668">
        <f t="shared" si="123"/>
        <v>0</v>
      </c>
      <c r="AA383" s="668">
        <f t="shared" si="124"/>
        <v>0</v>
      </c>
      <c r="AB383" s="668">
        <f t="shared" si="125"/>
        <v>155</v>
      </c>
      <c r="AC383" s="668">
        <f t="shared" si="114"/>
        <v>0</v>
      </c>
      <c r="AD383" s="668">
        <f t="shared" si="126"/>
        <v>0</v>
      </c>
      <c r="AE383" s="668">
        <f t="shared" si="127"/>
        <v>0</v>
      </c>
      <c r="AF383" s="668">
        <f t="shared" si="128"/>
        <v>0</v>
      </c>
      <c r="AG383" s="668">
        <f t="shared" si="129"/>
        <v>0</v>
      </c>
      <c r="AH383" s="668"/>
      <c r="AI383" s="668"/>
      <c r="AJ383" s="668"/>
      <c r="AK383" s="668"/>
      <c r="AL383" s="668"/>
      <c r="AM383" s="668">
        <f t="shared" si="115"/>
        <v>0</v>
      </c>
      <c r="AN383" s="668">
        <f t="shared" si="110"/>
        <v>0</v>
      </c>
      <c r="AO383" s="668">
        <f t="shared" si="111"/>
        <v>0</v>
      </c>
      <c r="AP383" s="668">
        <f t="shared" si="116"/>
        <v>180</v>
      </c>
      <c r="AQ383" s="668">
        <f t="shared" si="112"/>
        <v>0</v>
      </c>
      <c r="AR383" s="668">
        <f t="shared" si="113"/>
        <v>0</v>
      </c>
      <c r="AS383" s="668"/>
      <c r="AT383" s="668"/>
      <c r="AU383" s="668"/>
      <c r="AV383" s="668"/>
      <c r="AW383" s="668"/>
      <c r="AX383" s="668"/>
      <c r="AY383" s="668"/>
      <c r="AZ383" s="668"/>
      <c r="BA383" s="668"/>
      <c r="BB383" s="668">
        <f t="shared" si="117"/>
        <v>180</v>
      </c>
      <c r="BC383" s="668"/>
      <c r="BD383" s="668"/>
      <c r="BE383" s="668"/>
      <c r="BF383" s="668"/>
      <c r="BG383" s="668"/>
      <c r="BH383" s="668"/>
      <c r="BI383" s="668"/>
    </row>
    <row r="384" spans="1:61" x14ac:dyDescent="0.2">
      <c r="A384" s="1013">
        <v>2030</v>
      </c>
      <c r="B384" s="1013" t="s">
        <v>467</v>
      </c>
      <c r="C384" s="1013"/>
      <c r="D384" s="667">
        <v>80</v>
      </c>
      <c r="E384" s="667"/>
      <c r="F384" s="667"/>
      <c r="G384" s="667"/>
      <c r="H384" s="667"/>
      <c r="I384" s="667"/>
      <c r="J384" s="667"/>
      <c r="K384" s="667"/>
      <c r="L384" s="667"/>
      <c r="M384" s="667"/>
      <c r="N384" s="667"/>
      <c r="O384" s="667"/>
      <c r="P384" s="667"/>
      <c r="Q384" s="667"/>
      <c r="R384" s="667"/>
      <c r="S384" s="667"/>
      <c r="T384" s="667"/>
      <c r="U384" s="1013">
        <v>3</v>
      </c>
      <c r="V384" s="668">
        <f t="shared" si="119"/>
        <v>240</v>
      </c>
      <c r="W384" s="668">
        <f t="shared" si="120"/>
        <v>0</v>
      </c>
      <c r="X384" s="668">
        <f t="shared" si="121"/>
        <v>0</v>
      </c>
      <c r="Y384" s="668">
        <f t="shared" si="122"/>
        <v>0</v>
      </c>
      <c r="Z384" s="668">
        <f t="shared" si="123"/>
        <v>0</v>
      </c>
      <c r="AA384" s="668">
        <f t="shared" si="124"/>
        <v>0</v>
      </c>
      <c r="AB384" s="668">
        <f t="shared" si="125"/>
        <v>0</v>
      </c>
      <c r="AC384" s="668">
        <f t="shared" si="114"/>
        <v>0</v>
      </c>
      <c r="AD384" s="668">
        <f t="shared" si="126"/>
        <v>0</v>
      </c>
      <c r="AE384" s="668">
        <f t="shared" si="127"/>
        <v>0</v>
      </c>
      <c r="AF384" s="668">
        <f t="shared" si="128"/>
        <v>0</v>
      </c>
      <c r="AG384" s="668">
        <f t="shared" si="129"/>
        <v>0</v>
      </c>
      <c r="AH384" s="668"/>
      <c r="AI384" s="668"/>
      <c r="AJ384" s="668"/>
      <c r="AK384" s="668"/>
      <c r="AL384" s="668"/>
      <c r="AM384" s="668">
        <f t="shared" si="115"/>
        <v>0</v>
      </c>
      <c r="AN384" s="668">
        <f t="shared" si="110"/>
        <v>0</v>
      </c>
      <c r="AO384" s="668">
        <f t="shared" si="111"/>
        <v>0</v>
      </c>
      <c r="AP384" s="668">
        <f t="shared" si="116"/>
        <v>0</v>
      </c>
      <c r="AQ384" s="668">
        <f t="shared" si="112"/>
        <v>0</v>
      </c>
      <c r="AR384" s="668">
        <f t="shared" si="113"/>
        <v>0</v>
      </c>
      <c r="AS384" s="668"/>
      <c r="AT384" s="668"/>
      <c r="AU384" s="668"/>
      <c r="AV384" s="668"/>
      <c r="AW384" s="668"/>
      <c r="AX384" s="668"/>
      <c r="AY384" s="668"/>
      <c r="AZ384" s="668"/>
      <c r="BA384" s="668"/>
      <c r="BB384" s="668">
        <f t="shared" si="117"/>
        <v>0</v>
      </c>
      <c r="BC384" s="668"/>
      <c r="BD384" s="668"/>
      <c r="BE384" s="668"/>
      <c r="BF384" s="668"/>
      <c r="BG384" s="668"/>
      <c r="BH384" s="668"/>
      <c r="BI384" s="668"/>
    </row>
    <row r="385" spans="1:61" x14ac:dyDescent="0.2">
      <c r="A385" s="1013">
        <v>2031</v>
      </c>
      <c r="B385" s="1013" t="s">
        <v>466</v>
      </c>
      <c r="C385" s="1013"/>
      <c r="D385" s="667">
        <v>80</v>
      </c>
      <c r="E385" s="667"/>
      <c r="F385" s="667"/>
      <c r="G385" s="667"/>
      <c r="H385" s="667"/>
      <c r="I385" s="667"/>
      <c r="J385" s="667"/>
      <c r="K385" s="667"/>
      <c r="L385" s="667"/>
      <c r="M385" s="667"/>
      <c r="N385" s="667"/>
      <c r="O385" s="667"/>
      <c r="P385" s="667"/>
      <c r="Q385" s="667"/>
      <c r="R385" s="667"/>
      <c r="S385" s="667"/>
      <c r="T385" s="667"/>
      <c r="U385" s="1013">
        <v>3</v>
      </c>
      <c r="V385" s="668">
        <f t="shared" si="119"/>
        <v>240</v>
      </c>
      <c r="W385" s="668">
        <f t="shared" si="120"/>
        <v>0</v>
      </c>
      <c r="X385" s="668">
        <f t="shared" si="121"/>
        <v>0</v>
      </c>
      <c r="Y385" s="668">
        <f t="shared" si="122"/>
        <v>0</v>
      </c>
      <c r="Z385" s="668">
        <f t="shared" si="123"/>
        <v>0</v>
      </c>
      <c r="AA385" s="668">
        <f t="shared" si="124"/>
        <v>0</v>
      </c>
      <c r="AB385" s="668">
        <f t="shared" si="125"/>
        <v>0</v>
      </c>
      <c r="AC385" s="668">
        <f t="shared" si="114"/>
        <v>0</v>
      </c>
      <c r="AD385" s="668">
        <f t="shared" si="126"/>
        <v>0</v>
      </c>
      <c r="AE385" s="668">
        <f t="shared" si="127"/>
        <v>0</v>
      </c>
      <c r="AF385" s="668">
        <f t="shared" si="128"/>
        <v>0</v>
      </c>
      <c r="AG385" s="668">
        <f t="shared" si="129"/>
        <v>0</v>
      </c>
      <c r="AH385" s="668"/>
      <c r="AI385" s="668"/>
      <c r="AJ385" s="668"/>
      <c r="AK385" s="668"/>
      <c r="AL385" s="668"/>
      <c r="AM385" s="668">
        <f t="shared" si="115"/>
        <v>0</v>
      </c>
      <c r="AN385" s="668">
        <f t="shared" si="110"/>
        <v>0</v>
      </c>
      <c r="AO385" s="668">
        <f t="shared" si="111"/>
        <v>0</v>
      </c>
      <c r="AP385" s="668">
        <f t="shared" si="116"/>
        <v>0</v>
      </c>
      <c r="AQ385" s="668">
        <f t="shared" si="112"/>
        <v>0</v>
      </c>
      <c r="AR385" s="668">
        <f t="shared" si="113"/>
        <v>0</v>
      </c>
      <c r="AS385" s="668"/>
      <c r="AT385" s="668"/>
      <c r="AU385" s="668"/>
      <c r="AV385" s="668"/>
      <c r="AW385" s="668"/>
      <c r="AX385" s="668"/>
      <c r="AY385" s="668"/>
      <c r="AZ385" s="668"/>
      <c r="BA385" s="668"/>
      <c r="BB385" s="668">
        <f t="shared" si="117"/>
        <v>0</v>
      </c>
      <c r="BC385" s="668"/>
      <c r="BD385" s="668"/>
      <c r="BE385" s="668"/>
      <c r="BF385" s="668"/>
      <c r="BG385" s="668"/>
      <c r="BH385" s="668"/>
      <c r="BI385" s="668"/>
    </row>
    <row r="386" spans="1:61" x14ac:dyDescent="0.2">
      <c r="A386" s="1013">
        <v>2032</v>
      </c>
      <c r="B386" s="1013" t="s">
        <v>682</v>
      </c>
      <c r="C386" s="1013"/>
      <c r="D386" s="667">
        <v>30</v>
      </c>
      <c r="E386" s="667"/>
      <c r="F386" s="667">
        <v>30</v>
      </c>
      <c r="G386" s="667"/>
      <c r="H386" s="667"/>
      <c r="I386" s="667"/>
      <c r="J386" s="667"/>
      <c r="K386" s="667"/>
      <c r="L386" s="667"/>
      <c r="M386" s="667"/>
      <c r="N386" s="667"/>
      <c r="O386" s="667"/>
      <c r="P386" s="667"/>
      <c r="Q386" s="667"/>
      <c r="R386" s="667"/>
      <c r="S386" s="667"/>
      <c r="T386" s="667"/>
      <c r="U386" s="1013">
        <v>10</v>
      </c>
      <c r="V386" s="668">
        <f t="shared" si="119"/>
        <v>300</v>
      </c>
      <c r="W386" s="668">
        <f t="shared" si="120"/>
        <v>0</v>
      </c>
      <c r="X386" s="668">
        <f t="shared" si="121"/>
        <v>0</v>
      </c>
      <c r="Y386" s="668">
        <f t="shared" si="122"/>
        <v>0</v>
      </c>
      <c r="Z386" s="668">
        <f t="shared" si="123"/>
        <v>0</v>
      </c>
      <c r="AA386" s="668">
        <f t="shared" si="124"/>
        <v>0</v>
      </c>
      <c r="AB386" s="668">
        <f t="shared" si="125"/>
        <v>0</v>
      </c>
      <c r="AC386" s="668">
        <f t="shared" si="114"/>
        <v>0</v>
      </c>
      <c r="AD386" s="668">
        <f t="shared" si="126"/>
        <v>0</v>
      </c>
      <c r="AE386" s="668">
        <f t="shared" si="127"/>
        <v>0</v>
      </c>
      <c r="AF386" s="668">
        <f t="shared" si="128"/>
        <v>0</v>
      </c>
      <c r="AG386" s="668">
        <f t="shared" si="129"/>
        <v>0</v>
      </c>
      <c r="AH386" s="668"/>
      <c r="AI386" s="668"/>
      <c r="AJ386" s="668"/>
      <c r="AK386" s="668"/>
      <c r="AL386" s="668"/>
      <c r="AM386" s="668">
        <f t="shared" si="115"/>
        <v>0</v>
      </c>
      <c r="AN386" s="668">
        <f t="shared" si="110"/>
        <v>0</v>
      </c>
      <c r="AO386" s="668">
        <f t="shared" si="111"/>
        <v>0</v>
      </c>
      <c r="AP386" s="668">
        <f t="shared" si="116"/>
        <v>300</v>
      </c>
      <c r="AQ386" s="668">
        <f t="shared" si="112"/>
        <v>0</v>
      </c>
      <c r="AR386" s="668">
        <f t="shared" si="113"/>
        <v>0</v>
      </c>
      <c r="AS386" s="668"/>
      <c r="AT386" s="668"/>
      <c r="AU386" s="668"/>
      <c r="AV386" s="668"/>
      <c r="AW386" s="668"/>
      <c r="AX386" s="668"/>
      <c r="AY386" s="668"/>
      <c r="AZ386" s="668"/>
      <c r="BA386" s="668"/>
      <c r="BB386" s="668">
        <f t="shared" si="117"/>
        <v>300</v>
      </c>
      <c r="BC386" s="668"/>
      <c r="BD386" s="668"/>
      <c r="BE386" s="668"/>
      <c r="BF386" s="668"/>
      <c r="BG386" s="668"/>
      <c r="BH386" s="668"/>
      <c r="BI386" s="668"/>
    </row>
    <row r="387" spans="1:61" x14ac:dyDescent="0.2">
      <c r="A387" s="1013">
        <v>2033</v>
      </c>
      <c r="B387" s="1013" t="s">
        <v>682</v>
      </c>
      <c r="C387" s="1013"/>
      <c r="D387" s="667">
        <v>30</v>
      </c>
      <c r="E387" s="667"/>
      <c r="F387" s="667">
        <v>30</v>
      </c>
      <c r="G387" s="667"/>
      <c r="H387" s="667"/>
      <c r="I387" s="667"/>
      <c r="J387" s="667"/>
      <c r="K387" s="667"/>
      <c r="L387" s="667"/>
      <c r="M387" s="667"/>
      <c r="N387" s="667"/>
      <c r="O387" s="667"/>
      <c r="P387" s="667"/>
      <c r="Q387" s="667"/>
      <c r="R387" s="667"/>
      <c r="S387" s="667"/>
      <c r="T387" s="667"/>
      <c r="U387" s="1013">
        <v>10</v>
      </c>
      <c r="V387" s="668">
        <f t="shared" si="119"/>
        <v>300</v>
      </c>
      <c r="W387" s="668">
        <f t="shared" si="120"/>
        <v>0</v>
      </c>
      <c r="X387" s="668">
        <f t="shared" si="121"/>
        <v>0</v>
      </c>
      <c r="Y387" s="668">
        <f t="shared" si="122"/>
        <v>0</v>
      </c>
      <c r="Z387" s="668">
        <f t="shared" si="123"/>
        <v>0</v>
      </c>
      <c r="AA387" s="668">
        <f t="shared" si="124"/>
        <v>0</v>
      </c>
      <c r="AB387" s="668">
        <f t="shared" si="125"/>
        <v>0</v>
      </c>
      <c r="AC387" s="668">
        <f t="shared" si="114"/>
        <v>0</v>
      </c>
      <c r="AD387" s="668">
        <f t="shared" si="126"/>
        <v>0</v>
      </c>
      <c r="AE387" s="668">
        <f t="shared" si="127"/>
        <v>0</v>
      </c>
      <c r="AF387" s="668">
        <f t="shared" si="128"/>
        <v>0</v>
      </c>
      <c r="AG387" s="668">
        <f t="shared" si="129"/>
        <v>0</v>
      </c>
      <c r="AH387" s="668"/>
      <c r="AI387" s="668"/>
      <c r="AJ387" s="668"/>
      <c r="AK387" s="668"/>
      <c r="AL387" s="668"/>
      <c r="AM387" s="668">
        <f t="shared" si="115"/>
        <v>0</v>
      </c>
      <c r="AN387" s="668">
        <f t="shared" si="110"/>
        <v>0</v>
      </c>
      <c r="AO387" s="668">
        <f t="shared" si="111"/>
        <v>0</v>
      </c>
      <c r="AP387" s="668">
        <f t="shared" si="116"/>
        <v>300</v>
      </c>
      <c r="AQ387" s="668">
        <f t="shared" si="112"/>
        <v>0</v>
      </c>
      <c r="AR387" s="668">
        <f t="shared" si="113"/>
        <v>0</v>
      </c>
      <c r="AS387" s="668"/>
      <c r="AT387" s="668"/>
      <c r="AU387" s="668"/>
      <c r="AV387" s="668"/>
      <c r="AW387" s="668"/>
      <c r="AX387" s="668"/>
      <c r="AY387" s="668"/>
      <c r="AZ387" s="668"/>
      <c r="BA387" s="668"/>
      <c r="BB387" s="668">
        <f t="shared" si="117"/>
        <v>300</v>
      </c>
      <c r="BC387" s="668"/>
      <c r="BD387" s="668"/>
      <c r="BE387" s="668"/>
      <c r="BF387" s="668"/>
      <c r="BG387" s="668"/>
      <c r="BH387" s="668"/>
      <c r="BI387" s="668"/>
    </row>
    <row r="388" spans="1:61" x14ac:dyDescent="0.2">
      <c r="A388" s="1013">
        <v>2034</v>
      </c>
      <c r="B388" s="1013" t="s">
        <v>685</v>
      </c>
      <c r="C388" s="1013"/>
      <c r="D388" s="667">
        <v>77</v>
      </c>
      <c r="E388" s="667"/>
      <c r="F388" s="667"/>
      <c r="G388" s="667"/>
      <c r="H388" s="667"/>
      <c r="I388" s="667"/>
      <c r="J388" s="667"/>
      <c r="K388" s="667"/>
      <c r="L388" s="667"/>
      <c r="M388" s="667"/>
      <c r="N388" s="667"/>
      <c r="O388" s="667"/>
      <c r="P388" s="667"/>
      <c r="Q388" s="667"/>
      <c r="R388" s="667"/>
      <c r="S388" s="667"/>
      <c r="T388" s="667"/>
      <c r="U388" s="1013">
        <v>10</v>
      </c>
      <c r="V388" s="668">
        <f t="shared" si="119"/>
        <v>770</v>
      </c>
      <c r="W388" s="668">
        <f t="shared" si="120"/>
        <v>0</v>
      </c>
      <c r="X388" s="668">
        <f t="shared" si="121"/>
        <v>0</v>
      </c>
      <c r="Y388" s="668">
        <f t="shared" si="122"/>
        <v>0</v>
      </c>
      <c r="Z388" s="668">
        <f t="shared" si="123"/>
        <v>0</v>
      </c>
      <c r="AA388" s="668">
        <f t="shared" si="124"/>
        <v>0</v>
      </c>
      <c r="AB388" s="668">
        <f t="shared" si="125"/>
        <v>0</v>
      </c>
      <c r="AC388" s="668">
        <f t="shared" si="114"/>
        <v>0</v>
      </c>
      <c r="AD388" s="668">
        <f t="shared" si="126"/>
        <v>0</v>
      </c>
      <c r="AE388" s="668">
        <f t="shared" si="127"/>
        <v>0</v>
      </c>
      <c r="AF388" s="668">
        <f t="shared" si="128"/>
        <v>0</v>
      </c>
      <c r="AG388" s="668">
        <f t="shared" si="129"/>
        <v>0</v>
      </c>
      <c r="AH388" s="668"/>
      <c r="AI388" s="668"/>
      <c r="AJ388" s="668"/>
      <c r="AK388" s="668"/>
      <c r="AL388" s="668"/>
      <c r="AM388" s="668">
        <f t="shared" si="115"/>
        <v>0</v>
      </c>
      <c r="AN388" s="668">
        <f t="shared" si="110"/>
        <v>0</v>
      </c>
      <c r="AO388" s="668">
        <f t="shared" si="111"/>
        <v>0</v>
      </c>
      <c r="AP388" s="668">
        <f t="shared" si="116"/>
        <v>0</v>
      </c>
      <c r="AQ388" s="668">
        <f t="shared" si="112"/>
        <v>0</v>
      </c>
      <c r="AR388" s="668">
        <f t="shared" si="113"/>
        <v>0</v>
      </c>
      <c r="AS388" s="668"/>
      <c r="AT388" s="668"/>
      <c r="AU388" s="668"/>
      <c r="AV388" s="668"/>
      <c r="AW388" s="668"/>
      <c r="AX388" s="668"/>
      <c r="AY388" s="668"/>
      <c r="AZ388" s="668"/>
      <c r="BA388" s="668"/>
      <c r="BB388" s="668">
        <f t="shared" si="117"/>
        <v>0</v>
      </c>
      <c r="BC388" s="668"/>
      <c r="BD388" s="668"/>
      <c r="BE388" s="668"/>
      <c r="BF388" s="668"/>
      <c r="BG388" s="668"/>
      <c r="BH388" s="668"/>
      <c r="BI388" s="668"/>
    </row>
    <row r="389" spans="1:61" x14ac:dyDescent="0.2">
      <c r="A389" s="1013">
        <v>2035</v>
      </c>
      <c r="B389" s="1013" t="s">
        <v>517</v>
      </c>
      <c r="C389" s="1013"/>
      <c r="D389" s="667">
        <v>82</v>
      </c>
      <c r="E389" s="667"/>
      <c r="F389" s="667"/>
      <c r="G389" s="667"/>
      <c r="H389" s="667"/>
      <c r="I389" s="667"/>
      <c r="J389" s="667"/>
      <c r="K389" s="667"/>
      <c r="L389" s="667"/>
      <c r="M389" s="667"/>
      <c r="N389" s="667"/>
      <c r="O389" s="667"/>
      <c r="P389" s="667"/>
      <c r="Q389" s="667"/>
      <c r="R389" s="667"/>
      <c r="S389" s="667"/>
      <c r="T389" s="667"/>
      <c r="U389" s="1013">
        <v>12</v>
      </c>
      <c r="V389" s="668">
        <f t="shared" si="119"/>
        <v>984</v>
      </c>
      <c r="W389" s="668">
        <f t="shared" si="120"/>
        <v>0</v>
      </c>
      <c r="X389" s="668">
        <f t="shared" si="121"/>
        <v>0</v>
      </c>
      <c r="Y389" s="668">
        <f t="shared" si="122"/>
        <v>0</v>
      </c>
      <c r="Z389" s="668">
        <f t="shared" si="123"/>
        <v>0</v>
      </c>
      <c r="AA389" s="668">
        <f t="shared" si="124"/>
        <v>0</v>
      </c>
      <c r="AB389" s="668">
        <f t="shared" si="125"/>
        <v>0</v>
      </c>
      <c r="AC389" s="668">
        <f t="shared" si="114"/>
        <v>0</v>
      </c>
      <c r="AD389" s="668">
        <f t="shared" si="126"/>
        <v>0</v>
      </c>
      <c r="AE389" s="668">
        <f t="shared" si="127"/>
        <v>0</v>
      </c>
      <c r="AF389" s="668">
        <f t="shared" si="128"/>
        <v>0</v>
      </c>
      <c r="AG389" s="668">
        <f t="shared" si="129"/>
        <v>0</v>
      </c>
      <c r="AH389" s="668"/>
      <c r="AI389" s="668"/>
      <c r="AJ389" s="668"/>
      <c r="AK389" s="668"/>
      <c r="AL389" s="668"/>
      <c r="AM389" s="668">
        <f t="shared" si="115"/>
        <v>0</v>
      </c>
      <c r="AN389" s="668">
        <f t="shared" si="110"/>
        <v>0</v>
      </c>
      <c r="AO389" s="668">
        <f t="shared" si="111"/>
        <v>0</v>
      </c>
      <c r="AP389" s="668">
        <f t="shared" si="116"/>
        <v>0</v>
      </c>
      <c r="AQ389" s="668">
        <f t="shared" si="112"/>
        <v>0</v>
      </c>
      <c r="AR389" s="668">
        <f t="shared" si="113"/>
        <v>0</v>
      </c>
      <c r="AS389" s="668"/>
      <c r="AT389" s="668"/>
      <c r="AU389" s="668"/>
      <c r="AV389" s="668"/>
      <c r="AW389" s="668"/>
      <c r="AX389" s="668"/>
      <c r="AY389" s="668"/>
      <c r="AZ389" s="668"/>
      <c r="BA389" s="668"/>
      <c r="BB389" s="668">
        <f t="shared" si="117"/>
        <v>0</v>
      </c>
      <c r="BC389" s="668"/>
      <c r="BD389" s="668"/>
      <c r="BE389" s="668"/>
      <c r="BF389" s="668"/>
      <c r="BG389" s="668"/>
      <c r="BH389" s="668"/>
      <c r="BI389" s="668"/>
    </row>
    <row r="390" spans="1:61" x14ac:dyDescent="0.2">
      <c r="A390" s="1013">
        <v>2036</v>
      </c>
      <c r="B390" s="1013" t="s">
        <v>519</v>
      </c>
      <c r="C390" s="1013"/>
      <c r="D390" s="667">
        <v>35</v>
      </c>
      <c r="E390" s="667"/>
      <c r="F390" s="667">
        <v>15</v>
      </c>
      <c r="G390" s="667"/>
      <c r="H390" s="667"/>
      <c r="I390" s="667"/>
      <c r="J390" s="667"/>
      <c r="K390" s="667"/>
      <c r="L390" s="667"/>
      <c r="M390" s="667"/>
      <c r="N390" s="667"/>
      <c r="O390" s="667"/>
      <c r="P390" s="667"/>
      <c r="Q390" s="667"/>
      <c r="R390" s="667"/>
      <c r="S390" s="667"/>
      <c r="T390" s="667">
        <v>155</v>
      </c>
      <c r="U390" s="1013">
        <v>12</v>
      </c>
      <c r="V390" s="668">
        <f t="shared" si="119"/>
        <v>420</v>
      </c>
      <c r="W390" s="668">
        <f t="shared" si="120"/>
        <v>0</v>
      </c>
      <c r="X390" s="668">
        <f t="shared" si="121"/>
        <v>0</v>
      </c>
      <c r="Y390" s="668">
        <f t="shared" si="122"/>
        <v>0</v>
      </c>
      <c r="Z390" s="668">
        <f t="shared" si="123"/>
        <v>0</v>
      </c>
      <c r="AA390" s="668">
        <f t="shared" si="124"/>
        <v>0</v>
      </c>
      <c r="AB390" s="668">
        <f t="shared" si="125"/>
        <v>155</v>
      </c>
      <c r="AC390" s="668">
        <f t="shared" si="114"/>
        <v>0</v>
      </c>
      <c r="AD390" s="668">
        <f t="shared" si="126"/>
        <v>0</v>
      </c>
      <c r="AE390" s="668">
        <f t="shared" si="127"/>
        <v>0</v>
      </c>
      <c r="AF390" s="668">
        <f t="shared" si="128"/>
        <v>0</v>
      </c>
      <c r="AG390" s="668">
        <f t="shared" si="129"/>
        <v>0</v>
      </c>
      <c r="AH390" s="668"/>
      <c r="AI390" s="668"/>
      <c r="AJ390" s="668"/>
      <c r="AK390" s="668"/>
      <c r="AL390" s="668"/>
      <c r="AM390" s="668">
        <f t="shared" si="115"/>
        <v>0</v>
      </c>
      <c r="AN390" s="668">
        <f t="shared" si="110"/>
        <v>0</v>
      </c>
      <c r="AO390" s="668">
        <f t="shared" si="111"/>
        <v>0</v>
      </c>
      <c r="AP390" s="668">
        <f t="shared" si="116"/>
        <v>180</v>
      </c>
      <c r="AQ390" s="668">
        <f t="shared" si="112"/>
        <v>0</v>
      </c>
      <c r="AR390" s="668">
        <f t="shared" si="113"/>
        <v>0</v>
      </c>
      <c r="AS390" s="668"/>
      <c r="AT390" s="668"/>
      <c r="AU390" s="668"/>
      <c r="AV390" s="668"/>
      <c r="AW390" s="668"/>
      <c r="AX390" s="668"/>
      <c r="AY390" s="668"/>
      <c r="AZ390" s="668"/>
      <c r="BA390" s="668"/>
      <c r="BB390" s="668">
        <f t="shared" si="117"/>
        <v>180</v>
      </c>
      <c r="BC390" s="668"/>
      <c r="BD390" s="668"/>
      <c r="BE390" s="668"/>
      <c r="BF390" s="668"/>
      <c r="BG390" s="668"/>
      <c r="BH390" s="668"/>
      <c r="BI390" s="668"/>
    </row>
    <row r="391" spans="1:61" x14ac:dyDescent="0.2">
      <c r="A391" s="1013">
        <v>2037</v>
      </c>
      <c r="B391" s="1013" t="s">
        <v>519</v>
      </c>
      <c r="C391" s="1013"/>
      <c r="D391" s="667">
        <v>35</v>
      </c>
      <c r="E391" s="667"/>
      <c r="F391" s="667">
        <v>15</v>
      </c>
      <c r="G391" s="667"/>
      <c r="H391" s="667"/>
      <c r="I391" s="667"/>
      <c r="J391" s="667"/>
      <c r="K391" s="667"/>
      <c r="L391" s="667"/>
      <c r="M391" s="667"/>
      <c r="N391" s="667"/>
      <c r="O391" s="667"/>
      <c r="P391" s="667"/>
      <c r="Q391" s="667"/>
      <c r="R391" s="667"/>
      <c r="S391" s="667"/>
      <c r="T391" s="667">
        <v>155</v>
      </c>
      <c r="U391" s="1013">
        <v>12</v>
      </c>
      <c r="V391" s="668">
        <f t="shared" si="119"/>
        <v>420</v>
      </c>
      <c r="W391" s="668">
        <f t="shared" si="120"/>
        <v>0</v>
      </c>
      <c r="X391" s="668">
        <f t="shared" si="121"/>
        <v>0</v>
      </c>
      <c r="Y391" s="668">
        <f t="shared" si="122"/>
        <v>0</v>
      </c>
      <c r="Z391" s="668">
        <f t="shared" si="123"/>
        <v>0</v>
      </c>
      <c r="AA391" s="668">
        <f t="shared" si="124"/>
        <v>0</v>
      </c>
      <c r="AB391" s="668">
        <f t="shared" si="125"/>
        <v>155</v>
      </c>
      <c r="AC391" s="668">
        <f t="shared" si="114"/>
        <v>0</v>
      </c>
      <c r="AD391" s="668">
        <f t="shared" si="126"/>
        <v>0</v>
      </c>
      <c r="AE391" s="668">
        <f t="shared" si="127"/>
        <v>0</v>
      </c>
      <c r="AF391" s="668">
        <f t="shared" si="128"/>
        <v>0</v>
      </c>
      <c r="AG391" s="668">
        <f t="shared" si="129"/>
        <v>0</v>
      </c>
      <c r="AH391" s="668"/>
      <c r="AI391" s="668"/>
      <c r="AJ391" s="668"/>
      <c r="AK391" s="668"/>
      <c r="AL391" s="668"/>
      <c r="AM391" s="668">
        <f t="shared" si="115"/>
        <v>0</v>
      </c>
      <c r="AN391" s="668">
        <f t="shared" si="110"/>
        <v>0</v>
      </c>
      <c r="AO391" s="668">
        <f t="shared" si="111"/>
        <v>0</v>
      </c>
      <c r="AP391" s="668">
        <f t="shared" si="116"/>
        <v>180</v>
      </c>
      <c r="AQ391" s="668">
        <f t="shared" si="112"/>
        <v>0</v>
      </c>
      <c r="AR391" s="668">
        <f t="shared" si="113"/>
        <v>0</v>
      </c>
      <c r="AS391" s="668"/>
      <c r="AT391" s="668"/>
      <c r="AU391" s="668"/>
      <c r="AV391" s="668"/>
      <c r="AW391" s="668"/>
      <c r="AX391" s="668"/>
      <c r="AY391" s="668"/>
      <c r="AZ391" s="668"/>
      <c r="BA391" s="668"/>
      <c r="BB391" s="668">
        <f t="shared" si="117"/>
        <v>180</v>
      </c>
      <c r="BC391" s="668"/>
      <c r="BD391" s="668"/>
      <c r="BE391" s="668"/>
      <c r="BF391" s="668"/>
      <c r="BG391" s="668"/>
      <c r="BH391" s="668"/>
      <c r="BI391" s="668"/>
    </row>
    <row r="392" spans="1:61" x14ac:dyDescent="0.2">
      <c r="A392" s="1013">
        <v>2038</v>
      </c>
      <c r="B392" s="1013" t="s">
        <v>515</v>
      </c>
      <c r="C392" s="1013"/>
      <c r="D392" s="667">
        <v>90</v>
      </c>
      <c r="E392" s="667"/>
      <c r="F392" s="667">
        <v>90</v>
      </c>
      <c r="G392" s="667"/>
      <c r="H392" s="667"/>
      <c r="I392" s="667"/>
      <c r="J392" s="667"/>
      <c r="K392" s="667"/>
      <c r="L392" s="667"/>
      <c r="M392" s="667"/>
      <c r="N392" s="667"/>
      <c r="O392" s="667"/>
      <c r="P392" s="667"/>
      <c r="Q392" s="667"/>
      <c r="R392" s="667"/>
      <c r="S392" s="667"/>
      <c r="T392" s="667">
        <v>3043</v>
      </c>
      <c r="U392" s="1013">
        <v>12</v>
      </c>
      <c r="V392" s="668">
        <f t="shared" si="119"/>
        <v>1080</v>
      </c>
      <c r="W392" s="668">
        <f t="shared" si="120"/>
        <v>0</v>
      </c>
      <c r="X392" s="668">
        <f t="shared" si="121"/>
        <v>0</v>
      </c>
      <c r="Y392" s="668">
        <f t="shared" si="122"/>
        <v>0</v>
      </c>
      <c r="Z392" s="668">
        <f t="shared" si="123"/>
        <v>0</v>
      </c>
      <c r="AA392" s="668">
        <f t="shared" si="124"/>
        <v>0</v>
      </c>
      <c r="AB392" s="668">
        <f t="shared" si="125"/>
        <v>3043</v>
      </c>
      <c r="AC392" s="668">
        <f t="shared" si="114"/>
        <v>0</v>
      </c>
      <c r="AD392" s="668">
        <f t="shared" si="126"/>
        <v>0</v>
      </c>
      <c r="AE392" s="668">
        <f t="shared" si="127"/>
        <v>0</v>
      </c>
      <c r="AF392" s="668">
        <f t="shared" si="128"/>
        <v>0</v>
      </c>
      <c r="AG392" s="668">
        <f t="shared" si="129"/>
        <v>0</v>
      </c>
      <c r="AH392" s="668"/>
      <c r="AI392" s="668"/>
      <c r="AJ392" s="668"/>
      <c r="AK392" s="668"/>
      <c r="AL392" s="668"/>
      <c r="AM392" s="668">
        <f t="shared" si="115"/>
        <v>0</v>
      </c>
      <c r="AN392" s="668">
        <f t="shared" ref="AN392:AN455" si="130">+U392*E392</f>
        <v>0</v>
      </c>
      <c r="AO392" s="668">
        <f t="shared" ref="AO392:AO455" si="131">+U392*O392</f>
        <v>0</v>
      </c>
      <c r="AP392" s="668">
        <f t="shared" si="116"/>
        <v>1080</v>
      </c>
      <c r="AQ392" s="668">
        <f t="shared" ref="AQ392:AQ455" si="132">+$AQ$4*K392</f>
        <v>0</v>
      </c>
      <c r="AR392" s="668">
        <f t="shared" ref="AR392:AR455" si="133">+$AR$4*K392</f>
        <v>0</v>
      </c>
      <c r="AS392" s="668"/>
      <c r="AT392" s="668"/>
      <c r="AU392" s="668"/>
      <c r="AV392" s="668"/>
      <c r="AW392" s="668"/>
      <c r="AX392" s="668"/>
      <c r="AY392" s="668"/>
      <c r="AZ392" s="668"/>
      <c r="BA392" s="668"/>
      <c r="BB392" s="668"/>
      <c r="BC392" s="668"/>
      <c r="BD392" s="668"/>
      <c r="BE392" s="668"/>
      <c r="BF392" s="668"/>
      <c r="BG392" s="668"/>
      <c r="BH392" s="668"/>
      <c r="BI392" s="668"/>
    </row>
    <row r="393" spans="1:61" x14ac:dyDescent="0.2">
      <c r="A393" s="1013">
        <v>2039</v>
      </c>
      <c r="B393" s="1013" t="s">
        <v>515</v>
      </c>
      <c r="C393" s="1013"/>
      <c r="D393" s="667">
        <v>138</v>
      </c>
      <c r="E393" s="667"/>
      <c r="F393" s="667">
        <v>90</v>
      </c>
      <c r="G393" s="667"/>
      <c r="H393" s="667"/>
      <c r="I393" s="667"/>
      <c r="J393" s="667"/>
      <c r="K393" s="667"/>
      <c r="L393" s="667"/>
      <c r="M393" s="667"/>
      <c r="N393" s="667"/>
      <c r="O393" s="667"/>
      <c r="P393" s="667"/>
      <c r="Q393" s="667"/>
      <c r="R393" s="667"/>
      <c r="S393" s="667"/>
      <c r="T393" s="667">
        <v>4525</v>
      </c>
      <c r="U393" s="1013">
        <v>12</v>
      </c>
      <c r="V393" s="668">
        <f t="shared" si="119"/>
        <v>1656</v>
      </c>
      <c r="W393" s="668">
        <f t="shared" si="120"/>
        <v>0</v>
      </c>
      <c r="X393" s="668">
        <f t="shared" si="121"/>
        <v>0</v>
      </c>
      <c r="Y393" s="668">
        <f t="shared" si="122"/>
        <v>0</v>
      </c>
      <c r="Z393" s="668">
        <f t="shared" si="123"/>
        <v>0</v>
      </c>
      <c r="AA393" s="668">
        <f t="shared" si="124"/>
        <v>0</v>
      </c>
      <c r="AB393" s="668">
        <f t="shared" si="125"/>
        <v>4525</v>
      </c>
      <c r="AC393" s="668">
        <f t="shared" si="114"/>
        <v>0</v>
      </c>
      <c r="AD393" s="668">
        <f t="shared" si="126"/>
        <v>0</v>
      </c>
      <c r="AE393" s="668">
        <f t="shared" si="127"/>
        <v>0</v>
      </c>
      <c r="AF393" s="668">
        <f t="shared" si="128"/>
        <v>0</v>
      </c>
      <c r="AG393" s="668">
        <f t="shared" si="129"/>
        <v>0</v>
      </c>
      <c r="AH393" s="668"/>
      <c r="AI393" s="668"/>
      <c r="AJ393" s="668"/>
      <c r="AK393" s="668"/>
      <c r="AL393" s="668"/>
      <c r="AM393" s="668">
        <f t="shared" si="115"/>
        <v>0</v>
      </c>
      <c r="AN393" s="668">
        <f t="shared" si="130"/>
        <v>0</v>
      </c>
      <c r="AO393" s="668">
        <f t="shared" si="131"/>
        <v>0</v>
      </c>
      <c r="AP393" s="668">
        <f t="shared" si="116"/>
        <v>1080</v>
      </c>
      <c r="AQ393" s="668">
        <f t="shared" si="132"/>
        <v>0</v>
      </c>
      <c r="AR393" s="668">
        <f t="shared" si="133"/>
        <v>0</v>
      </c>
      <c r="AS393" s="668"/>
      <c r="AT393" s="668"/>
      <c r="AU393" s="668"/>
      <c r="AV393" s="668"/>
      <c r="AW393" s="668"/>
      <c r="AX393" s="668"/>
      <c r="AY393" s="668"/>
      <c r="AZ393" s="668"/>
      <c r="BA393" s="668"/>
      <c r="BB393" s="668"/>
      <c r="BC393" s="668"/>
      <c r="BD393" s="668"/>
      <c r="BE393" s="668"/>
      <c r="BF393" s="668"/>
      <c r="BG393" s="668"/>
      <c r="BH393" s="668"/>
      <c r="BI393" s="668"/>
    </row>
    <row r="394" spans="1:61" x14ac:dyDescent="0.2">
      <c r="A394" s="1013">
        <v>2040</v>
      </c>
      <c r="B394" s="1013" t="s">
        <v>519</v>
      </c>
      <c r="C394" s="1013"/>
      <c r="D394" s="667">
        <v>35</v>
      </c>
      <c r="E394" s="667"/>
      <c r="F394" s="667">
        <v>15</v>
      </c>
      <c r="G394" s="667"/>
      <c r="H394" s="667"/>
      <c r="I394" s="667"/>
      <c r="J394" s="667"/>
      <c r="K394" s="667"/>
      <c r="L394" s="667"/>
      <c r="M394" s="667"/>
      <c r="N394" s="667"/>
      <c r="O394" s="667"/>
      <c r="P394" s="667"/>
      <c r="Q394" s="667"/>
      <c r="R394" s="667"/>
      <c r="S394" s="667"/>
      <c r="T394" s="667">
        <v>155</v>
      </c>
      <c r="U394" s="1013">
        <v>12</v>
      </c>
      <c r="V394" s="668">
        <f t="shared" si="119"/>
        <v>420</v>
      </c>
      <c r="W394" s="668">
        <f t="shared" si="120"/>
        <v>0</v>
      </c>
      <c r="X394" s="668">
        <f t="shared" si="121"/>
        <v>0</v>
      </c>
      <c r="Y394" s="668">
        <f t="shared" si="122"/>
        <v>0</v>
      </c>
      <c r="Z394" s="668">
        <f t="shared" si="123"/>
        <v>0</v>
      </c>
      <c r="AA394" s="668">
        <f t="shared" si="124"/>
        <v>0</v>
      </c>
      <c r="AB394" s="668">
        <f t="shared" si="125"/>
        <v>155</v>
      </c>
      <c r="AC394" s="668">
        <f t="shared" ref="AC394:AC457" si="134">+U394*P394</f>
        <v>0</v>
      </c>
      <c r="AD394" s="668">
        <f t="shared" si="126"/>
        <v>0</v>
      </c>
      <c r="AE394" s="668">
        <f t="shared" si="127"/>
        <v>0</v>
      </c>
      <c r="AF394" s="668">
        <f t="shared" si="128"/>
        <v>0</v>
      </c>
      <c r="AG394" s="668">
        <f t="shared" si="129"/>
        <v>0</v>
      </c>
      <c r="AH394" s="668"/>
      <c r="AI394" s="668"/>
      <c r="AJ394" s="668"/>
      <c r="AK394" s="668"/>
      <c r="AL394" s="668"/>
      <c r="AM394" s="668">
        <f t="shared" si="115"/>
        <v>0</v>
      </c>
      <c r="AN394" s="668">
        <f t="shared" si="130"/>
        <v>0</v>
      </c>
      <c r="AO394" s="668">
        <f t="shared" si="131"/>
        <v>0</v>
      </c>
      <c r="AP394" s="668">
        <f t="shared" si="116"/>
        <v>180</v>
      </c>
      <c r="AQ394" s="668">
        <f t="shared" si="132"/>
        <v>0</v>
      </c>
      <c r="AR394" s="668">
        <f t="shared" si="133"/>
        <v>0</v>
      </c>
      <c r="AS394" s="668"/>
      <c r="AT394" s="668"/>
      <c r="AU394" s="668"/>
      <c r="AV394" s="668"/>
      <c r="AW394" s="668"/>
      <c r="AX394" s="668"/>
      <c r="AY394" s="668"/>
      <c r="AZ394" s="668"/>
      <c r="BA394" s="668"/>
      <c r="BB394" s="668">
        <f t="shared" si="117"/>
        <v>180</v>
      </c>
      <c r="BC394" s="668"/>
      <c r="BD394" s="668"/>
      <c r="BE394" s="668"/>
      <c r="BF394" s="668"/>
      <c r="BG394" s="668"/>
      <c r="BH394" s="668"/>
      <c r="BI394" s="668"/>
    </row>
    <row r="395" spans="1:61" x14ac:dyDescent="0.2">
      <c r="A395" s="1013">
        <v>2041</v>
      </c>
      <c r="B395" s="1013" t="s">
        <v>519</v>
      </c>
      <c r="C395" s="1013"/>
      <c r="D395" s="667">
        <v>35</v>
      </c>
      <c r="E395" s="667"/>
      <c r="F395" s="667">
        <v>15</v>
      </c>
      <c r="G395" s="667"/>
      <c r="H395" s="667"/>
      <c r="I395" s="667"/>
      <c r="J395" s="667"/>
      <c r="K395" s="667"/>
      <c r="L395" s="667"/>
      <c r="M395" s="667"/>
      <c r="N395" s="667"/>
      <c r="O395" s="667"/>
      <c r="P395" s="667"/>
      <c r="Q395" s="667"/>
      <c r="R395" s="667"/>
      <c r="S395" s="667"/>
      <c r="T395" s="667">
        <v>155</v>
      </c>
      <c r="U395" s="1013">
        <v>12</v>
      </c>
      <c r="V395" s="668">
        <f t="shared" si="119"/>
        <v>420</v>
      </c>
      <c r="W395" s="668">
        <f t="shared" si="120"/>
        <v>0</v>
      </c>
      <c r="X395" s="668">
        <f t="shared" si="121"/>
        <v>0</v>
      </c>
      <c r="Y395" s="668">
        <f t="shared" si="122"/>
        <v>0</v>
      </c>
      <c r="Z395" s="668">
        <f t="shared" si="123"/>
        <v>0</v>
      </c>
      <c r="AA395" s="668">
        <f t="shared" si="124"/>
        <v>0</v>
      </c>
      <c r="AB395" s="668">
        <f t="shared" si="125"/>
        <v>155</v>
      </c>
      <c r="AC395" s="668">
        <f t="shared" si="134"/>
        <v>0</v>
      </c>
      <c r="AD395" s="668">
        <f t="shared" si="126"/>
        <v>0</v>
      </c>
      <c r="AE395" s="668">
        <f t="shared" si="127"/>
        <v>0</v>
      </c>
      <c r="AF395" s="668">
        <f t="shared" si="128"/>
        <v>0</v>
      </c>
      <c r="AG395" s="668">
        <f t="shared" si="129"/>
        <v>0</v>
      </c>
      <c r="AH395" s="668"/>
      <c r="AI395" s="668"/>
      <c r="AJ395" s="668"/>
      <c r="AK395" s="668"/>
      <c r="AL395" s="668"/>
      <c r="AM395" s="668">
        <f t="shared" si="115"/>
        <v>0</v>
      </c>
      <c r="AN395" s="668">
        <f t="shared" si="130"/>
        <v>0</v>
      </c>
      <c r="AO395" s="668">
        <f t="shared" si="131"/>
        <v>0</v>
      </c>
      <c r="AP395" s="668">
        <f t="shared" si="116"/>
        <v>180</v>
      </c>
      <c r="AQ395" s="668">
        <f t="shared" si="132"/>
        <v>0</v>
      </c>
      <c r="AR395" s="668">
        <f t="shared" si="133"/>
        <v>0</v>
      </c>
      <c r="AS395" s="668"/>
      <c r="AT395" s="668"/>
      <c r="AU395" s="668"/>
      <c r="AV395" s="668"/>
      <c r="AW395" s="668"/>
      <c r="AX395" s="668"/>
      <c r="AY395" s="668"/>
      <c r="AZ395" s="668"/>
      <c r="BA395" s="668"/>
      <c r="BB395" s="668">
        <f t="shared" si="117"/>
        <v>180</v>
      </c>
      <c r="BC395" s="668"/>
      <c r="BD395" s="668"/>
      <c r="BE395" s="668"/>
      <c r="BF395" s="668"/>
      <c r="BG395" s="668"/>
      <c r="BH395" s="668"/>
      <c r="BI395" s="668"/>
    </row>
    <row r="396" spans="1:61" x14ac:dyDescent="0.2">
      <c r="A396" s="1013">
        <v>2042</v>
      </c>
      <c r="B396" s="1013" t="s">
        <v>476</v>
      </c>
      <c r="C396" s="1013"/>
      <c r="D396" s="667">
        <v>53</v>
      </c>
      <c r="E396" s="667"/>
      <c r="F396" s="667"/>
      <c r="G396" s="667"/>
      <c r="H396" s="667"/>
      <c r="I396" s="667"/>
      <c r="J396" s="667"/>
      <c r="K396" s="667"/>
      <c r="L396" s="667"/>
      <c r="M396" s="667"/>
      <c r="N396" s="667"/>
      <c r="O396" s="667"/>
      <c r="P396" s="667"/>
      <c r="Q396" s="667"/>
      <c r="R396" s="667"/>
      <c r="S396" s="667"/>
      <c r="T396" s="667"/>
      <c r="U396" s="1013">
        <v>12</v>
      </c>
      <c r="V396" s="668">
        <f t="shared" si="119"/>
        <v>636</v>
      </c>
      <c r="W396" s="668">
        <f t="shared" si="120"/>
        <v>0</v>
      </c>
      <c r="X396" s="668">
        <f t="shared" si="121"/>
        <v>0</v>
      </c>
      <c r="Y396" s="668">
        <f t="shared" si="122"/>
        <v>0</v>
      </c>
      <c r="Z396" s="668">
        <f t="shared" si="123"/>
        <v>0</v>
      </c>
      <c r="AA396" s="668">
        <f t="shared" si="124"/>
        <v>0</v>
      </c>
      <c r="AB396" s="668">
        <f t="shared" si="125"/>
        <v>0</v>
      </c>
      <c r="AC396" s="668">
        <f t="shared" si="134"/>
        <v>0</v>
      </c>
      <c r="AD396" s="668">
        <f t="shared" si="126"/>
        <v>0</v>
      </c>
      <c r="AE396" s="668">
        <f t="shared" si="127"/>
        <v>0</v>
      </c>
      <c r="AF396" s="668">
        <f t="shared" si="128"/>
        <v>0</v>
      </c>
      <c r="AG396" s="668">
        <f t="shared" si="129"/>
        <v>0</v>
      </c>
      <c r="AH396" s="668"/>
      <c r="AI396" s="668"/>
      <c r="AJ396" s="668"/>
      <c r="AK396" s="668"/>
      <c r="AL396" s="668"/>
      <c r="AM396" s="668">
        <f t="shared" si="115"/>
        <v>0</v>
      </c>
      <c r="AN396" s="668">
        <f t="shared" si="130"/>
        <v>0</v>
      </c>
      <c r="AO396" s="668">
        <f t="shared" si="131"/>
        <v>0</v>
      </c>
      <c r="AP396" s="668">
        <f t="shared" si="116"/>
        <v>0</v>
      </c>
      <c r="AQ396" s="668">
        <f t="shared" si="132"/>
        <v>0</v>
      </c>
      <c r="AR396" s="668">
        <f t="shared" si="133"/>
        <v>0</v>
      </c>
      <c r="AS396" s="668"/>
      <c r="AT396" s="668"/>
      <c r="AU396" s="668"/>
      <c r="AV396" s="668"/>
      <c r="AW396" s="668"/>
      <c r="AX396" s="668"/>
      <c r="AY396" s="668"/>
      <c r="AZ396" s="668"/>
      <c r="BA396" s="668"/>
      <c r="BB396" s="668">
        <f t="shared" si="117"/>
        <v>0</v>
      </c>
      <c r="BC396" s="668"/>
      <c r="BD396" s="668"/>
      <c r="BE396" s="668"/>
      <c r="BF396" s="668"/>
      <c r="BG396" s="668"/>
      <c r="BH396" s="668"/>
      <c r="BI396" s="668"/>
    </row>
    <row r="397" spans="1:61" x14ac:dyDescent="0.2">
      <c r="A397" s="1013">
        <v>2043</v>
      </c>
      <c r="B397" s="1013" t="s">
        <v>579</v>
      </c>
      <c r="C397" s="1013"/>
      <c r="D397" s="667">
        <v>46</v>
      </c>
      <c r="E397" s="667"/>
      <c r="F397" s="667"/>
      <c r="G397" s="667"/>
      <c r="H397" s="667"/>
      <c r="I397" s="667"/>
      <c r="J397" s="667"/>
      <c r="K397" s="667"/>
      <c r="L397" s="667"/>
      <c r="M397" s="667"/>
      <c r="N397" s="667"/>
      <c r="O397" s="667"/>
      <c r="P397" s="667"/>
      <c r="Q397" s="667"/>
      <c r="R397" s="667"/>
      <c r="S397" s="667"/>
      <c r="T397" s="667"/>
      <c r="U397" s="1013">
        <v>12</v>
      </c>
      <c r="V397" s="668">
        <f t="shared" si="119"/>
        <v>552</v>
      </c>
      <c r="W397" s="668">
        <f t="shared" si="120"/>
        <v>0</v>
      </c>
      <c r="X397" s="668">
        <f t="shared" si="121"/>
        <v>0</v>
      </c>
      <c r="Y397" s="668">
        <f t="shared" si="122"/>
        <v>0</v>
      </c>
      <c r="Z397" s="668">
        <f t="shared" si="123"/>
        <v>0</v>
      </c>
      <c r="AA397" s="668">
        <f t="shared" si="124"/>
        <v>0</v>
      </c>
      <c r="AB397" s="668">
        <f t="shared" si="125"/>
        <v>0</v>
      </c>
      <c r="AC397" s="668">
        <f t="shared" si="134"/>
        <v>0</v>
      </c>
      <c r="AD397" s="668">
        <f t="shared" si="126"/>
        <v>0</v>
      </c>
      <c r="AE397" s="668">
        <f t="shared" si="127"/>
        <v>0</v>
      </c>
      <c r="AF397" s="668">
        <f t="shared" si="128"/>
        <v>0</v>
      </c>
      <c r="AG397" s="668">
        <f t="shared" si="129"/>
        <v>0</v>
      </c>
      <c r="AH397" s="668"/>
      <c r="AI397" s="668"/>
      <c r="AJ397" s="668"/>
      <c r="AK397" s="668"/>
      <c r="AL397" s="668"/>
      <c r="AM397" s="668">
        <f t="shared" si="115"/>
        <v>0</v>
      </c>
      <c r="AN397" s="668">
        <f t="shared" si="130"/>
        <v>0</v>
      </c>
      <c r="AO397" s="668">
        <f t="shared" si="131"/>
        <v>0</v>
      </c>
      <c r="AP397" s="668">
        <f t="shared" si="116"/>
        <v>0</v>
      </c>
      <c r="AQ397" s="668">
        <f t="shared" si="132"/>
        <v>0</v>
      </c>
      <c r="AR397" s="668">
        <f t="shared" si="133"/>
        <v>0</v>
      </c>
      <c r="AS397" s="668"/>
      <c r="AT397" s="668"/>
      <c r="AU397" s="668"/>
      <c r="AV397" s="668"/>
      <c r="AW397" s="668"/>
      <c r="AX397" s="668"/>
      <c r="AY397" s="668"/>
      <c r="AZ397" s="668"/>
      <c r="BA397" s="668"/>
      <c r="BB397" s="668">
        <f t="shared" si="117"/>
        <v>0</v>
      </c>
      <c r="BC397" s="668"/>
      <c r="BD397" s="668"/>
      <c r="BE397" s="668"/>
      <c r="BF397" s="668"/>
      <c r="BG397" s="668"/>
      <c r="BH397" s="668"/>
      <c r="BI397" s="668"/>
    </row>
    <row r="398" spans="1:61" x14ac:dyDescent="0.2">
      <c r="A398" s="1013">
        <v>2044</v>
      </c>
      <c r="B398" s="1013" t="s">
        <v>686</v>
      </c>
      <c r="C398" s="1013"/>
      <c r="D398" s="667">
        <v>72</v>
      </c>
      <c r="E398" s="667"/>
      <c r="F398" s="667"/>
      <c r="G398" s="667"/>
      <c r="H398" s="667"/>
      <c r="I398" s="667"/>
      <c r="J398" s="667"/>
      <c r="K398" s="667"/>
      <c r="L398" s="667"/>
      <c r="M398" s="667"/>
      <c r="N398" s="667"/>
      <c r="O398" s="667"/>
      <c r="P398" s="667"/>
      <c r="Q398" s="667"/>
      <c r="R398" s="667"/>
      <c r="S398" s="667"/>
      <c r="T398" s="667"/>
      <c r="U398" s="1013">
        <v>10</v>
      </c>
      <c r="V398" s="668">
        <f t="shared" si="119"/>
        <v>720</v>
      </c>
      <c r="W398" s="668">
        <f t="shared" si="120"/>
        <v>0</v>
      </c>
      <c r="X398" s="668">
        <f t="shared" si="121"/>
        <v>0</v>
      </c>
      <c r="Y398" s="668">
        <f t="shared" si="122"/>
        <v>0</v>
      </c>
      <c r="Z398" s="668">
        <f t="shared" si="123"/>
        <v>0</v>
      </c>
      <c r="AA398" s="668">
        <f t="shared" si="124"/>
        <v>0</v>
      </c>
      <c r="AB398" s="668">
        <f t="shared" si="125"/>
        <v>0</v>
      </c>
      <c r="AC398" s="668">
        <f t="shared" si="134"/>
        <v>0</v>
      </c>
      <c r="AD398" s="668">
        <f t="shared" si="126"/>
        <v>0</v>
      </c>
      <c r="AE398" s="668">
        <f t="shared" si="127"/>
        <v>0</v>
      </c>
      <c r="AF398" s="668">
        <f t="shared" si="128"/>
        <v>0</v>
      </c>
      <c r="AG398" s="668">
        <f t="shared" si="129"/>
        <v>0</v>
      </c>
      <c r="AH398" s="668"/>
      <c r="AI398" s="668"/>
      <c r="AJ398" s="668"/>
      <c r="AK398" s="668"/>
      <c r="AL398" s="668"/>
      <c r="AM398" s="668">
        <f t="shared" si="115"/>
        <v>0</v>
      </c>
      <c r="AN398" s="668">
        <f t="shared" si="130"/>
        <v>0</v>
      </c>
      <c r="AO398" s="668">
        <f t="shared" si="131"/>
        <v>0</v>
      </c>
      <c r="AP398" s="668">
        <f t="shared" si="116"/>
        <v>0</v>
      </c>
      <c r="AQ398" s="668">
        <f t="shared" si="132"/>
        <v>0</v>
      </c>
      <c r="AR398" s="668">
        <f t="shared" si="133"/>
        <v>0</v>
      </c>
      <c r="AS398" s="668"/>
      <c r="AT398" s="668"/>
      <c r="AU398" s="668"/>
      <c r="AV398" s="668"/>
      <c r="AW398" s="668"/>
      <c r="AX398" s="668"/>
      <c r="AY398" s="668"/>
      <c r="AZ398" s="668"/>
      <c r="BA398" s="668"/>
      <c r="BB398" s="668">
        <f t="shared" si="117"/>
        <v>0</v>
      </c>
      <c r="BC398" s="668"/>
      <c r="BD398" s="668"/>
      <c r="BE398" s="668"/>
      <c r="BF398" s="668"/>
      <c r="BG398" s="668"/>
      <c r="BH398" s="668"/>
      <c r="BI398" s="668"/>
    </row>
    <row r="399" spans="1:61" x14ac:dyDescent="0.2">
      <c r="A399" s="1013">
        <v>2045</v>
      </c>
      <c r="B399" s="1013" t="s">
        <v>684</v>
      </c>
      <c r="C399" s="1013"/>
      <c r="D399" s="667">
        <v>42</v>
      </c>
      <c r="E399" s="667"/>
      <c r="F399" s="667">
        <f>+D399</f>
        <v>42</v>
      </c>
      <c r="G399" s="667"/>
      <c r="H399" s="667"/>
      <c r="I399" s="667"/>
      <c r="J399" s="667"/>
      <c r="K399" s="667"/>
      <c r="L399" s="667"/>
      <c r="M399" s="667"/>
      <c r="N399" s="667"/>
      <c r="O399" s="667"/>
      <c r="P399" s="667"/>
      <c r="Q399" s="667"/>
      <c r="R399" s="667"/>
      <c r="S399" s="667"/>
      <c r="T399" s="667"/>
      <c r="U399" s="1013">
        <v>10</v>
      </c>
      <c r="V399" s="668">
        <f t="shared" si="119"/>
        <v>420</v>
      </c>
      <c r="W399" s="668">
        <f t="shared" si="120"/>
        <v>0</v>
      </c>
      <c r="X399" s="668">
        <f t="shared" si="121"/>
        <v>0</v>
      </c>
      <c r="Y399" s="668">
        <f t="shared" si="122"/>
        <v>0</v>
      </c>
      <c r="Z399" s="668">
        <f t="shared" si="123"/>
        <v>0</v>
      </c>
      <c r="AA399" s="668">
        <f t="shared" si="124"/>
        <v>0</v>
      </c>
      <c r="AB399" s="668">
        <f t="shared" si="125"/>
        <v>0</v>
      </c>
      <c r="AC399" s="668">
        <f t="shared" si="134"/>
        <v>0</v>
      </c>
      <c r="AD399" s="668">
        <f t="shared" si="126"/>
        <v>0</v>
      </c>
      <c r="AE399" s="668">
        <f t="shared" si="127"/>
        <v>0</v>
      </c>
      <c r="AF399" s="668">
        <f t="shared" si="128"/>
        <v>0</v>
      </c>
      <c r="AG399" s="668">
        <f t="shared" si="129"/>
        <v>0</v>
      </c>
      <c r="AH399" s="668"/>
      <c r="AI399" s="668"/>
      <c r="AJ399" s="668"/>
      <c r="AK399" s="668"/>
      <c r="AL399" s="668"/>
      <c r="AM399" s="668">
        <f t="shared" si="115"/>
        <v>0</v>
      </c>
      <c r="AN399" s="668">
        <f t="shared" si="130"/>
        <v>0</v>
      </c>
      <c r="AO399" s="668">
        <f t="shared" si="131"/>
        <v>0</v>
      </c>
      <c r="AP399" s="668">
        <f t="shared" si="116"/>
        <v>420</v>
      </c>
      <c r="AQ399" s="668">
        <f t="shared" si="132"/>
        <v>0</v>
      </c>
      <c r="AR399" s="668">
        <f t="shared" si="133"/>
        <v>0</v>
      </c>
      <c r="AS399" s="668"/>
      <c r="AT399" s="668"/>
      <c r="AU399" s="668"/>
      <c r="AV399" s="668"/>
      <c r="AW399" s="668"/>
      <c r="AX399" s="668"/>
      <c r="AY399" s="668"/>
      <c r="AZ399" s="668"/>
      <c r="BA399" s="668"/>
      <c r="BB399" s="668"/>
      <c r="BC399" s="668"/>
      <c r="BD399" s="668"/>
      <c r="BE399" s="668"/>
      <c r="BF399" s="668"/>
      <c r="BG399" s="668"/>
      <c r="BH399" s="668"/>
      <c r="BI399" s="668"/>
    </row>
    <row r="400" spans="1:61" x14ac:dyDescent="0.2">
      <c r="A400" s="1013">
        <v>2046</v>
      </c>
      <c r="B400" s="1013" t="s">
        <v>687</v>
      </c>
      <c r="C400" s="1013"/>
      <c r="D400" s="667">
        <v>58</v>
      </c>
      <c r="E400" s="667"/>
      <c r="F400" s="667"/>
      <c r="G400" s="667"/>
      <c r="H400" s="667"/>
      <c r="I400" s="667"/>
      <c r="J400" s="667"/>
      <c r="K400" s="667"/>
      <c r="L400" s="667"/>
      <c r="M400" s="667"/>
      <c r="N400" s="667"/>
      <c r="O400" s="667"/>
      <c r="P400" s="667"/>
      <c r="Q400" s="667"/>
      <c r="R400" s="667"/>
      <c r="S400" s="667"/>
      <c r="T400" s="667"/>
      <c r="U400" s="1013">
        <v>10</v>
      </c>
      <c r="V400" s="668">
        <f t="shared" si="119"/>
        <v>580</v>
      </c>
      <c r="W400" s="668">
        <f t="shared" si="120"/>
        <v>0</v>
      </c>
      <c r="X400" s="668">
        <f t="shared" si="121"/>
        <v>0</v>
      </c>
      <c r="Y400" s="668">
        <f t="shared" si="122"/>
        <v>0</v>
      </c>
      <c r="Z400" s="668">
        <f t="shared" si="123"/>
        <v>0</v>
      </c>
      <c r="AA400" s="668">
        <f t="shared" si="124"/>
        <v>0</v>
      </c>
      <c r="AB400" s="668">
        <f t="shared" si="125"/>
        <v>0</v>
      </c>
      <c r="AC400" s="668">
        <f t="shared" si="134"/>
        <v>0</v>
      </c>
      <c r="AD400" s="668">
        <f t="shared" si="126"/>
        <v>0</v>
      </c>
      <c r="AE400" s="668">
        <f t="shared" si="127"/>
        <v>0</v>
      </c>
      <c r="AF400" s="668">
        <f t="shared" si="128"/>
        <v>0</v>
      </c>
      <c r="AG400" s="668">
        <f t="shared" si="129"/>
        <v>0</v>
      </c>
      <c r="AH400" s="668"/>
      <c r="AI400" s="668"/>
      <c r="AJ400" s="668"/>
      <c r="AK400" s="668"/>
      <c r="AL400" s="668"/>
      <c r="AM400" s="668">
        <f t="shared" si="115"/>
        <v>0</v>
      </c>
      <c r="AN400" s="668">
        <f t="shared" si="130"/>
        <v>0</v>
      </c>
      <c r="AO400" s="668">
        <f t="shared" si="131"/>
        <v>0</v>
      </c>
      <c r="AP400" s="668">
        <f t="shared" si="116"/>
        <v>0</v>
      </c>
      <c r="AQ400" s="668">
        <f t="shared" si="132"/>
        <v>0</v>
      </c>
      <c r="AR400" s="668">
        <f t="shared" si="133"/>
        <v>0</v>
      </c>
      <c r="AS400" s="668"/>
      <c r="AT400" s="668"/>
      <c r="AU400" s="668"/>
      <c r="AV400" s="668"/>
      <c r="AW400" s="668"/>
      <c r="AX400" s="668"/>
      <c r="AY400" s="668"/>
      <c r="AZ400" s="668"/>
      <c r="BA400" s="668"/>
      <c r="BB400" s="668">
        <f t="shared" si="117"/>
        <v>0</v>
      </c>
      <c r="BC400" s="668"/>
      <c r="BD400" s="668"/>
      <c r="BE400" s="668"/>
      <c r="BF400" s="668"/>
      <c r="BG400" s="668"/>
      <c r="BH400" s="668"/>
      <c r="BI400" s="668"/>
    </row>
    <row r="401" spans="1:61" x14ac:dyDescent="0.2">
      <c r="A401" s="1013">
        <v>2047</v>
      </c>
      <c r="B401" s="1013" t="s">
        <v>672</v>
      </c>
      <c r="C401" s="1013"/>
      <c r="D401" s="667">
        <v>35</v>
      </c>
      <c r="E401" s="667"/>
      <c r="F401" s="667">
        <v>15</v>
      </c>
      <c r="G401" s="667"/>
      <c r="H401" s="667"/>
      <c r="I401" s="667"/>
      <c r="J401" s="667"/>
      <c r="K401" s="667"/>
      <c r="L401" s="667"/>
      <c r="M401" s="667"/>
      <c r="N401" s="667"/>
      <c r="O401" s="667"/>
      <c r="P401" s="667"/>
      <c r="Q401" s="667"/>
      <c r="R401" s="667"/>
      <c r="S401" s="667"/>
      <c r="T401" s="667"/>
      <c r="U401" s="1013">
        <v>10</v>
      </c>
      <c r="V401" s="668">
        <f t="shared" si="119"/>
        <v>350</v>
      </c>
      <c r="W401" s="668">
        <f t="shared" si="120"/>
        <v>0</v>
      </c>
      <c r="X401" s="668">
        <f t="shared" si="121"/>
        <v>0</v>
      </c>
      <c r="Y401" s="668">
        <f t="shared" si="122"/>
        <v>0</v>
      </c>
      <c r="Z401" s="668">
        <f t="shared" si="123"/>
        <v>0</v>
      </c>
      <c r="AA401" s="668">
        <f t="shared" si="124"/>
        <v>0</v>
      </c>
      <c r="AB401" s="668">
        <f t="shared" si="125"/>
        <v>0</v>
      </c>
      <c r="AC401" s="668">
        <f t="shared" si="134"/>
        <v>0</v>
      </c>
      <c r="AD401" s="668">
        <f t="shared" si="126"/>
        <v>0</v>
      </c>
      <c r="AE401" s="668">
        <f t="shared" si="127"/>
        <v>0</v>
      </c>
      <c r="AF401" s="668">
        <f t="shared" si="128"/>
        <v>0</v>
      </c>
      <c r="AG401" s="668">
        <f t="shared" si="129"/>
        <v>0</v>
      </c>
      <c r="AH401" s="668"/>
      <c r="AI401" s="668"/>
      <c r="AJ401" s="668"/>
      <c r="AK401" s="668"/>
      <c r="AL401" s="668"/>
      <c r="AM401" s="668">
        <f t="shared" ref="AM401:AM464" si="135">+I401</f>
        <v>0</v>
      </c>
      <c r="AN401" s="668">
        <f t="shared" si="130"/>
        <v>0</v>
      </c>
      <c r="AO401" s="668">
        <f t="shared" si="131"/>
        <v>0</v>
      </c>
      <c r="AP401" s="668">
        <f t="shared" si="116"/>
        <v>150</v>
      </c>
      <c r="AQ401" s="668">
        <f t="shared" si="132"/>
        <v>0</v>
      </c>
      <c r="AR401" s="668">
        <f t="shared" si="133"/>
        <v>0</v>
      </c>
      <c r="AS401" s="668"/>
      <c r="AT401" s="668"/>
      <c r="AU401" s="668"/>
      <c r="AV401" s="668"/>
      <c r="AW401" s="668"/>
      <c r="AX401" s="668"/>
      <c r="AY401" s="668"/>
      <c r="AZ401" s="668"/>
      <c r="BA401" s="668"/>
      <c r="BB401" s="668">
        <f t="shared" si="117"/>
        <v>150</v>
      </c>
      <c r="BC401" s="668"/>
      <c r="BD401" s="668"/>
      <c r="BE401" s="668"/>
      <c r="BF401" s="668"/>
      <c r="BG401" s="668"/>
      <c r="BH401" s="668"/>
      <c r="BI401" s="668"/>
    </row>
    <row r="402" spans="1:61" x14ac:dyDescent="0.2">
      <c r="A402" s="1020">
        <v>2048</v>
      </c>
      <c r="B402" s="1013" t="s">
        <v>672</v>
      </c>
      <c r="C402" s="1013"/>
      <c r="D402" s="667">
        <v>35</v>
      </c>
      <c r="E402" s="667"/>
      <c r="F402" s="667">
        <v>15</v>
      </c>
      <c r="G402" s="667"/>
      <c r="H402" s="667"/>
      <c r="I402" s="667"/>
      <c r="J402" s="667"/>
      <c r="K402" s="667"/>
      <c r="L402" s="667"/>
      <c r="M402" s="667"/>
      <c r="N402" s="667"/>
      <c r="O402" s="667"/>
      <c r="P402" s="667"/>
      <c r="Q402" s="667"/>
      <c r="R402" s="667"/>
      <c r="S402" s="667"/>
      <c r="T402" s="667"/>
      <c r="U402" s="1013">
        <v>10</v>
      </c>
      <c r="V402" s="668">
        <f t="shared" si="119"/>
        <v>350</v>
      </c>
      <c r="W402" s="668">
        <f t="shared" si="120"/>
        <v>0</v>
      </c>
      <c r="X402" s="668">
        <f t="shared" si="121"/>
        <v>0</v>
      </c>
      <c r="Y402" s="668">
        <f t="shared" si="122"/>
        <v>0</v>
      </c>
      <c r="Z402" s="668">
        <f t="shared" si="123"/>
        <v>0</v>
      </c>
      <c r="AA402" s="668">
        <f t="shared" si="124"/>
        <v>0</v>
      </c>
      <c r="AB402" s="668">
        <f t="shared" si="125"/>
        <v>0</v>
      </c>
      <c r="AC402" s="668">
        <f t="shared" si="134"/>
        <v>0</v>
      </c>
      <c r="AD402" s="668">
        <f t="shared" si="126"/>
        <v>0</v>
      </c>
      <c r="AE402" s="668">
        <f t="shared" si="127"/>
        <v>0</v>
      </c>
      <c r="AF402" s="668">
        <f t="shared" si="128"/>
        <v>0</v>
      </c>
      <c r="AG402" s="668">
        <f t="shared" si="129"/>
        <v>0</v>
      </c>
      <c r="AH402" s="668"/>
      <c r="AI402" s="668"/>
      <c r="AJ402" s="668"/>
      <c r="AK402" s="668"/>
      <c r="AL402" s="668"/>
      <c r="AM402" s="668">
        <f t="shared" si="135"/>
        <v>0</v>
      </c>
      <c r="AN402" s="668">
        <f t="shared" si="130"/>
        <v>0</v>
      </c>
      <c r="AO402" s="668">
        <f t="shared" si="131"/>
        <v>0</v>
      </c>
      <c r="AP402" s="668">
        <f t="shared" ref="AP402:AP465" si="136">+U402*F402</f>
        <v>150</v>
      </c>
      <c r="AQ402" s="668">
        <f t="shared" si="132"/>
        <v>0</v>
      </c>
      <c r="AR402" s="668">
        <f t="shared" si="133"/>
        <v>0</v>
      </c>
      <c r="AS402" s="668"/>
      <c r="AT402" s="668"/>
      <c r="AU402" s="668"/>
      <c r="AV402" s="668"/>
      <c r="AW402" s="668"/>
      <c r="AX402" s="668"/>
      <c r="AY402" s="668"/>
      <c r="AZ402" s="668"/>
      <c r="BA402" s="668"/>
      <c r="BB402" s="668">
        <f t="shared" ref="BB402:BB465" si="137">+AP402</f>
        <v>150</v>
      </c>
      <c r="BC402" s="668"/>
      <c r="BD402" s="668"/>
      <c r="BE402" s="668"/>
      <c r="BF402" s="668"/>
      <c r="BG402" s="668"/>
      <c r="BH402" s="668"/>
      <c r="BI402" s="668"/>
    </row>
    <row r="403" spans="1:61" x14ac:dyDescent="0.2">
      <c r="A403" s="1020">
        <v>2049</v>
      </c>
      <c r="B403" s="1013" t="s">
        <v>519</v>
      </c>
      <c r="C403" s="1013"/>
      <c r="D403" s="667">
        <v>35</v>
      </c>
      <c r="E403" s="667"/>
      <c r="F403" s="667">
        <v>15</v>
      </c>
      <c r="G403" s="667"/>
      <c r="H403" s="667"/>
      <c r="I403" s="667"/>
      <c r="J403" s="667"/>
      <c r="K403" s="667"/>
      <c r="L403" s="667"/>
      <c r="M403" s="667"/>
      <c r="N403" s="667"/>
      <c r="O403" s="667"/>
      <c r="P403" s="667"/>
      <c r="Q403" s="667"/>
      <c r="R403" s="667"/>
      <c r="S403" s="667"/>
      <c r="T403" s="667"/>
      <c r="U403" s="1013">
        <v>12</v>
      </c>
      <c r="V403" s="668">
        <f t="shared" si="119"/>
        <v>420</v>
      </c>
      <c r="W403" s="668">
        <f t="shared" si="120"/>
        <v>0</v>
      </c>
      <c r="X403" s="668">
        <f t="shared" si="121"/>
        <v>0</v>
      </c>
      <c r="Y403" s="668">
        <f t="shared" si="122"/>
        <v>0</v>
      </c>
      <c r="Z403" s="668">
        <f t="shared" si="123"/>
        <v>0</v>
      </c>
      <c r="AA403" s="668">
        <f t="shared" si="124"/>
        <v>0</v>
      </c>
      <c r="AB403" s="668">
        <f t="shared" si="125"/>
        <v>0</v>
      </c>
      <c r="AC403" s="668">
        <f t="shared" si="134"/>
        <v>0</v>
      </c>
      <c r="AD403" s="668">
        <f t="shared" si="126"/>
        <v>0</v>
      </c>
      <c r="AE403" s="668">
        <f t="shared" si="127"/>
        <v>0</v>
      </c>
      <c r="AF403" s="668">
        <f t="shared" si="128"/>
        <v>0</v>
      </c>
      <c r="AG403" s="668">
        <f t="shared" si="129"/>
        <v>0</v>
      </c>
      <c r="AH403" s="668"/>
      <c r="AI403" s="668"/>
      <c r="AJ403" s="668"/>
      <c r="AK403" s="668"/>
      <c r="AL403" s="668"/>
      <c r="AM403" s="668">
        <f t="shared" si="135"/>
        <v>0</v>
      </c>
      <c r="AN403" s="668">
        <f t="shared" si="130"/>
        <v>0</v>
      </c>
      <c r="AO403" s="668">
        <f t="shared" si="131"/>
        <v>0</v>
      </c>
      <c r="AP403" s="668">
        <f t="shared" si="136"/>
        <v>180</v>
      </c>
      <c r="AQ403" s="668">
        <f t="shared" si="132"/>
        <v>0</v>
      </c>
      <c r="AR403" s="668">
        <f t="shared" si="133"/>
        <v>0</v>
      </c>
      <c r="AS403" s="668"/>
      <c r="AT403" s="668"/>
      <c r="AU403" s="668"/>
      <c r="AV403" s="668"/>
      <c r="AW403" s="668"/>
      <c r="AX403" s="668"/>
      <c r="AY403" s="668"/>
      <c r="AZ403" s="668"/>
      <c r="BA403" s="668"/>
      <c r="BB403" s="668">
        <f t="shared" si="137"/>
        <v>180</v>
      </c>
      <c r="BC403" s="668"/>
      <c r="BD403" s="668"/>
      <c r="BE403" s="668"/>
      <c r="BF403" s="668"/>
      <c r="BG403" s="668"/>
      <c r="BH403" s="668"/>
      <c r="BI403" s="668"/>
    </row>
    <row r="404" spans="1:61" x14ac:dyDescent="0.2">
      <c r="A404" s="1020">
        <v>2050</v>
      </c>
      <c r="B404" s="1013" t="s">
        <v>519</v>
      </c>
      <c r="C404" s="1013"/>
      <c r="D404" s="667">
        <v>35</v>
      </c>
      <c r="E404" s="667"/>
      <c r="F404" s="667">
        <v>15</v>
      </c>
      <c r="G404" s="667"/>
      <c r="H404" s="667"/>
      <c r="I404" s="667"/>
      <c r="J404" s="667"/>
      <c r="K404" s="667"/>
      <c r="L404" s="667"/>
      <c r="M404" s="667"/>
      <c r="N404" s="667"/>
      <c r="O404" s="667"/>
      <c r="P404" s="667"/>
      <c r="Q404" s="667"/>
      <c r="R404" s="667"/>
      <c r="S404" s="667"/>
      <c r="T404" s="667"/>
      <c r="U404" s="1013">
        <v>12</v>
      </c>
      <c r="V404" s="668">
        <f t="shared" si="119"/>
        <v>420</v>
      </c>
      <c r="W404" s="668">
        <f t="shared" si="120"/>
        <v>0</v>
      </c>
      <c r="X404" s="668">
        <f t="shared" si="121"/>
        <v>0</v>
      </c>
      <c r="Y404" s="668">
        <f t="shared" si="122"/>
        <v>0</v>
      </c>
      <c r="Z404" s="668">
        <f t="shared" si="123"/>
        <v>0</v>
      </c>
      <c r="AA404" s="668">
        <f t="shared" si="124"/>
        <v>0</v>
      </c>
      <c r="AB404" s="668">
        <f t="shared" si="125"/>
        <v>0</v>
      </c>
      <c r="AC404" s="668">
        <f t="shared" si="134"/>
        <v>0</v>
      </c>
      <c r="AD404" s="668">
        <f t="shared" si="126"/>
        <v>0</v>
      </c>
      <c r="AE404" s="668">
        <f t="shared" si="127"/>
        <v>0</v>
      </c>
      <c r="AF404" s="668">
        <f t="shared" si="128"/>
        <v>0</v>
      </c>
      <c r="AG404" s="668">
        <f t="shared" si="129"/>
        <v>0</v>
      </c>
      <c r="AH404" s="668"/>
      <c r="AI404" s="668"/>
      <c r="AJ404" s="668"/>
      <c r="AK404" s="668"/>
      <c r="AL404" s="668"/>
      <c r="AM404" s="668">
        <f t="shared" si="135"/>
        <v>0</v>
      </c>
      <c r="AN404" s="668">
        <f t="shared" si="130"/>
        <v>0</v>
      </c>
      <c r="AO404" s="668">
        <f t="shared" si="131"/>
        <v>0</v>
      </c>
      <c r="AP404" s="668">
        <f t="shared" si="136"/>
        <v>180</v>
      </c>
      <c r="AQ404" s="668">
        <f t="shared" si="132"/>
        <v>0</v>
      </c>
      <c r="AR404" s="668">
        <f t="shared" si="133"/>
        <v>0</v>
      </c>
      <c r="AS404" s="668"/>
      <c r="AT404" s="668"/>
      <c r="AU404" s="668"/>
      <c r="AV404" s="668"/>
      <c r="AW404" s="668"/>
      <c r="AX404" s="668"/>
      <c r="AY404" s="668"/>
      <c r="AZ404" s="668"/>
      <c r="BA404" s="668"/>
      <c r="BB404" s="668">
        <f t="shared" si="137"/>
        <v>180</v>
      </c>
      <c r="BC404" s="668"/>
      <c r="BD404" s="668"/>
      <c r="BE404" s="668"/>
      <c r="BF404" s="668"/>
      <c r="BG404" s="668"/>
      <c r="BH404" s="668"/>
      <c r="BI404" s="668"/>
    </row>
    <row r="405" spans="1:61" x14ac:dyDescent="0.2">
      <c r="A405" s="1020">
        <v>2051</v>
      </c>
      <c r="B405" s="1013" t="s">
        <v>515</v>
      </c>
      <c r="C405" s="1013"/>
      <c r="D405" s="667">
        <v>123</v>
      </c>
      <c r="E405" s="667"/>
      <c r="F405" s="667">
        <v>70</v>
      </c>
      <c r="G405" s="667"/>
      <c r="H405" s="667"/>
      <c r="I405" s="667"/>
      <c r="J405" s="667"/>
      <c r="K405" s="667"/>
      <c r="L405" s="667"/>
      <c r="M405" s="667"/>
      <c r="N405" s="667"/>
      <c r="O405" s="667"/>
      <c r="P405" s="667"/>
      <c r="Q405" s="667"/>
      <c r="R405" s="667"/>
      <c r="S405" s="667"/>
      <c r="T405" s="667">
        <v>3284</v>
      </c>
      <c r="U405" s="1013">
        <v>12</v>
      </c>
      <c r="V405" s="668">
        <f t="shared" si="119"/>
        <v>1476</v>
      </c>
      <c r="W405" s="668">
        <f t="shared" si="120"/>
        <v>0</v>
      </c>
      <c r="X405" s="668">
        <f t="shared" si="121"/>
        <v>0</v>
      </c>
      <c r="Y405" s="668">
        <f t="shared" si="122"/>
        <v>0</v>
      </c>
      <c r="Z405" s="668">
        <f t="shared" si="123"/>
        <v>0</v>
      </c>
      <c r="AA405" s="668">
        <f t="shared" si="124"/>
        <v>0</v>
      </c>
      <c r="AB405" s="668">
        <f t="shared" si="125"/>
        <v>3284</v>
      </c>
      <c r="AC405" s="668">
        <f t="shared" si="134"/>
        <v>0</v>
      </c>
      <c r="AD405" s="668">
        <f t="shared" si="126"/>
        <v>0</v>
      </c>
      <c r="AE405" s="668">
        <f t="shared" si="127"/>
        <v>0</v>
      </c>
      <c r="AF405" s="668">
        <f t="shared" si="128"/>
        <v>0</v>
      </c>
      <c r="AG405" s="668">
        <f t="shared" si="129"/>
        <v>0</v>
      </c>
      <c r="AH405" s="668"/>
      <c r="AI405" s="668"/>
      <c r="AJ405" s="668"/>
      <c r="AK405" s="668"/>
      <c r="AL405" s="668"/>
      <c r="AM405" s="668">
        <f t="shared" si="135"/>
        <v>0</v>
      </c>
      <c r="AN405" s="668">
        <f t="shared" si="130"/>
        <v>0</v>
      </c>
      <c r="AO405" s="668">
        <f t="shared" si="131"/>
        <v>0</v>
      </c>
      <c r="AP405" s="668">
        <f t="shared" si="136"/>
        <v>840</v>
      </c>
      <c r="AQ405" s="668">
        <f t="shared" si="132"/>
        <v>0</v>
      </c>
      <c r="AR405" s="668">
        <f t="shared" si="133"/>
        <v>0</v>
      </c>
      <c r="AS405" s="668"/>
      <c r="AT405" s="668"/>
      <c r="AU405" s="668"/>
      <c r="AV405" s="668"/>
      <c r="AW405" s="668"/>
      <c r="AX405" s="668"/>
      <c r="AY405" s="668"/>
      <c r="AZ405" s="668"/>
      <c r="BA405" s="668"/>
      <c r="BB405" s="668"/>
      <c r="BC405" s="668"/>
      <c r="BD405" s="668"/>
      <c r="BE405" s="668"/>
      <c r="BF405" s="668"/>
      <c r="BG405" s="668"/>
      <c r="BH405" s="668"/>
      <c r="BI405" s="668"/>
    </row>
    <row r="406" spans="1:61" x14ac:dyDescent="0.2">
      <c r="A406" s="1020">
        <v>2052</v>
      </c>
      <c r="B406" s="1013" t="s">
        <v>464</v>
      </c>
      <c r="C406" s="1013"/>
      <c r="D406" s="667">
        <v>65</v>
      </c>
      <c r="E406" s="667"/>
      <c r="F406" s="667"/>
      <c r="G406" s="667"/>
      <c r="H406" s="667"/>
      <c r="I406" s="667"/>
      <c r="J406" s="667"/>
      <c r="K406" s="667"/>
      <c r="L406" s="667"/>
      <c r="M406" s="667"/>
      <c r="N406" s="667"/>
      <c r="O406" s="667"/>
      <c r="P406" s="667"/>
      <c r="Q406" s="667"/>
      <c r="R406" s="667"/>
      <c r="S406" s="667"/>
      <c r="T406" s="667"/>
      <c r="U406" s="1013">
        <v>12</v>
      </c>
      <c r="V406" s="668">
        <f t="shared" si="119"/>
        <v>780</v>
      </c>
      <c r="W406" s="668">
        <f t="shared" si="120"/>
        <v>0</v>
      </c>
      <c r="X406" s="668">
        <f t="shared" si="121"/>
        <v>0</v>
      </c>
      <c r="Y406" s="668">
        <f t="shared" si="122"/>
        <v>0</v>
      </c>
      <c r="Z406" s="668">
        <f t="shared" si="123"/>
        <v>0</v>
      </c>
      <c r="AA406" s="668">
        <f t="shared" si="124"/>
        <v>0</v>
      </c>
      <c r="AB406" s="668">
        <f t="shared" si="125"/>
        <v>0</v>
      </c>
      <c r="AC406" s="668">
        <f t="shared" si="134"/>
        <v>0</v>
      </c>
      <c r="AD406" s="668">
        <f t="shared" si="126"/>
        <v>0</v>
      </c>
      <c r="AE406" s="668">
        <f t="shared" si="127"/>
        <v>0</v>
      </c>
      <c r="AF406" s="668">
        <f t="shared" si="128"/>
        <v>0</v>
      </c>
      <c r="AG406" s="668">
        <f t="shared" si="129"/>
        <v>0</v>
      </c>
      <c r="AH406" s="668"/>
      <c r="AI406" s="668"/>
      <c r="AJ406" s="668"/>
      <c r="AK406" s="668"/>
      <c r="AL406" s="668"/>
      <c r="AM406" s="668">
        <f t="shared" si="135"/>
        <v>0</v>
      </c>
      <c r="AN406" s="668">
        <f t="shared" si="130"/>
        <v>0</v>
      </c>
      <c r="AO406" s="668">
        <f t="shared" si="131"/>
        <v>0</v>
      </c>
      <c r="AP406" s="668">
        <f t="shared" si="136"/>
        <v>0</v>
      </c>
      <c r="AQ406" s="668">
        <f t="shared" si="132"/>
        <v>0</v>
      </c>
      <c r="AR406" s="668">
        <f t="shared" si="133"/>
        <v>0</v>
      </c>
      <c r="AS406" s="668"/>
      <c r="AT406" s="668"/>
      <c r="AU406" s="668"/>
      <c r="AV406" s="668"/>
      <c r="AW406" s="668"/>
      <c r="AX406" s="668"/>
      <c r="AY406" s="668"/>
      <c r="AZ406" s="668"/>
      <c r="BA406" s="668"/>
      <c r="BB406" s="668">
        <f t="shared" si="137"/>
        <v>0</v>
      </c>
      <c r="BC406" s="668"/>
      <c r="BD406" s="668"/>
      <c r="BE406" s="668"/>
      <c r="BF406" s="668"/>
      <c r="BG406" s="668"/>
      <c r="BH406" s="668"/>
      <c r="BI406" s="668"/>
    </row>
    <row r="407" spans="1:61" x14ac:dyDescent="0.2">
      <c r="A407" s="1020">
        <v>2053</v>
      </c>
      <c r="B407" s="1013" t="s">
        <v>515</v>
      </c>
      <c r="C407" s="1013"/>
      <c r="D407" s="667">
        <v>166</v>
      </c>
      <c r="E407" s="667"/>
      <c r="F407" s="667">
        <v>60</v>
      </c>
      <c r="G407" s="667"/>
      <c r="H407" s="667"/>
      <c r="I407" s="667"/>
      <c r="J407" s="667"/>
      <c r="K407" s="667"/>
      <c r="L407" s="667"/>
      <c r="M407" s="667"/>
      <c r="N407" s="667"/>
      <c r="O407" s="667"/>
      <c r="P407" s="667"/>
      <c r="Q407" s="667"/>
      <c r="R407" s="667"/>
      <c r="S407" s="667"/>
      <c r="T407" s="667">
        <v>4460</v>
      </c>
      <c r="U407" s="1013">
        <v>12</v>
      </c>
      <c r="V407" s="668">
        <f t="shared" si="119"/>
        <v>1992</v>
      </c>
      <c r="W407" s="668">
        <f t="shared" si="120"/>
        <v>0</v>
      </c>
      <c r="X407" s="668">
        <f t="shared" si="121"/>
        <v>0</v>
      </c>
      <c r="Y407" s="668">
        <f t="shared" si="122"/>
        <v>0</v>
      </c>
      <c r="Z407" s="668">
        <f t="shared" si="123"/>
        <v>0</v>
      </c>
      <c r="AA407" s="668">
        <f t="shared" si="124"/>
        <v>0</v>
      </c>
      <c r="AB407" s="668">
        <f t="shared" si="125"/>
        <v>4460</v>
      </c>
      <c r="AC407" s="668">
        <f t="shared" si="134"/>
        <v>0</v>
      </c>
      <c r="AD407" s="668">
        <f t="shared" si="126"/>
        <v>0</v>
      </c>
      <c r="AE407" s="668">
        <f t="shared" si="127"/>
        <v>0</v>
      </c>
      <c r="AF407" s="668">
        <f t="shared" si="128"/>
        <v>0</v>
      </c>
      <c r="AG407" s="668">
        <f t="shared" si="129"/>
        <v>0</v>
      </c>
      <c r="AH407" s="668"/>
      <c r="AI407" s="668"/>
      <c r="AJ407" s="668"/>
      <c r="AK407" s="668"/>
      <c r="AL407" s="668"/>
      <c r="AM407" s="668">
        <f t="shared" si="135"/>
        <v>0</v>
      </c>
      <c r="AN407" s="668">
        <f t="shared" si="130"/>
        <v>0</v>
      </c>
      <c r="AO407" s="668">
        <f t="shared" si="131"/>
        <v>0</v>
      </c>
      <c r="AP407" s="668">
        <f t="shared" si="136"/>
        <v>720</v>
      </c>
      <c r="AQ407" s="668">
        <f t="shared" si="132"/>
        <v>0</v>
      </c>
      <c r="AR407" s="668">
        <f t="shared" si="133"/>
        <v>0</v>
      </c>
      <c r="AS407" s="668"/>
      <c r="AT407" s="668"/>
      <c r="AU407" s="668"/>
      <c r="AV407" s="668"/>
      <c r="AW407" s="668"/>
      <c r="AX407" s="668"/>
      <c r="AY407" s="668"/>
      <c r="AZ407" s="668"/>
      <c r="BA407" s="668"/>
      <c r="BB407" s="668"/>
      <c r="BC407" s="668"/>
      <c r="BD407" s="668"/>
      <c r="BE407" s="668"/>
      <c r="BF407" s="668"/>
      <c r="BG407" s="668"/>
      <c r="BH407" s="668"/>
      <c r="BI407" s="668"/>
    </row>
    <row r="408" spans="1:61" x14ac:dyDescent="0.2">
      <c r="A408" s="1020">
        <v>2054</v>
      </c>
      <c r="B408" s="1013" t="s">
        <v>519</v>
      </c>
      <c r="C408" s="1013"/>
      <c r="D408" s="667">
        <v>35</v>
      </c>
      <c r="E408" s="667"/>
      <c r="F408" s="667">
        <v>15</v>
      </c>
      <c r="G408" s="667"/>
      <c r="H408" s="667"/>
      <c r="I408" s="667"/>
      <c r="J408" s="667"/>
      <c r="K408" s="667"/>
      <c r="L408" s="667"/>
      <c r="M408" s="667"/>
      <c r="N408" s="667"/>
      <c r="O408" s="667"/>
      <c r="P408" s="667"/>
      <c r="Q408" s="667"/>
      <c r="R408" s="667"/>
      <c r="S408" s="667"/>
      <c r="T408" s="667">
        <v>155</v>
      </c>
      <c r="U408" s="1013">
        <v>12</v>
      </c>
      <c r="V408" s="668">
        <f t="shared" si="119"/>
        <v>420</v>
      </c>
      <c r="W408" s="668">
        <f t="shared" si="120"/>
        <v>0</v>
      </c>
      <c r="X408" s="668">
        <f t="shared" si="121"/>
        <v>0</v>
      </c>
      <c r="Y408" s="668">
        <f t="shared" si="122"/>
        <v>0</v>
      </c>
      <c r="Z408" s="668">
        <f t="shared" si="123"/>
        <v>0</v>
      </c>
      <c r="AA408" s="668">
        <f t="shared" si="124"/>
        <v>0</v>
      </c>
      <c r="AB408" s="668">
        <f t="shared" si="125"/>
        <v>155</v>
      </c>
      <c r="AC408" s="668">
        <f t="shared" si="134"/>
        <v>0</v>
      </c>
      <c r="AD408" s="668">
        <f t="shared" si="126"/>
        <v>0</v>
      </c>
      <c r="AE408" s="668">
        <f t="shared" si="127"/>
        <v>0</v>
      </c>
      <c r="AF408" s="668">
        <f t="shared" si="128"/>
        <v>0</v>
      </c>
      <c r="AG408" s="668">
        <f t="shared" si="129"/>
        <v>0</v>
      </c>
      <c r="AH408" s="668"/>
      <c r="AI408" s="668"/>
      <c r="AJ408" s="668"/>
      <c r="AK408" s="668"/>
      <c r="AL408" s="668"/>
      <c r="AM408" s="668">
        <f t="shared" si="135"/>
        <v>0</v>
      </c>
      <c r="AN408" s="668">
        <f t="shared" si="130"/>
        <v>0</v>
      </c>
      <c r="AO408" s="668">
        <f t="shared" si="131"/>
        <v>0</v>
      </c>
      <c r="AP408" s="668">
        <f t="shared" si="136"/>
        <v>180</v>
      </c>
      <c r="AQ408" s="668">
        <f t="shared" si="132"/>
        <v>0</v>
      </c>
      <c r="AR408" s="668">
        <f t="shared" si="133"/>
        <v>0</v>
      </c>
      <c r="AS408" s="668"/>
      <c r="AT408" s="668"/>
      <c r="AU408" s="668"/>
      <c r="AV408" s="668"/>
      <c r="AW408" s="668"/>
      <c r="AX408" s="668"/>
      <c r="AY408" s="668"/>
      <c r="AZ408" s="668"/>
      <c r="BA408" s="668"/>
      <c r="BB408" s="668">
        <f t="shared" si="137"/>
        <v>180</v>
      </c>
      <c r="BC408" s="668"/>
      <c r="BD408" s="668"/>
      <c r="BE408" s="668"/>
      <c r="BF408" s="668"/>
      <c r="BG408" s="668"/>
      <c r="BH408" s="668"/>
      <c r="BI408" s="668"/>
    </row>
    <row r="409" spans="1:61" x14ac:dyDescent="0.2">
      <c r="A409" s="1020">
        <v>2055</v>
      </c>
      <c r="B409" s="1013" t="s">
        <v>519</v>
      </c>
      <c r="C409" s="1013"/>
      <c r="D409" s="667">
        <v>35</v>
      </c>
      <c r="E409" s="667"/>
      <c r="F409" s="667">
        <v>15</v>
      </c>
      <c r="G409" s="667"/>
      <c r="H409" s="667"/>
      <c r="I409" s="667"/>
      <c r="J409" s="667"/>
      <c r="K409" s="667"/>
      <c r="L409" s="667"/>
      <c r="M409" s="667"/>
      <c r="N409" s="667"/>
      <c r="O409" s="667"/>
      <c r="P409" s="667"/>
      <c r="Q409" s="667"/>
      <c r="R409" s="667"/>
      <c r="S409" s="667"/>
      <c r="T409" s="667">
        <v>155</v>
      </c>
      <c r="U409" s="1013">
        <v>12</v>
      </c>
      <c r="V409" s="668">
        <f t="shared" si="119"/>
        <v>420</v>
      </c>
      <c r="W409" s="668">
        <f t="shared" si="120"/>
        <v>0</v>
      </c>
      <c r="X409" s="668">
        <f t="shared" si="121"/>
        <v>0</v>
      </c>
      <c r="Y409" s="668">
        <f t="shared" si="122"/>
        <v>0</v>
      </c>
      <c r="Z409" s="668">
        <f t="shared" si="123"/>
        <v>0</v>
      </c>
      <c r="AA409" s="668">
        <f t="shared" si="124"/>
        <v>0</v>
      </c>
      <c r="AB409" s="668">
        <f t="shared" si="125"/>
        <v>155</v>
      </c>
      <c r="AC409" s="668">
        <f t="shared" si="134"/>
        <v>0</v>
      </c>
      <c r="AD409" s="668">
        <f t="shared" si="126"/>
        <v>0</v>
      </c>
      <c r="AE409" s="668">
        <f t="shared" si="127"/>
        <v>0</v>
      </c>
      <c r="AF409" s="668">
        <f t="shared" si="128"/>
        <v>0</v>
      </c>
      <c r="AG409" s="668">
        <f t="shared" si="129"/>
        <v>0</v>
      </c>
      <c r="AH409" s="668"/>
      <c r="AI409" s="668"/>
      <c r="AJ409" s="668"/>
      <c r="AK409" s="668"/>
      <c r="AL409" s="668"/>
      <c r="AM409" s="668">
        <f t="shared" si="135"/>
        <v>0</v>
      </c>
      <c r="AN409" s="668">
        <f t="shared" si="130"/>
        <v>0</v>
      </c>
      <c r="AO409" s="668">
        <f t="shared" si="131"/>
        <v>0</v>
      </c>
      <c r="AP409" s="668">
        <f t="shared" si="136"/>
        <v>180</v>
      </c>
      <c r="AQ409" s="668">
        <f t="shared" si="132"/>
        <v>0</v>
      </c>
      <c r="AR409" s="668">
        <f t="shared" si="133"/>
        <v>0</v>
      </c>
      <c r="AS409" s="668"/>
      <c r="AT409" s="668"/>
      <c r="AU409" s="668"/>
      <c r="AV409" s="668"/>
      <c r="AW409" s="668"/>
      <c r="AX409" s="668"/>
      <c r="AY409" s="668"/>
      <c r="AZ409" s="668"/>
      <c r="BA409" s="668"/>
      <c r="BB409" s="668">
        <f t="shared" si="137"/>
        <v>180</v>
      </c>
      <c r="BC409" s="668"/>
      <c r="BD409" s="668"/>
      <c r="BE409" s="668"/>
      <c r="BF409" s="668"/>
      <c r="BG409" s="668"/>
      <c r="BH409" s="668"/>
      <c r="BI409" s="668"/>
    </row>
    <row r="410" spans="1:61" x14ac:dyDescent="0.2">
      <c r="A410" s="1020">
        <v>2056</v>
      </c>
      <c r="B410" s="1013" t="s">
        <v>467</v>
      </c>
      <c r="C410" s="1013"/>
      <c r="D410" s="667">
        <v>80</v>
      </c>
      <c r="E410" s="667"/>
      <c r="F410" s="667"/>
      <c r="G410" s="667"/>
      <c r="H410" s="667"/>
      <c r="I410" s="667"/>
      <c r="J410" s="667"/>
      <c r="K410" s="667"/>
      <c r="L410" s="667"/>
      <c r="M410" s="667"/>
      <c r="N410" s="667"/>
      <c r="O410" s="667"/>
      <c r="P410" s="667"/>
      <c r="Q410" s="667"/>
      <c r="R410" s="667"/>
      <c r="S410" s="667"/>
      <c r="T410" s="667"/>
      <c r="U410" s="1013">
        <v>3</v>
      </c>
      <c r="V410" s="668">
        <f t="shared" si="119"/>
        <v>240</v>
      </c>
      <c r="W410" s="668">
        <f t="shared" si="120"/>
        <v>0</v>
      </c>
      <c r="X410" s="668">
        <f t="shared" si="121"/>
        <v>0</v>
      </c>
      <c r="Y410" s="668">
        <f t="shared" si="122"/>
        <v>0</v>
      </c>
      <c r="Z410" s="668">
        <f t="shared" si="123"/>
        <v>0</v>
      </c>
      <c r="AA410" s="668">
        <f t="shared" si="124"/>
        <v>0</v>
      </c>
      <c r="AB410" s="668">
        <f t="shared" si="125"/>
        <v>0</v>
      </c>
      <c r="AC410" s="668">
        <f t="shared" si="134"/>
        <v>0</v>
      </c>
      <c r="AD410" s="668">
        <f t="shared" si="126"/>
        <v>0</v>
      </c>
      <c r="AE410" s="668">
        <f t="shared" si="127"/>
        <v>0</v>
      </c>
      <c r="AF410" s="668">
        <f t="shared" si="128"/>
        <v>0</v>
      </c>
      <c r="AG410" s="668">
        <f t="shared" si="129"/>
        <v>0</v>
      </c>
      <c r="AH410" s="668"/>
      <c r="AI410" s="668"/>
      <c r="AJ410" s="668"/>
      <c r="AK410" s="668"/>
      <c r="AL410" s="668"/>
      <c r="AM410" s="668">
        <f t="shared" si="135"/>
        <v>0</v>
      </c>
      <c r="AN410" s="668">
        <f t="shared" si="130"/>
        <v>0</v>
      </c>
      <c r="AO410" s="668">
        <f t="shared" si="131"/>
        <v>0</v>
      </c>
      <c r="AP410" s="668">
        <f t="shared" si="136"/>
        <v>0</v>
      </c>
      <c r="AQ410" s="668">
        <f t="shared" si="132"/>
        <v>0</v>
      </c>
      <c r="AR410" s="668">
        <f t="shared" si="133"/>
        <v>0</v>
      </c>
      <c r="AS410" s="668"/>
      <c r="AT410" s="668"/>
      <c r="AU410" s="668"/>
      <c r="AV410" s="668"/>
      <c r="AW410" s="668"/>
      <c r="AX410" s="668"/>
      <c r="AY410" s="668"/>
      <c r="AZ410" s="668"/>
      <c r="BA410" s="668"/>
      <c r="BB410" s="668">
        <f t="shared" si="137"/>
        <v>0</v>
      </c>
      <c r="BC410" s="668"/>
      <c r="BD410" s="668"/>
      <c r="BE410" s="668"/>
      <c r="BF410" s="668"/>
      <c r="BG410" s="668"/>
      <c r="BH410" s="668"/>
      <c r="BI410" s="668"/>
    </row>
    <row r="411" spans="1:61" x14ac:dyDescent="0.2">
      <c r="A411" s="1020">
        <v>2057</v>
      </c>
      <c r="B411" s="1013" t="s">
        <v>466</v>
      </c>
      <c r="C411" s="1013"/>
      <c r="D411" s="667">
        <v>80</v>
      </c>
      <c r="E411" s="667"/>
      <c r="F411" s="667"/>
      <c r="G411" s="667"/>
      <c r="H411" s="667"/>
      <c r="I411" s="667"/>
      <c r="J411" s="667"/>
      <c r="K411" s="667"/>
      <c r="L411" s="667"/>
      <c r="M411" s="667"/>
      <c r="N411" s="667"/>
      <c r="O411" s="667"/>
      <c r="P411" s="667"/>
      <c r="Q411" s="667"/>
      <c r="R411" s="667"/>
      <c r="S411" s="667"/>
      <c r="T411" s="667"/>
      <c r="U411" s="1013">
        <v>3</v>
      </c>
      <c r="V411" s="668">
        <f t="shared" si="119"/>
        <v>240</v>
      </c>
      <c r="W411" s="668">
        <f t="shared" si="120"/>
        <v>0</v>
      </c>
      <c r="X411" s="668">
        <f t="shared" si="121"/>
        <v>0</v>
      </c>
      <c r="Y411" s="668">
        <f t="shared" si="122"/>
        <v>0</v>
      </c>
      <c r="Z411" s="668">
        <f t="shared" si="123"/>
        <v>0</v>
      </c>
      <c r="AA411" s="668">
        <f t="shared" si="124"/>
        <v>0</v>
      </c>
      <c r="AB411" s="668">
        <f t="shared" si="125"/>
        <v>0</v>
      </c>
      <c r="AC411" s="668">
        <f t="shared" si="134"/>
        <v>0</v>
      </c>
      <c r="AD411" s="668">
        <f t="shared" si="126"/>
        <v>0</v>
      </c>
      <c r="AE411" s="668">
        <f t="shared" si="127"/>
        <v>0</v>
      </c>
      <c r="AF411" s="668">
        <f t="shared" si="128"/>
        <v>0</v>
      </c>
      <c r="AG411" s="668">
        <f t="shared" si="129"/>
        <v>0</v>
      </c>
      <c r="AH411" s="668"/>
      <c r="AI411" s="668"/>
      <c r="AJ411" s="668"/>
      <c r="AK411" s="668"/>
      <c r="AL411" s="668"/>
      <c r="AM411" s="668">
        <f t="shared" si="135"/>
        <v>0</v>
      </c>
      <c r="AN411" s="668">
        <f t="shared" si="130"/>
        <v>0</v>
      </c>
      <c r="AO411" s="668">
        <f t="shared" si="131"/>
        <v>0</v>
      </c>
      <c r="AP411" s="668">
        <f t="shared" si="136"/>
        <v>0</v>
      </c>
      <c r="AQ411" s="668">
        <f t="shared" si="132"/>
        <v>0</v>
      </c>
      <c r="AR411" s="668">
        <f t="shared" si="133"/>
        <v>0</v>
      </c>
      <c r="AS411" s="668"/>
      <c r="AT411" s="668"/>
      <c r="AU411" s="668"/>
      <c r="AV411" s="668"/>
      <c r="AW411" s="668"/>
      <c r="AX411" s="668"/>
      <c r="AY411" s="668"/>
      <c r="AZ411" s="668"/>
      <c r="BA411" s="668"/>
      <c r="BB411" s="668">
        <f t="shared" si="137"/>
        <v>0</v>
      </c>
      <c r="BC411" s="668"/>
      <c r="BD411" s="668"/>
      <c r="BE411" s="668"/>
      <c r="BF411" s="668"/>
      <c r="BG411" s="668"/>
      <c r="BH411" s="668"/>
      <c r="BI411" s="668"/>
    </row>
    <row r="412" spans="1:61" x14ac:dyDescent="0.2">
      <c r="A412" s="1020">
        <v>2058</v>
      </c>
      <c r="B412" s="1013" t="s">
        <v>625</v>
      </c>
      <c r="C412" s="1013"/>
      <c r="D412" s="667">
        <v>46</v>
      </c>
      <c r="E412" s="667"/>
      <c r="F412" s="667"/>
      <c r="G412" s="667"/>
      <c r="H412" s="667"/>
      <c r="I412" s="667"/>
      <c r="J412" s="667"/>
      <c r="K412" s="667"/>
      <c r="L412" s="667"/>
      <c r="M412" s="667"/>
      <c r="N412" s="667"/>
      <c r="O412" s="667"/>
      <c r="P412" s="667"/>
      <c r="Q412" s="667"/>
      <c r="R412" s="667"/>
      <c r="S412" s="667"/>
      <c r="T412" s="667"/>
      <c r="U412" s="1013">
        <v>10</v>
      </c>
      <c r="V412" s="668">
        <f t="shared" si="119"/>
        <v>460</v>
      </c>
      <c r="W412" s="668">
        <f t="shared" si="120"/>
        <v>0</v>
      </c>
      <c r="X412" s="668">
        <f t="shared" si="121"/>
        <v>0</v>
      </c>
      <c r="Y412" s="668">
        <f t="shared" si="122"/>
        <v>0</v>
      </c>
      <c r="Z412" s="668">
        <f t="shared" si="123"/>
        <v>0</v>
      </c>
      <c r="AA412" s="668">
        <f t="shared" si="124"/>
        <v>0</v>
      </c>
      <c r="AB412" s="668">
        <f t="shared" si="125"/>
        <v>0</v>
      </c>
      <c r="AC412" s="668">
        <f t="shared" si="134"/>
        <v>0</v>
      </c>
      <c r="AD412" s="668">
        <f t="shared" si="126"/>
        <v>0</v>
      </c>
      <c r="AE412" s="668">
        <f t="shared" si="127"/>
        <v>0</v>
      </c>
      <c r="AF412" s="668">
        <f t="shared" si="128"/>
        <v>0</v>
      </c>
      <c r="AG412" s="668">
        <f t="shared" si="129"/>
        <v>0</v>
      </c>
      <c r="AH412" s="668"/>
      <c r="AI412" s="668"/>
      <c r="AJ412" s="668"/>
      <c r="AK412" s="668"/>
      <c r="AL412" s="668"/>
      <c r="AM412" s="668">
        <f t="shared" si="135"/>
        <v>0</v>
      </c>
      <c r="AN412" s="668">
        <f t="shared" si="130"/>
        <v>0</v>
      </c>
      <c r="AO412" s="668">
        <f t="shared" si="131"/>
        <v>0</v>
      </c>
      <c r="AP412" s="668">
        <f t="shared" si="136"/>
        <v>0</v>
      </c>
      <c r="AQ412" s="668">
        <f t="shared" si="132"/>
        <v>0</v>
      </c>
      <c r="AR412" s="668">
        <f t="shared" si="133"/>
        <v>0</v>
      </c>
      <c r="AS412" s="668"/>
      <c r="AT412" s="668"/>
      <c r="AU412" s="668"/>
      <c r="AV412" s="668"/>
      <c r="AW412" s="668"/>
      <c r="AX412" s="668"/>
      <c r="AY412" s="668"/>
      <c r="AZ412" s="668"/>
      <c r="BA412" s="668"/>
      <c r="BB412" s="668">
        <f t="shared" si="137"/>
        <v>0</v>
      </c>
      <c r="BC412" s="668"/>
      <c r="BD412" s="668"/>
      <c r="BE412" s="668"/>
      <c r="BF412" s="668"/>
      <c r="BG412" s="668"/>
      <c r="BH412" s="668"/>
      <c r="BI412" s="668"/>
    </row>
    <row r="413" spans="1:61" x14ac:dyDescent="0.2">
      <c r="A413" s="1020" t="s">
        <v>688</v>
      </c>
      <c r="B413" s="1013" t="s">
        <v>686</v>
      </c>
      <c r="C413" s="1013"/>
      <c r="D413" s="667">
        <v>130</v>
      </c>
      <c r="E413" s="667"/>
      <c r="F413" s="667"/>
      <c r="G413" s="667"/>
      <c r="H413" s="667"/>
      <c r="I413" s="667"/>
      <c r="J413" s="667"/>
      <c r="K413" s="667"/>
      <c r="L413" s="667"/>
      <c r="M413" s="667"/>
      <c r="N413" s="667"/>
      <c r="O413" s="667"/>
      <c r="P413" s="667"/>
      <c r="Q413" s="667"/>
      <c r="R413" s="667"/>
      <c r="S413" s="667"/>
      <c r="T413" s="667"/>
      <c r="U413" s="1013">
        <v>10</v>
      </c>
      <c r="V413" s="668">
        <f t="shared" si="119"/>
        <v>1300</v>
      </c>
      <c r="W413" s="668">
        <f t="shared" si="120"/>
        <v>0</v>
      </c>
      <c r="X413" s="668">
        <f t="shared" si="121"/>
        <v>0</v>
      </c>
      <c r="Y413" s="668">
        <f t="shared" si="122"/>
        <v>0</v>
      </c>
      <c r="Z413" s="668">
        <f t="shared" si="123"/>
        <v>0</v>
      </c>
      <c r="AA413" s="668">
        <f t="shared" si="124"/>
        <v>0</v>
      </c>
      <c r="AB413" s="668">
        <f t="shared" si="125"/>
        <v>0</v>
      </c>
      <c r="AC413" s="668">
        <f t="shared" si="134"/>
        <v>0</v>
      </c>
      <c r="AD413" s="668">
        <f t="shared" si="126"/>
        <v>0</v>
      </c>
      <c r="AE413" s="668">
        <f t="shared" si="127"/>
        <v>0</v>
      </c>
      <c r="AF413" s="668">
        <f t="shared" si="128"/>
        <v>0</v>
      </c>
      <c r="AG413" s="668">
        <f t="shared" si="129"/>
        <v>0</v>
      </c>
      <c r="AH413" s="668"/>
      <c r="AI413" s="668"/>
      <c r="AJ413" s="668"/>
      <c r="AK413" s="668"/>
      <c r="AL413" s="668"/>
      <c r="AM413" s="668">
        <f t="shared" si="135"/>
        <v>0</v>
      </c>
      <c r="AN413" s="668">
        <f t="shared" si="130"/>
        <v>0</v>
      </c>
      <c r="AO413" s="668">
        <f t="shared" si="131"/>
        <v>0</v>
      </c>
      <c r="AP413" s="668">
        <f t="shared" si="136"/>
        <v>0</v>
      </c>
      <c r="AQ413" s="668">
        <f t="shared" si="132"/>
        <v>0</v>
      </c>
      <c r="AR413" s="668">
        <f t="shared" si="133"/>
        <v>0</v>
      </c>
      <c r="AS413" s="668"/>
      <c r="AT413" s="668"/>
      <c r="AU413" s="668"/>
      <c r="AV413" s="668"/>
      <c r="AW413" s="668"/>
      <c r="AX413" s="668"/>
      <c r="AY413" s="668"/>
      <c r="AZ413" s="668"/>
      <c r="BA413" s="668"/>
      <c r="BB413" s="668">
        <f t="shared" si="137"/>
        <v>0</v>
      </c>
      <c r="BC413" s="668"/>
      <c r="BD413" s="668"/>
      <c r="BE413" s="668"/>
      <c r="BF413" s="668"/>
      <c r="BG413" s="668"/>
      <c r="BH413" s="668"/>
      <c r="BI413" s="668"/>
    </row>
    <row r="414" spans="1:61" x14ac:dyDescent="0.2">
      <c r="A414" s="1020" t="s">
        <v>689</v>
      </c>
      <c r="B414" s="1020" t="s">
        <v>454</v>
      </c>
      <c r="C414" s="1020"/>
      <c r="D414" s="667">
        <v>32</v>
      </c>
      <c r="E414" s="667"/>
      <c r="F414" s="667"/>
      <c r="G414" s="667"/>
      <c r="H414" s="667"/>
      <c r="I414" s="667"/>
      <c r="J414" s="667"/>
      <c r="K414" s="667"/>
      <c r="L414" s="667"/>
      <c r="M414" s="667"/>
      <c r="N414" s="667"/>
      <c r="O414" s="667"/>
      <c r="P414" s="667"/>
      <c r="Q414" s="667"/>
      <c r="R414" s="667"/>
      <c r="S414" s="667"/>
      <c r="T414" s="667"/>
      <c r="U414" s="1020">
        <v>12</v>
      </c>
      <c r="V414" s="668">
        <f t="shared" si="119"/>
        <v>384</v>
      </c>
      <c r="W414" s="668">
        <f t="shared" si="120"/>
        <v>0</v>
      </c>
      <c r="X414" s="668">
        <f t="shared" si="121"/>
        <v>0</v>
      </c>
      <c r="Y414" s="668">
        <f t="shared" si="122"/>
        <v>0</v>
      </c>
      <c r="Z414" s="668">
        <f t="shared" si="123"/>
        <v>0</v>
      </c>
      <c r="AA414" s="668">
        <f t="shared" si="124"/>
        <v>0</v>
      </c>
      <c r="AB414" s="668">
        <f t="shared" si="125"/>
        <v>0</v>
      </c>
      <c r="AC414" s="668">
        <f t="shared" si="134"/>
        <v>0</v>
      </c>
      <c r="AD414" s="668">
        <f t="shared" si="126"/>
        <v>0</v>
      </c>
      <c r="AE414" s="668">
        <f t="shared" si="127"/>
        <v>0</v>
      </c>
      <c r="AF414" s="668">
        <f t="shared" si="128"/>
        <v>0</v>
      </c>
      <c r="AG414" s="668">
        <f t="shared" si="129"/>
        <v>0</v>
      </c>
      <c r="AH414" s="668"/>
      <c r="AI414" s="668"/>
      <c r="AJ414" s="668"/>
      <c r="AK414" s="668"/>
      <c r="AL414" s="668"/>
      <c r="AM414" s="668">
        <f t="shared" si="135"/>
        <v>0</v>
      </c>
      <c r="AN414" s="668">
        <f t="shared" si="130"/>
        <v>0</v>
      </c>
      <c r="AO414" s="668">
        <f t="shared" si="131"/>
        <v>0</v>
      </c>
      <c r="AP414" s="668">
        <f t="shared" si="136"/>
        <v>0</v>
      </c>
      <c r="AQ414" s="668">
        <f t="shared" si="132"/>
        <v>0</v>
      </c>
      <c r="AR414" s="668">
        <f t="shared" si="133"/>
        <v>0</v>
      </c>
      <c r="AS414" s="668"/>
      <c r="AT414" s="668"/>
      <c r="AU414" s="668"/>
      <c r="AV414" s="668"/>
      <c r="AW414" s="668"/>
      <c r="AX414" s="668"/>
      <c r="AY414" s="668"/>
      <c r="AZ414" s="668"/>
      <c r="BA414" s="668"/>
      <c r="BB414" s="668">
        <f t="shared" si="137"/>
        <v>0</v>
      </c>
      <c r="BC414" s="668"/>
      <c r="BD414" s="668"/>
      <c r="BE414" s="668"/>
      <c r="BF414" s="668"/>
      <c r="BG414" s="668"/>
      <c r="BH414" s="668"/>
      <c r="BI414" s="668"/>
    </row>
    <row r="415" spans="1:61" x14ac:dyDescent="0.2">
      <c r="A415" s="1020">
        <v>2060</v>
      </c>
      <c r="B415" s="1013" t="s">
        <v>685</v>
      </c>
      <c r="C415" s="1013"/>
      <c r="D415" s="667">
        <v>102</v>
      </c>
      <c r="E415" s="667"/>
      <c r="F415" s="667"/>
      <c r="G415" s="667"/>
      <c r="H415" s="667"/>
      <c r="I415" s="667"/>
      <c r="J415" s="667"/>
      <c r="K415" s="667"/>
      <c r="L415" s="667"/>
      <c r="M415" s="667"/>
      <c r="N415" s="667"/>
      <c r="O415" s="667"/>
      <c r="P415" s="667"/>
      <c r="Q415" s="667"/>
      <c r="R415" s="667"/>
      <c r="S415" s="667"/>
      <c r="T415" s="667"/>
      <c r="U415" s="1013">
        <v>10</v>
      </c>
      <c r="V415" s="668">
        <f t="shared" si="119"/>
        <v>1020</v>
      </c>
      <c r="W415" s="668">
        <f t="shared" si="120"/>
        <v>0</v>
      </c>
      <c r="X415" s="668">
        <f t="shared" si="121"/>
        <v>0</v>
      </c>
      <c r="Y415" s="668">
        <f t="shared" si="122"/>
        <v>0</v>
      </c>
      <c r="Z415" s="668">
        <f t="shared" si="123"/>
        <v>0</v>
      </c>
      <c r="AA415" s="668">
        <f t="shared" si="124"/>
        <v>0</v>
      </c>
      <c r="AB415" s="668">
        <f t="shared" si="125"/>
        <v>0</v>
      </c>
      <c r="AC415" s="668">
        <f t="shared" si="134"/>
        <v>0</v>
      </c>
      <c r="AD415" s="668">
        <f t="shared" si="126"/>
        <v>0</v>
      </c>
      <c r="AE415" s="668">
        <f t="shared" si="127"/>
        <v>0</v>
      </c>
      <c r="AF415" s="668">
        <f t="shared" si="128"/>
        <v>0</v>
      </c>
      <c r="AG415" s="668">
        <f t="shared" si="129"/>
        <v>0</v>
      </c>
      <c r="AH415" s="668"/>
      <c r="AI415" s="668"/>
      <c r="AJ415" s="668"/>
      <c r="AK415" s="668"/>
      <c r="AL415" s="668"/>
      <c r="AM415" s="668">
        <f t="shared" si="135"/>
        <v>0</v>
      </c>
      <c r="AN415" s="668">
        <f t="shared" si="130"/>
        <v>0</v>
      </c>
      <c r="AO415" s="668">
        <f t="shared" si="131"/>
        <v>0</v>
      </c>
      <c r="AP415" s="668">
        <f t="shared" si="136"/>
        <v>0</v>
      </c>
      <c r="AQ415" s="668">
        <f t="shared" si="132"/>
        <v>0</v>
      </c>
      <c r="AR415" s="668">
        <f t="shared" si="133"/>
        <v>0</v>
      </c>
      <c r="AS415" s="668"/>
      <c r="AT415" s="668"/>
      <c r="AU415" s="668"/>
      <c r="AV415" s="668"/>
      <c r="AW415" s="668"/>
      <c r="AX415" s="668"/>
      <c r="AY415" s="668"/>
      <c r="AZ415" s="668"/>
      <c r="BA415" s="668"/>
      <c r="BB415" s="668">
        <f t="shared" si="137"/>
        <v>0</v>
      </c>
      <c r="BC415" s="668"/>
      <c r="BD415" s="668"/>
      <c r="BE415" s="668"/>
      <c r="BF415" s="668"/>
      <c r="BG415" s="668"/>
      <c r="BH415" s="668"/>
      <c r="BI415" s="668"/>
    </row>
    <row r="416" spans="1:61" x14ac:dyDescent="0.2">
      <c r="A416" s="1020">
        <v>2061</v>
      </c>
      <c r="B416" s="1013" t="s">
        <v>579</v>
      </c>
      <c r="C416" s="1013"/>
      <c r="D416" s="667">
        <v>51</v>
      </c>
      <c r="E416" s="667"/>
      <c r="F416" s="667"/>
      <c r="G416" s="667"/>
      <c r="H416" s="667"/>
      <c r="I416" s="667"/>
      <c r="J416" s="667"/>
      <c r="K416" s="667"/>
      <c r="L416" s="667"/>
      <c r="M416" s="667"/>
      <c r="N416" s="667"/>
      <c r="O416" s="667"/>
      <c r="P416" s="667"/>
      <c r="Q416" s="667"/>
      <c r="R416" s="667"/>
      <c r="S416" s="667"/>
      <c r="T416" s="667"/>
      <c r="U416" s="1013">
        <v>12</v>
      </c>
      <c r="V416" s="668">
        <f t="shared" si="119"/>
        <v>612</v>
      </c>
      <c r="W416" s="668">
        <f t="shared" si="120"/>
        <v>0</v>
      </c>
      <c r="X416" s="668">
        <f t="shared" si="121"/>
        <v>0</v>
      </c>
      <c r="Y416" s="668">
        <f t="shared" si="122"/>
        <v>0</v>
      </c>
      <c r="Z416" s="668">
        <f t="shared" si="123"/>
        <v>0</v>
      </c>
      <c r="AA416" s="668">
        <f t="shared" si="124"/>
        <v>0</v>
      </c>
      <c r="AB416" s="668">
        <f t="shared" si="125"/>
        <v>0</v>
      </c>
      <c r="AC416" s="668">
        <f t="shared" si="134"/>
        <v>0</v>
      </c>
      <c r="AD416" s="668">
        <f t="shared" si="126"/>
        <v>0</v>
      </c>
      <c r="AE416" s="668">
        <f t="shared" si="127"/>
        <v>0</v>
      </c>
      <c r="AF416" s="668">
        <f t="shared" si="128"/>
        <v>0</v>
      </c>
      <c r="AG416" s="668">
        <f t="shared" si="129"/>
        <v>0</v>
      </c>
      <c r="AH416" s="668"/>
      <c r="AI416" s="668"/>
      <c r="AJ416" s="668"/>
      <c r="AK416" s="668"/>
      <c r="AL416" s="668"/>
      <c r="AM416" s="668">
        <f t="shared" si="135"/>
        <v>0</v>
      </c>
      <c r="AN416" s="668">
        <f t="shared" si="130"/>
        <v>0</v>
      </c>
      <c r="AO416" s="668">
        <f t="shared" si="131"/>
        <v>0</v>
      </c>
      <c r="AP416" s="668">
        <f t="shared" si="136"/>
        <v>0</v>
      </c>
      <c r="AQ416" s="668">
        <f t="shared" si="132"/>
        <v>0</v>
      </c>
      <c r="AR416" s="668">
        <f t="shared" si="133"/>
        <v>0</v>
      </c>
      <c r="AS416" s="668"/>
      <c r="AT416" s="668"/>
      <c r="AU416" s="668"/>
      <c r="AV416" s="668"/>
      <c r="AW416" s="668"/>
      <c r="AX416" s="668"/>
      <c r="AY416" s="668"/>
      <c r="AZ416" s="668"/>
      <c r="BA416" s="668"/>
      <c r="BB416" s="668">
        <f t="shared" si="137"/>
        <v>0</v>
      </c>
      <c r="BC416" s="668"/>
      <c r="BD416" s="668"/>
      <c r="BE416" s="668"/>
      <c r="BF416" s="668"/>
      <c r="BG416" s="668"/>
      <c r="BH416" s="668"/>
      <c r="BI416" s="668"/>
    </row>
    <row r="417" spans="1:61" x14ac:dyDescent="0.2">
      <c r="A417" s="1020">
        <v>2062</v>
      </c>
      <c r="B417" s="1013" t="s">
        <v>682</v>
      </c>
      <c r="C417" s="1013"/>
      <c r="D417" s="667">
        <v>32</v>
      </c>
      <c r="E417" s="667"/>
      <c r="F417" s="667">
        <v>32</v>
      </c>
      <c r="G417" s="667"/>
      <c r="H417" s="667"/>
      <c r="I417" s="667"/>
      <c r="J417" s="667"/>
      <c r="K417" s="667"/>
      <c r="L417" s="667"/>
      <c r="M417" s="667"/>
      <c r="N417" s="667"/>
      <c r="O417" s="667"/>
      <c r="P417" s="667"/>
      <c r="Q417" s="667"/>
      <c r="R417" s="667"/>
      <c r="S417" s="667"/>
      <c r="T417" s="667"/>
      <c r="U417" s="1013">
        <v>10</v>
      </c>
      <c r="V417" s="668">
        <f t="shared" si="119"/>
        <v>320</v>
      </c>
      <c r="W417" s="668">
        <f t="shared" si="120"/>
        <v>0</v>
      </c>
      <c r="X417" s="668">
        <f t="shared" si="121"/>
        <v>0</v>
      </c>
      <c r="Y417" s="668">
        <f t="shared" si="122"/>
        <v>0</v>
      </c>
      <c r="Z417" s="668">
        <f t="shared" si="123"/>
        <v>0</v>
      </c>
      <c r="AA417" s="668">
        <f t="shared" si="124"/>
        <v>0</v>
      </c>
      <c r="AB417" s="668">
        <f t="shared" si="125"/>
        <v>0</v>
      </c>
      <c r="AC417" s="668">
        <f t="shared" si="134"/>
        <v>0</v>
      </c>
      <c r="AD417" s="668">
        <f t="shared" si="126"/>
        <v>0</v>
      </c>
      <c r="AE417" s="668">
        <f t="shared" si="127"/>
        <v>0</v>
      </c>
      <c r="AF417" s="668">
        <f t="shared" si="128"/>
        <v>0</v>
      </c>
      <c r="AG417" s="668">
        <f t="shared" si="129"/>
        <v>0</v>
      </c>
      <c r="AH417" s="668"/>
      <c r="AI417" s="668"/>
      <c r="AJ417" s="668"/>
      <c r="AK417" s="668"/>
      <c r="AL417" s="668"/>
      <c r="AM417" s="668">
        <f t="shared" si="135"/>
        <v>0</v>
      </c>
      <c r="AN417" s="668">
        <f t="shared" si="130"/>
        <v>0</v>
      </c>
      <c r="AO417" s="668">
        <f t="shared" si="131"/>
        <v>0</v>
      </c>
      <c r="AP417" s="668">
        <f t="shared" si="136"/>
        <v>320</v>
      </c>
      <c r="AQ417" s="668">
        <f t="shared" si="132"/>
        <v>0</v>
      </c>
      <c r="AR417" s="668">
        <f t="shared" si="133"/>
        <v>0</v>
      </c>
      <c r="AS417" s="668"/>
      <c r="AT417" s="668"/>
      <c r="AU417" s="668"/>
      <c r="AV417" s="668"/>
      <c r="AW417" s="668"/>
      <c r="AX417" s="668"/>
      <c r="AY417" s="668"/>
      <c r="AZ417" s="668"/>
      <c r="BA417" s="668"/>
      <c r="BB417" s="668">
        <f t="shared" si="137"/>
        <v>320</v>
      </c>
      <c r="BC417" s="668"/>
      <c r="BD417" s="668"/>
      <c r="BE417" s="668"/>
      <c r="BF417" s="668"/>
      <c r="BG417" s="668"/>
      <c r="BH417" s="668"/>
      <c r="BI417" s="668"/>
    </row>
    <row r="418" spans="1:61" x14ac:dyDescent="0.2">
      <c r="A418" s="1020">
        <v>2063</v>
      </c>
      <c r="B418" s="1013" t="s">
        <v>682</v>
      </c>
      <c r="C418" s="1013"/>
      <c r="D418" s="667">
        <v>32</v>
      </c>
      <c r="E418" s="667"/>
      <c r="F418" s="667">
        <v>32</v>
      </c>
      <c r="G418" s="667"/>
      <c r="H418" s="667"/>
      <c r="I418" s="667"/>
      <c r="J418" s="667"/>
      <c r="K418" s="667"/>
      <c r="L418" s="667"/>
      <c r="M418" s="667"/>
      <c r="N418" s="667"/>
      <c r="O418" s="667"/>
      <c r="P418" s="667"/>
      <c r="Q418" s="667"/>
      <c r="R418" s="667"/>
      <c r="S418" s="667"/>
      <c r="T418" s="667"/>
      <c r="U418" s="1013">
        <v>10</v>
      </c>
      <c r="V418" s="668">
        <f t="shared" si="119"/>
        <v>320</v>
      </c>
      <c r="W418" s="668">
        <f t="shared" si="120"/>
        <v>0</v>
      </c>
      <c r="X418" s="668">
        <f t="shared" si="121"/>
        <v>0</v>
      </c>
      <c r="Y418" s="668">
        <f t="shared" si="122"/>
        <v>0</v>
      </c>
      <c r="Z418" s="668">
        <f t="shared" si="123"/>
        <v>0</v>
      </c>
      <c r="AA418" s="668">
        <f t="shared" si="124"/>
        <v>0</v>
      </c>
      <c r="AB418" s="668">
        <f t="shared" si="125"/>
        <v>0</v>
      </c>
      <c r="AC418" s="668">
        <f t="shared" si="134"/>
        <v>0</v>
      </c>
      <c r="AD418" s="668">
        <f t="shared" si="126"/>
        <v>0</v>
      </c>
      <c r="AE418" s="668">
        <f t="shared" si="127"/>
        <v>0</v>
      </c>
      <c r="AF418" s="668">
        <f t="shared" si="128"/>
        <v>0</v>
      </c>
      <c r="AG418" s="668">
        <f t="shared" si="129"/>
        <v>0</v>
      </c>
      <c r="AH418" s="668"/>
      <c r="AI418" s="668"/>
      <c r="AJ418" s="668"/>
      <c r="AK418" s="668"/>
      <c r="AL418" s="668"/>
      <c r="AM418" s="668">
        <f t="shared" si="135"/>
        <v>0</v>
      </c>
      <c r="AN418" s="668">
        <f t="shared" si="130"/>
        <v>0</v>
      </c>
      <c r="AO418" s="668">
        <f t="shared" si="131"/>
        <v>0</v>
      </c>
      <c r="AP418" s="668">
        <f t="shared" si="136"/>
        <v>320</v>
      </c>
      <c r="AQ418" s="668">
        <f t="shared" si="132"/>
        <v>0</v>
      </c>
      <c r="AR418" s="668">
        <f t="shared" si="133"/>
        <v>0</v>
      </c>
      <c r="AS418" s="668"/>
      <c r="AT418" s="668"/>
      <c r="AU418" s="668"/>
      <c r="AV418" s="668"/>
      <c r="AW418" s="668"/>
      <c r="AX418" s="668"/>
      <c r="AY418" s="668"/>
      <c r="AZ418" s="668"/>
      <c r="BA418" s="668"/>
      <c r="BB418" s="668">
        <f t="shared" si="137"/>
        <v>320</v>
      </c>
      <c r="BC418" s="668"/>
      <c r="BD418" s="668"/>
      <c r="BE418" s="668"/>
      <c r="BF418" s="668"/>
      <c r="BG418" s="668"/>
      <c r="BH418" s="668"/>
      <c r="BI418" s="668"/>
    </row>
    <row r="419" spans="1:61" x14ac:dyDescent="0.2">
      <c r="A419" s="1020">
        <v>2064</v>
      </c>
      <c r="B419" s="1013" t="s">
        <v>685</v>
      </c>
      <c r="C419" s="1013"/>
      <c r="D419" s="667">
        <v>77</v>
      </c>
      <c r="E419" s="667"/>
      <c r="F419" s="667"/>
      <c r="G419" s="667"/>
      <c r="H419" s="667"/>
      <c r="I419" s="667"/>
      <c r="J419" s="667"/>
      <c r="K419" s="667"/>
      <c r="L419" s="667"/>
      <c r="M419" s="667"/>
      <c r="N419" s="667"/>
      <c r="O419" s="667"/>
      <c r="P419" s="667"/>
      <c r="Q419" s="667"/>
      <c r="R419" s="667"/>
      <c r="S419" s="667"/>
      <c r="T419" s="667"/>
      <c r="U419" s="1013">
        <v>10</v>
      </c>
      <c r="V419" s="668">
        <f t="shared" si="119"/>
        <v>770</v>
      </c>
      <c r="W419" s="668">
        <f t="shared" si="120"/>
        <v>0</v>
      </c>
      <c r="X419" s="668">
        <f t="shared" si="121"/>
        <v>0</v>
      </c>
      <c r="Y419" s="668">
        <f t="shared" si="122"/>
        <v>0</v>
      </c>
      <c r="Z419" s="668">
        <f t="shared" si="123"/>
        <v>0</v>
      </c>
      <c r="AA419" s="668">
        <f t="shared" si="124"/>
        <v>0</v>
      </c>
      <c r="AB419" s="668">
        <f t="shared" si="125"/>
        <v>0</v>
      </c>
      <c r="AC419" s="668">
        <f t="shared" si="134"/>
        <v>0</v>
      </c>
      <c r="AD419" s="668">
        <f t="shared" si="126"/>
        <v>0</v>
      </c>
      <c r="AE419" s="668">
        <f t="shared" si="127"/>
        <v>0</v>
      </c>
      <c r="AF419" s="668">
        <f t="shared" si="128"/>
        <v>0</v>
      </c>
      <c r="AG419" s="668">
        <f t="shared" si="129"/>
        <v>0</v>
      </c>
      <c r="AH419" s="668"/>
      <c r="AI419" s="668"/>
      <c r="AJ419" s="668"/>
      <c r="AK419" s="668"/>
      <c r="AL419" s="668"/>
      <c r="AM419" s="668">
        <f t="shared" si="135"/>
        <v>0</v>
      </c>
      <c r="AN419" s="668">
        <f t="shared" si="130"/>
        <v>0</v>
      </c>
      <c r="AO419" s="668">
        <f t="shared" si="131"/>
        <v>0</v>
      </c>
      <c r="AP419" s="668">
        <f t="shared" si="136"/>
        <v>0</v>
      </c>
      <c r="AQ419" s="668">
        <f t="shared" si="132"/>
        <v>0</v>
      </c>
      <c r="AR419" s="668">
        <f t="shared" si="133"/>
        <v>0</v>
      </c>
      <c r="AS419" s="668"/>
      <c r="AT419" s="668"/>
      <c r="AU419" s="668"/>
      <c r="AV419" s="668"/>
      <c r="AW419" s="668"/>
      <c r="AX419" s="668"/>
      <c r="AY419" s="668"/>
      <c r="AZ419" s="668"/>
      <c r="BA419" s="668"/>
      <c r="BB419" s="668">
        <f t="shared" si="137"/>
        <v>0</v>
      </c>
      <c r="BC419" s="668"/>
      <c r="BD419" s="668"/>
      <c r="BE419" s="668"/>
      <c r="BF419" s="668"/>
      <c r="BG419" s="668"/>
      <c r="BH419" s="668"/>
      <c r="BI419" s="668"/>
    </row>
    <row r="420" spans="1:61" x14ac:dyDescent="0.2">
      <c r="A420" s="1020">
        <v>2065</v>
      </c>
      <c r="B420" s="1013" t="s">
        <v>517</v>
      </c>
      <c r="C420" s="1013"/>
      <c r="D420" s="667">
        <v>82</v>
      </c>
      <c r="E420" s="667"/>
      <c r="F420" s="667"/>
      <c r="G420" s="667"/>
      <c r="H420" s="667"/>
      <c r="I420" s="667"/>
      <c r="J420" s="667"/>
      <c r="K420" s="667"/>
      <c r="L420" s="667"/>
      <c r="M420" s="667"/>
      <c r="N420" s="667"/>
      <c r="O420" s="667"/>
      <c r="P420" s="667"/>
      <c r="Q420" s="667"/>
      <c r="R420" s="667"/>
      <c r="S420" s="667"/>
      <c r="T420" s="667"/>
      <c r="U420" s="1013">
        <v>12</v>
      </c>
      <c r="V420" s="668">
        <f t="shared" si="119"/>
        <v>984</v>
      </c>
      <c r="W420" s="668">
        <f t="shared" si="120"/>
        <v>0</v>
      </c>
      <c r="X420" s="668">
        <f t="shared" si="121"/>
        <v>0</v>
      </c>
      <c r="Y420" s="668">
        <f t="shared" si="122"/>
        <v>0</v>
      </c>
      <c r="Z420" s="668">
        <f t="shared" si="123"/>
        <v>0</v>
      </c>
      <c r="AA420" s="668">
        <f t="shared" si="124"/>
        <v>0</v>
      </c>
      <c r="AB420" s="668">
        <f t="shared" si="125"/>
        <v>0</v>
      </c>
      <c r="AC420" s="668">
        <f t="shared" si="134"/>
        <v>0</v>
      </c>
      <c r="AD420" s="668">
        <f t="shared" si="126"/>
        <v>0</v>
      </c>
      <c r="AE420" s="668">
        <f t="shared" si="127"/>
        <v>0</v>
      </c>
      <c r="AF420" s="668">
        <f t="shared" si="128"/>
        <v>0</v>
      </c>
      <c r="AG420" s="668">
        <f t="shared" si="129"/>
        <v>0</v>
      </c>
      <c r="AH420" s="668"/>
      <c r="AI420" s="668"/>
      <c r="AJ420" s="668"/>
      <c r="AK420" s="668"/>
      <c r="AL420" s="668"/>
      <c r="AM420" s="668">
        <f t="shared" si="135"/>
        <v>0</v>
      </c>
      <c r="AN420" s="668">
        <f t="shared" si="130"/>
        <v>0</v>
      </c>
      <c r="AO420" s="668">
        <f t="shared" si="131"/>
        <v>0</v>
      </c>
      <c r="AP420" s="668">
        <f t="shared" si="136"/>
        <v>0</v>
      </c>
      <c r="AQ420" s="668">
        <f t="shared" si="132"/>
        <v>0</v>
      </c>
      <c r="AR420" s="668">
        <f t="shared" si="133"/>
        <v>0</v>
      </c>
      <c r="AS420" s="668"/>
      <c r="AT420" s="668"/>
      <c r="AU420" s="668"/>
      <c r="AV420" s="668"/>
      <c r="AW420" s="668"/>
      <c r="AX420" s="668"/>
      <c r="AY420" s="668"/>
      <c r="AZ420" s="668"/>
      <c r="BA420" s="668"/>
      <c r="BB420" s="668">
        <f t="shared" si="137"/>
        <v>0</v>
      </c>
      <c r="BC420" s="668"/>
      <c r="BD420" s="668"/>
      <c r="BE420" s="668"/>
      <c r="BF420" s="668"/>
      <c r="BG420" s="668"/>
      <c r="BH420" s="668"/>
      <c r="BI420" s="668"/>
    </row>
    <row r="421" spans="1:61" x14ac:dyDescent="0.2">
      <c r="A421" s="1020">
        <v>2066</v>
      </c>
      <c r="B421" s="1013" t="s">
        <v>519</v>
      </c>
      <c r="C421" s="1013"/>
      <c r="D421" s="667">
        <v>35</v>
      </c>
      <c r="E421" s="667"/>
      <c r="F421" s="667">
        <v>15</v>
      </c>
      <c r="G421" s="667"/>
      <c r="H421" s="667"/>
      <c r="I421" s="667"/>
      <c r="J421" s="667"/>
      <c r="K421" s="667"/>
      <c r="L421" s="667"/>
      <c r="M421" s="667"/>
      <c r="N421" s="667"/>
      <c r="O421" s="667"/>
      <c r="P421" s="667"/>
      <c r="Q421" s="667"/>
      <c r="R421" s="667"/>
      <c r="S421" s="667"/>
      <c r="T421" s="667">
        <v>155</v>
      </c>
      <c r="U421" s="1013">
        <v>12</v>
      </c>
      <c r="V421" s="668">
        <f t="shared" si="119"/>
        <v>420</v>
      </c>
      <c r="W421" s="668">
        <f t="shared" si="120"/>
        <v>0</v>
      </c>
      <c r="X421" s="668">
        <f t="shared" si="121"/>
        <v>0</v>
      </c>
      <c r="Y421" s="668">
        <f t="shared" si="122"/>
        <v>0</v>
      </c>
      <c r="Z421" s="668">
        <f t="shared" si="123"/>
        <v>0</v>
      </c>
      <c r="AA421" s="668">
        <f t="shared" si="124"/>
        <v>0</v>
      </c>
      <c r="AB421" s="668">
        <f t="shared" si="125"/>
        <v>155</v>
      </c>
      <c r="AC421" s="668">
        <f t="shared" si="134"/>
        <v>0</v>
      </c>
      <c r="AD421" s="668">
        <f t="shared" si="126"/>
        <v>0</v>
      </c>
      <c r="AE421" s="668">
        <f t="shared" si="127"/>
        <v>0</v>
      </c>
      <c r="AF421" s="668">
        <f t="shared" si="128"/>
        <v>0</v>
      </c>
      <c r="AG421" s="668">
        <f t="shared" si="129"/>
        <v>0</v>
      </c>
      <c r="AH421" s="668"/>
      <c r="AI421" s="668"/>
      <c r="AJ421" s="668"/>
      <c r="AK421" s="668"/>
      <c r="AL421" s="668"/>
      <c r="AM421" s="668">
        <f t="shared" si="135"/>
        <v>0</v>
      </c>
      <c r="AN421" s="668">
        <f t="shared" si="130"/>
        <v>0</v>
      </c>
      <c r="AO421" s="668">
        <f t="shared" si="131"/>
        <v>0</v>
      </c>
      <c r="AP421" s="668">
        <f t="shared" si="136"/>
        <v>180</v>
      </c>
      <c r="AQ421" s="668">
        <f t="shared" si="132"/>
        <v>0</v>
      </c>
      <c r="AR421" s="668">
        <f t="shared" si="133"/>
        <v>0</v>
      </c>
      <c r="AS421" s="668"/>
      <c r="AT421" s="668"/>
      <c r="AU421" s="668"/>
      <c r="AV421" s="668"/>
      <c r="AW421" s="668"/>
      <c r="AX421" s="668"/>
      <c r="AY421" s="668"/>
      <c r="AZ421" s="668"/>
      <c r="BA421" s="668"/>
      <c r="BB421" s="668">
        <f t="shared" si="137"/>
        <v>180</v>
      </c>
      <c r="BC421" s="668"/>
      <c r="BD421" s="668"/>
      <c r="BE421" s="668"/>
      <c r="BF421" s="668"/>
      <c r="BG421" s="668"/>
      <c r="BH421" s="668"/>
      <c r="BI421" s="668"/>
    </row>
    <row r="422" spans="1:61" x14ac:dyDescent="0.2">
      <c r="A422" s="1020">
        <v>2067</v>
      </c>
      <c r="B422" s="1013" t="s">
        <v>519</v>
      </c>
      <c r="C422" s="1013"/>
      <c r="D422" s="667">
        <v>35</v>
      </c>
      <c r="E422" s="667"/>
      <c r="F422" s="667">
        <v>15</v>
      </c>
      <c r="G422" s="667"/>
      <c r="H422" s="667"/>
      <c r="I422" s="667"/>
      <c r="J422" s="667"/>
      <c r="K422" s="667"/>
      <c r="L422" s="667"/>
      <c r="M422" s="667"/>
      <c r="N422" s="667"/>
      <c r="O422" s="667"/>
      <c r="P422" s="667"/>
      <c r="Q422" s="667"/>
      <c r="R422" s="667"/>
      <c r="S422" s="667"/>
      <c r="T422" s="667">
        <v>155</v>
      </c>
      <c r="U422" s="1013">
        <v>12</v>
      </c>
      <c r="V422" s="668">
        <f t="shared" si="119"/>
        <v>420</v>
      </c>
      <c r="W422" s="668">
        <f t="shared" si="120"/>
        <v>0</v>
      </c>
      <c r="X422" s="668">
        <f t="shared" si="121"/>
        <v>0</v>
      </c>
      <c r="Y422" s="668">
        <f t="shared" si="122"/>
        <v>0</v>
      </c>
      <c r="Z422" s="668">
        <f t="shared" si="123"/>
        <v>0</v>
      </c>
      <c r="AA422" s="668">
        <f t="shared" si="124"/>
        <v>0</v>
      </c>
      <c r="AB422" s="668">
        <f t="shared" si="125"/>
        <v>155</v>
      </c>
      <c r="AC422" s="668">
        <f t="shared" si="134"/>
        <v>0</v>
      </c>
      <c r="AD422" s="668">
        <f t="shared" si="126"/>
        <v>0</v>
      </c>
      <c r="AE422" s="668">
        <f t="shared" si="127"/>
        <v>0</v>
      </c>
      <c r="AF422" s="668">
        <f t="shared" si="128"/>
        <v>0</v>
      </c>
      <c r="AG422" s="668">
        <f t="shared" si="129"/>
        <v>0</v>
      </c>
      <c r="AH422" s="668"/>
      <c r="AI422" s="668"/>
      <c r="AJ422" s="668"/>
      <c r="AK422" s="668"/>
      <c r="AL422" s="668"/>
      <c r="AM422" s="668">
        <f t="shared" si="135"/>
        <v>0</v>
      </c>
      <c r="AN422" s="668">
        <f t="shared" si="130"/>
        <v>0</v>
      </c>
      <c r="AO422" s="668">
        <f t="shared" si="131"/>
        <v>0</v>
      </c>
      <c r="AP422" s="668">
        <f t="shared" si="136"/>
        <v>180</v>
      </c>
      <c r="AQ422" s="668">
        <f t="shared" si="132"/>
        <v>0</v>
      </c>
      <c r="AR422" s="668">
        <f t="shared" si="133"/>
        <v>0</v>
      </c>
      <c r="AS422" s="668"/>
      <c r="AT422" s="668"/>
      <c r="AU422" s="668"/>
      <c r="AV422" s="668"/>
      <c r="AW422" s="668"/>
      <c r="AX422" s="668"/>
      <c r="AY422" s="668"/>
      <c r="AZ422" s="668"/>
      <c r="BA422" s="668"/>
      <c r="BB422" s="668">
        <f t="shared" si="137"/>
        <v>180</v>
      </c>
      <c r="BC422" s="668"/>
      <c r="BD422" s="668"/>
      <c r="BE422" s="668"/>
      <c r="BF422" s="668"/>
      <c r="BG422" s="668"/>
      <c r="BH422" s="668"/>
      <c r="BI422" s="668"/>
    </row>
    <row r="423" spans="1:61" x14ac:dyDescent="0.2">
      <c r="A423" s="1020">
        <v>2068</v>
      </c>
      <c r="B423" s="1013" t="s">
        <v>515</v>
      </c>
      <c r="C423" s="1013"/>
      <c r="D423" s="667">
        <v>78</v>
      </c>
      <c r="E423" s="667"/>
      <c r="F423" s="667">
        <v>60</v>
      </c>
      <c r="G423" s="667"/>
      <c r="H423" s="667"/>
      <c r="I423" s="667"/>
      <c r="J423" s="667"/>
      <c r="K423" s="667"/>
      <c r="L423" s="667"/>
      <c r="M423" s="667"/>
      <c r="N423" s="667"/>
      <c r="O423" s="667"/>
      <c r="P423" s="667"/>
      <c r="Q423" s="667"/>
      <c r="R423" s="667"/>
      <c r="S423" s="667"/>
      <c r="T423" s="667">
        <v>2048</v>
      </c>
      <c r="U423" s="1013">
        <v>12</v>
      </c>
      <c r="V423" s="668">
        <f t="shared" si="119"/>
        <v>936</v>
      </c>
      <c r="W423" s="668">
        <f t="shared" si="120"/>
        <v>0</v>
      </c>
      <c r="X423" s="668">
        <f t="shared" si="121"/>
        <v>0</v>
      </c>
      <c r="Y423" s="668">
        <f t="shared" si="122"/>
        <v>0</v>
      </c>
      <c r="Z423" s="668">
        <f t="shared" si="123"/>
        <v>0</v>
      </c>
      <c r="AA423" s="668">
        <f t="shared" si="124"/>
        <v>0</v>
      </c>
      <c r="AB423" s="668">
        <f t="shared" si="125"/>
        <v>2048</v>
      </c>
      <c r="AC423" s="668">
        <f t="shared" si="134"/>
        <v>0</v>
      </c>
      <c r="AD423" s="668">
        <f t="shared" si="126"/>
        <v>0</v>
      </c>
      <c r="AE423" s="668">
        <f t="shared" si="127"/>
        <v>0</v>
      </c>
      <c r="AF423" s="668">
        <f t="shared" si="128"/>
        <v>0</v>
      </c>
      <c r="AG423" s="668">
        <f t="shared" si="129"/>
        <v>0</v>
      </c>
      <c r="AH423" s="668"/>
      <c r="AI423" s="668"/>
      <c r="AJ423" s="668"/>
      <c r="AK423" s="668"/>
      <c r="AL423" s="668"/>
      <c r="AM423" s="668">
        <f t="shared" si="135"/>
        <v>0</v>
      </c>
      <c r="AN423" s="668">
        <f t="shared" si="130"/>
        <v>0</v>
      </c>
      <c r="AO423" s="668">
        <f t="shared" si="131"/>
        <v>0</v>
      </c>
      <c r="AP423" s="668">
        <f t="shared" si="136"/>
        <v>720</v>
      </c>
      <c r="AQ423" s="668">
        <f t="shared" si="132"/>
        <v>0</v>
      </c>
      <c r="AR423" s="668">
        <f t="shared" si="133"/>
        <v>0</v>
      </c>
      <c r="AS423" s="668"/>
      <c r="AT423" s="668"/>
      <c r="AU423" s="668"/>
      <c r="AV423" s="668"/>
      <c r="AW423" s="668"/>
      <c r="AX423" s="668"/>
      <c r="AY423" s="668"/>
      <c r="AZ423" s="668"/>
      <c r="BA423" s="668"/>
      <c r="BB423" s="668"/>
      <c r="BC423" s="668"/>
      <c r="BD423" s="668"/>
      <c r="BE423" s="668"/>
      <c r="BF423" s="668"/>
      <c r="BG423" s="668"/>
      <c r="BH423" s="668"/>
      <c r="BI423" s="668"/>
    </row>
    <row r="424" spans="1:61" x14ac:dyDescent="0.2">
      <c r="A424" s="1020">
        <v>2069</v>
      </c>
      <c r="B424" s="1013" t="s">
        <v>515</v>
      </c>
      <c r="C424" s="1013"/>
      <c r="D424" s="667">
        <v>153</v>
      </c>
      <c r="E424" s="667"/>
      <c r="F424" s="667"/>
      <c r="G424" s="667"/>
      <c r="H424" s="667"/>
      <c r="I424" s="667"/>
      <c r="J424" s="667"/>
      <c r="K424" s="667"/>
      <c r="L424" s="667"/>
      <c r="M424" s="667"/>
      <c r="N424" s="667"/>
      <c r="O424" s="667"/>
      <c r="P424" s="667"/>
      <c r="Q424" s="667"/>
      <c r="R424" s="667"/>
      <c r="S424" s="667"/>
      <c r="T424" s="667">
        <v>4055</v>
      </c>
      <c r="U424" s="1013">
        <v>12</v>
      </c>
      <c r="V424" s="668">
        <f t="shared" si="119"/>
        <v>1836</v>
      </c>
      <c r="W424" s="668">
        <f t="shared" si="120"/>
        <v>0</v>
      </c>
      <c r="X424" s="668">
        <f t="shared" si="121"/>
        <v>0</v>
      </c>
      <c r="Y424" s="668">
        <f t="shared" si="122"/>
        <v>0</v>
      </c>
      <c r="Z424" s="668">
        <f t="shared" si="123"/>
        <v>0</v>
      </c>
      <c r="AA424" s="668">
        <f t="shared" si="124"/>
        <v>0</v>
      </c>
      <c r="AB424" s="668">
        <f t="shared" si="125"/>
        <v>4055</v>
      </c>
      <c r="AC424" s="668">
        <f t="shared" si="134"/>
        <v>0</v>
      </c>
      <c r="AD424" s="668">
        <f t="shared" si="126"/>
        <v>0</v>
      </c>
      <c r="AE424" s="668">
        <f t="shared" si="127"/>
        <v>0</v>
      </c>
      <c r="AF424" s="668">
        <f t="shared" si="128"/>
        <v>0</v>
      </c>
      <c r="AG424" s="668">
        <f t="shared" si="129"/>
        <v>0</v>
      </c>
      <c r="AH424" s="668"/>
      <c r="AI424" s="668"/>
      <c r="AJ424" s="668"/>
      <c r="AK424" s="668"/>
      <c r="AL424" s="668"/>
      <c r="AM424" s="668">
        <f t="shared" si="135"/>
        <v>0</v>
      </c>
      <c r="AN424" s="668">
        <f t="shared" si="130"/>
        <v>0</v>
      </c>
      <c r="AO424" s="668">
        <f t="shared" si="131"/>
        <v>0</v>
      </c>
      <c r="AP424" s="668">
        <f t="shared" si="136"/>
        <v>0</v>
      </c>
      <c r="AQ424" s="668">
        <f t="shared" si="132"/>
        <v>0</v>
      </c>
      <c r="AR424" s="668">
        <f t="shared" si="133"/>
        <v>0</v>
      </c>
      <c r="AS424" s="668"/>
      <c r="AT424" s="668"/>
      <c r="AU424" s="668"/>
      <c r="AV424" s="668"/>
      <c r="AW424" s="668"/>
      <c r="AX424" s="668"/>
      <c r="AY424" s="668"/>
      <c r="AZ424" s="668"/>
      <c r="BA424" s="668"/>
      <c r="BB424" s="668">
        <f t="shared" si="137"/>
        <v>0</v>
      </c>
      <c r="BC424" s="668"/>
      <c r="BD424" s="668"/>
      <c r="BE424" s="668"/>
      <c r="BF424" s="668"/>
      <c r="BG424" s="668"/>
      <c r="BH424" s="668"/>
      <c r="BI424" s="668"/>
    </row>
    <row r="425" spans="1:61" x14ac:dyDescent="0.2">
      <c r="A425" s="1020">
        <v>2070</v>
      </c>
      <c r="B425" s="1013" t="s">
        <v>519</v>
      </c>
      <c r="C425" s="1013"/>
      <c r="D425" s="667">
        <v>35</v>
      </c>
      <c r="E425" s="667"/>
      <c r="F425" s="667">
        <v>15</v>
      </c>
      <c r="G425" s="667"/>
      <c r="H425" s="667"/>
      <c r="I425" s="667"/>
      <c r="J425" s="667"/>
      <c r="K425" s="667"/>
      <c r="L425" s="667"/>
      <c r="M425" s="667"/>
      <c r="N425" s="667"/>
      <c r="O425" s="667"/>
      <c r="P425" s="667"/>
      <c r="Q425" s="667"/>
      <c r="R425" s="667"/>
      <c r="S425" s="667"/>
      <c r="T425" s="667">
        <v>155</v>
      </c>
      <c r="U425" s="1013">
        <v>12</v>
      </c>
      <c r="V425" s="668">
        <f t="shared" si="119"/>
        <v>420</v>
      </c>
      <c r="W425" s="668">
        <f t="shared" si="120"/>
        <v>0</v>
      </c>
      <c r="X425" s="668">
        <f t="shared" si="121"/>
        <v>0</v>
      </c>
      <c r="Y425" s="668">
        <f t="shared" si="122"/>
        <v>0</v>
      </c>
      <c r="Z425" s="668">
        <f t="shared" si="123"/>
        <v>0</v>
      </c>
      <c r="AA425" s="668">
        <f t="shared" si="124"/>
        <v>0</v>
      </c>
      <c r="AB425" s="668">
        <f t="shared" si="125"/>
        <v>155</v>
      </c>
      <c r="AC425" s="668">
        <f t="shared" si="134"/>
        <v>0</v>
      </c>
      <c r="AD425" s="668">
        <f t="shared" si="126"/>
        <v>0</v>
      </c>
      <c r="AE425" s="668">
        <f t="shared" si="127"/>
        <v>0</v>
      </c>
      <c r="AF425" s="668">
        <f t="shared" si="128"/>
        <v>0</v>
      </c>
      <c r="AG425" s="668">
        <f t="shared" si="129"/>
        <v>0</v>
      </c>
      <c r="AH425" s="668"/>
      <c r="AI425" s="668"/>
      <c r="AJ425" s="668"/>
      <c r="AK425" s="668"/>
      <c r="AL425" s="668"/>
      <c r="AM425" s="668">
        <f t="shared" si="135"/>
        <v>0</v>
      </c>
      <c r="AN425" s="668">
        <f t="shared" si="130"/>
        <v>0</v>
      </c>
      <c r="AO425" s="668">
        <f t="shared" si="131"/>
        <v>0</v>
      </c>
      <c r="AP425" s="668">
        <f t="shared" si="136"/>
        <v>180</v>
      </c>
      <c r="AQ425" s="668">
        <f t="shared" si="132"/>
        <v>0</v>
      </c>
      <c r="AR425" s="668">
        <f t="shared" si="133"/>
        <v>0</v>
      </c>
      <c r="AS425" s="668"/>
      <c r="AT425" s="668"/>
      <c r="AU425" s="668"/>
      <c r="AV425" s="668"/>
      <c r="AW425" s="668"/>
      <c r="AX425" s="668"/>
      <c r="AY425" s="668"/>
      <c r="AZ425" s="668"/>
      <c r="BA425" s="668"/>
      <c r="BB425" s="668">
        <f t="shared" si="137"/>
        <v>180</v>
      </c>
      <c r="BC425" s="668"/>
      <c r="BD425" s="668"/>
      <c r="BE425" s="668"/>
      <c r="BF425" s="668"/>
      <c r="BG425" s="668"/>
      <c r="BH425" s="668"/>
      <c r="BI425" s="668"/>
    </row>
    <row r="426" spans="1:61" x14ac:dyDescent="0.2">
      <c r="A426" s="1020">
        <v>2071</v>
      </c>
      <c r="B426" s="1013" t="s">
        <v>519</v>
      </c>
      <c r="C426" s="1013"/>
      <c r="D426" s="667">
        <v>35</v>
      </c>
      <c r="E426" s="667"/>
      <c r="F426" s="667">
        <v>15</v>
      </c>
      <c r="G426" s="667"/>
      <c r="H426" s="667"/>
      <c r="I426" s="667"/>
      <c r="J426" s="667"/>
      <c r="K426" s="667"/>
      <c r="L426" s="667"/>
      <c r="M426" s="667"/>
      <c r="N426" s="667"/>
      <c r="O426" s="667"/>
      <c r="P426" s="667"/>
      <c r="Q426" s="667"/>
      <c r="R426" s="667"/>
      <c r="S426" s="667"/>
      <c r="T426" s="667">
        <v>155</v>
      </c>
      <c r="U426" s="1013">
        <v>12</v>
      </c>
      <c r="V426" s="668">
        <f t="shared" si="119"/>
        <v>420</v>
      </c>
      <c r="W426" s="668">
        <f t="shared" si="120"/>
        <v>0</v>
      </c>
      <c r="X426" s="668">
        <f t="shared" si="121"/>
        <v>0</v>
      </c>
      <c r="Y426" s="668">
        <f t="shared" si="122"/>
        <v>0</v>
      </c>
      <c r="Z426" s="668">
        <f t="shared" si="123"/>
        <v>0</v>
      </c>
      <c r="AA426" s="668">
        <f t="shared" si="124"/>
        <v>0</v>
      </c>
      <c r="AB426" s="668">
        <f t="shared" si="125"/>
        <v>155</v>
      </c>
      <c r="AC426" s="668">
        <f t="shared" si="134"/>
        <v>0</v>
      </c>
      <c r="AD426" s="668">
        <f t="shared" si="126"/>
        <v>0</v>
      </c>
      <c r="AE426" s="668">
        <f t="shared" si="127"/>
        <v>0</v>
      </c>
      <c r="AF426" s="668">
        <f t="shared" si="128"/>
        <v>0</v>
      </c>
      <c r="AG426" s="668">
        <f t="shared" si="129"/>
        <v>0</v>
      </c>
      <c r="AH426" s="668"/>
      <c r="AI426" s="668"/>
      <c r="AJ426" s="668"/>
      <c r="AK426" s="668"/>
      <c r="AL426" s="668"/>
      <c r="AM426" s="668">
        <f t="shared" si="135"/>
        <v>0</v>
      </c>
      <c r="AN426" s="668">
        <f t="shared" si="130"/>
        <v>0</v>
      </c>
      <c r="AO426" s="668">
        <f t="shared" si="131"/>
        <v>0</v>
      </c>
      <c r="AP426" s="668">
        <f t="shared" si="136"/>
        <v>180</v>
      </c>
      <c r="AQ426" s="668">
        <f t="shared" si="132"/>
        <v>0</v>
      </c>
      <c r="AR426" s="668">
        <f t="shared" si="133"/>
        <v>0</v>
      </c>
      <c r="AS426" s="668"/>
      <c r="AT426" s="668"/>
      <c r="AU426" s="668"/>
      <c r="AV426" s="668"/>
      <c r="AW426" s="668"/>
      <c r="AX426" s="668"/>
      <c r="AY426" s="668"/>
      <c r="AZ426" s="668"/>
      <c r="BA426" s="668"/>
      <c r="BB426" s="668">
        <f t="shared" si="137"/>
        <v>180</v>
      </c>
      <c r="BC426" s="668"/>
      <c r="BD426" s="668"/>
      <c r="BE426" s="668"/>
      <c r="BF426" s="668"/>
      <c r="BG426" s="668"/>
      <c r="BH426" s="668"/>
      <c r="BI426" s="668"/>
    </row>
    <row r="427" spans="1:61" x14ac:dyDescent="0.2">
      <c r="A427" s="1020">
        <v>2072</v>
      </c>
      <c r="B427" s="1013" t="s">
        <v>476</v>
      </c>
      <c r="C427" s="1013"/>
      <c r="D427" s="667">
        <v>54</v>
      </c>
      <c r="E427" s="667"/>
      <c r="F427" s="667"/>
      <c r="G427" s="667"/>
      <c r="H427" s="667"/>
      <c r="I427" s="667"/>
      <c r="J427" s="667"/>
      <c r="K427" s="667"/>
      <c r="L427" s="667"/>
      <c r="M427" s="667"/>
      <c r="N427" s="667"/>
      <c r="O427" s="667"/>
      <c r="P427" s="667"/>
      <c r="Q427" s="667"/>
      <c r="R427" s="667"/>
      <c r="S427" s="667"/>
      <c r="T427" s="667"/>
      <c r="U427" s="1013">
        <v>12</v>
      </c>
      <c r="V427" s="668">
        <f t="shared" ref="V427:V498" si="138">+U427*D427</f>
        <v>648</v>
      </c>
      <c r="W427" s="668">
        <f t="shared" ref="W427:W498" si="139">+U427*G427</f>
        <v>0</v>
      </c>
      <c r="X427" s="668">
        <f t="shared" ref="X427:X498" si="140">+U427*H427</f>
        <v>0</v>
      </c>
      <c r="Y427" s="668">
        <f t="shared" ref="Y427:Y498" si="141">+U427*J427</f>
        <v>0</v>
      </c>
      <c r="Z427" s="668">
        <f t="shared" ref="Z427:Z498" si="142">IF(C427="y",V427+W427+X427+Y427,0)</f>
        <v>0</v>
      </c>
      <c r="AA427" s="668">
        <f t="shared" ref="AA427:AA498" si="143">+S427</f>
        <v>0</v>
      </c>
      <c r="AB427" s="668">
        <f t="shared" ref="AB427:AB498" si="144">+T427</f>
        <v>0</v>
      </c>
      <c r="AC427" s="668">
        <f t="shared" si="134"/>
        <v>0</v>
      </c>
      <c r="AD427" s="668">
        <f t="shared" ref="AD427:AD498" si="145">+Q427</f>
        <v>0</v>
      </c>
      <c r="AE427" s="668">
        <f t="shared" ref="AE427:AE498" si="146">+U427*M427</f>
        <v>0</v>
      </c>
      <c r="AF427" s="668">
        <f t="shared" ref="AF427:AF498" si="147">+L427*U427</f>
        <v>0</v>
      </c>
      <c r="AG427" s="668">
        <f t="shared" ref="AG427:AG498" si="148">+$AG$4*N427</f>
        <v>0</v>
      </c>
      <c r="AH427" s="668"/>
      <c r="AI427" s="668"/>
      <c r="AJ427" s="668"/>
      <c r="AK427" s="668"/>
      <c r="AL427" s="668"/>
      <c r="AM427" s="668">
        <f t="shared" si="135"/>
        <v>0</v>
      </c>
      <c r="AN427" s="668">
        <f t="shared" si="130"/>
        <v>0</v>
      </c>
      <c r="AO427" s="668">
        <f t="shared" si="131"/>
        <v>0</v>
      </c>
      <c r="AP427" s="668">
        <f t="shared" si="136"/>
        <v>0</v>
      </c>
      <c r="AQ427" s="668">
        <f t="shared" si="132"/>
        <v>0</v>
      </c>
      <c r="AR427" s="668">
        <f t="shared" si="133"/>
        <v>0</v>
      </c>
      <c r="AS427" s="668"/>
      <c r="AT427" s="668"/>
      <c r="AU427" s="668"/>
      <c r="AV427" s="668"/>
      <c r="AW427" s="668"/>
      <c r="AX427" s="668"/>
      <c r="AY427" s="668"/>
      <c r="AZ427" s="668"/>
      <c r="BA427" s="668"/>
      <c r="BB427" s="668">
        <f t="shared" si="137"/>
        <v>0</v>
      </c>
      <c r="BC427" s="668"/>
      <c r="BD427" s="668"/>
      <c r="BE427" s="668"/>
      <c r="BF427" s="668"/>
      <c r="BG427" s="668"/>
      <c r="BH427" s="668"/>
      <c r="BI427" s="668"/>
    </row>
    <row r="428" spans="1:61" x14ac:dyDescent="0.2">
      <c r="A428" s="1020">
        <v>2073</v>
      </c>
      <c r="B428" s="1013" t="s">
        <v>579</v>
      </c>
      <c r="C428" s="1013"/>
      <c r="D428" s="667">
        <v>46</v>
      </c>
      <c r="E428" s="667"/>
      <c r="F428" s="667"/>
      <c r="G428" s="667"/>
      <c r="H428" s="667"/>
      <c r="I428" s="667"/>
      <c r="J428" s="667"/>
      <c r="K428" s="667"/>
      <c r="L428" s="667"/>
      <c r="M428" s="667"/>
      <c r="N428" s="667"/>
      <c r="O428" s="667"/>
      <c r="P428" s="667"/>
      <c r="Q428" s="667"/>
      <c r="R428" s="667"/>
      <c r="S428" s="667"/>
      <c r="T428" s="667"/>
      <c r="U428" s="1013">
        <v>12</v>
      </c>
      <c r="V428" s="668">
        <f t="shared" si="138"/>
        <v>552</v>
      </c>
      <c r="W428" s="668">
        <f t="shared" si="139"/>
        <v>0</v>
      </c>
      <c r="X428" s="668">
        <f t="shared" si="140"/>
        <v>0</v>
      </c>
      <c r="Y428" s="668">
        <f t="shared" si="141"/>
        <v>0</v>
      </c>
      <c r="Z428" s="668">
        <f t="shared" si="142"/>
        <v>0</v>
      </c>
      <c r="AA428" s="668">
        <f t="shared" si="143"/>
        <v>0</v>
      </c>
      <c r="AB428" s="668">
        <f t="shared" si="144"/>
        <v>0</v>
      </c>
      <c r="AC428" s="668">
        <f t="shared" si="134"/>
        <v>0</v>
      </c>
      <c r="AD428" s="668">
        <f t="shared" si="145"/>
        <v>0</v>
      </c>
      <c r="AE428" s="668">
        <f t="shared" si="146"/>
        <v>0</v>
      </c>
      <c r="AF428" s="668">
        <f t="shared" si="147"/>
        <v>0</v>
      </c>
      <c r="AG428" s="668">
        <f t="shared" si="148"/>
        <v>0</v>
      </c>
      <c r="AH428" s="668"/>
      <c r="AI428" s="668"/>
      <c r="AJ428" s="668"/>
      <c r="AK428" s="668"/>
      <c r="AL428" s="668"/>
      <c r="AM428" s="668">
        <f t="shared" si="135"/>
        <v>0</v>
      </c>
      <c r="AN428" s="668">
        <f t="shared" si="130"/>
        <v>0</v>
      </c>
      <c r="AO428" s="668">
        <f t="shared" si="131"/>
        <v>0</v>
      </c>
      <c r="AP428" s="668">
        <f t="shared" si="136"/>
        <v>0</v>
      </c>
      <c r="AQ428" s="668">
        <f t="shared" si="132"/>
        <v>0</v>
      </c>
      <c r="AR428" s="668">
        <f t="shared" si="133"/>
        <v>0</v>
      </c>
      <c r="AS428" s="668"/>
      <c r="AT428" s="668"/>
      <c r="AU428" s="668"/>
      <c r="AV428" s="668"/>
      <c r="AW428" s="668"/>
      <c r="AX428" s="668"/>
      <c r="AY428" s="668"/>
      <c r="AZ428" s="668"/>
      <c r="BA428" s="668"/>
      <c r="BB428" s="668">
        <f t="shared" si="137"/>
        <v>0</v>
      </c>
      <c r="BC428" s="668"/>
      <c r="BD428" s="668"/>
      <c r="BE428" s="668"/>
      <c r="BF428" s="668"/>
      <c r="BG428" s="668"/>
      <c r="BH428" s="668"/>
      <c r="BI428" s="668"/>
    </row>
    <row r="429" spans="1:61" x14ac:dyDescent="0.2">
      <c r="A429" s="1020" t="s">
        <v>690</v>
      </c>
      <c r="B429" s="1013" t="s">
        <v>686</v>
      </c>
      <c r="C429" s="1013"/>
      <c r="D429" s="667">
        <v>66</v>
      </c>
      <c r="E429" s="667"/>
      <c r="F429" s="667"/>
      <c r="G429" s="667"/>
      <c r="H429" s="667"/>
      <c r="I429" s="667"/>
      <c r="J429" s="667"/>
      <c r="K429" s="667"/>
      <c r="L429" s="667"/>
      <c r="M429" s="667"/>
      <c r="N429" s="667"/>
      <c r="O429" s="667"/>
      <c r="P429" s="667"/>
      <c r="Q429" s="667"/>
      <c r="R429" s="667"/>
      <c r="S429" s="667"/>
      <c r="T429" s="667"/>
      <c r="U429" s="1013">
        <v>10</v>
      </c>
      <c r="V429" s="668">
        <f t="shared" si="138"/>
        <v>660</v>
      </c>
      <c r="W429" s="668">
        <f t="shared" si="139"/>
        <v>0</v>
      </c>
      <c r="X429" s="668">
        <f t="shared" si="140"/>
        <v>0</v>
      </c>
      <c r="Y429" s="668">
        <f t="shared" si="141"/>
        <v>0</v>
      </c>
      <c r="Z429" s="668">
        <f t="shared" si="142"/>
        <v>0</v>
      </c>
      <c r="AA429" s="668">
        <f t="shared" si="143"/>
        <v>0</v>
      </c>
      <c r="AB429" s="668">
        <f t="shared" si="144"/>
        <v>0</v>
      </c>
      <c r="AC429" s="668">
        <f t="shared" si="134"/>
        <v>0</v>
      </c>
      <c r="AD429" s="668">
        <f t="shared" si="145"/>
        <v>0</v>
      </c>
      <c r="AE429" s="668">
        <f t="shared" si="146"/>
        <v>0</v>
      </c>
      <c r="AF429" s="668">
        <f t="shared" si="147"/>
        <v>0</v>
      </c>
      <c r="AG429" s="668">
        <f t="shared" si="148"/>
        <v>0</v>
      </c>
      <c r="AH429" s="668"/>
      <c r="AI429" s="668"/>
      <c r="AJ429" s="668"/>
      <c r="AK429" s="668"/>
      <c r="AL429" s="668"/>
      <c r="AM429" s="668">
        <f t="shared" si="135"/>
        <v>0</v>
      </c>
      <c r="AN429" s="668">
        <f t="shared" si="130"/>
        <v>0</v>
      </c>
      <c r="AO429" s="668">
        <f t="shared" si="131"/>
        <v>0</v>
      </c>
      <c r="AP429" s="668">
        <f t="shared" si="136"/>
        <v>0</v>
      </c>
      <c r="AQ429" s="668">
        <f t="shared" si="132"/>
        <v>0</v>
      </c>
      <c r="AR429" s="668">
        <f t="shared" si="133"/>
        <v>0</v>
      </c>
      <c r="AS429" s="668"/>
      <c r="AT429" s="668"/>
      <c r="AU429" s="668"/>
      <c r="AV429" s="668"/>
      <c r="AW429" s="668"/>
      <c r="AX429" s="668"/>
      <c r="AY429" s="668"/>
      <c r="AZ429" s="668"/>
      <c r="BA429" s="668"/>
      <c r="BB429" s="668">
        <f t="shared" si="137"/>
        <v>0</v>
      </c>
      <c r="BC429" s="668"/>
      <c r="BD429" s="668"/>
      <c r="BE429" s="668"/>
      <c r="BF429" s="668"/>
      <c r="BG429" s="668"/>
      <c r="BH429" s="668"/>
      <c r="BI429" s="668"/>
    </row>
    <row r="430" spans="1:61" x14ac:dyDescent="0.2">
      <c r="A430" s="1020" t="s">
        <v>691</v>
      </c>
      <c r="B430" s="1020" t="s">
        <v>692</v>
      </c>
      <c r="C430" s="1020"/>
      <c r="D430" s="667">
        <v>33</v>
      </c>
      <c r="E430" s="667"/>
      <c r="F430" s="667"/>
      <c r="G430" s="667"/>
      <c r="H430" s="667"/>
      <c r="I430" s="667"/>
      <c r="J430" s="667"/>
      <c r="K430" s="667"/>
      <c r="L430" s="667"/>
      <c r="M430" s="667"/>
      <c r="N430" s="667"/>
      <c r="O430" s="667"/>
      <c r="P430" s="667"/>
      <c r="Q430" s="667"/>
      <c r="R430" s="667"/>
      <c r="S430" s="667"/>
      <c r="T430" s="667"/>
      <c r="U430" s="1020">
        <v>10</v>
      </c>
      <c r="V430" s="668">
        <f t="shared" si="138"/>
        <v>330</v>
      </c>
      <c r="W430" s="668">
        <f t="shared" si="139"/>
        <v>0</v>
      </c>
      <c r="X430" s="668">
        <f t="shared" si="140"/>
        <v>0</v>
      </c>
      <c r="Y430" s="668">
        <f t="shared" si="141"/>
        <v>0</v>
      </c>
      <c r="Z430" s="668">
        <f t="shared" si="142"/>
        <v>0</v>
      </c>
      <c r="AA430" s="668">
        <f t="shared" si="143"/>
        <v>0</v>
      </c>
      <c r="AB430" s="668">
        <f t="shared" si="144"/>
        <v>0</v>
      </c>
      <c r="AC430" s="668">
        <f t="shared" si="134"/>
        <v>0</v>
      </c>
      <c r="AD430" s="668">
        <f t="shared" si="145"/>
        <v>0</v>
      </c>
      <c r="AE430" s="668">
        <f t="shared" si="146"/>
        <v>0</v>
      </c>
      <c r="AF430" s="668">
        <f t="shared" si="147"/>
        <v>0</v>
      </c>
      <c r="AG430" s="668">
        <f t="shared" si="148"/>
        <v>0</v>
      </c>
      <c r="AH430" s="668"/>
      <c r="AI430" s="668"/>
      <c r="AJ430" s="668"/>
      <c r="AK430" s="668"/>
      <c r="AL430" s="668"/>
      <c r="AM430" s="668">
        <f t="shared" si="135"/>
        <v>0</v>
      </c>
      <c r="AN430" s="668">
        <f t="shared" si="130"/>
        <v>0</v>
      </c>
      <c r="AO430" s="668">
        <f t="shared" si="131"/>
        <v>0</v>
      </c>
      <c r="AP430" s="668">
        <f t="shared" si="136"/>
        <v>0</v>
      </c>
      <c r="AQ430" s="668">
        <f t="shared" si="132"/>
        <v>0</v>
      </c>
      <c r="AR430" s="668">
        <f t="shared" si="133"/>
        <v>0</v>
      </c>
      <c r="AS430" s="668"/>
      <c r="AT430" s="668"/>
      <c r="AU430" s="668"/>
      <c r="AV430" s="668"/>
      <c r="AW430" s="668"/>
      <c r="AX430" s="668"/>
      <c r="AY430" s="668"/>
      <c r="AZ430" s="668"/>
      <c r="BA430" s="668"/>
      <c r="BB430" s="668">
        <f t="shared" si="137"/>
        <v>0</v>
      </c>
      <c r="BC430" s="668"/>
      <c r="BD430" s="668"/>
      <c r="BE430" s="668"/>
      <c r="BF430" s="668"/>
      <c r="BG430" s="668"/>
      <c r="BH430" s="668"/>
      <c r="BI430" s="668"/>
    </row>
    <row r="431" spans="1:61" x14ac:dyDescent="0.2">
      <c r="A431" s="1020">
        <v>2075</v>
      </c>
      <c r="B431" s="1013" t="s">
        <v>516</v>
      </c>
      <c r="C431" s="1013"/>
      <c r="D431" s="667">
        <v>32</v>
      </c>
      <c r="E431" s="667"/>
      <c r="F431" s="667">
        <v>32</v>
      </c>
      <c r="G431" s="667"/>
      <c r="H431" s="667"/>
      <c r="I431" s="667"/>
      <c r="J431" s="667"/>
      <c r="K431" s="667"/>
      <c r="L431" s="667"/>
      <c r="M431" s="667"/>
      <c r="N431" s="667"/>
      <c r="O431" s="667"/>
      <c r="P431" s="667"/>
      <c r="Q431" s="667"/>
      <c r="R431" s="667"/>
      <c r="S431" s="667"/>
      <c r="T431" s="667"/>
      <c r="U431" s="1013">
        <v>10</v>
      </c>
      <c r="V431" s="668">
        <f t="shared" si="138"/>
        <v>320</v>
      </c>
      <c r="W431" s="668">
        <f t="shared" si="139"/>
        <v>0</v>
      </c>
      <c r="X431" s="668">
        <f t="shared" si="140"/>
        <v>0</v>
      </c>
      <c r="Y431" s="668">
        <f t="shared" si="141"/>
        <v>0</v>
      </c>
      <c r="Z431" s="668">
        <f t="shared" si="142"/>
        <v>0</v>
      </c>
      <c r="AA431" s="668">
        <f t="shared" si="143"/>
        <v>0</v>
      </c>
      <c r="AB431" s="668">
        <f t="shared" si="144"/>
        <v>0</v>
      </c>
      <c r="AC431" s="668">
        <f t="shared" si="134"/>
        <v>0</v>
      </c>
      <c r="AD431" s="668">
        <f t="shared" si="145"/>
        <v>0</v>
      </c>
      <c r="AE431" s="668">
        <f t="shared" si="146"/>
        <v>0</v>
      </c>
      <c r="AF431" s="668">
        <f t="shared" si="147"/>
        <v>0</v>
      </c>
      <c r="AG431" s="668">
        <f t="shared" si="148"/>
        <v>0</v>
      </c>
      <c r="AH431" s="668"/>
      <c r="AI431" s="668"/>
      <c r="AJ431" s="668"/>
      <c r="AK431" s="668"/>
      <c r="AL431" s="668"/>
      <c r="AM431" s="668">
        <f t="shared" si="135"/>
        <v>0</v>
      </c>
      <c r="AN431" s="668">
        <f t="shared" si="130"/>
        <v>0</v>
      </c>
      <c r="AO431" s="668">
        <f t="shared" si="131"/>
        <v>0</v>
      </c>
      <c r="AP431" s="668">
        <f t="shared" si="136"/>
        <v>320</v>
      </c>
      <c r="AQ431" s="668">
        <f t="shared" si="132"/>
        <v>0</v>
      </c>
      <c r="AR431" s="668">
        <f t="shared" si="133"/>
        <v>0</v>
      </c>
      <c r="AS431" s="668"/>
      <c r="AT431" s="668"/>
      <c r="AU431" s="668"/>
      <c r="AV431" s="668"/>
      <c r="AW431" s="668"/>
      <c r="AX431" s="668"/>
      <c r="AY431" s="668"/>
      <c r="AZ431" s="668"/>
      <c r="BA431" s="668"/>
      <c r="BB431" s="668"/>
      <c r="BC431" s="668"/>
      <c r="BD431" s="668"/>
      <c r="BE431" s="668"/>
      <c r="BF431" s="668"/>
      <c r="BG431" s="668"/>
      <c r="BH431" s="668"/>
      <c r="BI431" s="668"/>
    </row>
    <row r="432" spans="1:61" x14ac:dyDescent="0.2">
      <c r="A432" s="1020">
        <v>2076</v>
      </c>
      <c r="B432" s="1013" t="s">
        <v>684</v>
      </c>
      <c r="C432" s="1013"/>
      <c r="D432" s="667">
        <v>42</v>
      </c>
      <c r="E432" s="667"/>
      <c r="F432" s="667">
        <v>42</v>
      </c>
      <c r="G432" s="667"/>
      <c r="H432" s="667"/>
      <c r="I432" s="667"/>
      <c r="J432" s="667"/>
      <c r="K432" s="667"/>
      <c r="L432" s="667"/>
      <c r="M432" s="667"/>
      <c r="N432" s="667"/>
      <c r="O432" s="667"/>
      <c r="P432" s="667"/>
      <c r="Q432" s="667"/>
      <c r="R432" s="667"/>
      <c r="S432" s="667"/>
      <c r="T432" s="667"/>
      <c r="U432" s="1013">
        <v>10</v>
      </c>
      <c r="V432" s="668">
        <f t="shared" si="138"/>
        <v>420</v>
      </c>
      <c r="W432" s="668">
        <f t="shared" si="139"/>
        <v>0</v>
      </c>
      <c r="X432" s="668">
        <f t="shared" si="140"/>
        <v>0</v>
      </c>
      <c r="Y432" s="668">
        <f t="shared" si="141"/>
        <v>0</v>
      </c>
      <c r="Z432" s="668">
        <f t="shared" si="142"/>
        <v>0</v>
      </c>
      <c r="AA432" s="668">
        <f t="shared" si="143"/>
        <v>0</v>
      </c>
      <c r="AB432" s="668">
        <f t="shared" si="144"/>
        <v>0</v>
      </c>
      <c r="AC432" s="668">
        <f t="shared" si="134"/>
        <v>0</v>
      </c>
      <c r="AD432" s="668">
        <f t="shared" si="145"/>
        <v>0</v>
      </c>
      <c r="AE432" s="668">
        <f t="shared" si="146"/>
        <v>0</v>
      </c>
      <c r="AF432" s="668">
        <f t="shared" si="147"/>
        <v>0</v>
      </c>
      <c r="AG432" s="668">
        <f t="shared" si="148"/>
        <v>0</v>
      </c>
      <c r="AH432" s="668"/>
      <c r="AI432" s="668"/>
      <c r="AJ432" s="668"/>
      <c r="AK432" s="668"/>
      <c r="AL432" s="668"/>
      <c r="AM432" s="668">
        <f t="shared" si="135"/>
        <v>0</v>
      </c>
      <c r="AN432" s="668">
        <f t="shared" si="130"/>
        <v>0</v>
      </c>
      <c r="AO432" s="668">
        <f t="shared" si="131"/>
        <v>0</v>
      </c>
      <c r="AP432" s="668">
        <f t="shared" si="136"/>
        <v>420</v>
      </c>
      <c r="AQ432" s="668">
        <f t="shared" si="132"/>
        <v>0</v>
      </c>
      <c r="AR432" s="668">
        <f t="shared" si="133"/>
        <v>0</v>
      </c>
      <c r="AS432" s="668"/>
      <c r="AT432" s="668"/>
      <c r="AU432" s="668"/>
      <c r="AV432" s="668"/>
      <c r="AW432" s="668"/>
      <c r="AX432" s="668"/>
      <c r="AY432" s="668"/>
      <c r="AZ432" s="668"/>
      <c r="BA432" s="668"/>
      <c r="BB432" s="668"/>
      <c r="BC432" s="668"/>
      <c r="BD432" s="668"/>
      <c r="BE432" s="668"/>
      <c r="BF432" s="668"/>
      <c r="BG432" s="668"/>
      <c r="BH432" s="668"/>
      <c r="BI432" s="668"/>
    </row>
    <row r="433" spans="1:61" x14ac:dyDescent="0.2">
      <c r="A433" s="1020">
        <v>2077</v>
      </c>
      <c r="B433" s="1013" t="s">
        <v>517</v>
      </c>
      <c r="C433" s="1013"/>
      <c r="D433" s="667">
        <v>70</v>
      </c>
      <c r="E433" s="667"/>
      <c r="F433" s="667"/>
      <c r="G433" s="667"/>
      <c r="H433" s="667"/>
      <c r="I433" s="667"/>
      <c r="J433" s="667"/>
      <c r="K433" s="667"/>
      <c r="L433" s="667"/>
      <c r="M433" s="667"/>
      <c r="N433" s="667"/>
      <c r="O433" s="667"/>
      <c r="P433" s="667"/>
      <c r="Q433" s="667"/>
      <c r="R433" s="667"/>
      <c r="S433" s="667"/>
      <c r="T433" s="667"/>
      <c r="U433" s="1013">
        <v>12</v>
      </c>
      <c r="V433" s="668">
        <f t="shared" si="138"/>
        <v>840</v>
      </c>
      <c r="W433" s="668">
        <f t="shared" si="139"/>
        <v>0</v>
      </c>
      <c r="X433" s="668">
        <f t="shared" si="140"/>
        <v>0</v>
      </c>
      <c r="Y433" s="668">
        <f t="shared" si="141"/>
        <v>0</v>
      </c>
      <c r="Z433" s="668">
        <f t="shared" si="142"/>
        <v>0</v>
      </c>
      <c r="AA433" s="668">
        <f t="shared" si="143"/>
        <v>0</v>
      </c>
      <c r="AB433" s="668">
        <f t="shared" si="144"/>
        <v>0</v>
      </c>
      <c r="AC433" s="668">
        <f t="shared" si="134"/>
        <v>0</v>
      </c>
      <c r="AD433" s="668">
        <f t="shared" si="145"/>
        <v>0</v>
      </c>
      <c r="AE433" s="668">
        <f t="shared" si="146"/>
        <v>0</v>
      </c>
      <c r="AF433" s="668">
        <f t="shared" si="147"/>
        <v>0</v>
      </c>
      <c r="AG433" s="668">
        <f t="shared" si="148"/>
        <v>0</v>
      </c>
      <c r="AH433" s="668"/>
      <c r="AI433" s="668"/>
      <c r="AJ433" s="668"/>
      <c r="AK433" s="668"/>
      <c r="AL433" s="668"/>
      <c r="AM433" s="668">
        <f t="shared" si="135"/>
        <v>0</v>
      </c>
      <c r="AN433" s="668">
        <f t="shared" si="130"/>
        <v>0</v>
      </c>
      <c r="AO433" s="668">
        <f t="shared" si="131"/>
        <v>0</v>
      </c>
      <c r="AP433" s="668">
        <f t="shared" si="136"/>
        <v>0</v>
      </c>
      <c r="AQ433" s="668">
        <f t="shared" si="132"/>
        <v>0</v>
      </c>
      <c r="AR433" s="668">
        <f t="shared" si="133"/>
        <v>0</v>
      </c>
      <c r="AS433" s="668"/>
      <c r="AT433" s="668"/>
      <c r="AU433" s="668"/>
      <c r="AV433" s="668"/>
      <c r="AW433" s="668"/>
      <c r="AX433" s="668"/>
      <c r="AY433" s="668"/>
      <c r="AZ433" s="668"/>
      <c r="BA433" s="668"/>
      <c r="BB433" s="668">
        <f t="shared" si="137"/>
        <v>0</v>
      </c>
      <c r="BC433" s="668"/>
      <c r="BD433" s="668"/>
      <c r="BE433" s="668"/>
      <c r="BF433" s="668"/>
      <c r="BG433" s="668"/>
      <c r="BH433" s="668"/>
      <c r="BI433" s="668"/>
    </row>
    <row r="434" spans="1:61" x14ac:dyDescent="0.2">
      <c r="A434" s="1020">
        <v>2078</v>
      </c>
      <c r="B434" s="1013" t="s">
        <v>672</v>
      </c>
      <c r="C434" s="1013"/>
      <c r="D434" s="667">
        <v>35</v>
      </c>
      <c r="E434" s="667"/>
      <c r="F434" s="667">
        <v>15</v>
      </c>
      <c r="G434" s="667"/>
      <c r="H434" s="667"/>
      <c r="I434" s="667"/>
      <c r="J434" s="667"/>
      <c r="K434" s="667"/>
      <c r="L434" s="667"/>
      <c r="M434" s="667"/>
      <c r="N434" s="667"/>
      <c r="O434" s="667"/>
      <c r="P434" s="667"/>
      <c r="Q434" s="667"/>
      <c r="R434" s="667"/>
      <c r="S434" s="667"/>
      <c r="T434" s="667"/>
      <c r="U434" s="1013">
        <v>10</v>
      </c>
      <c r="V434" s="668">
        <f t="shared" si="138"/>
        <v>350</v>
      </c>
      <c r="W434" s="668">
        <f t="shared" si="139"/>
        <v>0</v>
      </c>
      <c r="X434" s="668">
        <f t="shared" si="140"/>
        <v>0</v>
      </c>
      <c r="Y434" s="668">
        <f t="shared" si="141"/>
        <v>0</v>
      </c>
      <c r="Z434" s="668">
        <f t="shared" si="142"/>
        <v>0</v>
      </c>
      <c r="AA434" s="668">
        <f t="shared" si="143"/>
        <v>0</v>
      </c>
      <c r="AB434" s="668">
        <f t="shared" si="144"/>
        <v>0</v>
      </c>
      <c r="AC434" s="668">
        <f t="shared" si="134"/>
        <v>0</v>
      </c>
      <c r="AD434" s="668">
        <f t="shared" si="145"/>
        <v>0</v>
      </c>
      <c r="AE434" s="668">
        <f t="shared" si="146"/>
        <v>0</v>
      </c>
      <c r="AF434" s="668">
        <f t="shared" si="147"/>
        <v>0</v>
      </c>
      <c r="AG434" s="668">
        <f t="shared" si="148"/>
        <v>0</v>
      </c>
      <c r="AH434" s="668"/>
      <c r="AI434" s="668"/>
      <c r="AJ434" s="668"/>
      <c r="AK434" s="668"/>
      <c r="AL434" s="668"/>
      <c r="AM434" s="668">
        <f t="shared" si="135"/>
        <v>0</v>
      </c>
      <c r="AN434" s="668">
        <f t="shared" si="130"/>
        <v>0</v>
      </c>
      <c r="AO434" s="668">
        <f t="shared" si="131"/>
        <v>0</v>
      </c>
      <c r="AP434" s="668">
        <f t="shared" si="136"/>
        <v>150</v>
      </c>
      <c r="AQ434" s="668">
        <f t="shared" si="132"/>
        <v>0</v>
      </c>
      <c r="AR434" s="668">
        <f t="shared" si="133"/>
        <v>0</v>
      </c>
      <c r="AS434" s="668"/>
      <c r="AT434" s="668"/>
      <c r="AU434" s="668"/>
      <c r="AV434" s="668"/>
      <c r="AW434" s="668"/>
      <c r="AX434" s="668"/>
      <c r="AY434" s="668"/>
      <c r="AZ434" s="668"/>
      <c r="BA434" s="668"/>
      <c r="BB434" s="668">
        <f t="shared" si="137"/>
        <v>150</v>
      </c>
      <c r="BC434" s="668"/>
      <c r="BD434" s="668"/>
      <c r="BE434" s="668"/>
      <c r="BF434" s="668"/>
      <c r="BG434" s="668"/>
      <c r="BH434" s="668"/>
      <c r="BI434" s="668"/>
    </row>
    <row r="435" spans="1:61" x14ac:dyDescent="0.2">
      <c r="A435" s="1020">
        <v>2079</v>
      </c>
      <c r="B435" s="1013" t="s">
        <v>519</v>
      </c>
      <c r="C435" s="1013"/>
      <c r="D435" s="667">
        <v>45</v>
      </c>
      <c r="E435" s="667"/>
      <c r="F435" s="667">
        <v>15</v>
      </c>
      <c r="G435" s="667"/>
      <c r="H435" s="667"/>
      <c r="I435" s="667"/>
      <c r="J435" s="667"/>
      <c r="K435" s="667"/>
      <c r="L435" s="667"/>
      <c r="M435" s="667"/>
      <c r="N435" s="667"/>
      <c r="O435" s="667"/>
      <c r="P435" s="667"/>
      <c r="Q435" s="667"/>
      <c r="R435" s="667"/>
      <c r="S435" s="667"/>
      <c r="T435" s="667"/>
      <c r="U435" s="1013">
        <v>12</v>
      </c>
      <c r="V435" s="668">
        <f t="shared" si="138"/>
        <v>540</v>
      </c>
      <c r="W435" s="668">
        <f t="shared" si="139"/>
        <v>0</v>
      </c>
      <c r="X435" s="668">
        <f t="shared" si="140"/>
        <v>0</v>
      </c>
      <c r="Y435" s="668">
        <f t="shared" si="141"/>
        <v>0</v>
      </c>
      <c r="Z435" s="668">
        <f t="shared" si="142"/>
        <v>0</v>
      </c>
      <c r="AA435" s="668">
        <f t="shared" si="143"/>
        <v>0</v>
      </c>
      <c r="AB435" s="668">
        <f t="shared" si="144"/>
        <v>0</v>
      </c>
      <c r="AC435" s="668">
        <f t="shared" si="134"/>
        <v>0</v>
      </c>
      <c r="AD435" s="668">
        <f t="shared" si="145"/>
        <v>0</v>
      </c>
      <c r="AE435" s="668">
        <f t="shared" si="146"/>
        <v>0</v>
      </c>
      <c r="AF435" s="668">
        <f t="shared" si="147"/>
        <v>0</v>
      </c>
      <c r="AG435" s="668">
        <f t="shared" si="148"/>
        <v>0</v>
      </c>
      <c r="AH435" s="668"/>
      <c r="AI435" s="668"/>
      <c r="AJ435" s="668"/>
      <c r="AK435" s="668"/>
      <c r="AL435" s="668"/>
      <c r="AM435" s="668">
        <f t="shared" si="135"/>
        <v>0</v>
      </c>
      <c r="AN435" s="668">
        <f t="shared" si="130"/>
        <v>0</v>
      </c>
      <c r="AO435" s="668">
        <f t="shared" si="131"/>
        <v>0</v>
      </c>
      <c r="AP435" s="668">
        <f t="shared" si="136"/>
        <v>180</v>
      </c>
      <c r="AQ435" s="668">
        <f t="shared" si="132"/>
        <v>0</v>
      </c>
      <c r="AR435" s="668">
        <f t="shared" si="133"/>
        <v>0</v>
      </c>
      <c r="AS435" s="668"/>
      <c r="AT435" s="668"/>
      <c r="AU435" s="668"/>
      <c r="AV435" s="668"/>
      <c r="AW435" s="668"/>
      <c r="AX435" s="668"/>
      <c r="AY435" s="668"/>
      <c r="AZ435" s="668"/>
      <c r="BA435" s="668"/>
      <c r="BB435" s="668">
        <f t="shared" si="137"/>
        <v>180</v>
      </c>
      <c r="BC435" s="668"/>
      <c r="BD435" s="668"/>
      <c r="BE435" s="668"/>
      <c r="BF435" s="668"/>
      <c r="BG435" s="668"/>
      <c r="BH435" s="668"/>
      <c r="BI435" s="668"/>
    </row>
    <row r="436" spans="1:61" x14ac:dyDescent="0.2">
      <c r="A436" s="1020">
        <v>2080</v>
      </c>
      <c r="B436" s="1013" t="s">
        <v>519</v>
      </c>
      <c r="C436" s="1013"/>
      <c r="D436" s="667">
        <v>35</v>
      </c>
      <c r="E436" s="667"/>
      <c r="F436" s="667">
        <v>15</v>
      </c>
      <c r="G436" s="667"/>
      <c r="H436" s="667"/>
      <c r="I436" s="667"/>
      <c r="J436" s="667"/>
      <c r="K436" s="667"/>
      <c r="L436" s="667"/>
      <c r="M436" s="667"/>
      <c r="N436" s="667"/>
      <c r="O436" s="667"/>
      <c r="P436" s="667"/>
      <c r="Q436" s="667"/>
      <c r="R436" s="667"/>
      <c r="S436" s="667"/>
      <c r="T436" s="667"/>
      <c r="U436" s="1013">
        <v>12</v>
      </c>
      <c r="V436" s="668">
        <f t="shared" si="138"/>
        <v>420</v>
      </c>
      <c r="W436" s="668">
        <f t="shared" si="139"/>
        <v>0</v>
      </c>
      <c r="X436" s="668">
        <f t="shared" si="140"/>
        <v>0</v>
      </c>
      <c r="Y436" s="668">
        <f t="shared" si="141"/>
        <v>0</v>
      </c>
      <c r="Z436" s="668">
        <f t="shared" si="142"/>
        <v>0</v>
      </c>
      <c r="AA436" s="668">
        <f t="shared" si="143"/>
        <v>0</v>
      </c>
      <c r="AB436" s="668">
        <f t="shared" si="144"/>
        <v>0</v>
      </c>
      <c r="AC436" s="668">
        <f t="shared" si="134"/>
        <v>0</v>
      </c>
      <c r="AD436" s="668">
        <f t="shared" si="145"/>
        <v>0</v>
      </c>
      <c r="AE436" s="668">
        <f t="shared" si="146"/>
        <v>0</v>
      </c>
      <c r="AF436" s="668">
        <f t="shared" si="147"/>
        <v>0</v>
      </c>
      <c r="AG436" s="668">
        <f t="shared" si="148"/>
        <v>0</v>
      </c>
      <c r="AH436" s="668"/>
      <c r="AI436" s="668"/>
      <c r="AJ436" s="668"/>
      <c r="AK436" s="668"/>
      <c r="AL436" s="668"/>
      <c r="AM436" s="668">
        <f t="shared" si="135"/>
        <v>0</v>
      </c>
      <c r="AN436" s="668">
        <f t="shared" si="130"/>
        <v>0</v>
      </c>
      <c r="AO436" s="668">
        <f t="shared" si="131"/>
        <v>0</v>
      </c>
      <c r="AP436" s="668">
        <f t="shared" si="136"/>
        <v>180</v>
      </c>
      <c r="AQ436" s="668">
        <f t="shared" si="132"/>
        <v>0</v>
      </c>
      <c r="AR436" s="668">
        <f t="shared" si="133"/>
        <v>0</v>
      </c>
      <c r="AS436" s="668"/>
      <c r="AT436" s="668"/>
      <c r="AU436" s="668"/>
      <c r="AV436" s="668"/>
      <c r="AW436" s="668"/>
      <c r="AX436" s="668"/>
      <c r="AY436" s="668"/>
      <c r="AZ436" s="668"/>
      <c r="BA436" s="668"/>
      <c r="BB436" s="668">
        <f t="shared" si="137"/>
        <v>180</v>
      </c>
      <c r="BC436" s="668"/>
      <c r="BD436" s="668"/>
      <c r="BE436" s="668"/>
      <c r="BF436" s="668"/>
      <c r="BG436" s="668"/>
      <c r="BH436" s="668"/>
      <c r="BI436" s="668"/>
    </row>
    <row r="437" spans="1:61" x14ac:dyDescent="0.2">
      <c r="A437" s="1020">
        <v>2081</v>
      </c>
      <c r="B437" s="1013" t="s">
        <v>515</v>
      </c>
      <c r="C437" s="1013"/>
      <c r="D437" s="667">
        <v>78</v>
      </c>
      <c r="E437" s="667"/>
      <c r="F437" s="667">
        <v>60</v>
      </c>
      <c r="G437" s="667"/>
      <c r="H437" s="667"/>
      <c r="I437" s="667"/>
      <c r="J437" s="667"/>
      <c r="K437" s="667"/>
      <c r="L437" s="667"/>
      <c r="M437" s="667"/>
      <c r="N437" s="667"/>
      <c r="O437" s="667"/>
      <c r="P437" s="667"/>
      <c r="Q437" s="667"/>
      <c r="R437" s="667"/>
      <c r="S437" s="667"/>
      <c r="T437" s="667">
        <v>2048</v>
      </c>
      <c r="U437" s="1028">
        <v>12</v>
      </c>
      <c r="V437" s="668">
        <f t="shared" si="138"/>
        <v>936</v>
      </c>
      <c r="W437" s="668">
        <f t="shared" si="139"/>
        <v>0</v>
      </c>
      <c r="X437" s="668">
        <f t="shared" si="140"/>
        <v>0</v>
      </c>
      <c r="Y437" s="668">
        <f t="shared" si="141"/>
        <v>0</v>
      </c>
      <c r="Z437" s="668">
        <f t="shared" si="142"/>
        <v>0</v>
      </c>
      <c r="AA437" s="668">
        <f t="shared" si="143"/>
        <v>0</v>
      </c>
      <c r="AB437" s="668">
        <f t="shared" si="144"/>
        <v>2048</v>
      </c>
      <c r="AC437" s="668">
        <f t="shared" si="134"/>
        <v>0</v>
      </c>
      <c r="AD437" s="668">
        <f t="shared" si="145"/>
        <v>0</v>
      </c>
      <c r="AE437" s="668">
        <f t="shared" si="146"/>
        <v>0</v>
      </c>
      <c r="AF437" s="668">
        <f t="shared" si="147"/>
        <v>0</v>
      </c>
      <c r="AG437" s="668">
        <f t="shared" si="148"/>
        <v>0</v>
      </c>
      <c r="AH437" s="668"/>
      <c r="AI437" s="668"/>
      <c r="AJ437" s="668"/>
      <c r="AK437" s="668"/>
      <c r="AL437" s="668"/>
      <c r="AM437" s="668">
        <f t="shared" si="135"/>
        <v>0</v>
      </c>
      <c r="AN437" s="668">
        <f t="shared" si="130"/>
        <v>0</v>
      </c>
      <c r="AO437" s="668">
        <f t="shared" si="131"/>
        <v>0</v>
      </c>
      <c r="AP437" s="668">
        <f t="shared" si="136"/>
        <v>720</v>
      </c>
      <c r="AQ437" s="668">
        <f t="shared" si="132"/>
        <v>0</v>
      </c>
      <c r="AR437" s="668">
        <f t="shared" si="133"/>
        <v>0</v>
      </c>
      <c r="AS437" s="668"/>
      <c r="AT437" s="668"/>
      <c r="AU437" s="668"/>
      <c r="AV437" s="668"/>
      <c r="AW437" s="668"/>
      <c r="AX437" s="668"/>
      <c r="AY437" s="668"/>
      <c r="AZ437" s="668"/>
      <c r="BA437" s="668"/>
      <c r="BB437" s="668"/>
      <c r="BC437" s="668"/>
      <c r="BD437" s="668"/>
      <c r="BE437" s="668"/>
      <c r="BF437" s="668"/>
      <c r="BG437" s="668"/>
      <c r="BH437" s="668"/>
      <c r="BI437" s="668"/>
    </row>
    <row r="438" spans="1:61" x14ac:dyDescent="0.2">
      <c r="A438" s="1020">
        <v>2082</v>
      </c>
      <c r="B438" s="1013" t="s">
        <v>515</v>
      </c>
      <c r="C438" s="1013"/>
      <c r="D438" s="667">
        <v>122</v>
      </c>
      <c r="E438" s="667"/>
      <c r="F438" s="667">
        <v>60</v>
      </c>
      <c r="G438" s="667"/>
      <c r="H438" s="667"/>
      <c r="I438" s="667"/>
      <c r="J438" s="667"/>
      <c r="K438" s="667"/>
      <c r="L438" s="667"/>
      <c r="M438" s="667"/>
      <c r="N438" s="667"/>
      <c r="O438" s="667"/>
      <c r="P438" s="667"/>
      <c r="Q438" s="667"/>
      <c r="R438" s="667"/>
      <c r="S438" s="667"/>
      <c r="T438" s="667">
        <v>3086</v>
      </c>
      <c r="U438" s="1013">
        <v>12</v>
      </c>
      <c r="V438" s="668">
        <f t="shared" si="138"/>
        <v>1464</v>
      </c>
      <c r="W438" s="668">
        <f t="shared" si="139"/>
        <v>0</v>
      </c>
      <c r="X438" s="668">
        <f t="shared" si="140"/>
        <v>0</v>
      </c>
      <c r="Y438" s="668">
        <f t="shared" si="141"/>
        <v>0</v>
      </c>
      <c r="Z438" s="668">
        <f t="shared" si="142"/>
        <v>0</v>
      </c>
      <c r="AA438" s="668">
        <f t="shared" si="143"/>
        <v>0</v>
      </c>
      <c r="AB438" s="668">
        <f t="shared" si="144"/>
        <v>3086</v>
      </c>
      <c r="AC438" s="668">
        <f t="shared" si="134"/>
        <v>0</v>
      </c>
      <c r="AD438" s="668">
        <f t="shared" si="145"/>
        <v>0</v>
      </c>
      <c r="AE438" s="668">
        <f t="shared" si="146"/>
        <v>0</v>
      </c>
      <c r="AF438" s="668">
        <f t="shared" si="147"/>
        <v>0</v>
      </c>
      <c r="AG438" s="668">
        <f t="shared" si="148"/>
        <v>0</v>
      </c>
      <c r="AH438" s="668"/>
      <c r="AI438" s="668"/>
      <c r="AJ438" s="668"/>
      <c r="AK438" s="668"/>
      <c r="AL438" s="668"/>
      <c r="AM438" s="668">
        <f t="shared" si="135"/>
        <v>0</v>
      </c>
      <c r="AN438" s="668">
        <f t="shared" si="130"/>
        <v>0</v>
      </c>
      <c r="AO438" s="668">
        <f t="shared" si="131"/>
        <v>0</v>
      </c>
      <c r="AP438" s="668">
        <f t="shared" si="136"/>
        <v>720</v>
      </c>
      <c r="AQ438" s="668">
        <f t="shared" si="132"/>
        <v>0</v>
      </c>
      <c r="AR438" s="668">
        <f t="shared" si="133"/>
        <v>0</v>
      </c>
      <c r="AS438" s="668"/>
      <c r="AT438" s="668"/>
      <c r="AU438" s="668"/>
      <c r="AV438" s="668"/>
      <c r="AW438" s="668"/>
      <c r="AX438" s="668"/>
      <c r="AY438" s="668"/>
      <c r="AZ438" s="668"/>
      <c r="BA438" s="668"/>
      <c r="BB438" s="668"/>
      <c r="BC438" s="668"/>
      <c r="BD438" s="668"/>
      <c r="BE438" s="668"/>
      <c r="BF438" s="668"/>
      <c r="BG438" s="668"/>
      <c r="BH438" s="668"/>
      <c r="BI438" s="668"/>
    </row>
    <row r="439" spans="1:61" x14ac:dyDescent="0.2">
      <c r="A439" s="1020">
        <v>2083</v>
      </c>
      <c r="B439" s="1013" t="s">
        <v>519</v>
      </c>
      <c r="C439" s="1013"/>
      <c r="D439" s="667">
        <v>35</v>
      </c>
      <c r="E439" s="667"/>
      <c r="F439" s="667">
        <v>15</v>
      </c>
      <c r="G439" s="667"/>
      <c r="H439" s="667"/>
      <c r="I439" s="667"/>
      <c r="J439" s="667"/>
      <c r="K439" s="667"/>
      <c r="L439" s="667"/>
      <c r="M439" s="667"/>
      <c r="N439" s="667"/>
      <c r="O439" s="667"/>
      <c r="P439" s="667"/>
      <c r="Q439" s="667"/>
      <c r="R439" s="667"/>
      <c r="S439" s="667"/>
      <c r="T439" s="667">
        <v>155</v>
      </c>
      <c r="U439" s="1013">
        <v>12</v>
      </c>
      <c r="V439" s="668">
        <f t="shared" si="138"/>
        <v>420</v>
      </c>
      <c r="W439" s="668">
        <f t="shared" si="139"/>
        <v>0</v>
      </c>
      <c r="X439" s="668">
        <f t="shared" si="140"/>
        <v>0</v>
      </c>
      <c r="Y439" s="668">
        <f t="shared" si="141"/>
        <v>0</v>
      </c>
      <c r="Z439" s="668">
        <f t="shared" si="142"/>
        <v>0</v>
      </c>
      <c r="AA439" s="668">
        <f t="shared" si="143"/>
        <v>0</v>
      </c>
      <c r="AB439" s="668">
        <f t="shared" si="144"/>
        <v>155</v>
      </c>
      <c r="AC439" s="668">
        <f t="shared" si="134"/>
        <v>0</v>
      </c>
      <c r="AD439" s="668">
        <f t="shared" si="145"/>
        <v>0</v>
      </c>
      <c r="AE439" s="668">
        <f t="shared" si="146"/>
        <v>0</v>
      </c>
      <c r="AF439" s="668">
        <f t="shared" si="147"/>
        <v>0</v>
      </c>
      <c r="AG439" s="668">
        <f t="shared" si="148"/>
        <v>0</v>
      </c>
      <c r="AH439" s="668"/>
      <c r="AI439" s="668"/>
      <c r="AJ439" s="668"/>
      <c r="AK439" s="668"/>
      <c r="AL439" s="668"/>
      <c r="AM439" s="668">
        <f t="shared" si="135"/>
        <v>0</v>
      </c>
      <c r="AN439" s="668">
        <f t="shared" si="130"/>
        <v>0</v>
      </c>
      <c r="AO439" s="668">
        <f t="shared" si="131"/>
        <v>0</v>
      </c>
      <c r="AP439" s="668">
        <f t="shared" si="136"/>
        <v>180</v>
      </c>
      <c r="AQ439" s="668">
        <f t="shared" si="132"/>
        <v>0</v>
      </c>
      <c r="AR439" s="668">
        <f t="shared" si="133"/>
        <v>0</v>
      </c>
      <c r="AS439" s="668"/>
      <c r="AT439" s="668"/>
      <c r="AU439" s="668"/>
      <c r="AV439" s="668"/>
      <c r="AW439" s="668"/>
      <c r="AX439" s="668"/>
      <c r="AY439" s="668"/>
      <c r="AZ439" s="668"/>
      <c r="BA439" s="668"/>
      <c r="BB439" s="668">
        <f t="shared" si="137"/>
        <v>180</v>
      </c>
      <c r="BC439" s="668"/>
      <c r="BD439" s="668"/>
      <c r="BE439" s="668"/>
      <c r="BF439" s="668"/>
      <c r="BG439" s="668"/>
      <c r="BH439" s="668"/>
      <c r="BI439" s="668"/>
    </row>
    <row r="440" spans="1:61" x14ac:dyDescent="0.2">
      <c r="A440" s="1020" t="s">
        <v>693</v>
      </c>
      <c r="B440" s="1013" t="s">
        <v>694</v>
      </c>
      <c r="C440" s="1013"/>
      <c r="D440" s="667">
        <v>36</v>
      </c>
      <c r="E440" s="667"/>
      <c r="F440" s="667"/>
      <c r="G440" s="667"/>
      <c r="H440" s="667"/>
      <c r="I440" s="667"/>
      <c r="J440" s="667"/>
      <c r="K440" s="667"/>
      <c r="L440" s="667"/>
      <c r="M440" s="667"/>
      <c r="N440" s="667"/>
      <c r="O440" s="667"/>
      <c r="P440" s="667"/>
      <c r="Q440" s="667"/>
      <c r="R440" s="667"/>
      <c r="S440" s="667"/>
      <c r="T440" s="667"/>
      <c r="U440" s="1013">
        <v>10</v>
      </c>
      <c r="V440" s="668">
        <f t="shared" si="138"/>
        <v>360</v>
      </c>
      <c r="W440" s="668">
        <f t="shared" si="139"/>
        <v>0</v>
      </c>
      <c r="X440" s="668">
        <f t="shared" si="140"/>
        <v>0</v>
      </c>
      <c r="Y440" s="668">
        <f t="shared" si="141"/>
        <v>0</v>
      </c>
      <c r="Z440" s="668">
        <f t="shared" si="142"/>
        <v>0</v>
      </c>
      <c r="AA440" s="668">
        <f t="shared" si="143"/>
        <v>0</v>
      </c>
      <c r="AB440" s="668">
        <f t="shared" si="144"/>
        <v>0</v>
      </c>
      <c r="AC440" s="668">
        <f t="shared" si="134"/>
        <v>0</v>
      </c>
      <c r="AD440" s="668">
        <f t="shared" si="145"/>
        <v>0</v>
      </c>
      <c r="AE440" s="668">
        <f t="shared" si="146"/>
        <v>0</v>
      </c>
      <c r="AF440" s="668">
        <f t="shared" si="147"/>
        <v>0</v>
      </c>
      <c r="AG440" s="668">
        <f t="shared" si="148"/>
        <v>0</v>
      </c>
      <c r="AH440" s="668"/>
      <c r="AI440" s="668"/>
      <c r="AJ440" s="668"/>
      <c r="AK440" s="668"/>
      <c r="AL440" s="668"/>
      <c r="AM440" s="668">
        <f t="shared" si="135"/>
        <v>0</v>
      </c>
      <c r="AN440" s="668">
        <f t="shared" si="130"/>
        <v>0</v>
      </c>
      <c r="AO440" s="668">
        <f t="shared" si="131"/>
        <v>0</v>
      </c>
      <c r="AP440" s="668">
        <f t="shared" si="136"/>
        <v>0</v>
      </c>
      <c r="AQ440" s="668">
        <f t="shared" si="132"/>
        <v>0</v>
      </c>
      <c r="AR440" s="668">
        <f t="shared" si="133"/>
        <v>0</v>
      </c>
      <c r="AS440" s="668"/>
      <c r="AT440" s="668"/>
      <c r="AU440" s="668"/>
      <c r="AV440" s="668"/>
      <c r="AW440" s="668"/>
      <c r="AX440" s="668"/>
      <c r="AY440" s="668"/>
      <c r="AZ440" s="668"/>
      <c r="BA440" s="668"/>
      <c r="BB440" s="668">
        <f t="shared" si="137"/>
        <v>0</v>
      </c>
      <c r="BC440" s="668"/>
      <c r="BD440" s="668"/>
      <c r="BE440" s="668"/>
      <c r="BF440" s="668"/>
      <c r="BG440" s="668"/>
      <c r="BH440" s="668"/>
      <c r="BI440" s="668"/>
    </row>
    <row r="441" spans="1:61" x14ac:dyDescent="0.2">
      <c r="A441" s="1020" t="s">
        <v>695</v>
      </c>
      <c r="B441" s="1020" t="s">
        <v>696</v>
      </c>
      <c r="C441" s="1020"/>
      <c r="D441" s="667">
        <v>38</v>
      </c>
      <c r="E441" s="667"/>
      <c r="F441" s="667"/>
      <c r="G441" s="667"/>
      <c r="H441" s="667"/>
      <c r="I441" s="667"/>
      <c r="J441" s="667"/>
      <c r="K441" s="667"/>
      <c r="L441" s="667"/>
      <c r="M441" s="667"/>
      <c r="N441" s="667"/>
      <c r="O441" s="667"/>
      <c r="P441" s="667"/>
      <c r="Q441" s="667"/>
      <c r="R441" s="667"/>
      <c r="S441" s="667"/>
      <c r="T441" s="667"/>
      <c r="U441" s="1020">
        <v>10</v>
      </c>
      <c r="V441" s="668">
        <f t="shared" si="138"/>
        <v>380</v>
      </c>
      <c r="W441" s="668">
        <f t="shared" si="139"/>
        <v>0</v>
      </c>
      <c r="X441" s="668">
        <f t="shared" si="140"/>
        <v>0</v>
      </c>
      <c r="Y441" s="668">
        <f t="shared" si="141"/>
        <v>0</v>
      </c>
      <c r="Z441" s="668">
        <f t="shared" si="142"/>
        <v>0</v>
      </c>
      <c r="AA441" s="668">
        <f t="shared" si="143"/>
        <v>0</v>
      </c>
      <c r="AB441" s="668">
        <f t="shared" si="144"/>
        <v>0</v>
      </c>
      <c r="AC441" s="668">
        <f t="shared" si="134"/>
        <v>0</v>
      </c>
      <c r="AD441" s="668">
        <f t="shared" si="145"/>
        <v>0</v>
      </c>
      <c r="AE441" s="668">
        <f t="shared" si="146"/>
        <v>0</v>
      </c>
      <c r="AF441" s="668">
        <f t="shared" si="147"/>
        <v>0</v>
      </c>
      <c r="AG441" s="668">
        <f t="shared" si="148"/>
        <v>0</v>
      </c>
      <c r="AH441" s="668"/>
      <c r="AI441" s="668"/>
      <c r="AJ441" s="668"/>
      <c r="AK441" s="668"/>
      <c r="AL441" s="668"/>
      <c r="AM441" s="668">
        <f t="shared" si="135"/>
        <v>0</v>
      </c>
      <c r="AN441" s="668">
        <f t="shared" si="130"/>
        <v>0</v>
      </c>
      <c r="AO441" s="668">
        <f t="shared" si="131"/>
        <v>0</v>
      </c>
      <c r="AP441" s="668">
        <f t="shared" si="136"/>
        <v>0</v>
      </c>
      <c r="AQ441" s="668">
        <f t="shared" si="132"/>
        <v>0</v>
      </c>
      <c r="AR441" s="668">
        <f t="shared" si="133"/>
        <v>0</v>
      </c>
      <c r="AS441" s="668"/>
      <c r="AT441" s="668"/>
      <c r="AU441" s="668"/>
      <c r="AV441" s="668"/>
      <c r="AW441" s="668"/>
      <c r="AX441" s="668"/>
      <c r="AY441" s="668"/>
      <c r="AZ441" s="668"/>
      <c r="BA441" s="668"/>
      <c r="BB441" s="668">
        <f t="shared" si="137"/>
        <v>0</v>
      </c>
      <c r="BC441" s="668"/>
      <c r="BD441" s="668"/>
      <c r="BE441" s="668"/>
      <c r="BF441" s="668"/>
      <c r="BG441" s="668"/>
      <c r="BH441" s="668"/>
      <c r="BI441" s="668"/>
    </row>
    <row r="442" spans="1:61" x14ac:dyDescent="0.2">
      <c r="A442" s="1020">
        <v>2085</v>
      </c>
      <c r="B442" s="1013" t="s">
        <v>697</v>
      </c>
      <c r="C442" s="1013"/>
      <c r="D442" s="667">
        <v>80</v>
      </c>
      <c r="E442" s="667"/>
      <c r="F442" s="667"/>
      <c r="G442" s="667"/>
      <c r="H442" s="667"/>
      <c r="I442" s="667"/>
      <c r="J442" s="667"/>
      <c r="K442" s="667"/>
      <c r="L442" s="667"/>
      <c r="M442" s="667"/>
      <c r="N442" s="667"/>
      <c r="O442" s="667"/>
      <c r="P442" s="667"/>
      <c r="Q442" s="667"/>
      <c r="R442" s="667"/>
      <c r="S442" s="667"/>
      <c r="T442" s="667"/>
      <c r="U442" s="1013">
        <v>10</v>
      </c>
      <c r="V442" s="668">
        <f t="shared" si="138"/>
        <v>800</v>
      </c>
      <c r="W442" s="668">
        <f t="shared" si="139"/>
        <v>0</v>
      </c>
      <c r="X442" s="668">
        <f t="shared" si="140"/>
        <v>0</v>
      </c>
      <c r="Y442" s="668">
        <f t="shared" si="141"/>
        <v>0</v>
      </c>
      <c r="Z442" s="668">
        <f t="shared" si="142"/>
        <v>0</v>
      </c>
      <c r="AA442" s="668">
        <f t="shared" si="143"/>
        <v>0</v>
      </c>
      <c r="AB442" s="668">
        <f t="shared" si="144"/>
        <v>0</v>
      </c>
      <c r="AC442" s="668">
        <f t="shared" si="134"/>
        <v>0</v>
      </c>
      <c r="AD442" s="668">
        <f t="shared" si="145"/>
        <v>0</v>
      </c>
      <c r="AE442" s="668">
        <f t="shared" si="146"/>
        <v>0</v>
      </c>
      <c r="AF442" s="668">
        <f t="shared" si="147"/>
        <v>0</v>
      </c>
      <c r="AG442" s="668">
        <f t="shared" si="148"/>
        <v>0</v>
      </c>
      <c r="AH442" s="668"/>
      <c r="AI442" s="668"/>
      <c r="AJ442" s="668"/>
      <c r="AK442" s="668"/>
      <c r="AL442" s="668"/>
      <c r="AM442" s="668">
        <f t="shared" si="135"/>
        <v>0</v>
      </c>
      <c r="AN442" s="668">
        <f t="shared" si="130"/>
        <v>0</v>
      </c>
      <c r="AO442" s="668">
        <f t="shared" si="131"/>
        <v>0</v>
      </c>
      <c r="AP442" s="668">
        <f t="shared" si="136"/>
        <v>0</v>
      </c>
      <c r="AQ442" s="668">
        <f t="shared" si="132"/>
        <v>0</v>
      </c>
      <c r="AR442" s="668">
        <f t="shared" si="133"/>
        <v>0</v>
      </c>
      <c r="AS442" s="668"/>
      <c r="AT442" s="668"/>
      <c r="AU442" s="668"/>
      <c r="AV442" s="668"/>
      <c r="AW442" s="668"/>
      <c r="AX442" s="668"/>
      <c r="AY442" s="668"/>
      <c r="AZ442" s="668"/>
      <c r="BA442" s="668"/>
      <c r="BB442" s="668">
        <f t="shared" si="137"/>
        <v>0</v>
      </c>
      <c r="BC442" s="668"/>
      <c r="BD442" s="668"/>
      <c r="BE442" s="668"/>
      <c r="BF442" s="668"/>
      <c r="BG442" s="668"/>
      <c r="BH442" s="668"/>
      <c r="BI442" s="668"/>
    </row>
    <row r="443" spans="1:61" x14ac:dyDescent="0.2">
      <c r="A443" s="1020">
        <v>2086</v>
      </c>
      <c r="B443" s="1013" t="s">
        <v>517</v>
      </c>
      <c r="C443" s="1013"/>
      <c r="D443" s="667">
        <v>50</v>
      </c>
      <c r="E443" s="667"/>
      <c r="F443" s="667"/>
      <c r="G443" s="667"/>
      <c r="H443" s="667"/>
      <c r="I443" s="667"/>
      <c r="J443" s="667"/>
      <c r="K443" s="667"/>
      <c r="L443" s="667"/>
      <c r="M443" s="667"/>
      <c r="N443" s="667"/>
      <c r="O443" s="667"/>
      <c r="P443" s="667"/>
      <c r="Q443" s="667"/>
      <c r="R443" s="667"/>
      <c r="S443" s="667"/>
      <c r="T443" s="667"/>
      <c r="U443" s="1013">
        <v>12</v>
      </c>
      <c r="V443" s="668">
        <f t="shared" si="138"/>
        <v>600</v>
      </c>
      <c r="W443" s="668">
        <f t="shared" si="139"/>
        <v>0</v>
      </c>
      <c r="X443" s="668">
        <f t="shared" si="140"/>
        <v>0</v>
      </c>
      <c r="Y443" s="668">
        <f t="shared" si="141"/>
        <v>0</v>
      </c>
      <c r="Z443" s="668">
        <f t="shared" si="142"/>
        <v>0</v>
      </c>
      <c r="AA443" s="668">
        <f t="shared" si="143"/>
        <v>0</v>
      </c>
      <c r="AB443" s="668">
        <f t="shared" si="144"/>
        <v>0</v>
      </c>
      <c r="AC443" s="668">
        <f t="shared" si="134"/>
        <v>0</v>
      </c>
      <c r="AD443" s="668">
        <f t="shared" si="145"/>
        <v>0</v>
      </c>
      <c r="AE443" s="668">
        <f t="shared" si="146"/>
        <v>0</v>
      </c>
      <c r="AF443" s="668">
        <f t="shared" si="147"/>
        <v>0</v>
      </c>
      <c r="AG443" s="668">
        <f t="shared" si="148"/>
        <v>0</v>
      </c>
      <c r="AH443" s="668"/>
      <c r="AI443" s="668"/>
      <c r="AJ443" s="668"/>
      <c r="AK443" s="668"/>
      <c r="AL443" s="668"/>
      <c r="AM443" s="668">
        <f t="shared" si="135"/>
        <v>0</v>
      </c>
      <c r="AN443" s="668">
        <f t="shared" si="130"/>
        <v>0</v>
      </c>
      <c r="AO443" s="668">
        <f t="shared" si="131"/>
        <v>0</v>
      </c>
      <c r="AP443" s="668">
        <f t="shared" si="136"/>
        <v>0</v>
      </c>
      <c r="AQ443" s="668">
        <f t="shared" si="132"/>
        <v>0</v>
      </c>
      <c r="AR443" s="668">
        <f t="shared" si="133"/>
        <v>0</v>
      </c>
      <c r="AS443" s="668"/>
      <c r="AT443" s="668"/>
      <c r="AU443" s="668"/>
      <c r="AV443" s="668"/>
      <c r="AW443" s="668"/>
      <c r="AX443" s="668"/>
      <c r="AY443" s="668"/>
      <c r="AZ443" s="668"/>
      <c r="BA443" s="668"/>
      <c r="BB443" s="668">
        <f t="shared" si="137"/>
        <v>0</v>
      </c>
      <c r="BC443" s="668"/>
      <c r="BD443" s="668"/>
      <c r="BE443" s="668"/>
      <c r="BF443" s="668"/>
      <c r="BG443" s="668"/>
      <c r="BH443" s="668"/>
      <c r="BI443" s="668"/>
    </row>
    <row r="444" spans="1:61" x14ac:dyDescent="0.2">
      <c r="A444" s="1020">
        <v>2087</v>
      </c>
      <c r="B444" s="1013" t="s">
        <v>519</v>
      </c>
      <c r="C444" s="1013"/>
      <c r="D444" s="667">
        <v>35</v>
      </c>
      <c r="E444" s="667"/>
      <c r="F444" s="667">
        <v>15</v>
      </c>
      <c r="G444" s="667"/>
      <c r="H444" s="667"/>
      <c r="I444" s="667"/>
      <c r="J444" s="667"/>
      <c r="K444" s="667"/>
      <c r="L444" s="667"/>
      <c r="M444" s="667"/>
      <c r="N444" s="667"/>
      <c r="O444" s="667"/>
      <c r="P444" s="667"/>
      <c r="Q444" s="667"/>
      <c r="R444" s="667"/>
      <c r="S444" s="667"/>
      <c r="T444" s="667">
        <v>155</v>
      </c>
      <c r="U444" s="1013">
        <v>12</v>
      </c>
      <c r="V444" s="668">
        <f t="shared" si="138"/>
        <v>420</v>
      </c>
      <c r="W444" s="668">
        <f t="shared" si="139"/>
        <v>0</v>
      </c>
      <c r="X444" s="668">
        <f t="shared" si="140"/>
        <v>0</v>
      </c>
      <c r="Y444" s="668">
        <f t="shared" si="141"/>
        <v>0</v>
      </c>
      <c r="Z444" s="668">
        <f t="shared" si="142"/>
        <v>0</v>
      </c>
      <c r="AA444" s="668">
        <f t="shared" si="143"/>
        <v>0</v>
      </c>
      <c r="AB444" s="668">
        <f t="shared" si="144"/>
        <v>155</v>
      </c>
      <c r="AC444" s="668">
        <f t="shared" si="134"/>
        <v>0</v>
      </c>
      <c r="AD444" s="668">
        <f t="shared" si="145"/>
        <v>0</v>
      </c>
      <c r="AE444" s="668">
        <f t="shared" si="146"/>
        <v>0</v>
      </c>
      <c r="AF444" s="668">
        <f t="shared" si="147"/>
        <v>0</v>
      </c>
      <c r="AG444" s="668">
        <f t="shared" si="148"/>
        <v>0</v>
      </c>
      <c r="AH444" s="668"/>
      <c r="AI444" s="668"/>
      <c r="AJ444" s="668"/>
      <c r="AK444" s="668"/>
      <c r="AL444" s="668"/>
      <c r="AM444" s="668">
        <f t="shared" si="135"/>
        <v>0</v>
      </c>
      <c r="AN444" s="668">
        <f t="shared" si="130"/>
        <v>0</v>
      </c>
      <c r="AO444" s="668">
        <f t="shared" si="131"/>
        <v>0</v>
      </c>
      <c r="AP444" s="668">
        <f t="shared" si="136"/>
        <v>180</v>
      </c>
      <c r="AQ444" s="668">
        <f t="shared" si="132"/>
        <v>0</v>
      </c>
      <c r="AR444" s="668">
        <f t="shared" si="133"/>
        <v>0</v>
      </c>
      <c r="AS444" s="668"/>
      <c r="AT444" s="668"/>
      <c r="AU444" s="668"/>
      <c r="AV444" s="668"/>
      <c r="AW444" s="668"/>
      <c r="AX444" s="668"/>
      <c r="AY444" s="668"/>
      <c r="AZ444" s="668"/>
      <c r="BA444" s="668"/>
      <c r="BB444" s="668">
        <f t="shared" si="137"/>
        <v>180</v>
      </c>
      <c r="BC444" s="668"/>
      <c r="BD444" s="668"/>
      <c r="BE444" s="668"/>
      <c r="BF444" s="668"/>
      <c r="BG444" s="668"/>
      <c r="BH444" s="668"/>
      <c r="BI444" s="668"/>
    </row>
    <row r="445" spans="1:61" x14ac:dyDescent="0.2">
      <c r="A445" s="1020">
        <v>2088</v>
      </c>
      <c r="B445" s="1013" t="s">
        <v>698</v>
      </c>
      <c r="C445" s="1013"/>
      <c r="D445" s="667">
        <v>80</v>
      </c>
      <c r="E445" s="667"/>
      <c r="F445" s="667">
        <v>40</v>
      </c>
      <c r="G445" s="667"/>
      <c r="H445" s="667"/>
      <c r="I445" s="667"/>
      <c r="J445" s="667"/>
      <c r="K445" s="667"/>
      <c r="L445" s="667"/>
      <c r="M445" s="667"/>
      <c r="N445" s="667"/>
      <c r="O445" s="667"/>
      <c r="P445" s="667"/>
      <c r="Q445" s="667"/>
      <c r="R445" s="667"/>
      <c r="S445" s="667"/>
      <c r="T445" s="667"/>
      <c r="U445" s="1013">
        <v>12</v>
      </c>
      <c r="V445" s="668">
        <f t="shared" si="138"/>
        <v>960</v>
      </c>
      <c r="W445" s="668">
        <f t="shared" si="139"/>
        <v>0</v>
      </c>
      <c r="X445" s="668">
        <f t="shared" si="140"/>
        <v>0</v>
      </c>
      <c r="Y445" s="668">
        <f t="shared" si="141"/>
        <v>0</v>
      </c>
      <c r="Z445" s="668">
        <f t="shared" si="142"/>
        <v>0</v>
      </c>
      <c r="AA445" s="668">
        <f t="shared" si="143"/>
        <v>0</v>
      </c>
      <c r="AB445" s="668">
        <f t="shared" si="144"/>
        <v>0</v>
      </c>
      <c r="AC445" s="668">
        <f t="shared" si="134"/>
        <v>0</v>
      </c>
      <c r="AD445" s="668">
        <f t="shared" si="145"/>
        <v>0</v>
      </c>
      <c r="AE445" s="668">
        <f t="shared" si="146"/>
        <v>0</v>
      </c>
      <c r="AF445" s="668">
        <f t="shared" si="147"/>
        <v>0</v>
      </c>
      <c r="AG445" s="668">
        <f t="shared" si="148"/>
        <v>0</v>
      </c>
      <c r="AH445" s="668"/>
      <c r="AI445" s="668"/>
      <c r="AJ445" s="668"/>
      <c r="AK445" s="668"/>
      <c r="AL445" s="668"/>
      <c r="AM445" s="668">
        <f t="shared" si="135"/>
        <v>0</v>
      </c>
      <c r="AN445" s="668">
        <f t="shared" si="130"/>
        <v>0</v>
      </c>
      <c r="AO445" s="668">
        <f t="shared" si="131"/>
        <v>0</v>
      </c>
      <c r="AP445" s="668">
        <f t="shared" si="136"/>
        <v>480</v>
      </c>
      <c r="AQ445" s="668">
        <f t="shared" si="132"/>
        <v>0</v>
      </c>
      <c r="AR445" s="668">
        <f t="shared" si="133"/>
        <v>0</v>
      </c>
      <c r="AS445" s="668"/>
      <c r="AT445" s="668"/>
      <c r="AU445" s="668"/>
      <c r="AV445" s="668"/>
      <c r="AW445" s="668"/>
      <c r="AX445" s="668"/>
      <c r="AY445" s="668"/>
      <c r="AZ445" s="668"/>
      <c r="BA445" s="668"/>
      <c r="BB445" s="668">
        <f t="shared" si="137"/>
        <v>480</v>
      </c>
      <c r="BC445" s="668"/>
      <c r="BD445" s="668"/>
      <c r="BE445" s="668"/>
      <c r="BF445" s="668"/>
      <c r="BG445" s="668"/>
      <c r="BH445" s="668"/>
      <c r="BI445" s="668"/>
    </row>
    <row r="446" spans="1:61" x14ac:dyDescent="0.2">
      <c r="A446" s="1020">
        <v>2090</v>
      </c>
      <c r="B446" s="1013" t="s">
        <v>672</v>
      </c>
      <c r="C446" s="1013"/>
      <c r="D446" s="667">
        <v>35</v>
      </c>
      <c r="E446" s="667"/>
      <c r="F446" s="667">
        <v>15</v>
      </c>
      <c r="G446" s="667"/>
      <c r="H446" s="667"/>
      <c r="I446" s="667"/>
      <c r="J446" s="667"/>
      <c r="K446" s="667"/>
      <c r="L446" s="667"/>
      <c r="M446" s="667"/>
      <c r="N446" s="667"/>
      <c r="O446" s="667"/>
      <c r="P446" s="667"/>
      <c r="Q446" s="667"/>
      <c r="R446" s="667"/>
      <c r="S446" s="667"/>
      <c r="T446" s="667"/>
      <c r="U446" s="1013">
        <v>10</v>
      </c>
      <c r="V446" s="668">
        <f t="shared" si="138"/>
        <v>350</v>
      </c>
      <c r="W446" s="668">
        <f t="shared" si="139"/>
        <v>0</v>
      </c>
      <c r="X446" s="668">
        <f t="shared" si="140"/>
        <v>0</v>
      </c>
      <c r="Y446" s="668">
        <f t="shared" si="141"/>
        <v>0</v>
      </c>
      <c r="Z446" s="668">
        <f t="shared" si="142"/>
        <v>0</v>
      </c>
      <c r="AA446" s="668">
        <f t="shared" si="143"/>
        <v>0</v>
      </c>
      <c r="AB446" s="668">
        <f t="shared" si="144"/>
        <v>0</v>
      </c>
      <c r="AC446" s="668">
        <f t="shared" si="134"/>
        <v>0</v>
      </c>
      <c r="AD446" s="668">
        <f t="shared" si="145"/>
        <v>0</v>
      </c>
      <c r="AE446" s="668">
        <f t="shared" si="146"/>
        <v>0</v>
      </c>
      <c r="AF446" s="668">
        <f t="shared" si="147"/>
        <v>0</v>
      </c>
      <c r="AG446" s="668">
        <f t="shared" si="148"/>
        <v>0</v>
      </c>
      <c r="AH446" s="668"/>
      <c r="AI446" s="668"/>
      <c r="AJ446" s="668"/>
      <c r="AK446" s="668"/>
      <c r="AL446" s="668"/>
      <c r="AM446" s="668">
        <f t="shared" si="135"/>
        <v>0</v>
      </c>
      <c r="AN446" s="668">
        <f t="shared" si="130"/>
        <v>0</v>
      </c>
      <c r="AO446" s="668">
        <f t="shared" si="131"/>
        <v>0</v>
      </c>
      <c r="AP446" s="668">
        <f t="shared" si="136"/>
        <v>150</v>
      </c>
      <c r="AQ446" s="668">
        <f t="shared" si="132"/>
        <v>0</v>
      </c>
      <c r="AR446" s="668">
        <f t="shared" si="133"/>
        <v>0</v>
      </c>
      <c r="AS446" s="668"/>
      <c r="AT446" s="668"/>
      <c r="AU446" s="668"/>
      <c r="AV446" s="668"/>
      <c r="AW446" s="668"/>
      <c r="AX446" s="668"/>
      <c r="AY446" s="668"/>
      <c r="AZ446" s="668"/>
      <c r="BA446" s="668"/>
      <c r="BB446" s="668">
        <f t="shared" si="137"/>
        <v>150</v>
      </c>
      <c r="BC446" s="668"/>
      <c r="BD446" s="668"/>
      <c r="BE446" s="668"/>
      <c r="BF446" s="668"/>
      <c r="BG446" s="668"/>
      <c r="BH446" s="668"/>
      <c r="BI446" s="668"/>
    </row>
    <row r="447" spans="1:61" x14ac:dyDescent="0.2">
      <c r="A447" s="1020" t="s">
        <v>700</v>
      </c>
      <c r="B447" s="1013" t="s">
        <v>694</v>
      </c>
      <c r="C447" s="1013"/>
      <c r="D447" s="667">
        <v>102</v>
      </c>
      <c r="E447" s="667"/>
      <c r="F447" s="667"/>
      <c r="G447" s="667"/>
      <c r="H447" s="667"/>
      <c r="I447" s="667"/>
      <c r="J447" s="667"/>
      <c r="K447" s="667"/>
      <c r="L447" s="667"/>
      <c r="M447" s="667"/>
      <c r="N447" s="667"/>
      <c r="O447" s="667">
        <v>1</v>
      </c>
      <c r="P447" s="667"/>
      <c r="Q447" s="667"/>
      <c r="R447" s="667"/>
      <c r="S447" s="667"/>
      <c r="T447" s="667"/>
      <c r="U447" s="1013">
        <v>12</v>
      </c>
      <c r="V447" s="668">
        <f t="shared" si="138"/>
        <v>1224</v>
      </c>
      <c r="W447" s="668">
        <f t="shared" si="139"/>
        <v>0</v>
      </c>
      <c r="X447" s="668">
        <f t="shared" si="140"/>
        <v>0</v>
      </c>
      <c r="Y447" s="668">
        <f t="shared" si="141"/>
        <v>0</v>
      </c>
      <c r="Z447" s="668">
        <f t="shared" si="142"/>
        <v>0</v>
      </c>
      <c r="AA447" s="668">
        <f t="shared" si="143"/>
        <v>0</v>
      </c>
      <c r="AB447" s="668">
        <f t="shared" si="144"/>
        <v>0</v>
      </c>
      <c r="AC447" s="668">
        <f t="shared" si="134"/>
        <v>0</v>
      </c>
      <c r="AD447" s="668">
        <f t="shared" si="145"/>
        <v>0</v>
      </c>
      <c r="AE447" s="668">
        <f t="shared" si="146"/>
        <v>0</v>
      </c>
      <c r="AF447" s="668">
        <f t="shared" si="147"/>
        <v>0</v>
      </c>
      <c r="AG447" s="668">
        <f t="shared" si="148"/>
        <v>0</v>
      </c>
      <c r="AH447" s="668"/>
      <c r="AI447" s="668"/>
      <c r="AJ447" s="668"/>
      <c r="AK447" s="668"/>
      <c r="AL447" s="668"/>
      <c r="AM447" s="668">
        <f t="shared" si="135"/>
        <v>0</v>
      </c>
      <c r="AN447" s="668">
        <f t="shared" si="130"/>
        <v>0</v>
      </c>
      <c r="AO447" s="668">
        <f t="shared" si="131"/>
        <v>12</v>
      </c>
      <c r="AP447" s="668">
        <f t="shared" si="136"/>
        <v>0</v>
      </c>
      <c r="AQ447" s="668">
        <f t="shared" si="132"/>
        <v>0</v>
      </c>
      <c r="AR447" s="668">
        <f t="shared" si="133"/>
        <v>0</v>
      </c>
      <c r="AS447" s="668"/>
      <c r="AT447" s="668"/>
      <c r="AU447" s="668"/>
      <c r="AV447" s="668"/>
      <c r="AW447" s="668"/>
      <c r="AX447" s="668"/>
      <c r="AY447" s="668"/>
      <c r="AZ447" s="668"/>
      <c r="BA447" s="668"/>
      <c r="BB447" s="668">
        <f t="shared" si="137"/>
        <v>0</v>
      </c>
      <c r="BC447" s="668"/>
      <c r="BD447" s="668"/>
      <c r="BE447" s="668"/>
      <c r="BF447" s="668"/>
      <c r="BG447" s="668"/>
      <c r="BH447" s="668"/>
      <c r="BI447" s="668"/>
    </row>
    <row r="448" spans="1:61" x14ac:dyDescent="0.2">
      <c r="A448" s="1020" t="s">
        <v>699</v>
      </c>
      <c r="B448" s="1020" t="s">
        <v>696</v>
      </c>
      <c r="C448" s="1020"/>
      <c r="D448" s="667">
        <v>55</v>
      </c>
      <c r="E448" s="667"/>
      <c r="F448" s="667"/>
      <c r="G448" s="667"/>
      <c r="H448" s="667"/>
      <c r="I448" s="667"/>
      <c r="J448" s="667"/>
      <c r="K448" s="667"/>
      <c r="L448" s="667"/>
      <c r="M448" s="667"/>
      <c r="N448" s="667"/>
      <c r="O448" s="667"/>
      <c r="P448" s="667"/>
      <c r="Q448" s="667"/>
      <c r="R448" s="667"/>
      <c r="S448" s="667"/>
      <c r="T448" s="667"/>
      <c r="U448" s="1020">
        <v>10</v>
      </c>
      <c r="V448" s="668">
        <f t="shared" si="138"/>
        <v>550</v>
      </c>
      <c r="W448" s="668">
        <f t="shared" si="139"/>
        <v>0</v>
      </c>
      <c r="X448" s="668">
        <f t="shared" si="140"/>
        <v>0</v>
      </c>
      <c r="Y448" s="668">
        <f t="shared" si="141"/>
        <v>0</v>
      </c>
      <c r="Z448" s="668">
        <f t="shared" si="142"/>
        <v>0</v>
      </c>
      <c r="AA448" s="668">
        <f t="shared" si="143"/>
        <v>0</v>
      </c>
      <c r="AB448" s="668">
        <f t="shared" si="144"/>
        <v>0</v>
      </c>
      <c r="AC448" s="668">
        <f t="shared" si="134"/>
        <v>0</v>
      </c>
      <c r="AD448" s="668">
        <f t="shared" si="145"/>
        <v>0</v>
      </c>
      <c r="AE448" s="668">
        <f t="shared" si="146"/>
        <v>0</v>
      </c>
      <c r="AF448" s="668">
        <f t="shared" si="147"/>
        <v>0</v>
      </c>
      <c r="AG448" s="668">
        <f t="shared" si="148"/>
        <v>0</v>
      </c>
      <c r="AH448" s="668"/>
      <c r="AI448" s="668"/>
      <c r="AJ448" s="668"/>
      <c r="AK448" s="668"/>
      <c r="AL448" s="668"/>
      <c r="AM448" s="668">
        <f t="shared" si="135"/>
        <v>0</v>
      </c>
      <c r="AN448" s="668">
        <f t="shared" si="130"/>
        <v>0</v>
      </c>
      <c r="AO448" s="668">
        <f t="shared" si="131"/>
        <v>0</v>
      </c>
      <c r="AP448" s="668">
        <f t="shared" si="136"/>
        <v>0</v>
      </c>
      <c r="AQ448" s="668">
        <f t="shared" si="132"/>
        <v>0</v>
      </c>
      <c r="AR448" s="668">
        <f t="shared" si="133"/>
        <v>0</v>
      </c>
      <c r="AS448" s="668"/>
      <c r="AT448" s="668"/>
      <c r="AU448" s="668"/>
      <c r="AV448" s="668"/>
      <c r="AW448" s="668"/>
      <c r="AX448" s="668"/>
      <c r="AY448" s="668"/>
      <c r="AZ448" s="668"/>
      <c r="BA448" s="668"/>
      <c r="BB448" s="668">
        <f t="shared" si="137"/>
        <v>0</v>
      </c>
      <c r="BC448" s="668"/>
      <c r="BD448" s="668"/>
      <c r="BE448" s="668"/>
      <c r="BF448" s="668"/>
      <c r="BG448" s="668"/>
      <c r="BH448" s="668"/>
      <c r="BI448" s="668"/>
    </row>
    <row r="449" spans="1:61" x14ac:dyDescent="0.2">
      <c r="A449" s="1020">
        <v>2092</v>
      </c>
      <c r="B449" s="1013" t="s">
        <v>515</v>
      </c>
      <c r="C449" s="1013"/>
      <c r="D449" s="667">
        <v>122</v>
      </c>
      <c r="E449" s="667"/>
      <c r="F449" s="667">
        <v>60</v>
      </c>
      <c r="G449" s="667"/>
      <c r="H449" s="667"/>
      <c r="I449" s="667"/>
      <c r="J449" s="667"/>
      <c r="K449" s="667"/>
      <c r="L449" s="667"/>
      <c r="M449" s="667"/>
      <c r="N449" s="667"/>
      <c r="O449" s="667"/>
      <c r="P449" s="667"/>
      <c r="Q449" s="667"/>
      <c r="R449" s="667"/>
      <c r="S449" s="667"/>
      <c r="T449" s="667">
        <v>3086</v>
      </c>
      <c r="U449" s="1028">
        <v>12</v>
      </c>
      <c r="V449" s="668">
        <f t="shared" si="138"/>
        <v>1464</v>
      </c>
      <c r="W449" s="668">
        <f t="shared" si="139"/>
        <v>0</v>
      </c>
      <c r="X449" s="668">
        <f t="shared" si="140"/>
        <v>0</v>
      </c>
      <c r="Y449" s="668">
        <f t="shared" si="141"/>
        <v>0</v>
      </c>
      <c r="Z449" s="668">
        <f t="shared" si="142"/>
        <v>0</v>
      </c>
      <c r="AA449" s="668">
        <f t="shared" si="143"/>
        <v>0</v>
      </c>
      <c r="AB449" s="668">
        <f t="shared" si="144"/>
        <v>3086</v>
      </c>
      <c r="AC449" s="668">
        <f t="shared" si="134"/>
        <v>0</v>
      </c>
      <c r="AD449" s="668">
        <f t="shared" si="145"/>
        <v>0</v>
      </c>
      <c r="AE449" s="668">
        <f t="shared" si="146"/>
        <v>0</v>
      </c>
      <c r="AF449" s="668">
        <f t="shared" si="147"/>
        <v>0</v>
      </c>
      <c r="AG449" s="668">
        <f t="shared" si="148"/>
        <v>0</v>
      </c>
      <c r="AH449" s="668"/>
      <c r="AI449" s="668"/>
      <c r="AJ449" s="668"/>
      <c r="AK449" s="668"/>
      <c r="AL449" s="668"/>
      <c r="AM449" s="668">
        <f t="shared" si="135"/>
        <v>0</v>
      </c>
      <c r="AN449" s="668">
        <f t="shared" si="130"/>
        <v>0</v>
      </c>
      <c r="AO449" s="668">
        <f t="shared" si="131"/>
        <v>0</v>
      </c>
      <c r="AP449" s="668">
        <f t="shared" si="136"/>
        <v>720</v>
      </c>
      <c r="AQ449" s="668">
        <f t="shared" si="132"/>
        <v>0</v>
      </c>
      <c r="AR449" s="668">
        <f t="shared" si="133"/>
        <v>0</v>
      </c>
      <c r="AS449" s="668"/>
      <c r="AT449" s="668"/>
      <c r="AU449" s="668"/>
      <c r="AV449" s="668"/>
      <c r="AW449" s="668"/>
      <c r="AX449" s="668"/>
      <c r="AY449" s="668"/>
      <c r="AZ449" s="668"/>
      <c r="BA449" s="668"/>
      <c r="BB449" s="668"/>
      <c r="BC449" s="668"/>
      <c r="BD449" s="668"/>
      <c r="BE449" s="668"/>
      <c r="BF449" s="668"/>
      <c r="BG449" s="668"/>
      <c r="BH449" s="668"/>
      <c r="BI449" s="668"/>
    </row>
    <row r="450" spans="1:61" x14ac:dyDescent="0.2">
      <c r="A450" s="1020">
        <v>2093</v>
      </c>
      <c r="B450" s="1013" t="s">
        <v>697</v>
      </c>
      <c r="C450" s="1013"/>
      <c r="D450" s="667">
        <v>79</v>
      </c>
      <c r="E450" s="667"/>
      <c r="F450" s="667"/>
      <c r="G450" s="667"/>
      <c r="H450" s="667"/>
      <c r="I450" s="667"/>
      <c r="J450" s="667"/>
      <c r="K450" s="667"/>
      <c r="L450" s="667"/>
      <c r="M450" s="667"/>
      <c r="N450" s="667"/>
      <c r="O450" s="667"/>
      <c r="P450" s="667"/>
      <c r="Q450" s="667"/>
      <c r="R450" s="667"/>
      <c r="S450" s="667"/>
      <c r="T450" s="667"/>
      <c r="U450" s="1013">
        <v>10</v>
      </c>
      <c r="V450" s="668">
        <f t="shared" si="138"/>
        <v>790</v>
      </c>
      <c r="W450" s="668">
        <f t="shared" si="139"/>
        <v>0</v>
      </c>
      <c r="X450" s="668">
        <f t="shared" si="140"/>
        <v>0</v>
      </c>
      <c r="Y450" s="668">
        <f t="shared" si="141"/>
        <v>0</v>
      </c>
      <c r="Z450" s="668">
        <f t="shared" si="142"/>
        <v>0</v>
      </c>
      <c r="AA450" s="668">
        <f t="shared" si="143"/>
        <v>0</v>
      </c>
      <c r="AB450" s="668">
        <f t="shared" si="144"/>
        <v>0</v>
      </c>
      <c r="AC450" s="668">
        <f t="shared" si="134"/>
        <v>0</v>
      </c>
      <c r="AD450" s="668">
        <f t="shared" si="145"/>
        <v>0</v>
      </c>
      <c r="AE450" s="668">
        <f t="shared" si="146"/>
        <v>0</v>
      </c>
      <c r="AF450" s="668">
        <f t="shared" si="147"/>
        <v>0</v>
      </c>
      <c r="AG450" s="668">
        <f t="shared" si="148"/>
        <v>0</v>
      </c>
      <c r="AH450" s="668"/>
      <c r="AI450" s="668"/>
      <c r="AJ450" s="668"/>
      <c r="AK450" s="668"/>
      <c r="AL450" s="668"/>
      <c r="AM450" s="668">
        <f t="shared" si="135"/>
        <v>0</v>
      </c>
      <c r="AN450" s="668">
        <f t="shared" si="130"/>
        <v>0</v>
      </c>
      <c r="AO450" s="668">
        <f t="shared" si="131"/>
        <v>0</v>
      </c>
      <c r="AP450" s="668">
        <f t="shared" si="136"/>
        <v>0</v>
      </c>
      <c r="AQ450" s="668">
        <f t="shared" si="132"/>
        <v>0</v>
      </c>
      <c r="AR450" s="668">
        <f t="shared" si="133"/>
        <v>0</v>
      </c>
      <c r="AS450" s="668"/>
      <c r="AT450" s="668"/>
      <c r="AU450" s="668"/>
      <c r="AV450" s="668"/>
      <c r="AW450" s="668"/>
      <c r="AX450" s="668"/>
      <c r="AY450" s="668"/>
      <c r="AZ450" s="668"/>
      <c r="BA450" s="668"/>
      <c r="BB450" s="668">
        <f t="shared" si="137"/>
        <v>0</v>
      </c>
      <c r="BC450" s="668"/>
      <c r="BD450" s="668"/>
      <c r="BE450" s="668"/>
      <c r="BF450" s="668"/>
      <c r="BG450" s="668"/>
      <c r="BH450" s="668"/>
      <c r="BI450" s="668"/>
    </row>
    <row r="451" spans="1:61" x14ac:dyDescent="0.2">
      <c r="A451" s="1020">
        <v>2094</v>
      </c>
      <c r="B451" s="1013" t="s">
        <v>517</v>
      </c>
      <c r="C451" s="1013"/>
      <c r="D451" s="667">
        <v>51</v>
      </c>
      <c r="E451" s="667"/>
      <c r="F451" s="667"/>
      <c r="G451" s="667"/>
      <c r="H451" s="667"/>
      <c r="I451" s="667"/>
      <c r="J451" s="667"/>
      <c r="K451" s="667"/>
      <c r="L451" s="667"/>
      <c r="M451" s="667"/>
      <c r="N451" s="667"/>
      <c r="O451" s="667"/>
      <c r="P451" s="667"/>
      <c r="Q451" s="667"/>
      <c r="R451" s="667"/>
      <c r="S451" s="667"/>
      <c r="T451" s="667"/>
      <c r="U451" s="1013">
        <v>12</v>
      </c>
      <c r="V451" s="668">
        <f t="shared" si="138"/>
        <v>612</v>
      </c>
      <c r="W451" s="668">
        <f t="shared" si="139"/>
        <v>0</v>
      </c>
      <c r="X451" s="668">
        <f t="shared" si="140"/>
        <v>0</v>
      </c>
      <c r="Y451" s="668">
        <f t="shared" si="141"/>
        <v>0</v>
      </c>
      <c r="Z451" s="668">
        <f t="shared" si="142"/>
        <v>0</v>
      </c>
      <c r="AA451" s="668">
        <f t="shared" si="143"/>
        <v>0</v>
      </c>
      <c r="AB451" s="668">
        <f t="shared" si="144"/>
        <v>0</v>
      </c>
      <c r="AC451" s="668">
        <f t="shared" si="134"/>
        <v>0</v>
      </c>
      <c r="AD451" s="668">
        <f t="shared" si="145"/>
        <v>0</v>
      </c>
      <c r="AE451" s="668">
        <f t="shared" si="146"/>
        <v>0</v>
      </c>
      <c r="AF451" s="668">
        <f t="shared" si="147"/>
        <v>0</v>
      </c>
      <c r="AG451" s="668">
        <f t="shared" si="148"/>
        <v>0</v>
      </c>
      <c r="AH451" s="668"/>
      <c r="AI451" s="668"/>
      <c r="AJ451" s="668"/>
      <c r="AK451" s="668"/>
      <c r="AL451" s="668"/>
      <c r="AM451" s="668">
        <f t="shared" si="135"/>
        <v>0</v>
      </c>
      <c r="AN451" s="668">
        <f t="shared" si="130"/>
        <v>0</v>
      </c>
      <c r="AO451" s="668">
        <f t="shared" si="131"/>
        <v>0</v>
      </c>
      <c r="AP451" s="668">
        <f t="shared" si="136"/>
        <v>0</v>
      </c>
      <c r="AQ451" s="668">
        <f t="shared" si="132"/>
        <v>0</v>
      </c>
      <c r="AR451" s="668">
        <f t="shared" si="133"/>
        <v>0</v>
      </c>
      <c r="AS451" s="668"/>
      <c r="AT451" s="668"/>
      <c r="AU451" s="668"/>
      <c r="AV451" s="668"/>
      <c r="AW451" s="668"/>
      <c r="AX451" s="668"/>
      <c r="AY451" s="668"/>
      <c r="AZ451" s="668"/>
      <c r="BA451" s="668"/>
      <c r="BB451" s="668">
        <f t="shared" si="137"/>
        <v>0</v>
      </c>
      <c r="BC451" s="668"/>
      <c r="BD451" s="668"/>
      <c r="BE451" s="668"/>
      <c r="BF451" s="668"/>
      <c r="BG451" s="668"/>
      <c r="BH451" s="668"/>
      <c r="BI451" s="668"/>
    </row>
    <row r="452" spans="1:61" x14ac:dyDescent="0.2">
      <c r="A452" s="1020">
        <v>2095</v>
      </c>
      <c r="B452" s="1013" t="s">
        <v>519</v>
      </c>
      <c r="C452" s="1013"/>
      <c r="D452" s="667">
        <v>35</v>
      </c>
      <c r="E452" s="667"/>
      <c r="F452" s="667">
        <v>15</v>
      </c>
      <c r="G452" s="667"/>
      <c r="H452" s="667"/>
      <c r="I452" s="667"/>
      <c r="J452" s="667"/>
      <c r="K452" s="667"/>
      <c r="L452" s="667"/>
      <c r="M452" s="667"/>
      <c r="N452" s="667"/>
      <c r="O452" s="667"/>
      <c r="P452" s="667"/>
      <c r="Q452" s="667"/>
      <c r="R452" s="667"/>
      <c r="S452" s="667"/>
      <c r="T452" s="667">
        <v>155</v>
      </c>
      <c r="U452" s="1013">
        <v>12</v>
      </c>
      <c r="V452" s="668">
        <f t="shared" si="138"/>
        <v>420</v>
      </c>
      <c r="W452" s="668">
        <f t="shared" si="139"/>
        <v>0</v>
      </c>
      <c r="X452" s="668">
        <f t="shared" si="140"/>
        <v>0</v>
      </c>
      <c r="Y452" s="668">
        <f t="shared" si="141"/>
        <v>0</v>
      </c>
      <c r="Z452" s="668">
        <f t="shared" si="142"/>
        <v>0</v>
      </c>
      <c r="AA452" s="668">
        <f t="shared" si="143"/>
        <v>0</v>
      </c>
      <c r="AB452" s="668">
        <f t="shared" si="144"/>
        <v>155</v>
      </c>
      <c r="AC452" s="668">
        <f t="shared" si="134"/>
        <v>0</v>
      </c>
      <c r="AD452" s="668">
        <f t="shared" si="145"/>
        <v>0</v>
      </c>
      <c r="AE452" s="668">
        <f t="shared" si="146"/>
        <v>0</v>
      </c>
      <c r="AF452" s="668">
        <f t="shared" si="147"/>
        <v>0</v>
      </c>
      <c r="AG452" s="668">
        <f t="shared" si="148"/>
        <v>0</v>
      </c>
      <c r="AH452" s="668"/>
      <c r="AI452" s="668"/>
      <c r="AJ452" s="668"/>
      <c r="AK452" s="668"/>
      <c r="AL452" s="668"/>
      <c r="AM452" s="668">
        <f t="shared" si="135"/>
        <v>0</v>
      </c>
      <c r="AN452" s="668">
        <f t="shared" si="130"/>
        <v>0</v>
      </c>
      <c r="AO452" s="668">
        <f t="shared" si="131"/>
        <v>0</v>
      </c>
      <c r="AP452" s="668">
        <f t="shared" si="136"/>
        <v>180</v>
      </c>
      <c r="AQ452" s="668">
        <f t="shared" si="132"/>
        <v>0</v>
      </c>
      <c r="AR452" s="668">
        <f t="shared" si="133"/>
        <v>0</v>
      </c>
      <c r="AS452" s="668"/>
      <c r="AT452" s="668"/>
      <c r="AU452" s="668"/>
      <c r="AV452" s="668"/>
      <c r="AW452" s="668"/>
      <c r="AX452" s="668"/>
      <c r="AY452" s="668"/>
      <c r="AZ452" s="668"/>
      <c r="BA452" s="668"/>
      <c r="BB452" s="668">
        <f t="shared" si="137"/>
        <v>180</v>
      </c>
      <c r="BC452" s="668"/>
      <c r="BD452" s="668"/>
      <c r="BE452" s="668"/>
      <c r="BF452" s="668"/>
      <c r="BG452" s="668"/>
      <c r="BH452" s="668"/>
      <c r="BI452" s="668"/>
    </row>
    <row r="453" spans="1:61" x14ac:dyDescent="0.2">
      <c r="A453" s="1020">
        <v>2096</v>
      </c>
      <c r="B453" s="1013" t="s">
        <v>698</v>
      </c>
      <c r="C453" s="1013"/>
      <c r="D453" s="667">
        <v>80</v>
      </c>
      <c r="E453" s="667"/>
      <c r="F453" s="667">
        <v>40</v>
      </c>
      <c r="G453" s="667"/>
      <c r="H453" s="667"/>
      <c r="I453" s="667"/>
      <c r="J453" s="667"/>
      <c r="K453" s="667"/>
      <c r="L453" s="667"/>
      <c r="M453" s="667"/>
      <c r="N453" s="667"/>
      <c r="O453" s="667">
        <v>2</v>
      </c>
      <c r="P453" s="667"/>
      <c r="Q453" s="667"/>
      <c r="R453" s="667"/>
      <c r="S453" s="667"/>
      <c r="T453" s="667"/>
      <c r="U453" s="1013">
        <v>12</v>
      </c>
      <c r="V453" s="668">
        <f t="shared" si="138"/>
        <v>960</v>
      </c>
      <c r="W453" s="668">
        <f t="shared" si="139"/>
        <v>0</v>
      </c>
      <c r="X453" s="668">
        <f t="shared" si="140"/>
        <v>0</v>
      </c>
      <c r="Y453" s="668">
        <f t="shared" si="141"/>
        <v>0</v>
      </c>
      <c r="Z453" s="668">
        <f t="shared" si="142"/>
        <v>0</v>
      </c>
      <c r="AA453" s="668">
        <f t="shared" si="143"/>
        <v>0</v>
      </c>
      <c r="AB453" s="668">
        <f t="shared" si="144"/>
        <v>0</v>
      </c>
      <c r="AC453" s="668">
        <f t="shared" si="134"/>
        <v>0</v>
      </c>
      <c r="AD453" s="668">
        <f t="shared" si="145"/>
        <v>0</v>
      </c>
      <c r="AE453" s="668">
        <f t="shared" si="146"/>
        <v>0</v>
      </c>
      <c r="AF453" s="668">
        <f t="shared" si="147"/>
        <v>0</v>
      </c>
      <c r="AG453" s="668">
        <f t="shared" si="148"/>
        <v>0</v>
      </c>
      <c r="AH453" s="668"/>
      <c r="AI453" s="668"/>
      <c r="AJ453" s="668"/>
      <c r="AK453" s="668"/>
      <c r="AL453" s="668"/>
      <c r="AM453" s="668">
        <f t="shared" si="135"/>
        <v>0</v>
      </c>
      <c r="AN453" s="668">
        <f t="shared" si="130"/>
        <v>0</v>
      </c>
      <c r="AO453" s="668">
        <f t="shared" si="131"/>
        <v>24</v>
      </c>
      <c r="AP453" s="668">
        <f t="shared" si="136"/>
        <v>480</v>
      </c>
      <c r="AQ453" s="668">
        <f t="shared" si="132"/>
        <v>0</v>
      </c>
      <c r="AR453" s="668">
        <f t="shared" si="133"/>
        <v>0</v>
      </c>
      <c r="AS453" s="668"/>
      <c r="AT453" s="668"/>
      <c r="AU453" s="668"/>
      <c r="AV453" s="668"/>
      <c r="AW453" s="668"/>
      <c r="AX453" s="668"/>
      <c r="AY453" s="668"/>
      <c r="AZ453" s="668"/>
      <c r="BA453" s="668"/>
      <c r="BB453" s="668">
        <f t="shared" si="137"/>
        <v>480</v>
      </c>
      <c r="BC453" s="668"/>
      <c r="BD453" s="668"/>
      <c r="BE453" s="668"/>
      <c r="BF453" s="668"/>
      <c r="BG453" s="668"/>
      <c r="BH453" s="668"/>
      <c r="BI453" s="668"/>
    </row>
    <row r="454" spans="1:61" x14ac:dyDescent="0.2">
      <c r="A454" s="1013">
        <v>2228</v>
      </c>
      <c r="B454" s="1013" t="s">
        <v>465</v>
      </c>
      <c r="C454" s="1013"/>
      <c r="D454" s="667"/>
      <c r="E454" s="667"/>
      <c r="F454" s="667"/>
      <c r="G454" s="667"/>
      <c r="H454" s="667"/>
      <c r="I454" s="667"/>
      <c r="J454" s="667"/>
      <c r="K454" s="667"/>
      <c r="L454" s="667"/>
      <c r="M454" s="667"/>
      <c r="N454" s="667"/>
      <c r="O454" s="667"/>
      <c r="P454" s="667"/>
      <c r="Q454" s="667"/>
      <c r="R454" s="667"/>
      <c r="S454" s="667"/>
      <c r="T454" s="667"/>
      <c r="U454" s="1013">
        <v>12</v>
      </c>
      <c r="V454" s="668">
        <f t="shared" si="138"/>
        <v>0</v>
      </c>
      <c r="W454" s="668">
        <f t="shared" si="139"/>
        <v>0</v>
      </c>
      <c r="X454" s="668">
        <f t="shared" si="140"/>
        <v>0</v>
      </c>
      <c r="Y454" s="668">
        <f t="shared" si="141"/>
        <v>0</v>
      </c>
      <c r="Z454" s="668">
        <f t="shared" si="142"/>
        <v>0</v>
      </c>
      <c r="AA454" s="668">
        <f t="shared" si="143"/>
        <v>0</v>
      </c>
      <c r="AB454" s="668">
        <f t="shared" si="144"/>
        <v>0</v>
      </c>
      <c r="AC454" s="668">
        <f t="shared" si="134"/>
        <v>0</v>
      </c>
      <c r="AD454" s="668">
        <f t="shared" si="145"/>
        <v>0</v>
      </c>
      <c r="AE454" s="668">
        <f t="shared" si="146"/>
        <v>0</v>
      </c>
      <c r="AF454" s="668">
        <f t="shared" si="147"/>
        <v>0</v>
      </c>
      <c r="AG454" s="668">
        <f t="shared" si="148"/>
        <v>0</v>
      </c>
      <c r="AH454" s="668"/>
      <c r="AI454" s="668"/>
      <c r="AJ454" s="668"/>
      <c r="AK454" s="668"/>
      <c r="AL454" s="668"/>
      <c r="AM454" s="668">
        <f t="shared" si="135"/>
        <v>0</v>
      </c>
      <c r="AN454" s="668">
        <f t="shared" si="130"/>
        <v>0</v>
      </c>
      <c r="AO454" s="668">
        <f t="shared" si="131"/>
        <v>0</v>
      </c>
      <c r="AP454" s="668">
        <f t="shared" si="136"/>
        <v>0</v>
      </c>
      <c r="AQ454" s="668">
        <f t="shared" si="132"/>
        <v>0</v>
      </c>
      <c r="AR454" s="668">
        <f t="shared" si="133"/>
        <v>0</v>
      </c>
      <c r="AS454" s="668"/>
      <c r="AT454" s="668"/>
      <c r="AU454" s="668"/>
      <c r="AV454" s="668"/>
      <c r="AW454" s="668"/>
      <c r="AX454" s="668"/>
      <c r="AY454" s="668"/>
      <c r="AZ454" s="668"/>
      <c r="BA454" s="668"/>
      <c r="BB454" s="668">
        <f t="shared" si="137"/>
        <v>0</v>
      </c>
      <c r="BC454" s="668"/>
      <c r="BD454" s="668"/>
      <c r="BE454" s="668"/>
      <c r="BF454" s="668"/>
      <c r="BG454" s="668"/>
      <c r="BH454" s="668"/>
      <c r="BI454" s="668"/>
    </row>
    <row r="455" spans="1:61" x14ac:dyDescent="0.2">
      <c r="A455" s="1013">
        <v>2229</v>
      </c>
      <c r="B455" s="1020" t="s">
        <v>465</v>
      </c>
      <c r="C455" s="1013"/>
      <c r="D455" s="667"/>
      <c r="E455" s="667"/>
      <c r="F455" s="667"/>
      <c r="G455" s="667"/>
      <c r="H455" s="667"/>
      <c r="I455" s="667"/>
      <c r="J455" s="667"/>
      <c r="K455" s="667"/>
      <c r="L455" s="667"/>
      <c r="M455" s="667"/>
      <c r="N455" s="667"/>
      <c r="O455" s="667"/>
      <c r="P455" s="667"/>
      <c r="Q455" s="667"/>
      <c r="R455" s="667"/>
      <c r="S455" s="667"/>
      <c r="T455" s="667"/>
      <c r="U455" s="1013"/>
      <c r="V455" s="668">
        <f t="shared" si="138"/>
        <v>0</v>
      </c>
      <c r="W455" s="668">
        <f t="shared" si="139"/>
        <v>0</v>
      </c>
      <c r="X455" s="668">
        <f t="shared" si="140"/>
        <v>0</v>
      </c>
      <c r="Y455" s="668">
        <f t="shared" si="141"/>
        <v>0</v>
      </c>
      <c r="Z455" s="668">
        <f t="shared" si="142"/>
        <v>0</v>
      </c>
      <c r="AA455" s="668">
        <f t="shared" si="143"/>
        <v>0</v>
      </c>
      <c r="AB455" s="668">
        <f t="shared" si="144"/>
        <v>0</v>
      </c>
      <c r="AC455" s="668">
        <f t="shared" si="134"/>
        <v>0</v>
      </c>
      <c r="AD455" s="668">
        <f t="shared" si="145"/>
        <v>0</v>
      </c>
      <c r="AE455" s="668">
        <f t="shared" si="146"/>
        <v>0</v>
      </c>
      <c r="AF455" s="668">
        <f t="shared" si="147"/>
        <v>0</v>
      </c>
      <c r="AG455" s="668">
        <f t="shared" si="148"/>
        <v>0</v>
      </c>
      <c r="AH455" s="668"/>
      <c r="AI455" s="668"/>
      <c r="AJ455" s="668"/>
      <c r="AK455" s="668"/>
      <c r="AL455" s="668"/>
      <c r="AM455" s="668">
        <f t="shared" si="135"/>
        <v>0</v>
      </c>
      <c r="AN455" s="668">
        <f t="shared" si="130"/>
        <v>0</v>
      </c>
      <c r="AO455" s="668">
        <f t="shared" si="131"/>
        <v>0</v>
      </c>
      <c r="AP455" s="668">
        <f t="shared" si="136"/>
        <v>0</v>
      </c>
      <c r="AQ455" s="668">
        <f t="shared" si="132"/>
        <v>0</v>
      </c>
      <c r="AR455" s="668">
        <f t="shared" si="133"/>
        <v>0</v>
      </c>
      <c r="AS455" s="668"/>
      <c r="AT455" s="668"/>
      <c r="AU455" s="668"/>
      <c r="AV455" s="668"/>
      <c r="AW455" s="668"/>
      <c r="AX455" s="668"/>
      <c r="AY455" s="668"/>
      <c r="AZ455" s="668"/>
      <c r="BA455" s="668"/>
      <c r="BB455" s="668">
        <f t="shared" si="137"/>
        <v>0</v>
      </c>
      <c r="BC455" s="668"/>
      <c r="BD455" s="668"/>
      <c r="BE455" s="668"/>
      <c r="BF455" s="668"/>
      <c r="BG455" s="668"/>
      <c r="BH455" s="668"/>
      <c r="BI455" s="668"/>
    </row>
    <row r="456" spans="1:61" x14ac:dyDescent="0.2">
      <c r="A456" s="1013">
        <v>2230</v>
      </c>
      <c r="B456" s="1020" t="s">
        <v>465</v>
      </c>
      <c r="C456" s="1013" t="s">
        <v>984</v>
      </c>
      <c r="D456" s="667">
        <v>107</v>
      </c>
      <c r="E456" s="667"/>
      <c r="F456" s="667"/>
      <c r="G456" s="667"/>
      <c r="H456" s="667"/>
      <c r="I456" s="667"/>
      <c r="J456" s="667"/>
      <c r="K456" s="667"/>
      <c r="L456" s="667"/>
      <c r="M456" s="667"/>
      <c r="N456" s="667"/>
      <c r="O456" s="667"/>
      <c r="P456" s="667"/>
      <c r="Q456" s="667"/>
      <c r="R456" s="667"/>
      <c r="S456" s="667"/>
      <c r="T456" s="667"/>
      <c r="U456" s="1013">
        <v>12</v>
      </c>
      <c r="V456" s="668">
        <f t="shared" si="138"/>
        <v>1284</v>
      </c>
      <c r="W456" s="668">
        <f t="shared" si="139"/>
        <v>0</v>
      </c>
      <c r="X456" s="668">
        <f t="shared" si="140"/>
        <v>0</v>
      </c>
      <c r="Y456" s="668">
        <f t="shared" si="141"/>
        <v>0</v>
      </c>
      <c r="Z456" s="668">
        <f t="shared" si="142"/>
        <v>1284</v>
      </c>
      <c r="AA456" s="668">
        <f t="shared" si="143"/>
        <v>0</v>
      </c>
      <c r="AB456" s="668">
        <f t="shared" si="144"/>
        <v>0</v>
      </c>
      <c r="AC456" s="668">
        <f t="shared" si="134"/>
        <v>0</v>
      </c>
      <c r="AD456" s="668">
        <f t="shared" si="145"/>
        <v>0</v>
      </c>
      <c r="AE456" s="668">
        <f t="shared" si="146"/>
        <v>0</v>
      </c>
      <c r="AF456" s="668">
        <f t="shared" si="147"/>
        <v>0</v>
      </c>
      <c r="AG456" s="668">
        <f t="shared" si="148"/>
        <v>0</v>
      </c>
      <c r="AH456" s="668"/>
      <c r="AI456" s="668"/>
      <c r="AJ456" s="668"/>
      <c r="AK456" s="668"/>
      <c r="AL456" s="668"/>
      <c r="AM456" s="668">
        <f t="shared" si="135"/>
        <v>0</v>
      </c>
      <c r="AN456" s="668">
        <f t="shared" ref="AN456:AN519" si="149">+U456*E456</f>
        <v>0</v>
      </c>
      <c r="AO456" s="668">
        <f t="shared" ref="AO456:AO519" si="150">+U456*O456</f>
        <v>0</v>
      </c>
      <c r="AP456" s="668">
        <f t="shared" si="136"/>
        <v>0</v>
      </c>
      <c r="AQ456" s="668">
        <f t="shared" ref="AQ456:AQ519" si="151">+$AQ$4*K456</f>
        <v>0</v>
      </c>
      <c r="AR456" s="668">
        <f t="shared" ref="AR456:AR519" si="152">+$AR$4*K456</f>
        <v>0</v>
      </c>
      <c r="AS456" s="668"/>
      <c r="AT456" s="668"/>
      <c r="AU456" s="668"/>
      <c r="AV456" s="668"/>
      <c r="AW456" s="668"/>
      <c r="AX456" s="668"/>
      <c r="AY456" s="668"/>
      <c r="AZ456" s="668"/>
      <c r="BA456" s="668"/>
      <c r="BB456" s="668">
        <f t="shared" si="137"/>
        <v>0</v>
      </c>
      <c r="BC456" s="668"/>
      <c r="BD456" s="668"/>
      <c r="BE456" s="668"/>
      <c r="BF456" s="668"/>
      <c r="BG456" s="668"/>
      <c r="BH456" s="668"/>
      <c r="BI456" s="668"/>
    </row>
    <row r="457" spans="1:61" x14ac:dyDescent="0.2">
      <c r="A457" s="1013">
        <v>2231</v>
      </c>
      <c r="B457" s="1020" t="s">
        <v>465</v>
      </c>
      <c r="C457" s="1013" t="s">
        <v>984</v>
      </c>
      <c r="D457" s="667">
        <v>333</v>
      </c>
      <c r="E457" s="667"/>
      <c r="F457" s="667"/>
      <c r="G457" s="667"/>
      <c r="H457" s="667"/>
      <c r="I457" s="667"/>
      <c r="J457" s="667"/>
      <c r="K457" s="667"/>
      <c r="L457" s="667"/>
      <c r="M457" s="667"/>
      <c r="N457" s="667"/>
      <c r="O457" s="667"/>
      <c r="P457" s="667"/>
      <c r="Q457" s="667"/>
      <c r="R457" s="667"/>
      <c r="S457" s="667"/>
      <c r="T457" s="667"/>
      <c r="U457" s="1013">
        <v>12</v>
      </c>
      <c r="V457" s="668">
        <f t="shared" si="138"/>
        <v>3996</v>
      </c>
      <c r="W457" s="668">
        <f t="shared" si="139"/>
        <v>0</v>
      </c>
      <c r="X457" s="668">
        <f t="shared" si="140"/>
        <v>0</v>
      </c>
      <c r="Y457" s="668">
        <f t="shared" si="141"/>
        <v>0</v>
      </c>
      <c r="Z457" s="668">
        <f t="shared" si="142"/>
        <v>3996</v>
      </c>
      <c r="AA457" s="668">
        <f t="shared" si="143"/>
        <v>0</v>
      </c>
      <c r="AB457" s="668">
        <f t="shared" si="144"/>
        <v>0</v>
      </c>
      <c r="AC457" s="668">
        <f t="shared" si="134"/>
        <v>0</v>
      </c>
      <c r="AD457" s="668">
        <f t="shared" si="145"/>
        <v>0</v>
      </c>
      <c r="AE457" s="668">
        <f t="shared" si="146"/>
        <v>0</v>
      </c>
      <c r="AF457" s="668">
        <f t="shared" si="147"/>
        <v>0</v>
      </c>
      <c r="AG457" s="668">
        <f t="shared" si="148"/>
        <v>0</v>
      </c>
      <c r="AH457" s="668"/>
      <c r="AI457" s="668"/>
      <c r="AJ457" s="668"/>
      <c r="AK457" s="668"/>
      <c r="AL457" s="668"/>
      <c r="AM457" s="668">
        <f t="shared" si="135"/>
        <v>0</v>
      </c>
      <c r="AN457" s="668">
        <f t="shared" si="149"/>
        <v>0</v>
      </c>
      <c r="AO457" s="668">
        <f t="shared" si="150"/>
        <v>0</v>
      </c>
      <c r="AP457" s="668">
        <f t="shared" si="136"/>
        <v>0</v>
      </c>
      <c r="AQ457" s="668">
        <f t="shared" si="151"/>
        <v>0</v>
      </c>
      <c r="AR457" s="668">
        <f t="shared" si="152"/>
        <v>0</v>
      </c>
      <c r="AS457" s="668"/>
      <c r="AT457" s="668"/>
      <c r="AU457" s="668"/>
      <c r="AV457" s="668"/>
      <c r="AW457" s="668"/>
      <c r="AX457" s="668"/>
      <c r="AY457" s="668"/>
      <c r="AZ457" s="668"/>
      <c r="BA457" s="668"/>
      <c r="BB457" s="668">
        <f t="shared" si="137"/>
        <v>0</v>
      </c>
      <c r="BC457" s="668"/>
      <c r="BD457" s="668"/>
      <c r="BE457" s="668"/>
      <c r="BF457" s="668"/>
      <c r="BG457" s="668"/>
      <c r="BH457" s="668"/>
      <c r="BI457" s="668"/>
    </row>
    <row r="458" spans="1:61" x14ac:dyDescent="0.2">
      <c r="A458" s="1013">
        <v>2232</v>
      </c>
      <c r="B458" s="1020" t="s">
        <v>465</v>
      </c>
      <c r="C458" s="1013"/>
      <c r="D458" s="667"/>
      <c r="E458" s="667"/>
      <c r="F458" s="667"/>
      <c r="G458" s="667"/>
      <c r="H458" s="667"/>
      <c r="I458" s="667"/>
      <c r="J458" s="667"/>
      <c r="K458" s="667"/>
      <c r="L458" s="667"/>
      <c r="M458" s="667"/>
      <c r="N458" s="667"/>
      <c r="O458" s="667"/>
      <c r="P458" s="667"/>
      <c r="Q458" s="667"/>
      <c r="R458" s="667"/>
      <c r="S458" s="667"/>
      <c r="T458" s="667"/>
      <c r="U458" s="1013"/>
      <c r="V458" s="668">
        <f t="shared" si="138"/>
        <v>0</v>
      </c>
      <c r="W458" s="668">
        <f t="shared" si="139"/>
        <v>0</v>
      </c>
      <c r="X458" s="668">
        <f t="shared" si="140"/>
        <v>0</v>
      </c>
      <c r="Y458" s="668">
        <f t="shared" si="141"/>
        <v>0</v>
      </c>
      <c r="Z458" s="668">
        <f t="shared" si="142"/>
        <v>0</v>
      </c>
      <c r="AA458" s="668">
        <f t="shared" si="143"/>
        <v>0</v>
      </c>
      <c r="AB458" s="668">
        <f t="shared" si="144"/>
        <v>0</v>
      </c>
      <c r="AC458" s="668">
        <f t="shared" ref="AC458:AC521" si="153">+U458*P458</f>
        <v>0</v>
      </c>
      <c r="AD458" s="668">
        <f t="shared" si="145"/>
        <v>0</v>
      </c>
      <c r="AE458" s="668">
        <f t="shared" si="146"/>
        <v>0</v>
      </c>
      <c r="AF458" s="668">
        <f t="shared" si="147"/>
        <v>0</v>
      </c>
      <c r="AG458" s="668">
        <f t="shared" si="148"/>
        <v>0</v>
      </c>
      <c r="AH458" s="668"/>
      <c r="AI458" s="668"/>
      <c r="AJ458" s="668"/>
      <c r="AK458" s="668"/>
      <c r="AL458" s="668"/>
      <c r="AM458" s="668">
        <f t="shared" si="135"/>
        <v>0</v>
      </c>
      <c r="AN458" s="668">
        <f t="shared" si="149"/>
        <v>0</v>
      </c>
      <c r="AO458" s="668">
        <f t="shared" si="150"/>
        <v>0</v>
      </c>
      <c r="AP458" s="668">
        <f t="shared" si="136"/>
        <v>0</v>
      </c>
      <c r="AQ458" s="668">
        <f t="shared" si="151"/>
        <v>0</v>
      </c>
      <c r="AR458" s="668">
        <f t="shared" si="152"/>
        <v>0</v>
      </c>
      <c r="AS458" s="668"/>
      <c r="AT458" s="668"/>
      <c r="AU458" s="668"/>
      <c r="AV458" s="668"/>
      <c r="AW458" s="668"/>
      <c r="AX458" s="668"/>
      <c r="AY458" s="668"/>
      <c r="AZ458" s="668"/>
      <c r="BA458" s="668"/>
      <c r="BB458" s="668">
        <f t="shared" si="137"/>
        <v>0</v>
      </c>
      <c r="BC458" s="668"/>
      <c r="BD458" s="668"/>
      <c r="BE458" s="668"/>
      <c r="BF458" s="668"/>
      <c r="BG458" s="668"/>
      <c r="BH458" s="668"/>
      <c r="BI458" s="668"/>
    </row>
    <row r="459" spans="1:61" x14ac:dyDescent="0.2">
      <c r="A459" s="1013">
        <v>2244</v>
      </c>
      <c r="B459" s="1020" t="s">
        <v>465</v>
      </c>
      <c r="C459" s="1013" t="s">
        <v>984</v>
      </c>
      <c r="D459" s="667">
        <v>30</v>
      </c>
      <c r="E459" s="667">
        <v>31</v>
      </c>
      <c r="F459" s="667"/>
      <c r="G459" s="667"/>
      <c r="H459" s="667"/>
      <c r="I459" s="667">
        <f>+E459+D459</f>
        <v>61</v>
      </c>
      <c r="J459" s="667"/>
      <c r="K459" s="667"/>
      <c r="L459" s="667"/>
      <c r="M459" s="667"/>
      <c r="N459" s="667"/>
      <c r="O459" s="667"/>
      <c r="P459" s="667"/>
      <c r="Q459" s="667"/>
      <c r="R459" s="667"/>
      <c r="S459" s="667"/>
      <c r="T459" s="667"/>
      <c r="U459" s="1013">
        <v>13</v>
      </c>
      <c r="V459" s="668">
        <f t="shared" si="138"/>
        <v>390</v>
      </c>
      <c r="W459" s="668">
        <f t="shared" si="139"/>
        <v>0</v>
      </c>
      <c r="X459" s="668">
        <f t="shared" si="140"/>
        <v>0</v>
      </c>
      <c r="Y459" s="668">
        <f t="shared" si="141"/>
        <v>0</v>
      </c>
      <c r="Z459" s="668">
        <f t="shared" si="142"/>
        <v>390</v>
      </c>
      <c r="AA459" s="668">
        <f t="shared" si="143"/>
        <v>0</v>
      </c>
      <c r="AB459" s="668">
        <f t="shared" si="144"/>
        <v>0</v>
      </c>
      <c r="AC459" s="668">
        <f t="shared" si="153"/>
        <v>0</v>
      </c>
      <c r="AD459" s="668">
        <f t="shared" si="145"/>
        <v>0</v>
      </c>
      <c r="AE459" s="668">
        <f t="shared" si="146"/>
        <v>0</v>
      </c>
      <c r="AF459" s="668">
        <f t="shared" si="147"/>
        <v>0</v>
      </c>
      <c r="AG459" s="668">
        <f t="shared" si="148"/>
        <v>0</v>
      </c>
      <c r="AH459" s="668"/>
      <c r="AI459" s="668"/>
      <c r="AJ459" s="668"/>
      <c r="AK459" s="668"/>
      <c r="AL459" s="668"/>
      <c r="AM459" s="668">
        <f t="shared" si="135"/>
        <v>61</v>
      </c>
      <c r="AN459" s="668">
        <f t="shared" si="149"/>
        <v>403</v>
      </c>
      <c r="AO459" s="668">
        <f t="shared" si="150"/>
        <v>0</v>
      </c>
      <c r="AP459" s="668">
        <f t="shared" si="136"/>
        <v>0</v>
      </c>
      <c r="AQ459" s="668">
        <f t="shared" si="151"/>
        <v>0</v>
      </c>
      <c r="AR459" s="668">
        <f t="shared" si="152"/>
        <v>0</v>
      </c>
      <c r="AS459" s="668"/>
      <c r="AT459" s="668"/>
      <c r="AU459" s="668"/>
      <c r="AV459" s="668"/>
      <c r="AW459" s="668"/>
      <c r="AX459" s="668"/>
      <c r="AY459" s="668"/>
      <c r="AZ459" s="668"/>
      <c r="BA459" s="668"/>
      <c r="BB459" s="668">
        <f t="shared" si="137"/>
        <v>0</v>
      </c>
      <c r="BC459" s="668"/>
      <c r="BD459" s="668"/>
      <c r="BE459" s="668"/>
      <c r="BF459" s="668"/>
      <c r="BG459" s="668"/>
      <c r="BH459" s="668"/>
      <c r="BI459" s="668"/>
    </row>
    <row r="460" spans="1:61" x14ac:dyDescent="0.2">
      <c r="A460" s="1013" t="s">
        <v>701</v>
      </c>
      <c r="B460" s="1013" t="s">
        <v>611</v>
      </c>
      <c r="C460" s="1013"/>
      <c r="D460" s="667"/>
      <c r="E460" s="667"/>
      <c r="F460" s="667"/>
      <c r="G460" s="667"/>
      <c r="H460" s="667"/>
      <c r="I460" s="667"/>
      <c r="J460" s="667">
        <v>64</v>
      </c>
      <c r="K460" s="667"/>
      <c r="L460" s="667"/>
      <c r="M460" s="667"/>
      <c r="N460" s="667"/>
      <c r="O460" s="667"/>
      <c r="P460" s="667"/>
      <c r="Q460" s="667"/>
      <c r="R460" s="667"/>
      <c r="S460" s="667"/>
      <c r="T460" s="667"/>
      <c r="U460" s="1013">
        <v>14</v>
      </c>
      <c r="V460" s="668">
        <f t="shared" si="138"/>
        <v>0</v>
      </c>
      <c r="W460" s="668">
        <f t="shared" si="139"/>
        <v>0</v>
      </c>
      <c r="X460" s="668">
        <f t="shared" si="140"/>
        <v>0</v>
      </c>
      <c r="Y460" s="668">
        <f t="shared" si="141"/>
        <v>896</v>
      </c>
      <c r="Z460" s="668">
        <f t="shared" si="142"/>
        <v>0</v>
      </c>
      <c r="AA460" s="668">
        <f t="shared" si="143"/>
        <v>0</v>
      </c>
      <c r="AB460" s="668">
        <f t="shared" si="144"/>
        <v>0</v>
      </c>
      <c r="AC460" s="668">
        <f t="shared" si="153"/>
        <v>0</v>
      </c>
      <c r="AD460" s="668">
        <f t="shared" si="145"/>
        <v>0</v>
      </c>
      <c r="AE460" s="668">
        <f t="shared" si="146"/>
        <v>0</v>
      </c>
      <c r="AF460" s="668">
        <f t="shared" si="147"/>
        <v>0</v>
      </c>
      <c r="AG460" s="668">
        <f t="shared" si="148"/>
        <v>0</v>
      </c>
      <c r="AH460" s="668"/>
      <c r="AI460" s="668"/>
      <c r="AJ460" s="668"/>
      <c r="AK460" s="668"/>
      <c r="AL460" s="668"/>
      <c r="AM460" s="668">
        <f t="shared" si="135"/>
        <v>0</v>
      </c>
      <c r="AN460" s="668">
        <f t="shared" si="149"/>
        <v>0</v>
      </c>
      <c r="AO460" s="668">
        <f t="shared" si="150"/>
        <v>0</v>
      </c>
      <c r="AP460" s="668">
        <f t="shared" si="136"/>
        <v>0</v>
      </c>
      <c r="AQ460" s="668">
        <f t="shared" si="151"/>
        <v>0</v>
      </c>
      <c r="AR460" s="668">
        <f t="shared" si="152"/>
        <v>0</v>
      </c>
      <c r="AS460" s="668"/>
      <c r="AT460" s="668"/>
      <c r="AU460" s="668"/>
      <c r="AV460" s="668"/>
      <c r="AW460" s="668"/>
      <c r="AX460" s="668"/>
      <c r="AY460" s="668"/>
      <c r="AZ460" s="668"/>
      <c r="BA460" s="668"/>
      <c r="BB460" s="668">
        <f t="shared" si="137"/>
        <v>0</v>
      </c>
      <c r="BC460" s="668"/>
      <c r="BD460" s="668"/>
      <c r="BE460" s="668"/>
      <c r="BF460" s="668"/>
      <c r="BG460" s="668"/>
      <c r="BH460" s="668"/>
      <c r="BI460" s="668"/>
    </row>
    <row r="461" spans="1:61" x14ac:dyDescent="0.2">
      <c r="A461" s="1013" t="s">
        <v>702</v>
      </c>
      <c r="B461" s="1013" t="s">
        <v>706</v>
      </c>
      <c r="C461" s="1013"/>
      <c r="D461" s="667"/>
      <c r="E461" s="667"/>
      <c r="F461" s="667"/>
      <c r="G461" s="667"/>
      <c r="H461" s="667"/>
      <c r="I461" s="667"/>
      <c r="J461" s="667">
        <v>102</v>
      </c>
      <c r="K461" s="667"/>
      <c r="L461" s="667"/>
      <c r="M461" s="667"/>
      <c r="N461" s="667"/>
      <c r="O461" s="667"/>
      <c r="P461" s="667"/>
      <c r="Q461" s="667"/>
      <c r="R461" s="667"/>
      <c r="S461" s="667"/>
      <c r="T461" s="667"/>
      <c r="U461" s="1013">
        <v>14</v>
      </c>
      <c r="V461" s="668">
        <f t="shared" si="138"/>
        <v>0</v>
      </c>
      <c r="W461" s="668">
        <f t="shared" si="139"/>
        <v>0</v>
      </c>
      <c r="X461" s="668">
        <f t="shared" si="140"/>
        <v>0</v>
      </c>
      <c r="Y461" s="668">
        <f t="shared" si="141"/>
        <v>1428</v>
      </c>
      <c r="Z461" s="668">
        <f t="shared" si="142"/>
        <v>0</v>
      </c>
      <c r="AA461" s="668">
        <f t="shared" si="143"/>
        <v>0</v>
      </c>
      <c r="AB461" s="668">
        <f t="shared" si="144"/>
        <v>0</v>
      </c>
      <c r="AC461" s="668">
        <f t="shared" si="153"/>
        <v>0</v>
      </c>
      <c r="AD461" s="668">
        <f t="shared" si="145"/>
        <v>0</v>
      </c>
      <c r="AE461" s="668">
        <f t="shared" si="146"/>
        <v>0</v>
      </c>
      <c r="AF461" s="668">
        <f t="shared" si="147"/>
        <v>0</v>
      </c>
      <c r="AG461" s="668">
        <f t="shared" si="148"/>
        <v>0</v>
      </c>
      <c r="AH461" s="668"/>
      <c r="AI461" s="668"/>
      <c r="AJ461" s="668"/>
      <c r="AK461" s="668"/>
      <c r="AL461" s="668"/>
      <c r="AM461" s="668">
        <f t="shared" si="135"/>
        <v>0</v>
      </c>
      <c r="AN461" s="668">
        <f t="shared" si="149"/>
        <v>0</v>
      </c>
      <c r="AO461" s="668">
        <f t="shared" si="150"/>
        <v>0</v>
      </c>
      <c r="AP461" s="668">
        <f t="shared" si="136"/>
        <v>0</v>
      </c>
      <c r="AQ461" s="668">
        <f t="shared" si="151"/>
        <v>0</v>
      </c>
      <c r="AR461" s="668">
        <f t="shared" si="152"/>
        <v>0</v>
      </c>
      <c r="AS461" s="668"/>
      <c r="AT461" s="668"/>
      <c r="AU461" s="668"/>
      <c r="AV461" s="668"/>
      <c r="AW461" s="668"/>
      <c r="AX461" s="668"/>
      <c r="AY461" s="668"/>
      <c r="AZ461" s="668"/>
      <c r="BA461" s="668"/>
      <c r="BB461" s="668">
        <f t="shared" si="137"/>
        <v>0</v>
      </c>
      <c r="BC461" s="668"/>
      <c r="BD461" s="668"/>
      <c r="BE461" s="668"/>
      <c r="BF461" s="668"/>
      <c r="BG461" s="668"/>
      <c r="BH461" s="668"/>
      <c r="BI461" s="668"/>
    </row>
    <row r="462" spans="1:61" x14ac:dyDescent="0.2">
      <c r="A462" s="1020" t="s">
        <v>703</v>
      </c>
      <c r="B462" s="1013" t="s">
        <v>522</v>
      </c>
      <c r="C462" s="1013"/>
      <c r="D462" s="667"/>
      <c r="E462" s="667"/>
      <c r="F462" s="667"/>
      <c r="G462" s="667"/>
      <c r="H462" s="667"/>
      <c r="I462" s="667"/>
      <c r="J462" s="667">
        <v>65</v>
      </c>
      <c r="K462" s="667"/>
      <c r="L462" s="667"/>
      <c r="M462" s="667"/>
      <c r="N462" s="667"/>
      <c r="O462" s="667"/>
      <c r="P462" s="667"/>
      <c r="Q462" s="667"/>
      <c r="R462" s="667"/>
      <c r="S462" s="667"/>
      <c r="T462" s="667"/>
      <c r="U462" s="1013">
        <v>14</v>
      </c>
      <c r="V462" s="668">
        <f t="shared" si="138"/>
        <v>0</v>
      </c>
      <c r="W462" s="668">
        <f t="shared" si="139"/>
        <v>0</v>
      </c>
      <c r="X462" s="668">
        <f t="shared" si="140"/>
        <v>0</v>
      </c>
      <c r="Y462" s="668">
        <f t="shared" si="141"/>
        <v>910</v>
      </c>
      <c r="Z462" s="668">
        <f t="shared" si="142"/>
        <v>0</v>
      </c>
      <c r="AA462" s="668">
        <f t="shared" si="143"/>
        <v>0</v>
      </c>
      <c r="AB462" s="668">
        <f t="shared" si="144"/>
        <v>0</v>
      </c>
      <c r="AC462" s="668">
        <f t="shared" si="153"/>
        <v>0</v>
      </c>
      <c r="AD462" s="668">
        <f t="shared" si="145"/>
        <v>0</v>
      </c>
      <c r="AE462" s="668">
        <f t="shared" si="146"/>
        <v>0</v>
      </c>
      <c r="AF462" s="668">
        <f t="shared" si="147"/>
        <v>0</v>
      </c>
      <c r="AG462" s="668">
        <f t="shared" si="148"/>
        <v>0</v>
      </c>
      <c r="AH462" s="668"/>
      <c r="AI462" s="668"/>
      <c r="AJ462" s="668"/>
      <c r="AK462" s="668"/>
      <c r="AL462" s="668"/>
      <c r="AM462" s="668">
        <f t="shared" si="135"/>
        <v>0</v>
      </c>
      <c r="AN462" s="668">
        <f t="shared" si="149"/>
        <v>0</v>
      </c>
      <c r="AO462" s="668">
        <f t="shared" si="150"/>
        <v>0</v>
      </c>
      <c r="AP462" s="668">
        <f t="shared" si="136"/>
        <v>0</v>
      </c>
      <c r="AQ462" s="668">
        <f t="shared" si="151"/>
        <v>0</v>
      </c>
      <c r="AR462" s="668">
        <f t="shared" si="152"/>
        <v>0</v>
      </c>
      <c r="AS462" s="668"/>
      <c r="AT462" s="668"/>
      <c r="AU462" s="668"/>
      <c r="AV462" s="668"/>
      <c r="AW462" s="668"/>
      <c r="AX462" s="668"/>
      <c r="AY462" s="668"/>
      <c r="AZ462" s="668"/>
      <c r="BA462" s="668"/>
      <c r="BB462" s="668">
        <f t="shared" si="137"/>
        <v>0</v>
      </c>
      <c r="BC462" s="668"/>
      <c r="BD462" s="668"/>
      <c r="BE462" s="668"/>
      <c r="BF462" s="668"/>
      <c r="BG462" s="668"/>
      <c r="BH462" s="668"/>
      <c r="BI462" s="668"/>
    </row>
    <row r="463" spans="1:61" x14ac:dyDescent="0.2">
      <c r="A463" s="1020" t="s">
        <v>704</v>
      </c>
      <c r="B463" s="1013" t="s">
        <v>524</v>
      </c>
      <c r="C463" s="1013"/>
      <c r="D463" s="667"/>
      <c r="E463" s="667"/>
      <c r="F463" s="667"/>
      <c r="G463" s="667"/>
      <c r="H463" s="667"/>
      <c r="I463" s="667"/>
      <c r="J463" s="667">
        <v>89</v>
      </c>
      <c r="K463" s="667"/>
      <c r="L463" s="667"/>
      <c r="M463" s="667"/>
      <c r="N463" s="667"/>
      <c r="O463" s="667"/>
      <c r="P463" s="667"/>
      <c r="Q463" s="667"/>
      <c r="R463" s="667"/>
      <c r="S463" s="667"/>
      <c r="T463" s="667"/>
      <c r="U463" s="1013">
        <v>14</v>
      </c>
      <c r="V463" s="668">
        <f t="shared" si="138"/>
        <v>0</v>
      </c>
      <c r="W463" s="668">
        <f t="shared" si="139"/>
        <v>0</v>
      </c>
      <c r="X463" s="668">
        <f t="shared" si="140"/>
        <v>0</v>
      </c>
      <c r="Y463" s="668">
        <f t="shared" si="141"/>
        <v>1246</v>
      </c>
      <c r="Z463" s="668">
        <f t="shared" si="142"/>
        <v>0</v>
      </c>
      <c r="AA463" s="668">
        <f t="shared" si="143"/>
        <v>0</v>
      </c>
      <c r="AB463" s="668">
        <f t="shared" si="144"/>
        <v>0</v>
      </c>
      <c r="AC463" s="668">
        <f t="shared" si="153"/>
        <v>0</v>
      </c>
      <c r="AD463" s="668">
        <f t="shared" si="145"/>
        <v>0</v>
      </c>
      <c r="AE463" s="668">
        <f t="shared" si="146"/>
        <v>0</v>
      </c>
      <c r="AF463" s="668">
        <f t="shared" si="147"/>
        <v>0</v>
      </c>
      <c r="AG463" s="668">
        <f t="shared" si="148"/>
        <v>0</v>
      </c>
      <c r="AH463" s="668"/>
      <c r="AI463" s="668"/>
      <c r="AJ463" s="668"/>
      <c r="AK463" s="668"/>
      <c r="AL463" s="668"/>
      <c r="AM463" s="668">
        <f t="shared" si="135"/>
        <v>0</v>
      </c>
      <c r="AN463" s="668">
        <f t="shared" si="149"/>
        <v>0</v>
      </c>
      <c r="AO463" s="668">
        <f t="shared" si="150"/>
        <v>0</v>
      </c>
      <c r="AP463" s="668">
        <f t="shared" si="136"/>
        <v>0</v>
      </c>
      <c r="AQ463" s="668">
        <f t="shared" si="151"/>
        <v>0</v>
      </c>
      <c r="AR463" s="668">
        <f t="shared" si="152"/>
        <v>0</v>
      </c>
      <c r="AS463" s="668"/>
      <c r="AT463" s="668"/>
      <c r="AU463" s="668"/>
      <c r="AV463" s="668"/>
      <c r="AW463" s="668"/>
      <c r="AX463" s="668"/>
      <c r="AY463" s="668"/>
      <c r="AZ463" s="668"/>
      <c r="BA463" s="668"/>
      <c r="BB463" s="668">
        <f t="shared" si="137"/>
        <v>0</v>
      </c>
      <c r="BC463" s="668"/>
      <c r="BD463" s="668"/>
      <c r="BE463" s="668"/>
      <c r="BF463" s="668"/>
      <c r="BG463" s="668"/>
      <c r="BH463" s="668"/>
      <c r="BI463" s="668"/>
    </row>
    <row r="464" spans="1:61" x14ac:dyDescent="0.2">
      <c r="A464" s="1020" t="s">
        <v>705</v>
      </c>
      <c r="B464" s="1013" t="s">
        <v>526</v>
      </c>
      <c r="C464" s="1013"/>
      <c r="D464" s="667"/>
      <c r="E464" s="667"/>
      <c r="F464" s="667"/>
      <c r="G464" s="667"/>
      <c r="H464" s="667"/>
      <c r="I464" s="667"/>
      <c r="J464" s="667">
        <v>64</v>
      </c>
      <c r="K464" s="667"/>
      <c r="L464" s="667"/>
      <c r="M464" s="667"/>
      <c r="N464" s="667"/>
      <c r="O464" s="667"/>
      <c r="P464" s="667"/>
      <c r="Q464" s="667"/>
      <c r="R464" s="667"/>
      <c r="S464" s="667"/>
      <c r="T464" s="667"/>
      <c r="U464" s="1013">
        <v>14</v>
      </c>
      <c r="V464" s="668">
        <f t="shared" si="138"/>
        <v>0</v>
      </c>
      <c r="W464" s="668">
        <f t="shared" si="139"/>
        <v>0</v>
      </c>
      <c r="X464" s="668">
        <f t="shared" si="140"/>
        <v>0</v>
      </c>
      <c r="Y464" s="668">
        <f t="shared" si="141"/>
        <v>896</v>
      </c>
      <c r="Z464" s="668">
        <f t="shared" si="142"/>
        <v>0</v>
      </c>
      <c r="AA464" s="668">
        <f t="shared" si="143"/>
        <v>0</v>
      </c>
      <c r="AB464" s="668">
        <f t="shared" si="144"/>
        <v>0</v>
      </c>
      <c r="AC464" s="668">
        <f t="shared" si="153"/>
        <v>0</v>
      </c>
      <c r="AD464" s="668">
        <f t="shared" si="145"/>
        <v>0</v>
      </c>
      <c r="AE464" s="668">
        <f t="shared" si="146"/>
        <v>0</v>
      </c>
      <c r="AF464" s="668">
        <f t="shared" si="147"/>
        <v>0</v>
      </c>
      <c r="AG464" s="668">
        <f t="shared" si="148"/>
        <v>0</v>
      </c>
      <c r="AH464" s="668"/>
      <c r="AI464" s="668"/>
      <c r="AJ464" s="668"/>
      <c r="AK464" s="668"/>
      <c r="AL464" s="668"/>
      <c r="AM464" s="668">
        <f t="shared" si="135"/>
        <v>0</v>
      </c>
      <c r="AN464" s="668">
        <f t="shared" si="149"/>
        <v>0</v>
      </c>
      <c r="AO464" s="668">
        <f t="shared" si="150"/>
        <v>0</v>
      </c>
      <c r="AP464" s="668">
        <f t="shared" si="136"/>
        <v>0</v>
      </c>
      <c r="AQ464" s="668">
        <f t="shared" si="151"/>
        <v>0</v>
      </c>
      <c r="AR464" s="668">
        <f t="shared" si="152"/>
        <v>0</v>
      </c>
      <c r="AS464" s="668"/>
      <c r="AT464" s="668"/>
      <c r="AU464" s="668"/>
      <c r="AV464" s="668"/>
      <c r="AW464" s="668"/>
      <c r="AX464" s="668"/>
      <c r="AY464" s="668"/>
      <c r="AZ464" s="668"/>
      <c r="BA464" s="668"/>
      <c r="BB464" s="668">
        <f t="shared" si="137"/>
        <v>0</v>
      </c>
      <c r="BC464" s="668"/>
      <c r="BD464" s="668"/>
      <c r="BE464" s="668"/>
      <c r="BF464" s="668"/>
      <c r="BG464" s="668"/>
      <c r="BH464" s="668"/>
      <c r="BI464" s="668"/>
    </row>
    <row r="465" spans="1:61" x14ac:dyDescent="0.2">
      <c r="A465" s="1022" t="s">
        <v>963</v>
      </c>
      <c r="B465" s="1022" t="s">
        <v>972</v>
      </c>
      <c r="C465" s="1022"/>
      <c r="D465" s="667"/>
      <c r="E465" s="667"/>
      <c r="F465" s="667"/>
      <c r="G465" s="667"/>
      <c r="H465" s="667"/>
      <c r="I465" s="667"/>
      <c r="J465" s="667"/>
      <c r="K465" s="667"/>
      <c r="L465" s="667"/>
      <c r="M465" s="667"/>
      <c r="N465" s="667"/>
      <c r="O465" s="667"/>
      <c r="P465" s="667"/>
      <c r="Q465" s="667"/>
      <c r="R465" s="667"/>
      <c r="S465" s="667">
        <v>2249</v>
      </c>
      <c r="T465" s="667"/>
      <c r="U465" s="1022"/>
      <c r="V465" s="668"/>
      <c r="W465" s="668"/>
      <c r="X465" s="668"/>
      <c r="Y465" s="668"/>
      <c r="Z465" s="668"/>
      <c r="AA465" s="668">
        <f t="shared" si="143"/>
        <v>2249</v>
      </c>
      <c r="AB465" s="668"/>
      <c r="AC465" s="668">
        <f t="shared" si="153"/>
        <v>0</v>
      </c>
      <c r="AD465" s="668"/>
      <c r="AE465" s="668"/>
      <c r="AF465" s="668"/>
      <c r="AG465" s="668"/>
      <c r="AH465" s="668"/>
      <c r="AI465" s="668"/>
      <c r="AJ465" s="668"/>
      <c r="AK465" s="668"/>
      <c r="AL465" s="668"/>
      <c r="AM465" s="668">
        <f t="shared" ref="AM465:AM528" si="154">+I465</f>
        <v>0</v>
      </c>
      <c r="AN465" s="668">
        <f t="shared" si="149"/>
        <v>0</v>
      </c>
      <c r="AO465" s="668">
        <f t="shared" si="150"/>
        <v>0</v>
      </c>
      <c r="AP465" s="668">
        <f t="shared" si="136"/>
        <v>0</v>
      </c>
      <c r="AQ465" s="668">
        <f t="shared" si="151"/>
        <v>0</v>
      </c>
      <c r="AR465" s="668">
        <f t="shared" si="152"/>
        <v>0</v>
      </c>
      <c r="AS465" s="668"/>
      <c r="AT465" s="668"/>
      <c r="AU465" s="668"/>
      <c r="AV465" s="668"/>
      <c r="AW465" s="668"/>
      <c r="AX465" s="668"/>
      <c r="AY465" s="668"/>
      <c r="AZ465" s="668"/>
      <c r="BA465" s="668"/>
      <c r="BB465" s="668">
        <f t="shared" si="137"/>
        <v>0</v>
      </c>
      <c r="BC465" s="668"/>
      <c r="BD465" s="668"/>
      <c r="BE465" s="668"/>
      <c r="BF465" s="668"/>
      <c r="BG465" s="668"/>
      <c r="BH465" s="668"/>
      <c r="BI465" s="668"/>
    </row>
    <row r="466" spans="1:61" x14ac:dyDescent="0.2">
      <c r="A466" s="1022" t="s">
        <v>964</v>
      </c>
      <c r="B466" s="1022" t="s">
        <v>972</v>
      </c>
      <c r="C466" s="1022"/>
      <c r="D466" s="667"/>
      <c r="E466" s="667"/>
      <c r="F466" s="667"/>
      <c r="G466" s="667"/>
      <c r="H466" s="667"/>
      <c r="I466" s="667"/>
      <c r="J466" s="667"/>
      <c r="K466" s="667"/>
      <c r="L466" s="667"/>
      <c r="M466" s="667"/>
      <c r="N466" s="667"/>
      <c r="O466" s="667"/>
      <c r="P466" s="667"/>
      <c r="Q466" s="667"/>
      <c r="R466" s="667"/>
      <c r="S466" s="667">
        <v>1068</v>
      </c>
      <c r="T466" s="667"/>
      <c r="U466" s="1022"/>
      <c r="V466" s="668"/>
      <c r="W466" s="668"/>
      <c r="X466" s="668"/>
      <c r="Y466" s="668"/>
      <c r="Z466" s="668"/>
      <c r="AA466" s="668">
        <f t="shared" si="143"/>
        <v>1068</v>
      </c>
      <c r="AB466" s="668"/>
      <c r="AC466" s="668">
        <f t="shared" si="153"/>
        <v>0</v>
      </c>
      <c r="AD466" s="668"/>
      <c r="AE466" s="668"/>
      <c r="AF466" s="668"/>
      <c r="AG466" s="668"/>
      <c r="AH466" s="668"/>
      <c r="AI466" s="668"/>
      <c r="AJ466" s="668"/>
      <c r="AK466" s="668"/>
      <c r="AL466" s="668"/>
      <c r="AM466" s="668">
        <f t="shared" si="154"/>
        <v>0</v>
      </c>
      <c r="AN466" s="668">
        <f t="shared" si="149"/>
        <v>0</v>
      </c>
      <c r="AO466" s="668">
        <f t="shared" si="150"/>
        <v>0</v>
      </c>
      <c r="AP466" s="668">
        <f t="shared" ref="AP466:AP529" si="155">+U466*F466</f>
        <v>0</v>
      </c>
      <c r="AQ466" s="668">
        <f t="shared" si="151"/>
        <v>0</v>
      </c>
      <c r="AR466" s="668">
        <f t="shared" si="152"/>
        <v>0</v>
      </c>
      <c r="AS466" s="668"/>
      <c r="AT466" s="668"/>
      <c r="AU466" s="668"/>
      <c r="AV466" s="668"/>
      <c r="AW466" s="668"/>
      <c r="AX466" s="668"/>
      <c r="AY466" s="668"/>
      <c r="AZ466" s="668"/>
      <c r="BA466" s="668"/>
      <c r="BB466" s="668">
        <f t="shared" ref="BB466:BB529" si="156">+AP466</f>
        <v>0</v>
      </c>
      <c r="BC466" s="668"/>
      <c r="BD466" s="668"/>
      <c r="BE466" s="668"/>
      <c r="BF466" s="668"/>
      <c r="BG466" s="668"/>
      <c r="BH466" s="668"/>
      <c r="BI466" s="668"/>
    </row>
    <row r="467" spans="1:61" x14ac:dyDescent="0.2">
      <c r="A467" s="1022" t="s">
        <v>965</v>
      </c>
      <c r="B467" s="1022" t="s">
        <v>972</v>
      </c>
      <c r="C467" s="1022"/>
      <c r="D467" s="667"/>
      <c r="E467" s="667"/>
      <c r="F467" s="667"/>
      <c r="G467" s="667"/>
      <c r="H467" s="667"/>
      <c r="I467" s="667"/>
      <c r="J467" s="667"/>
      <c r="K467" s="667"/>
      <c r="L467" s="667"/>
      <c r="M467" s="667"/>
      <c r="N467" s="667"/>
      <c r="O467" s="667"/>
      <c r="P467" s="667"/>
      <c r="Q467" s="667"/>
      <c r="R467" s="667"/>
      <c r="S467" s="667">
        <v>1935</v>
      </c>
      <c r="T467" s="667"/>
      <c r="U467" s="1022"/>
      <c r="V467" s="668"/>
      <c r="W467" s="668"/>
      <c r="X467" s="668"/>
      <c r="Y467" s="668"/>
      <c r="Z467" s="668"/>
      <c r="AA467" s="668">
        <f t="shared" si="143"/>
        <v>1935</v>
      </c>
      <c r="AB467" s="668"/>
      <c r="AC467" s="668">
        <f t="shared" si="153"/>
        <v>0</v>
      </c>
      <c r="AD467" s="668"/>
      <c r="AE467" s="668"/>
      <c r="AF467" s="668"/>
      <c r="AG467" s="668"/>
      <c r="AH467" s="668"/>
      <c r="AI467" s="668"/>
      <c r="AJ467" s="668"/>
      <c r="AK467" s="668"/>
      <c r="AL467" s="668"/>
      <c r="AM467" s="668">
        <f t="shared" si="154"/>
        <v>0</v>
      </c>
      <c r="AN467" s="668">
        <f t="shared" si="149"/>
        <v>0</v>
      </c>
      <c r="AO467" s="668">
        <f t="shared" si="150"/>
        <v>0</v>
      </c>
      <c r="AP467" s="668">
        <f t="shared" si="155"/>
        <v>0</v>
      </c>
      <c r="AQ467" s="668">
        <f t="shared" si="151"/>
        <v>0</v>
      </c>
      <c r="AR467" s="668">
        <f t="shared" si="152"/>
        <v>0</v>
      </c>
      <c r="AS467" s="668"/>
      <c r="AT467" s="668"/>
      <c r="AU467" s="668"/>
      <c r="AV467" s="668"/>
      <c r="AW467" s="668"/>
      <c r="AX467" s="668"/>
      <c r="AY467" s="668"/>
      <c r="AZ467" s="668"/>
      <c r="BA467" s="668"/>
      <c r="BB467" s="668">
        <f t="shared" si="156"/>
        <v>0</v>
      </c>
      <c r="BC467" s="668"/>
      <c r="BD467" s="668"/>
      <c r="BE467" s="668"/>
      <c r="BF467" s="668"/>
      <c r="BG467" s="668"/>
      <c r="BH467" s="668"/>
      <c r="BI467" s="668"/>
    </row>
    <row r="468" spans="1:61" x14ac:dyDescent="0.2">
      <c r="A468" s="1022" t="s">
        <v>966</v>
      </c>
      <c r="B468" s="1022" t="s">
        <v>972</v>
      </c>
      <c r="C468" s="1022"/>
      <c r="D468" s="667"/>
      <c r="E468" s="667"/>
      <c r="F468" s="667"/>
      <c r="G468" s="667"/>
      <c r="H468" s="667"/>
      <c r="I468" s="667"/>
      <c r="J468" s="667"/>
      <c r="K468" s="667"/>
      <c r="L468" s="667"/>
      <c r="M468" s="667"/>
      <c r="N468" s="667"/>
      <c r="O468" s="667"/>
      <c r="P468" s="667"/>
      <c r="Q468" s="667"/>
      <c r="R468" s="667"/>
      <c r="S468" s="667">
        <v>975</v>
      </c>
      <c r="T468" s="667"/>
      <c r="U468" s="1022"/>
      <c r="V468" s="668"/>
      <c r="W468" s="668"/>
      <c r="X468" s="668"/>
      <c r="Y468" s="668"/>
      <c r="Z468" s="668"/>
      <c r="AA468" s="668">
        <f t="shared" si="143"/>
        <v>975</v>
      </c>
      <c r="AB468" s="668"/>
      <c r="AC468" s="668">
        <f t="shared" si="153"/>
        <v>0</v>
      </c>
      <c r="AD468" s="668"/>
      <c r="AE468" s="668"/>
      <c r="AF468" s="668"/>
      <c r="AG468" s="668"/>
      <c r="AH468" s="668"/>
      <c r="AI468" s="668"/>
      <c r="AJ468" s="668"/>
      <c r="AK468" s="668"/>
      <c r="AL468" s="668"/>
      <c r="AM468" s="668">
        <f t="shared" si="154"/>
        <v>0</v>
      </c>
      <c r="AN468" s="668">
        <f t="shared" si="149"/>
        <v>0</v>
      </c>
      <c r="AO468" s="668">
        <f t="shared" si="150"/>
        <v>0</v>
      </c>
      <c r="AP468" s="668">
        <f t="shared" si="155"/>
        <v>0</v>
      </c>
      <c r="AQ468" s="668">
        <f t="shared" si="151"/>
        <v>0</v>
      </c>
      <c r="AR468" s="668">
        <f t="shared" si="152"/>
        <v>0</v>
      </c>
      <c r="AS468" s="668"/>
      <c r="AT468" s="668"/>
      <c r="AU468" s="668"/>
      <c r="AV468" s="668"/>
      <c r="AW468" s="668"/>
      <c r="AX468" s="668"/>
      <c r="AY468" s="668"/>
      <c r="AZ468" s="668"/>
      <c r="BA468" s="668"/>
      <c r="BB468" s="668">
        <f t="shared" si="156"/>
        <v>0</v>
      </c>
      <c r="BC468" s="668"/>
      <c r="BD468" s="668"/>
      <c r="BE468" s="668"/>
      <c r="BF468" s="668"/>
      <c r="BG468" s="668"/>
      <c r="BH468" s="668"/>
      <c r="BI468" s="668"/>
    </row>
    <row r="469" spans="1:61" x14ac:dyDescent="0.2">
      <c r="A469" s="1022" t="s">
        <v>967</v>
      </c>
      <c r="B469" s="1022" t="s">
        <v>972</v>
      </c>
      <c r="C469" s="1022"/>
      <c r="D469" s="667"/>
      <c r="E469" s="667"/>
      <c r="F469" s="667"/>
      <c r="G469" s="667"/>
      <c r="H469" s="667"/>
      <c r="I469" s="667"/>
      <c r="J469" s="667"/>
      <c r="K469" s="667"/>
      <c r="L469" s="667"/>
      <c r="M469" s="667"/>
      <c r="N469" s="667"/>
      <c r="O469" s="667"/>
      <c r="P469" s="667"/>
      <c r="Q469" s="667"/>
      <c r="R469" s="667"/>
      <c r="S469" s="667">
        <v>3520</v>
      </c>
      <c r="T469" s="667"/>
      <c r="U469" s="1022"/>
      <c r="V469" s="668"/>
      <c r="W469" s="668"/>
      <c r="X469" s="668"/>
      <c r="Y469" s="668"/>
      <c r="Z469" s="668"/>
      <c r="AA469" s="668">
        <f t="shared" si="143"/>
        <v>3520</v>
      </c>
      <c r="AB469" s="668"/>
      <c r="AC469" s="668">
        <f t="shared" si="153"/>
        <v>0</v>
      </c>
      <c r="AD469" s="668"/>
      <c r="AE469" s="668"/>
      <c r="AF469" s="668"/>
      <c r="AG469" s="668"/>
      <c r="AH469" s="668"/>
      <c r="AI469" s="668"/>
      <c r="AJ469" s="668"/>
      <c r="AK469" s="668"/>
      <c r="AL469" s="668"/>
      <c r="AM469" s="668">
        <f t="shared" si="154"/>
        <v>0</v>
      </c>
      <c r="AN469" s="668">
        <f t="shared" si="149"/>
        <v>0</v>
      </c>
      <c r="AO469" s="668">
        <f t="shared" si="150"/>
        <v>0</v>
      </c>
      <c r="AP469" s="668">
        <f t="shared" si="155"/>
        <v>0</v>
      </c>
      <c r="AQ469" s="668">
        <f t="shared" si="151"/>
        <v>0</v>
      </c>
      <c r="AR469" s="668">
        <f t="shared" si="152"/>
        <v>0</v>
      </c>
      <c r="AS469" s="668"/>
      <c r="AT469" s="668"/>
      <c r="AU469" s="668"/>
      <c r="AV469" s="668"/>
      <c r="AW469" s="668"/>
      <c r="AX469" s="668">
        <v>100</v>
      </c>
      <c r="AY469" s="668"/>
      <c r="AZ469" s="668"/>
      <c r="BA469" s="668"/>
      <c r="BB469" s="668">
        <f t="shared" si="156"/>
        <v>0</v>
      </c>
      <c r="BC469" s="668"/>
      <c r="BD469" s="668"/>
      <c r="BE469" s="668"/>
      <c r="BF469" s="668"/>
      <c r="BG469" s="668"/>
      <c r="BH469" s="668"/>
      <c r="BI469" s="668"/>
    </row>
    <row r="470" spans="1:61" x14ac:dyDescent="0.2">
      <c r="A470" s="1022" t="s">
        <v>968</v>
      </c>
      <c r="B470" s="1022" t="s">
        <v>972</v>
      </c>
      <c r="C470" s="1022"/>
      <c r="D470" s="667"/>
      <c r="E470" s="667"/>
      <c r="F470" s="667"/>
      <c r="G470" s="667"/>
      <c r="H470" s="667"/>
      <c r="I470" s="667"/>
      <c r="J470" s="667"/>
      <c r="K470" s="667"/>
      <c r="L470" s="667"/>
      <c r="M470" s="667"/>
      <c r="N470" s="667"/>
      <c r="O470" s="667"/>
      <c r="P470" s="667"/>
      <c r="Q470" s="667"/>
      <c r="R470" s="667"/>
      <c r="S470" s="667">
        <v>2279</v>
      </c>
      <c r="T470" s="667"/>
      <c r="U470" s="1022"/>
      <c r="V470" s="668"/>
      <c r="W470" s="668"/>
      <c r="X470" s="668"/>
      <c r="Y470" s="668"/>
      <c r="Z470" s="668"/>
      <c r="AA470" s="668">
        <f t="shared" si="143"/>
        <v>2279</v>
      </c>
      <c r="AB470" s="668"/>
      <c r="AC470" s="668">
        <f t="shared" si="153"/>
        <v>0</v>
      </c>
      <c r="AD470" s="668"/>
      <c r="AE470" s="668"/>
      <c r="AF470" s="668"/>
      <c r="AG470" s="668"/>
      <c r="AH470" s="668"/>
      <c r="AI470" s="668"/>
      <c r="AJ470" s="668"/>
      <c r="AK470" s="668"/>
      <c r="AL470" s="668"/>
      <c r="AM470" s="668">
        <f t="shared" si="154"/>
        <v>0</v>
      </c>
      <c r="AN470" s="668">
        <f t="shared" si="149"/>
        <v>0</v>
      </c>
      <c r="AO470" s="668">
        <f t="shared" si="150"/>
        <v>0</v>
      </c>
      <c r="AP470" s="668">
        <f t="shared" si="155"/>
        <v>0</v>
      </c>
      <c r="AQ470" s="668">
        <f t="shared" si="151"/>
        <v>0</v>
      </c>
      <c r="AR470" s="668">
        <f t="shared" si="152"/>
        <v>0</v>
      </c>
      <c r="AS470" s="668"/>
      <c r="AT470" s="668"/>
      <c r="AU470" s="668"/>
      <c r="AV470" s="668"/>
      <c r="AW470" s="668"/>
      <c r="AX470" s="668">
        <v>1400</v>
      </c>
      <c r="AY470" s="668"/>
      <c r="AZ470" s="668"/>
      <c r="BA470" s="668"/>
      <c r="BB470" s="668">
        <f t="shared" si="156"/>
        <v>0</v>
      </c>
      <c r="BC470" s="668"/>
      <c r="BD470" s="668"/>
      <c r="BE470" s="668"/>
      <c r="BF470" s="668"/>
      <c r="BG470" s="668"/>
      <c r="BH470" s="668"/>
      <c r="BI470" s="668"/>
    </row>
    <row r="471" spans="1:61" x14ac:dyDescent="0.2">
      <c r="A471" s="1022" t="s">
        <v>969</v>
      </c>
      <c r="B471" s="1022" t="s">
        <v>972</v>
      </c>
      <c r="C471" s="1022"/>
      <c r="D471" s="667"/>
      <c r="E471" s="667"/>
      <c r="F471" s="667"/>
      <c r="G471" s="667"/>
      <c r="H471" s="667"/>
      <c r="I471" s="667"/>
      <c r="J471" s="667"/>
      <c r="K471" s="667"/>
      <c r="L471" s="667"/>
      <c r="M471" s="667"/>
      <c r="N471" s="667"/>
      <c r="O471" s="667"/>
      <c r="P471" s="667"/>
      <c r="Q471" s="667"/>
      <c r="R471" s="667"/>
      <c r="S471" s="667">
        <v>2116</v>
      </c>
      <c r="T471" s="667"/>
      <c r="U471" s="1022"/>
      <c r="V471" s="668"/>
      <c r="W471" s="668"/>
      <c r="X471" s="668"/>
      <c r="Y471" s="668"/>
      <c r="Z471" s="668"/>
      <c r="AA471" s="668">
        <f t="shared" si="143"/>
        <v>2116</v>
      </c>
      <c r="AB471" s="668"/>
      <c r="AC471" s="668">
        <f t="shared" si="153"/>
        <v>0</v>
      </c>
      <c r="AD471" s="668"/>
      <c r="AE471" s="668"/>
      <c r="AF471" s="668"/>
      <c r="AG471" s="668"/>
      <c r="AH471" s="668"/>
      <c r="AI471" s="668"/>
      <c r="AJ471" s="668"/>
      <c r="AK471" s="668"/>
      <c r="AL471" s="668"/>
      <c r="AM471" s="668">
        <f t="shared" si="154"/>
        <v>0</v>
      </c>
      <c r="AN471" s="668">
        <f t="shared" si="149"/>
        <v>0</v>
      </c>
      <c r="AO471" s="668">
        <f t="shared" si="150"/>
        <v>0</v>
      </c>
      <c r="AP471" s="668">
        <f t="shared" si="155"/>
        <v>0</v>
      </c>
      <c r="AQ471" s="668">
        <f t="shared" si="151"/>
        <v>0</v>
      </c>
      <c r="AR471" s="668">
        <f t="shared" si="152"/>
        <v>0</v>
      </c>
      <c r="AS471" s="668"/>
      <c r="AT471" s="668"/>
      <c r="AU471" s="668"/>
      <c r="AV471" s="668"/>
      <c r="AW471" s="668"/>
      <c r="AX471" s="668">
        <v>2000</v>
      </c>
      <c r="AY471" s="668"/>
      <c r="AZ471" s="668"/>
      <c r="BA471" s="668"/>
      <c r="BB471" s="668">
        <f t="shared" si="156"/>
        <v>0</v>
      </c>
      <c r="BC471" s="668"/>
      <c r="BD471" s="668"/>
      <c r="BE471" s="668"/>
      <c r="BF471" s="668"/>
      <c r="BG471" s="668"/>
      <c r="BH471" s="668"/>
      <c r="BI471" s="668"/>
    </row>
    <row r="472" spans="1:61" x14ac:dyDescent="0.2">
      <c r="A472" s="1022"/>
      <c r="B472" s="1022"/>
      <c r="C472" s="1022"/>
      <c r="D472" s="667"/>
      <c r="E472" s="667"/>
      <c r="F472" s="667"/>
      <c r="G472" s="667"/>
      <c r="H472" s="667"/>
      <c r="I472" s="667"/>
      <c r="J472" s="667"/>
      <c r="K472" s="667"/>
      <c r="L472" s="667"/>
      <c r="M472" s="667"/>
      <c r="N472" s="667"/>
      <c r="O472" s="667"/>
      <c r="P472" s="667"/>
      <c r="Q472" s="667"/>
      <c r="R472" s="667"/>
      <c r="S472" s="667"/>
      <c r="T472" s="667"/>
      <c r="U472" s="1022"/>
      <c r="V472" s="668"/>
      <c r="W472" s="668"/>
      <c r="X472" s="668"/>
      <c r="Y472" s="668"/>
      <c r="Z472" s="668"/>
      <c r="AA472" s="668">
        <f t="shared" si="143"/>
        <v>0</v>
      </c>
      <c r="AB472" s="668"/>
      <c r="AC472" s="668">
        <f t="shared" si="153"/>
        <v>0</v>
      </c>
      <c r="AD472" s="668"/>
      <c r="AE472" s="668"/>
      <c r="AF472" s="668"/>
      <c r="AG472" s="668"/>
      <c r="AH472" s="668"/>
      <c r="AI472" s="668"/>
      <c r="AJ472" s="668"/>
      <c r="AK472" s="668"/>
      <c r="AL472" s="668"/>
      <c r="AM472" s="668">
        <f t="shared" si="154"/>
        <v>0</v>
      </c>
      <c r="AN472" s="668">
        <f t="shared" si="149"/>
        <v>0</v>
      </c>
      <c r="AO472" s="668">
        <f t="shared" si="150"/>
        <v>0</v>
      </c>
      <c r="AP472" s="668">
        <f t="shared" si="155"/>
        <v>0</v>
      </c>
      <c r="AQ472" s="668">
        <f t="shared" si="151"/>
        <v>0</v>
      </c>
      <c r="AR472" s="668">
        <f t="shared" si="152"/>
        <v>0</v>
      </c>
      <c r="AS472" s="668"/>
      <c r="AT472" s="668"/>
      <c r="AU472" s="668"/>
      <c r="AV472" s="668"/>
      <c r="AW472" s="668"/>
      <c r="AX472" s="668"/>
      <c r="AY472" s="668"/>
      <c r="AZ472" s="668"/>
      <c r="BA472" s="668"/>
      <c r="BB472" s="668">
        <f t="shared" si="156"/>
        <v>0</v>
      </c>
      <c r="BC472" s="668"/>
      <c r="BD472" s="668"/>
      <c r="BE472" s="668"/>
      <c r="BF472" s="668"/>
      <c r="BG472" s="668"/>
      <c r="BH472" s="668"/>
      <c r="BI472" s="668"/>
    </row>
    <row r="473" spans="1:61" x14ac:dyDescent="0.2">
      <c r="A473" s="1013"/>
      <c r="B473" s="1013"/>
      <c r="C473" s="1013"/>
      <c r="D473" s="667"/>
      <c r="E473" s="667"/>
      <c r="F473" s="667"/>
      <c r="G473" s="667"/>
      <c r="H473" s="667"/>
      <c r="I473" s="667"/>
      <c r="J473" s="667"/>
      <c r="K473" s="667"/>
      <c r="L473" s="667"/>
      <c r="M473" s="667"/>
      <c r="N473" s="667"/>
      <c r="O473" s="667"/>
      <c r="P473" s="667"/>
      <c r="Q473" s="667"/>
      <c r="R473" s="667"/>
      <c r="S473" s="667"/>
      <c r="T473" s="667"/>
      <c r="U473" s="1013"/>
      <c r="V473" s="668">
        <f t="shared" si="138"/>
        <v>0</v>
      </c>
      <c r="W473" s="668">
        <f t="shared" si="139"/>
        <v>0</v>
      </c>
      <c r="X473" s="668">
        <f t="shared" si="140"/>
        <v>0</v>
      </c>
      <c r="Y473" s="668">
        <f t="shared" si="141"/>
        <v>0</v>
      </c>
      <c r="Z473" s="668">
        <f t="shared" si="142"/>
        <v>0</v>
      </c>
      <c r="AA473" s="668">
        <f t="shared" si="143"/>
        <v>0</v>
      </c>
      <c r="AB473" s="668">
        <f t="shared" si="144"/>
        <v>0</v>
      </c>
      <c r="AC473" s="668">
        <f t="shared" si="153"/>
        <v>0</v>
      </c>
      <c r="AD473" s="668">
        <f t="shared" si="145"/>
        <v>0</v>
      </c>
      <c r="AE473" s="668">
        <f t="shared" si="146"/>
        <v>0</v>
      </c>
      <c r="AF473" s="668">
        <f t="shared" si="147"/>
        <v>0</v>
      </c>
      <c r="AG473" s="668">
        <f t="shared" si="148"/>
        <v>0</v>
      </c>
      <c r="AH473" s="668"/>
      <c r="AI473" s="668"/>
      <c r="AJ473" s="668"/>
      <c r="AK473" s="668"/>
      <c r="AL473" s="668"/>
      <c r="AM473" s="668">
        <f t="shared" si="154"/>
        <v>0</v>
      </c>
      <c r="AN473" s="668">
        <f t="shared" si="149"/>
        <v>0</v>
      </c>
      <c r="AO473" s="668">
        <f t="shared" si="150"/>
        <v>0</v>
      </c>
      <c r="AP473" s="668">
        <f t="shared" si="155"/>
        <v>0</v>
      </c>
      <c r="AQ473" s="668">
        <f t="shared" si="151"/>
        <v>0</v>
      </c>
      <c r="AR473" s="668">
        <f t="shared" si="152"/>
        <v>0</v>
      </c>
      <c r="AS473" s="668"/>
      <c r="AT473" s="668"/>
      <c r="AU473" s="668"/>
      <c r="AV473" s="668"/>
      <c r="AW473" s="668"/>
      <c r="AX473" s="668"/>
      <c r="AY473" s="668"/>
      <c r="AZ473" s="668"/>
      <c r="BA473" s="668"/>
      <c r="BB473" s="668">
        <f t="shared" si="156"/>
        <v>0</v>
      </c>
      <c r="BC473" s="668"/>
      <c r="BD473" s="668"/>
      <c r="BE473" s="668"/>
      <c r="BF473" s="668"/>
      <c r="BG473" s="668"/>
      <c r="BH473" s="668"/>
      <c r="BI473" s="668"/>
    </row>
    <row r="474" spans="1:61" x14ac:dyDescent="0.2">
      <c r="A474" s="1013"/>
      <c r="B474" s="1019" t="s">
        <v>707</v>
      </c>
      <c r="C474" s="1013"/>
      <c r="D474" s="667"/>
      <c r="E474" s="667"/>
      <c r="F474" s="667"/>
      <c r="G474" s="667"/>
      <c r="H474" s="667"/>
      <c r="I474" s="667"/>
      <c r="J474" s="667"/>
      <c r="K474" s="667"/>
      <c r="L474" s="667"/>
      <c r="M474" s="667"/>
      <c r="N474" s="667"/>
      <c r="O474" s="667"/>
      <c r="P474" s="667"/>
      <c r="Q474" s="667"/>
      <c r="R474" s="667"/>
      <c r="S474" s="667"/>
      <c r="T474" s="667"/>
      <c r="U474" s="1013"/>
      <c r="V474" s="668">
        <f t="shared" si="138"/>
        <v>0</v>
      </c>
      <c r="W474" s="668">
        <f t="shared" si="139"/>
        <v>0</v>
      </c>
      <c r="X474" s="668">
        <f t="shared" si="140"/>
        <v>0</v>
      </c>
      <c r="Y474" s="668">
        <f t="shared" si="141"/>
        <v>0</v>
      </c>
      <c r="Z474" s="668">
        <f t="shared" si="142"/>
        <v>0</v>
      </c>
      <c r="AA474" s="668">
        <f t="shared" si="143"/>
        <v>0</v>
      </c>
      <c r="AB474" s="668">
        <f t="shared" si="144"/>
        <v>0</v>
      </c>
      <c r="AC474" s="668">
        <f t="shared" si="153"/>
        <v>0</v>
      </c>
      <c r="AD474" s="668">
        <f t="shared" si="145"/>
        <v>0</v>
      </c>
      <c r="AE474" s="668">
        <f t="shared" si="146"/>
        <v>0</v>
      </c>
      <c r="AF474" s="668">
        <f t="shared" si="147"/>
        <v>0</v>
      </c>
      <c r="AG474" s="668">
        <f t="shared" si="148"/>
        <v>0</v>
      </c>
      <c r="AH474" s="668"/>
      <c r="AI474" s="668"/>
      <c r="AJ474" s="668"/>
      <c r="AK474" s="668"/>
      <c r="AL474" s="668"/>
      <c r="AM474" s="668">
        <f t="shared" si="154"/>
        <v>0</v>
      </c>
      <c r="AN474" s="668">
        <f t="shared" si="149"/>
        <v>0</v>
      </c>
      <c r="AO474" s="668">
        <f t="shared" si="150"/>
        <v>0</v>
      </c>
      <c r="AP474" s="668">
        <f t="shared" si="155"/>
        <v>0</v>
      </c>
      <c r="AQ474" s="668">
        <f t="shared" si="151"/>
        <v>0</v>
      </c>
      <c r="AR474" s="668">
        <f t="shared" si="152"/>
        <v>0</v>
      </c>
      <c r="AS474" s="668">
        <v>17</v>
      </c>
      <c r="AT474" s="668">
        <v>13</v>
      </c>
      <c r="AU474" s="668"/>
      <c r="AV474" s="668"/>
      <c r="AW474" s="668"/>
      <c r="AX474" s="668"/>
      <c r="AY474" s="668"/>
      <c r="AZ474" s="668"/>
      <c r="BA474" s="668"/>
      <c r="BB474" s="668">
        <f t="shared" si="156"/>
        <v>0</v>
      </c>
      <c r="BC474" s="668"/>
      <c r="BD474" s="668"/>
      <c r="BE474" s="668"/>
      <c r="BF474" s="668"/>
      <c r="BG474" s="668"/>
      <c r="BH474" s="668"/>
      <c r="BI474" s="668"/>
    </row>
    <row r="475" spans="1:61" x14ac:dyDescent="0.2">
      <c r="A475" s="1013">
        <v>3000</v>
      </c>
      <c r="B475" s="1013" t="s">
        <v>465</v>
      </c>
      <c r="C475" s="1013" t="s">
        <v>984</v>
      </c>
      <c r="D475" s="667">
        <v>115</v>
      </c>
      <c r="E475" s="667"/>
      <c r="F475" s="667"/>
      <c r="G475" s="667"/>
      <c r="H475" s="667"/>
      <c r="I475" s="667"/>
      <c r="J475" s="667"/>
      <c r="K475" s="667"/>
      <c r="L475" s="667"/>
      <c r="M475" s="667"/>
      <c r="N475" s="667"/>
      <c r="O475" s="667"/>
      <c r="P475" s="667"/>
      <c r="Q475" s="667"/>
      <c r="R475" s="667"/>
      <c r="S475" s="667"/>
      <c r="T475" s="667"/>
      <c r="U475" s="1013">
        <v>12</v>
      </c>
      <c r="V475" s="668">
        <f t="shared" si="138"/>
        <v>1380</v>
      </c>
      <c r="W475" s="668">
        <f t="shared" si="139"/>
        <v>0</v>
      </c>
      <c r="X475" s="668">
        <f t="shared" si="140"/>
        <v>0</v>
      </c>
      <c r="Y475" s="668">
        <f t="shared" si="141"/>
        <v>0</v>
      </c>
      <c r="Z475" s="668">
        <f t="shared" si="142"/>
        <v>1380</v>
      </c>
      <c r="AA475" s="668">
        <f t="shared" si="143"/>
        <v>0</v>
      </c>
      <c r="AB475" s="668">
        <f t="shared" si="144"/>
        <v>0</v>
      </c>
      <c r="AC475" s="668">
        <f t="shared" si="153"/>
        <v>0</v>
      </c>
      <c r="AD475" s="668">
        <f t="shared" si="145"/>
        <v>0</v>
      </c>
      <c r="AE475" s="668">
        <f t="shared" si="146"/>
        <v>0</v>
      </c>
      <c r="AF475" s="668">
        <f t="shared" si="147"/>
        <v>0</v>
      </c>
      <c r="AG475" s="668">
        <f t="shared" si="148"/>
        <v>0</v>
      </c>
      <c r="AH475" s="668"/>
      <c r="AI475" s="668"/>
      <c r="AJ475" s="668"/>
      <c r="AK475" s="668"/>
      <c r="AL475" s="668"/>
      <c r="AM475" s="668">
        <f t="shared" si="154"/>
        <v>0</v>
      </c>
      <c r="AN475" s="668">
        <f t="shared" si="149"/>
        <v>0</v>
      </c>
      <c r="AO475" s="668">
        <f t="shared" si="150"/>
        <v>0</v>
      </c>
      <c r="AP475" s="668">
        <f t="shared" si="155"/>
        <v>0</v>
      </c>
      <c r="AQ475" s="668">
        <f t="shared" si="151"/>
        <v>0</v>
      </c>
      <c r="AR475" s="668">
        <f t="shared" si="152"/>
        <v>0</v>
      </c>
      <c r="AS475" s="668"/>
      <c r="AT475" s="668"/>
      <c r="AU475" s="668"/>
      <c r="AV475" s="668"/>
      <c r="AW475" s="668"/>
      <c r="AX475" s="668"/>
      <c r="AY475" s="668"/>
      <c r="AZ475" s="668"/>
      <c r="BA475" s="668"/>
      <c r="BB475" s="668">
        <f t="shared" si="156"/>
        <v>0</v>
      </c>
      <c r="BC475" s="668"/>
      <c r="BD475" s="668"/>
      <c r="BE475" s="668"/>
      <c r="BF475" s="668"/>
      <c r="BG475" s="668"/>
      <c r="BH475" s="668"/>
      <c r="BI475" s="668"/>
    </row>
    <row r="476" spans="1:61" x14ac:dyDescent="0.2">
      <c r="A476" s="1013">
        <v>3001</v>
      </c>
      <c r="B476" s="1013" t="s">
        <v>708</v>
      </c>
      <c r="C476" s="1013"/>
      <c r="D476" s="667"/>
      <c r="E476" s="667"/>
      <c r="F476" s="667"/>
      <c r="G476" s="667"/>
      <c r="H476" s="667"/>
      <c r="I476" s="667">
        <v>85</v>
      </c>
      <c r="J476" s="667"/>
      <c r="K476" s="667"/>
      <c r="L476" s="667"/>
      <c r="M476" s="667"/>
      <c r="N476" s="667"/>
      <c r="O476" s="667"/>
      <c r="P476" s="667"/>
      <c r="Q476" s="667"/>
      <c r="R476" s="667"/>
      <c r="S476" s="667"/>
      <c r="T476" s="667"/>
      <c r="U476" s="1013"/>
      <c r="V476" s="668">
        <f t="shared" si="138"/>
        <v>0</v>
      </c>
      <c r="W476" s="668">
        <f t="shared" si="139"/>
        <v>0</v>
      </c>
      <c r="X476" s="668">
        <f t="shared" si="140"/>
        <v>0</v>
      </c>
      <c r="Y476" s="668">
        <f t="shared" si="141"/>
        <v>0</v>
      </c>
      <c r="Z476" s="668">
        <f t="shared" si="142"/>
        <v>0</v>
      </c>
      <c r="AA476" s="668">
        <f t="shared" si="143"/>
        <v>0</v>
      </c>
      <c r="AB476" s="668">
        <f t="shared" si="144"/>
        <v>0</v>
      </c>
      <c r="AC476" s="668">
        <f t="shared" si="153"/>
        <v>0</v>
      </c>
      <c r="AD476" s="668">
        <f t="shared" si="145"/>
        <v>0</v>
      </c>
      <c r="AE476" s="668">
        <f t="shared" si="146"/>
        <v>0</v>
      </c>
      <c r="AF476" s="668">
        <f t="shared" si="147"/>
        <v>0</v>
      </c>
      <c r="AG476" s="668">
        <f t="shared" si="148"/>
        <v>0</v>
      </c>
      <c r="AH476" s="668"/>
      <c r="AI476" s="668"/>
      <c r="AJ476" s="668"/>
      <c r="AK476" s="668"/>
      <c r="AL476" s="668"/>
      <c r="AM476" s="668">
        <f t="shared" si="154"/>
        <v>85</v>
      </c>
      <c r="AN476" s="668">
        <f t="shared" si="149"/>
        <v>0</v>
      </c>
      <c r="AO476" s="668">
        <f t="shared" si="150"/>
        <v>0</v>
      </c>
      <c r="AP476" s="668">
        <f t="shared" si="155"/>
        <v>0</v>
      </c>
      <c r="AQ476" s="668">
        <f t="shared" si="151"/>
        <v>0</v>
      </c>
      <c r="AR476" s="668">
        <f t="shared" si="152"/>
        <v>0</v>
      </c>
      <c r="AS476" s="668"/>
      <c r="AT476" s="668"/>
      <c r="AU476" s="668"/>
      <c r="AV476" s="668"/>
      <c r="AW476" s="668"/>
      <c r="AX476" s="668"/>
      <c r="AY476" s="668"/>
      <c r="AZ476" s="668"/>
      <c r="BA476" s="668"/>
      <c r="BB476" s="668">
        <f t="shared" si="156"/>
        <v>0</v>
      </c>
      <c r="BC476" s="668"/>
      <c r="BD476" s="668"/>
      <c r="BE476" s="668"/>
      <c r="BF476" s="668"/>
      <c r="BG476" s="668"/>
      <c r="BH476" s="668"/>
      <c r="BI476" s="668"/>
    </row>
    <row r="477" spans="1:61" x14ac:dyDescent="0.2">
      <c r="A477" s="1020">
        <v>3002</v>
      </c>
      <c r="B477" s="1020" t="s">
        <v>464</v>
      </c>
      <c r="C477" s="1020"/>
      <c r="D477" s="667">
        <v>73</v>
      </c>
      <c r="E477" s="667"/>
      <c r="F477" s="667"/>
      <c r="G477" s="667"/>
      <c r="H477" s="667"/>
      <c r="I477" s="667"/>
      <c r="J477" s="667"/>
      <c r="K477" s="667"/>
      <c r="L477" s="667"/>
      <c r="M477" s="667"/>
      <c r="N477" s="667"/>
      <c r="O477" s="667"/>
      <c r="P477" s="667"/>
      <c r="Q477" s="667">
        <v>192</v>
      </c>
      <c r="R477" s="667"/>
      <c r="S477" s="667"/>
      <c r="T477" s="667"/>
      <c r="U477" s="1020">
        <v>14</v>
      </c>
      <c r="V477" s="668">
        <f t="shared" si="138"/>
        <v>1022</v>
      </c>
      <c r="W477" s="668">
        <f t="shared" si="139"/>
        <v>0</v>
      </c>
      <c r="X477" s="668">
        <f t="shared" si="140"/>
        <v>0</v>
      </c>
      <c r="Y477" s="668">
        <f t="shared" si="141"/>
        <v>0</v>
      </c>
      <c r="Z477" s="668">
        <f t="shared" si="142"/>
        <v>0</v>
      </c>
      <c r="AA477" s="668">
        <f t="shared" si="143"/>
        <v>0</v>
      </c>
      <c r="AB477" s="668">
        <f t="shared" si="144"/>
        <v>0</v>
      </c>
      <c r="AC477" s="668">
        <f t="shared" si="153"/>
        <v>0</v>
      </c>
      <c r="AD477" s="668">
        <f t="shared" si="145"/>
        <v>192</v>
      </c>
      <c r="AE477" s="668">
        <f t="shared" si="146"/>
        <v>0</v>
      </c>
      <c r="AF477" s="668">
        <f t="shared" si="147"/>
        <v>0</v>
      </c>
      <c r="AG477" s="668">
        <f t="shared" si="148"/>
        <v>0</v>
      </c>
      <c r="AH477" s="668"/>
      <c r="AI477" s="668"/>
      <c r="AJ477" s="668"/>
      <c r="AK477" s="668"/>
      <c r="AL477" s="668"/>
      <c r="AM477" s="668">
        <f t="shared" si="154"/>
        <v>0</v>
      </c>
      <c r="AN477" s="668">
        <f t="shared" si="149"/>
        <v>0</v>
      </c>
      <c r="AO477" s="668">
        <f t="shared" si="150"/>
        <v>0</v>
      </c>
      <c r="AP477" s="668">
        <f t="shared" si="155"/>
        <v>0</v>
      </c>
      <c r="AQ477" s="668">
        <f t="shared" si="151"/>
        <v>0</v>
      </c>
      <c r="AR477" s="668">
        <f t="shared" si="152"/>
        <v>0</v>
      </c>
      <c r="AS477" s="668"/>
      <c r="AT477" s="668"/>
      <c r="AU477" s="668"/>
      <c r="AV477" s="668"/>
      <c r="AW477" s="668"/>
      <c r="AX477" s="668"/>
      <c r="AY477" s="668"/>
      <c r="AZ477" s="668"/>
      <c r="BA477" s="668"/>
      <c r="BB477" s="668">
        <f t="shared" si="156"/>
        <v>0</v>
      </c>
      <c r="BC477" s="668"/>
      <c r="BD477" s="668"/>
      <c r="BE477" s="668"/>
      <c r="BF477" s="668"/>
      <c r="BG477" s="668"/>
      <c r="BH477" s="668"/>
      <c r="BI477" s="668"/>
    </row>
    <row r="478" spans="1:61" x14ac:dyDescent="0.2">
      <c r="A478" s="1020" t="s">
        <v>709</v>
      </c>
      <c r="B478" s="1020" t="s">
        <v>533</v>
      </c>
      <c r="C478" s="1020"/>
      <c r="D478" s="667"/>
      <c r="E478" s="667"/>
      <c r="F478" s="667"/>
      <c r="G478" s="667"/>
      <c r="H478" s="667"/>
      <c r="I478" s="667"/>
      <c r="J478" s="667"/>
      <c r="K478" s="667"/>
      <c r="L478" s="667"/>
      <c r="M478" s="667"/>
      <c r="N478" s="667"/>
      <c r="O478" s="667"/>
      <c r="P478" s="667"/>
      <c r="Q478" s="667"/>
      <c r="R478" s="667"/>
      <c r="S478" s="667"/>
      <c r="T478" s="667"/>
      <c r="U478" s="1020"/>
      <c r="V478" s="668">
        <f t="shared" si="138"/>
        <v>0</v>
      </c>
      <c r="W478" s="668">
        <f t="shared" si="139"/>
        <v>0</v>
      </c>
      <c r="X478" s="668">
        <f t="shared" si="140"/>
        <v>0</v>
      </c>
      <c r="Y478" s="668">
        <f t="shared" si="141"/>
        <v>0</v>
      </c>
      <c r="Z478" s="668">
        <f t="shared" si="142"/>
        <v>0</v>
      </c>
      <c r="AA478" s="668">
        <f t="shared" si="143"/>
        <v>0</v>
      </c>
      <c r="AB478" s="668">
        <f t="shared" si="144"/>
        <v>0</v>
      </c>
      <c r="AC478" s="668">
        <f t="shared" si="153"/>
        <v>0</v>
      </c>
      <c r="AD478" s="668">
        <f t="shared" si="145"/>
        <v>0</v>
      </c>
      <c r="AE478" s="668">
        <f t="shared" si="146"/>
        <v>0</v>
      </c>
      <c r="AF478" s="668">
        <f t="shared" si="147"/>
        <v>0</v>
      </c>
      <c r="AG478" s="668">
        <f t="shared" si="148"/>
        <v>0</v>
      </c>
      <c r="AH478" s="668"/>
      <c r="AI478" s="668"/>
      <c r="AJ478" s="668"/>
      <c r="AK478" s="668"/>
      <c r="AL478" s="668"/>
      <c r="AM478" s="668">
        <f t="shared" si="154"/>
        <v>0</v>
      </c>
      <c r="AN478" s="668">
        <f t="shared" si="149"/>
        <v>0</v>
      </c>
      <c r="AO478" s="668">
        <f t="shared" si="150"/>
        <v>0</v>
      </c>
      <c r="AP478" s="668">
        <f t="shared" si="155"/>
        <v>0</v>
      </c>
      <c r="AQ478" s="668">
        <f t="shared" si="151"/>
        <v>0</v>
      </c>
      <c r="AR478" s="668">
        <f t="shared" si="152"/>
        <v>0</v>
      </c>
      <c r="AS478" s="668"/>
      <c r="AT478" s="668"/>
      <c r="AU478" s="668"/>
      <c r="AV478" s="668"/>
      <c r="AW478" s="668"/>
      <c r="AX478" s="668"/>
      <c r="AY478" s="668"/>
      <c r="AZ478" s="668"/>
      <c r="BA478" s="668"/>
      <c r="BB478" s="668">
        <f t="shared" si="156"/>
        <v>0</v>
      </c>
      <c r="BC478" s="668"/>
      <c r="BD478" s="668"/>
      <c r="BE478" s="668"/>
      <c r="BF478" s="668"/>
      <c r="BG478" s="668"/>
      <c r="BH478" s="668"/>
      <c r="BI478" s="668"/>
    </row>
    <row r="479" spans="1:61" x14ac:dyDescent="0.2">
      <c r="A479" s="1020" t="s">
        <v>710</v>
      </c>
      <c r="B479" s="1020" t="s">
        <v>543</v>
      </c>
      <c r="C479" s="1020"/>
      <c r="D479" s="667"/>
      <c r="E479" s="667"/>
      <c r="F479" s="667"/>
      <c r="G479" s="667"/>
      <c r="H479" s="667"/>
      <c r="I479" s="667"/>
      <c r="J479" s="667"/>
      <c r="K479" s="667"/>
      <c r="L479" s="667"/>
      <c r="M479" s="667"/>
      <c r="N479" s="667"/>
      <c r="O479" s="667"/>
      <c r="P479" s="667"/>
      <c r="Q479" s="667"/>
      <c r="R479" s="667"/>
      <c r="S479" s="667"/>
      <c r="T479" s="667"/>
      <c r="U479" s="1020"/>
      <c r="V479" s="668">
        <f t="shared" si="138"/>
        <v>0</v>
      </c>
      <c r="W479" s="668">
        <f t="shared" si="139"/>
        <v>0</v>
      </c>
      <c r="X479" s="668">
        <f t="shared" si="140"/>
        <v>0</v>
      </c>
      <c r="Y479" s="668">
        <f t="shared" si="141"/>
        <v>0</v>
      </c>
      <c r="Z479" s="668">
        <f t="shared" si="142"/>
        <v>0</v>
      </c>
      <c r="AA479" s="668">
        <f t="shared" si="143"/>
        <v>0</v>
      </c>
      <c r="AB479" s="668">
        <f t="shared" si="144"/>
        <v>0</v>
      </c>
      <c r="AC479" s="668">
        <f t="shared" si="153"/>
        <v>0</v>
      </c>
      <c r="AD479" s="668">
        <f t="shared" si="145"/>
        <v>0</v>
      </c>
      <c r="AE479" s="668">
        <f t="shared" si="146"/>
        <v>0</v>
      </c>
      <c r="AF479" s="668">
        <f t="shared" si="147"/>
        <v>0</v>
      </c>
      <c r="AG479" s="668">
        <f t="shared" si="148"/>
        <v>0</v>
      </c>
      <c r="AH479" s="668"/>
      <c r="AI479" s="668"/>
      <c r="AJ479" s="668"/>
      <c r="AK479" s="668"/>
      <c r="AL479" s="668"/>
      <c r="AM479" s="668">
        <f t="shared" si="154"/>
        <v>0</v>
      </c>
      <c r="AN479" s="668">
        <f t="shared" si="149"/>
        <v>0</v>
      </c>
      <c r="AO479" s="668">
        <f t="shared" si="150"/>
        <v>0</v>
      </c>
      <c r="AP479" s="668">
        <f t="shared" si="155"/>
        <v>0</v>
      </c>
      <c r="AQ479" s="668">
        <f t="shared" si="151"/>
        <v>0</v>
      </c>
      <c r="AR479" s="668">
        <f t="shared" si="152"/>
        <v>0</v>
      </c>
      <c r="AS479" s="668"/>
      <c r="AT479" s="668"/>
      <c r="AU479" s="668"/>
      <c r="AV479" s="668"/>
      <c r="AW479" s="668"/>
      <c r="AX479" s="668"/>
      <c r="AY479" s="668"/>
      <c r="AZ479" s="668"/>
      <c r="BA479" s="668"/>
      <c r="BB479" s="668">
        <f t="shared" si="156"/>
        <v>0</v>
      </c>
      <c r="BC479" s="668"/>
      <c r="BD479" s="668"/>
      <c r="BE479" s="668"/>
      <c r="BF479" s="668"/>
      <c r="BG479" s="668"/>
      <c r="BH479" s="668"/>
      <c r="BI479" s="668"/>
    </row>
    <row r="480" spans="1:61" x14ac:dyDescent="0.2">
      <c r="A480" s="1020" t="s">
        <v>711</v>
      </c>
      <c r="B480" s="1020" t="s">
        <v>466</v>
      </c>
      <c r="C480" s="1020"/>
      <c r="D480" s="667">
        <v>28</v>
      </c>
      <c r="E480" s="667"/>
      <c r="F480" s="667"/>
      <c r="G480" s="667"/>
      <c r="H480" s="667"/>
      <c r="I480" s="667"/>
      <c r="J480" s="667"/>
      <c r="K480" s="667"/>
      <c r="L480" s="667"/>
      <c r="M480" s="667"/>
      <c r="N480" s="667"/>
      <c r="O480" s="667"/>
      <c r="P480" s="667"/>
      <c r="Q480" s="667"/>
      <c r="R480" s="667"/>
      <c r="S480" s="667"/>
      <c r="T480" s="667"/>
      <c r="U480" s="1020">
        <v>3</v>
      </c>
      <c r="V480" s="668">
        <f t="shared" si="138"/>
        <v>84</v>
      </c>
      <c r="W480" s="668">
        <f t="shared" si="139"/>
        <v>0</v>
      </c>
      <c r="X480" s="668">
        <f t="shared" si="140"/>
        <v>0</v>
      </c>
      <c r="Y480" s="668">
        <f t="shared" si="141"/>
        <v>0</v>
      </c>
      <c r="Z480" s="668">
        <f t="shared" si="142"/>
        <v>0</v>
      </c>
      <c r="AA480" s="668">
        <f t="shared" si="143"/>
        <v>0</v>
      </c>
      <c r="AB480" s="668">
        <f t="shared" si="144"/>
        <v>0</v>
      </c>
      <c r="AC480" s="668">
        <f t="shared" si="153"/>
        <v>0</v>
      </c>
      <c r="AD480" s="668">
        <f t="shared" si="145"/>
        <v>0</v>
      </c>
      <c r="AE480" s="668">
        <f t="shared" si="146"/>
        <v>0</v>
      </c>
      <c r="AF480" s="668">
        <f t="shared" si="147"/>
        <v>0</v>
      </c>
      <c r="AG480" s="668">
        <f t="shared" si="148"/>
        <v>0</v>
      </c>
      <c r="AH480" s="668"/>
      <c r="AI480" s="668"/>
      <c r="AJ480" s="668"/>
      <c r="AK480" s="668"/>
      <c r="AL480" s="668"/>
      <c r="AM480" s="668">
        <f t="shared" si="154"/>
        <v>0</v>
      </c>
      <c r="AN480" s="668">
        <f t="shared" si="149"/>
        <v>0</v>
      </c>
      <c r="AO480" s="668">
        <f t="shared" si="150"/>
        <v>0</v>
      </c>
      <c r="AP480" s="668">
        <f t="shared" si="155"/>
        <v>0</v>
      </c>
      <c r="AQ480" s="668">
        <f t="shared" si="151"/>
        <v>0</v>
      </c>
      <c r="AR480" s="668">
        <f t="shared" si="152"/>
        <v>0</v>
      </c>
      <c r="AS480" s="668"/>
      <c r="AT480" s="668"/>
      <c r="AU480" s="668"/>
      <c r="AV480" s="668"/>
      <c r="AW480" s="668"/>
      <c r="AX480" s="668"/>
      <c r="AY480" s="668"/>
      <c r="AZ480" s="668"/>
      <c r="BA480" s="668"/>
      <c r="BB480" s="668">
        <f t="shared" si="156"/>
        <v>0</v>
      </c>
      <c r="BC480" s="668"/>
      <c r="BD480" s="668"/>
      <c r="BE480" s="668"/>
      <c r="BF480" s="668"/>
      <c r="BG480" s="668"/>
      <c r="BH480" s="668"/>
      <c r="BI480" s="668"/>
    </row>
    <row r="481" spans="1:61" x14ac:dyDescent="0.2">
      <c r="A481" s="1020" t="s">
        <v>712</v>
      </c>
      <c r="B481" s="1020" t="s">
        <v>466</v>
      </c>
      <c r="C481" s="1020"/>
      <c r="D481" s="667">
        <v>28</v>
      </c>
      <c r="E481" s="667"/>
      <c r="F481" s="667"/>
      <c r="G481" s="667"/>
      <c r="H481" s="667"/>
      <c r="I481" s="667"/>
      <c r="J481" s="667"/>
      <c r="K481" s="667"/>
      <c r="L481" s="667"/>
      <c r="M481" s="667"/>
      <c r="N481" s="667"/>
      <c r="O481" s="667"/>
      <c r="P481" s="667"/>
      <c r="Q481" s="667"/>
      <c r="R481" s="667"/>
      <c r="S481" s="667"/>
      <c r="T481" s="667"/>
      <c r="U481" s="1020">
        <v>3</v>
      </c>
      <c r="V481" s="668">
        <f t="shared" si="138"/>
        <v>84</v>
      </c>
      <c r="W481" s="668">
        <f t="shared" si="139"/>
        <v>0</v>
      </c>
      <c r="X481" s="668">
        <f t="shared" si="140"/>
        <v>0</v>
      </c>
      <c r="Y481" s="668">
        <f t="shared" si="141"/>
        <v>0</v>
      </c>
      <c r="Z481" s="668">
        <f t="shared" si="142"/>
        <v>0</v>
      </c>
      <c r="AA481" s="668">
        <f t="shared" si="143"/>
        <v>0</v>
      </c>
      <c r="AB481" s="668">
        <f t="shared" si="144"/>
        <v>0</v>
      </c>
      <c r="AC481" s="668">
        <f t="shared" si="153"/>
        <v>0</v>
      </c>
      <c r="AD481" s="668">
        <f t="shared" si="145"/>
        <v>0</v>
      </c>
      <c r="AE481" s="668">
        <f t="shared" si="146"/>
        <v>0</v>
      </c>
      <c r="AF481" s="668">
        <f t="shared" si="147"/>
        <v>0</v>
      </c>
      <c r="AG481" s="668">
        <f t="shared" si="148"/>
        <v>0</v>
      </c>
      <c r="AH481" s="668"/>
      <c r="AI481" s="668"/>
      <c r="AJ481" s="668"/>
      <c r="AK481" s="668"/>
      <c r="AL481" s="668"/>
      <c r="AM481" s="668">
        <f t="shared" si="154"/>
        <v>0</v>
      </c>
      <c r="AN481" s="668">
        <f t="shared" si="149"/>
        <v>0</v>
      </c>
      <c r="AO481" s="668">
        <f t="shared" si="150"/>
        <v>0</v>
      </c>
      <c r="AP481" s="668">
        <f t="shared" si="155"/>
        <v>0</v>
      </c>
      <c r="AQ481" s="668">
        <f t="shared" si="151"/>
        <v>0</v>
      </c>
      <c r="AR481" s="668">
        <f t="shared" si="152"/>
        <v>0</v>
      </c>
      <c r="AS481" s="668"/>
      <c r="AT481" s="668"/>
      <c r="AU481" s="668"/>
      <c r="AV481" s="668"/>
      <c r="AW481" s="668"/>
      <c r="AX481" s="668"/>
      <c r="AY481" s="668"/>
      <c r="AZ481" s="668"/>
      <c r="BA481" s="668"/>
      <c r="BB481" s="668">
        <f t="shared" si="156"/>
        <v>0</v>
      </c>
      <c r="BC481" s="668"/>
      <c r="BD481" s="668"/>
      <c r="BE481" s="668"/>
      <c r="BF481" s="668"/>
      <c r="BG481" s="668"/>
      <c r="BH481" s="668"/>
      <c r="BI481" s="668"/>
    </row>
    <row r="482" spans="1:61" x14ac:dyDescent="0.2">
      <c r="A482" s="1020" t="s">
        <v>713</v>
      </c>
      <c r="B482" s="1020" t="s">
        <v>467</v>
      </c>
      <c r="C482" s="1020"/>
      <c r="D482" s="667">
        <v>28</v>
      </c>
      <c r="E482" s="667"/>
      <c r="F482" s="667"/>
      <c r="G482" s="667"/>
      <c r="H482" s="667"/>
      <c r="I482" s="667"/>
      <c r="J482" s="667"/>
      <c r="K482" s="667"/>
      <c r="L482" s="667"/>
      <c r="M482" s="667"/>
      <c r="N482" s="667"/>
      <c r="O482" s="667"/>
      <c r="P482" s="667"/>
      <c r="Q482" s="667"/>
      <c r="R482" s="667"/>
      <c r="S482" s="667"/>
      <c r="T482" s="667"/>
      <c r="U482" s="1020">
        <v>3</v>
      </c>
      <c r="V482" s="668">
        <f t="shared" si="138"/>
        <v>84</v>
      </c>
      <c r="W482" s="668">
        <f t="shared" si="139"/>
        <v>0</v>
      </c>
      <c r="X482" s="668">
        <f t="shared" si="140"/>
        <v>0</v>
      </c>
      <c r="Y482" s="668">
        <f t="shared" si="141"/>
        <v>0</v>
      </c>
      <c r="Z482" s="668">
        <f t="shared" si="142"/>
        <v>0</v>
      </c>
      <c r="AA482" s="668">
        <f t="shared" si="143"/>
        <v>0</v>
      </c>
      <c r="AB482" s="668">
        <f t="shared" si="144"/>
        <v>0</v>
      </c>
      <c r="AC482" s="668">
        <f t="shared" si="153"/>
        <v>0</v>
      </c>
      <c r="AD482" s="668">
        <f t="shared" si="145"/>
        <v>0</v>
      </c>
      <c r="AE482" s="668">
        <f t="shared" si="146"/>
        <v>0</v>
      </c>
      <c r="AF482" s="668">
        <f t="shared" si="147"/>
        <v>0</v>
      </c>
      <c r="AG482" s="668">
        <f t="shared" si="148"/>
        <v>0</v>
      </c>
      <c r="AH482" s="668"/>
      <c r="AI482" s="668"/>
      <c r="AJ482" s="668"/>
      <c r="AK482" s="668"/>
      <c r="AL482" s="668"/>
      <c r="AM482" s="668">
        <f t="shared" si="154"/>
        <v>0</v>
      </c>
      <c r="AN482" s="668">
        <f t="shared" si="149"/>
        <v>0</v>
      </c>
      <c r="AO482" s="668">
        <f t="shared" si="150"/>
        <v>0</v>
      </c>
      <c r="AP482" s="668">
        <f t="shared" si="155"/>
        <v>0</v>
      </c>
      <c r="AQ482" s="668">
        <f t="shared" si="151"/>
        <v>0</v>
      </c>
      <c r="AR482" s="668">
        <f t="shared" si="152"/>
        <v>0</v>
      </c>
      <c r="AS482" s="668"/>
      <c r="AT482" s="668"/>
      <c r="AU482" s="668"/>
      <c r="AV482" s="668"/>
      <c r="AW482" s="668"/>
      <c r="AX482" s="668"/>
      <c r="AY482" s="668"/>
      <c r="AZ482" s="668"/>
      <c r="BA482" s="668"/>
      <c r="BB482" s="668">
        <f t="shared" si="156"/>
        <v>0</v>
      </c>
      <c r="BC482" s="668"/>
      <c r="BD482" s="668"/>
      <c r="BE482" s="668"/>
      <c r="BF482" s="668"/>
      <c r="BG482" s="668"/>
      <c r="BH482" s="668"/>
      <c r="BI482" s="668"/>
    </row>
    <row r="483" spans="1:61" x14ac:dyDescent="0.2">
      <c r="A483" s="1020" t="s">
        <v>714</v>
      </c>
      <c r="B483" s="1020" t="s">
        <v>467</v>
      </c>
      <c r="C483" s="1020"/>
      <c r="D483" s="667">
        <v>28</v>
      </c>
      <c r="E483" s="667"/>
      <c r="F483" s="667"/>
      <c r="G483" s="667"/>
      <c r="H483" s="667"/>
      <c r="I483" s="667"/>
      <c r="J483" s="667"/>
      <c r="K483" s="667"/>
      <c r="L483" s="667"/>
      <c r="M483" s="667"/>
      <c r="N483" s="667"/>
      <c r="O483" s="667"/>
      <c r="P483" s="667"/>
      <c r="Q483" s="667"/>
      <c r="R483" s="667"/>
      <c r="S483" s="667"/>
      <c r="T483" s="667"/>
      <c r="U483" s="1020">
        <v>3</v>
      </c>
      <c r="V483" s="668">
        <f t="shared" si="138"/>
        <v>84</v>
      </c>
      <c r="W483" s="668">
        <f t="shared" si="139"/>
        <v>0</v>
      </c>
      <c r="X483" s="668">
        <f t="shared" si="140"/>
        <v>0</v>
      </c>
      <c r="Y483" s="668">
        <f t="shared" si="141"/>
        <v>0</v>
      </c>
      <c r="Z483" s="668">
        <f t="shared" si="142"/>
        <v>0</v>
      </c>
      <c r="AA483" s="668">
        <f t="shared" si="143"/>
        <v>0</v>
      </c>
      <c r="AB483" s="668">
        <f t="shared" si="144"/>
        <v>0</v>
      </c>
      <c r="AC483" s="668">
        <f t="shared" si="153"/>
        <v>0</v>
      </c>
      <c r="AD483" s="668">
        <f t="shared" si="145"/>
        <v>0</v>
      </c>
      <c r="AE483" s="668">
        <f t="shared" si="146"/>
        <v>0</v>
      </c>
      <c r="AF483" s="668">
        <f t="shared" si="147"/>
        <v>0</v>
      </c>
      <c r="AG483" s="668">
        <f t="shared" si="148"/>
        <v>0</v>
      </c>
      <c r="AH483" s="668"/>
      <c r="AI483" s="668"/>
      <c r="AJ483" s="668"/>
      <c r="AK483" s="668"/>
      <c r="AL483" s="668"/>
      <c r="AM483" s="668">
        <f t="shared" si="154"/>
        <v>0</v>
      </c>
      <c r="AN483" s="668">
        <f t="shared" si="149"/>
        <v>0</v>
      </c>
      <c r="AO483" s="668">
        <f t="shared" si="150"/>
        <v>0</v>
      </c>
      <c r="AP483" s="668">
        <f t="shared" si="155"/>
        <v>0</v>
      </c>
      <c r="AQ483" s="668">
        <f t="shared" si="151"/>
        <v>0</v>
      </c>
      <c r="AR483" s="668">
        <f t="shared" si="152"/>
        <v>0</v>
      </c>
      <c r="AS483" s="668"/>
      <c r="AT483" s="668"/>
      <c r="AU483" s="668"/>
      <c r="AV483" s="668"/>
      <c r="AW483" s="668"/>
      <c r="AX483" s="668"/>
      <c r="AY483" s="668"/>
      <c r="AZ483" s="668"/>
      <c r="BA483" s="668"/>
      <c r="BB483" s="668">
        <f t="shared" si="156"/>
        <v>0</v>
      </c>
      <c r="BC483" s="668"/>
      <c r="BD483" s="668"/>
      <c r="BE483" s="668"/>
      <c r="BF483" s="668"/>
      <c r="BG483" s="668"/>
      <c r="BH483" s="668"/>
      <c r="BI483" s="668"/>
    </row>
    <row r="484" spans="1:61" x14ac:dyDescent="0.2">
      <c r="A484" s="1020">
        <v>3006</v>
      </c>
      <c r="B484" s="1020" t="s">
        <v>534</v>
      </c>
      <c r="C484" s="1020"/>
      <c r="D484" s="667"/>
      <c r="E484" s="667"/>
      <c r="F484" s="667"/>
      <c r="G484" s="667"/>
      <c r="H484" s="667"/>
      <c r="I484" s="667"/>
      <c r="J484" s="667"/>
      <c r="K484" s="667"/>
      <c r="L484" s="667"/>
      <c r="M484" s="667"/>
      <c r="N484" s="667"/>
      <c r="O484" s="667"/>
      <c r="P484" s="667"/>
      <c r="Q484" s="667"/>
      <c r="R484" s="667"/>
      <c r="S484" s="667"/>
      <c r="T484" s="667"/>
      <c r="U484" s="1020"/>
      <c r="V484" s="668">
        <f t="shared" si="138"/>
        <v>0</v>
      </c>
      <c r="W484" s="668">
        <f t="shared" si="139"/>
        <v>0</v>
      </c>
      <c r="X484" s="668">
        <f t="shared" si="140"/>
        <v>0</v>
      </c>
      <c r="Y484" s="668">
        <f t="shared" si="141"/>
        <v>0</v>
      </c>
      <c r="Z484" s="668">
        <f t="shared" si="142"/>
        <v>0</v>
      </c>
      <c r="AA484" s="668">
        <f t="shared" si="143"/>
        <v>0</v>
      </c>
      <c r="AB484" s="668">
        <f t="shared" si="144"/>
        <v>0</v>
      </c>
      <c r="AC484" s="668">
        <f t="shared" si="153"/>
        <v>0</v>
      </c>
      <c r="AD484" s="668">
        <f t="shared" si="145"/>
        <v>0</v>
      </c>
      <c r="AE484" s="668">
        <f t="shared" si="146"/>
        <v>0</v>
      </c>
      <c r="AF484" s="668">
        <f t="shared" si="147"/>
        <v>0</v>
      </c>
      <c r="AG484" s="668">
        <f t="shared" si="148"/>
        <v>0</v>
      </c>
      <c r="AH484" s="668"/>
      <c r="AI484" s="668"/>
      <c r="AJ484" s="668"/>
      <c r="AK484" s="668"/>
      <c r="AL484" s="668"/>
      <c r="AM484" s="668">
        <f t="shared" si="154"/>
        <v>0</v>
      </c>
      <c r="AN484" s="668">
        <f t="shared" si="149"/>
        <v>0</v>
      </c>
      <c r="AO484" s="668">
        <f t="shared" si="150"/>
        <v>0</v>
      </c>
      <c r="AP484" s="668">
        <f t="shared" si="155"/>
        <v>0</v>
      </c>
      <c r="AQ484" s="668">
        <f t="shared" si="151"/>
        <v>0</v>
      </c>
      <c r="AR484" s="668">
        <f t="shared" si="152"/>
        <v>0</v>
      </c>
      <c r="AS484" s="668"/>
      <c r="AT484" s="668"/>
      <c r="AU484" s="668"/>
      <c r="AV484" s="668"/>
      <c r="AW484" s="668"/>
      <c r="AX484" s="668"/>
      <c r="AY484" s="668"/>
      <c r="AZ484" s="668"/>
      <c r="BA484" s="668"/>
      <c r="BB484" s="668">
        <f t="shared" si="156"/>
        <v>0</v>
      </c>
      <c r="BC484" s="668"/>
      <c r="BD484" s="668"/>
      <c r="BE484" s="668"/>
      <c r="BF484" s="668"/>
      <c r="BG484" s="668"/>
      <c r="BH484" s="668"/>
      <c r="BI484" s="668"/>
    </row>
    <row r="485" spans="1:61" x14ac:dyDescent="0.2">
      <c r="A485" s="1020">
        <v>3007</v>
      </c>
      <c r="B485" s="1020" t="s">
        <v>715</v>
      </c>
      <c r="C485" s="1020"/>
      <c r="D485" s="667">
        <v>18</v>
      </c>
      <c r="E485" s="667">
        <v>38</v>
      </c>
      <c r="F485" s="667"/>
      <c r="G485" s="667"/>
      <c r="H485" s="667"/>
      <c r="I485" s="667">
        <f>+D485+E485</f>
        <v>56</v>
      </c>
      <c r="J485" s="667"/>
      <c r="K485" s="667"/>
      <c r="L485" s="667"/>
      <c r="M485" s="667"/>
      <c r="N485" s="667"/>
      <c r="O485" s="667"/>
      <c r="P485" s="667"/>
      <c r="Q485" s="667"/>
      <c r="R485" s="667"/>
      <c r="S485" s="667"/>
      <c r="T485" s="667"/>
      <c r="U485" s="1020">
        <v>12</v>
      </c>
      <c r="V485" s="668">
        <f t="shared" si="138"/>
        <v>216</v>
      </c>
      <c r="W485" s="668">
        <f t="shared" si="139"/>
        <v>0</v>
      </c>
      <c r="X485" s="668">
        <f t="shared" si="140"/>
        <v>0</v>
      </c>
      <c r="Y485" s="668">
        <f t="shared" si="141"/>
        <v>0</v>
      </c>
      <c r="Z485" s="668">
        <f t="shared" si="142"/>
        <v>0</v>
      </c>
      <c r="AA485" s="668">
        <f t="shared" si="143"/>
        <v>0</v>
      </c>
      <c r="AB485" s="668">
        <f t="shared" si="144"/>
        <v>0</v>
      </c>
      <c r="AC485" s="668">
        <f t="shared" si="153"/>
        <v>0</v>
      </c>
      <c r="AD485" s="668">
        <f t="shared" si="145"/>
        <v>0</v>
      </c>
      <c r="AE485" s="668">
        <f t="shared" si="146"/>
        <v>0</v>
      </c>
      <c r="AF485" s="668">
        <f t="shared" si="147"/>
        <v>0</v>
      </c>
      <c r="AG485" s="668">
        <f t="shared" si="148"/>
        <v>0</v>
      </c>
      <c r="AH485" s="668"/>
      <c r="AI485" s="668"/>
      <c r="AJ485" s="668"/>
      <c r="AK485" s="668"/>
      <c r="AL485" s="668"/>
      <c r="AM485" s="668">
        <f t="shared" si="154"/>
        <v>56</v>
      </c>
      <c r="AN485" s="668">
        <f t="shared" si="149"/>
        <v>456</v>
      </c>
      <c r="AO485" s="668">
        <f t="shared" si="150"/>
        <v>0</v>
      </c>
      <c r="AP485" s="668">
        <f t="shared" si="155"/>
        <v>0</v>
      </c>
      <c r="AQ485" s="668">
        <f t="shared" si="151"/>
        <v>0</v>
      </c>
      <c r="AR485" s="668">
        <f t="shared" si="152"/>
        <v>0</v>
      </c>
      <c r="AS485" s="668"/>
      <c r="AT485" s="668"/>
      <c r="AU485" s="668"/>
      <c r="AV485" s="668"/>
      <c r="AW485" s="668"/>
      <c r="AX485" s="668"/>
      <c r="AY485" s="668"/>
      <c r="AZ485" s="668"/>
      <c r="BA485" s="668"/>
      <c r="BB485" s="668">
        <f t="shared" si="156"/>
        <v>0</v>
      </c>
      <c r="BC485" s="668"/>
      <c r="BD485" s="668"/>
      <c r="BE485" s="668"/>
      <c r="BF485" s="668"/>
      <c r="BG485" s="668"/>
      <c r="BH485" s="668"/>
      <c r="BI485" s="668"/>
    </row>
    <row r="486" spans="1:61" x14ac:dyDescent="0.2">
      <c r="A486" s="1020">
        <v>3008</v>
      </c>
      <c r="B486" s="1020" t="s">
        <v>476</v>
      </c>
      <c r="C486" s="1020"/>
      <c r="D486" s="667">
        <v>50</v>
      </c>
      <c r="E486" s="667"/>
      <c r="F486" s="667"/>
      <c r="G486" s="667"/>
      <c r="H486" s="667"/>
      <c r="I486" s="667"/>
      <c r="J486" s="667"/>
      <c r="K486" s="667"/>
      <c r="L486" s="667">
        <v>2</v>
      </c>
      <c r="M486" s="667"/>
      <c r="N486" s="667"/>
      <c r="O486" s="667"/>
      <c r="P486" s="667"/>
      <c r="Q486" s="667"/>
      <c r="R486" s="667"/>
      <c r="S486" s="667"/>
      <c r="T486" s="667"/>
      <c r="U486" s="1020">
        <v>12</v>
      </c>
      <c r="V486" s="668">
        <f t="shared" si="138"/>
        <v>600</v>
      </c>
      <c r="W486" s="668">
        <f t="shared" si="139"/>
        <v>0</v>
      </c>
      <c r="X486" s="668">
        <f t="shared" si="140"/>
        <v>0</v>
      </c>
      <c r="Y486" s="668">
        <f t="shared" si="141"/>
        <v>0</v>
      </c>
      <c r="Z486" s="668">
        <f t="shared" si="142"/>
        <v>0</v>
      </c>
      <c r="AA486" s="668">
        <f t="shared" si="143"/>
        <v>0</v>
      </c>
      <c r="AB486" s="668">
        <f t="shared" si="144"/>
        <v>0</v>
      </c>
      <c r="AC486" s="668">
        <f t="shared" si="153"/>
        <v>0</v>
      </c>
      <c r="AD486" s="668">
        <f t="shared" si="145"/>
        <v>0</v>
      </c>
      <c r="AE486" s="668">
        <f t="shared" si="146"/>
        <v>0</v>
      </c>
      <c r="AF486" s="668">
        <f t="shared" si="147"/>
        <v>24</v>
      </c>
      <c r="AG486" s="668">
        <f t="shared" si="148"/>
        <v>0</v>
      </c>
      <c r="AH486" s="668"/>
      <c r="AI486" s="668"/>
      <c r="AJ486" s="668"/>
      <c r="AK486" s="668"/>
      <c r="AL486" s="668"/>
      <c r="AM486" s="668">
        <f t="shared" si="154"/>
        <v>0</v>
      </c>
      <c r="AN486" s="668">
        <f t="shared" si="149"/>
        <v>0</v>
      </c>
      <c r="AO486" s="668">
        <f t="shared" si="150"/>
        <v>0</v>
      </c>
      <c r="AP486" s="668">
        <f t="shared" si="155"/>
        <v>0</v>
      </c>
      <c r="AQ486" s="668">
        <f t="shared" si="151"/>
        <v>0</v>
      </c>
      <c r="AR486" s="668">
        <f t="shared" si="152"/>
        <v>0</v>
      </c>
      <c r="AS486" s="668"/>
      <c r="AT486" s="668"/>
      <c r="AU486" s="668"/>
      <c r="AV486" s="668"/>
      <c r="AW486" s="668"/>
      <c r="AX486" s="668"/>
      <c r="AY486" s="668"/>
      <c r="AZ486" s="668"/>
      <c r="BA486" s="668"/>
      <c r="BB486" s="668">
        <f t="shared" si="156"/>
        <v>0</v>
      </c>
      <c r="BC486" s="668"/>
      <c r="BD486" s="668"/>
      <c r="BE486" s="668"/>
      <c r="BF486" s="668"/>
      <c r="BG486" s="668"/>
      <c r="BH486" s="668"/>
      <c r="BI486" s="668"/>
    </row>
    <row r="487" spans="1:61" x14ac:dyDescent="0.2">
      <c r="A487" s="1020">
        <v>3009</v>
      </c>
      <c r="B487" s="1020"/>
      <c r="C487" s="1020"/>
      <c r="D487" s="667"/>
      <c r="E487" s="667"/>
      <c r="F487" s="667"/>
      <c r="G487" s="667"/>
      <c r="H487" s="667"/>
      <c r="I487" s="667"/>
      <c r="J487" s="667"/>
      <c r="K487" s="667"/>
      <c r="L487" s="667"/>
      <c r="M487" s="667"/>
      <c r="N487" s="667"/>
      <c r="O487" s="667"/>
      <c r="P487" s="667"/>
      <c r="Q487" s="667"/>
      <c r="R487" s="667"/>
      <c r="S487" s="667"/>
      <c r="T487" s="667"/>
      <c r="U487" s="1020"/>
      <c r="V487" s="668">
        <f t="shared" si="138"/>
        <v>0</v>
      </c>
      <c r="W487" s="668">
        <f t="shared" si="139"/>
        <v>0</v>
      </c>
      <c r="X487" s="668">
        <f t="shared" si="140"/>
        <v>0</v>
      </c>
      <c r="Y487" s="668">
        <f t="shared" si="141"/>
        <v>0</v>
      </c>
      <c r="Z487" s="668">
        <f t="shared" si="142"/>
        <v>0</v>
      </c>
      <c r="AA487" s="668">
        <f t="shared" si="143"/>
        <v>0</v>
      </c>
      <c r="AB487" s="668">
        <f t="shared" si="144"/>
        <v>0</v>
      </c>
      <c r="AC487" s="668">
        <f t="shared" si="153"/>
        <v>0</v>
      </c>
      <c r="AD487" s="668">
        <f t="shared" si="145"/>
        <v>0</v>
      </c>
      <c r="AE487" s="668">
        <f t="shared" si="146"/>
        <v>0</v>
      </c>
      <c r="AF487" s="668">
        <f t="shared" si="147"/>
        <v>0</v>
      </c>
      <c r="AG487" s="668">
        <f t="shared" si="148"/>
        <v>0</v>
      </c>
      <c r="AH487" s="668"/>
      <c r="AI487" s="668"/>
      <c r="AJ487" s="668"/>
      <c r="AK487" s="668"/>
      <c r="AL487" s="668"/>
      <c r="AM487" s="668">
        <f t="shared" si="154"/>
        <v>0</v>
      </c>
      <c r="AN487" s="668">
        <f t="shared" si="149"/>
        <v>0</v>
      </c>
      <c r="AO487" s="668">
        <f t="shared" si="150"/>
        <v>0</v>
      </c>
      <c r="AP487" s="668">
        <f t="shared" si="155"/>
        <v>0</v>
      </c>
      <c r="AQ487" s="668">
        <f t="shared" si="151"/>
        <v>0</v>
      </c>
      <c r="AR487" s="668">
        <f t="shared" si="152"/>
        <v>0</v>
      </c>
      <c r="AS487" s="668"/>
      <c r="AT487" s="668"/>
      <c r="AU487" s="668"/>
      <c r="AV487" s="668"/>
      <c r="AW487" s="668"/>
      <c r="AX487" s="668"/>
      <c r="AY487" s="668"/>
      <c r="AZ487" s="668"/>
      <c r="BA487" s="668"/>
      <c r="BB487" s="668">
        <f t="shared" si="156"/>
        <v>0</v>
      </c>
      <c r="BC487" s="668"/>
      <c r="BD487" s="668"/>
      <c r="BE487" s="668"/>
      <c r="BF487" s="668"/>
      <c r="BG487" s="668"/>
      <c r="BH487" s="668"/>
      <c r="BI487" s="668"/>
    </row>
    <row r="488" spans="1:61" x14ac:dyDescent="0.2">
      <c r="A488" s="1020">
        <v>3010</v>
      </c>
      <c r="B488" s="1020" t="s">
        <v>716</v>
      </c>
      <c r="C488" s="1020"/>
      <c r="D488" s="667">
        <v>45</v>
      </c>
      <c r="E488" s="667"/>
      <c r="F488" s="667"/>
      <c r="G488" s="667"/>
      <c r="H488" s="667"/>
      <c r="I488" s="667"/>
      <c r="J488" s="667"/>
      <c r="K488" s="667"/>
      <c r="L488" s="667"/>
      <c r="M488" s="667"/>
      <c r="N488" s="667"/>
      <c r="O488" s="667"/>
      <c r="P488" s="667"/>
      <c r="Q488" s="667"/>
      <c r="R488" s="667"/>
      <c r="S488" s="667"/>
      <c r="T488" s="667"/>
      <c r="U488" s="1020">
        <v>12</v>
      </c>
      <c r="V488" s="668">
        <f t="shared" si="138"/>
        <v>540</v>
      </c>
      <c r="W488" s="668">
        <f t="shared" si="139"/>
        <v>0</v>
      </c>
      <c r="X488" s="668">
        <f t="shared" si="140"/>
        <v>0</v>
      </c>
      <c r="Y488" s="668">
        <f t="shared" si="141"/>
        <v>0</v>
      </c>
      <c r="Z488" s="668">
        <f t="shared" si="142"/>
        <v>0</v>
      </c>
      <c r="AA488" s="668">
        <f t="shared" si="143"/>
        <v>0</v>
      </c>
      <c r="AB488" s="668">
        <f t="shared" si="144"/>
        <v>0</v>
      </c>
      <c r="AC488" s="668">
        <f t="shared" si="153"/>
        <v>0</v>
      </c>
      <c r="AD488" s="668">
        <f t="shared" si="145"/>
        <v>0</v>
      </c>
      <c r="AE488" s="668">
        <f t="shared" si="146"/>
        <v>0</v>
      </c>
      <c r="AF488" s="668">
        <f t="shared" si="147"/>
        <v>0</v>
      </c>
      <c r="AG488" s="668">
        <f t="shared" si="148"/>
        <v>0</v>
      </c>
      <c r="AH488" s="668"/>
      <c r="AI488" s="668"/>
      <c r="AJ488" s="668"/>
      <c r="AK488" s="668"/>
      <c r="AL488" s="668"/>
      <c r="AM488" s="668">
        <f t="shared" si="154"/>
        <v>0</v>
      </c>
      <c r="AN488" s="668">
        <f t="shared" si="149"/>
        <v>0</v>
      </c>
      <c r="AO488" s="668">
        <f t="shared" si="150"/>
        <v>0</v>
      </c>
      <c r="AP488" s="668">
        <f t="shared" si="155"/>
        <v>0</v>
      </c>
      <c r="AQ488" s="668">
        <f t="shared" si="151"/>
        <v>0</v>
      </c>
      <c r="AR488" s="668">
        <f t="shared" si="152"/>
        <v>0</v>
      </c>
      <c r="AS488" s="668"/>
      <c r="AT488" s="668"/>
      <c r="AU488" s="668"/>
      <c r="AV488" s="668"/>
      <c r="AW488" s="668"/>
      <c r="AX488" s="668"/>
      <c r="AY488" s="668"/>
      <c r="AZ488" s="668"/>
      <c r="BA488" s="668"/>
      <c r="BB488" s="668">
        <f t="shared" si="156"/>
        <v>0</v>
      </c>
      <c r="BC488" s="668"/>
      <c r="BD488" s="668"/>
      <c r="BE488" s="668"/>
      <c r="BF488" s="668"/>
      <c r="BG488" s="668"/>
      <c r="BH488" s="668"/>
      <c r="BI488" s="668"/>
    </row>
    <row r="489" spans="1:61" x14ac:dyDescent="0.2">
      <c r="A489" s="1020">
        <v>3011</v>
      </c>
      <c r="B489" s="1020" t="s">
        <v>515</v>
      </c>
      <c r="C489" s="1020"/>
      <c r="D489" s="667">
        <v>200</v>
      </c>
      <c r="E489" s="667"/>
      <c r="F489" s="667">
        <v>50</v>
      </c>
      <c r="G489" s="667"/>
      <c r="H489" s="667"/>
      <c r="I489" s="667"/>
      <c r="J489" s="667"/>
      <c r="K489" s="667"/>
      <c r="L489" s="667"/>
      <c r="M489" s="667"/>
      <c r="N489" s="667"/>
      <c r="O489" s="667"/>
      <c r="P489" s="667"/>
      <c r="Q489" s="667"/>
      <c r="R489" s="667"/>
      <c r="S489" s="667"/>
      <c r="T489" s="667">
        <v>1650</v>
      </c>
      <c r="U489" s="1020">
        <v>12</v>
      </c>
      <c r="V489" s="668">
        <f t="shared" si="138"/>
        <v>2400</v>
      </c>
      <c r="W489" s="668">
        <f t="shared" si="139"/>
        <v>0</v>
      </c>
      <c r="X489" s="668">
        <f t="shared" si="140"/>
        <v>0</v>
      </c>
      <c r="Y489" s="668">
        <f t="shared" si="141"/>
        <v>0</v>
      </c>
      <c r="Z489" s="668">
        <f t="shared" si="142"/>
        <v>0</v>
      </c>
      <c r="AA489" s="668">
        <f t="shared" si="143"/>
        <v>0</v>
      </c>
      <c r="AB489" s="668">
        <f t="shared" si="144"/>
        <v>1650</v>
      </c>
      <c r="AC489" s="668">
        <f t="shared" si="153"/>
        <v>0</v>
      </c>
      <c r="AD489" s="668">
        <f t="shared" si="145"/>
        <v>0</v>
      </c>
      <c r="AE489" s="668">
        <f t="shared" si="146"/>
        <v>0</v>
      </c>
      <c r="AF489" s="668">
        <f t="shared" si="147"/>
        <v>0</v>
      </c>
      <c r="AG489" s="668">
        <f t="shared" si="148"/>
        <v>0</v>
      </c>
      <c r="AH489" s="668"/>
      <c r="AI489" s="668"/>
      <c r="AJ489" s="668"/>
      <c r="AK489" s="668"/>
      <c r="AL489" s="668"/>
      <c r="AM489" s="668">
        <f t="shared" si="154"/>
        <v>0</v>
      </c>
      <c r="AN489" s="668">
        <f t="shared" si="149"/>
        <v>0</v>
      </c>
      <c r="AO489" s="668">
        <f t="shared" si="150"/>
        <v>0</v>
      </c>
      <c r="AP489" s="668">
        <f t="shared" si="155"/>
        <v>600</v>
      </c>
      <c r="AQ489" s="668">
        <f t="shared" si="151"/>
        <v>0</v>
      </c>
      <c r="AR489" s="668">
        <f t="shared" si="152"/>
        <v>0</v>
      </c>
      <c r="AS489" s="668"/>
      <c r="AT489" s="668"/>
      <c r="AU489" s="668"/>
      <c r="AV489" s="668"/>
      <c r="AW489" s="668"/>
      <c r="AX489" s="668"/>
      <c r="AY489" s="668"/>
      <c r="AZ489" s="668"/>
      <c r="BA489" s="668"/>
      <c r="BB489" s="668"/>
      <c r="BC489" s="668"/>
      <c r="BD489" s="668"/>
      <c r="BE489" s="668"/>
      <c r="BF489" s="668"/>
      <c r="BG489" s="668"/>
      <c r="BH489" s="668"/>
      <c r="BI489" s="668"/>
    </row>
    <row r="490" spans="1:61" x14ac:dyDescent="0.2">
      <c r="A490" s="1020">
        <v>3012</v>
      </c>
      <c r="B490" s="1020" t="s">
        <v>672</v>
      </c>
      <c r="C490" s="1020"/>
      <c r="D490" s="667">
        <v>35</v>
      </c>
      <c r="E490" s="667"/>
      <c r="F490" s="667">
        <v>15</v>
      </c>
      <c r="G490" s="667"/>
      <c r="H490" s="667"/>
      <c r="I490" s="667"/>
      <c r="J490" s="667"/>
      <c r="K490" s="667"/>
      <c r="L490" s="667"/>
      <c r="M490" s="667"/>
      <c r="N490" s="667"/>
      <c r="O490" s="667"/>
      <c r="P490" s="667"/>
      <c r="Q490" s="667"/>
      <c r="R490" s="667"/>
      <c r="S490" s="667"/>
      <c r="T490" s="667"/>
      <c r="U490" s="1020">
        <v>10</v>
      </c>
      <c r="V490" s="668">
        <f t="shared" si="138"/>
        <v>350</v>
      </c>
      <c r="W490" s="668">
        <f t="shared" si="139"/>
        <v>0</v>
      </c>
      <c r="X490" s="668">
        <f t="shared" si="140"/>
        <v>0</v>
      </c>
      <c r="Y490" s="668">
        <f t="shared" si="141"/>
        <v>0</v>
      </c>
      <c r="Z490" s="668">
        <f t="shared" si="142"/>
        <v>0</v>
      </c>
      <c r="AA490" s="668">
        <f t="shared" si="143"/>
        <v>0</v>
      </c>
      <c r="AB490" s="668">
        <f t="shared" si="144"/>
        <v>0</v>
      </c>
      <c r="AC490" s="668">
        <f t="shared" si="153"/>
        <v>0</v>
      </c>
      <c r="AD490" s="668">
        <f t="shared" si="145"/>
        <v>0</v>
      </c>
      <c r="AE490" s="668">
        <f t="shared" si="146"/>
        <v>0</v>
      </c>
      <c r="AF490" s="668">
        <f t="shared" si="147"/>
        <v>0</v>
      </c>
      <c r="AG490" s="668">
        <f t="shared" si="148"/>
        <v>0</v>
      </c>
      <c r="AH490" s="668"/>
      <c r="AI490" s="668"/>
      <c r="AJ490" s="668"/>
      <c r="AK490" s="668"/>
      <c r="AL490" s="668"/>
      <c r="AM490" s="668">
        <f t="shared" si="154"/>
        <v>0</v>
      </c>
      <c r="AN490" s="668">
        <f t="shared" si="149"/>
        <v>0</v>
      </c>
      <c r="AO490" s="668">
        <f t="shared" si="150"/>
        <v>0</v>
      </c>
      <c r="AP490" s="668">
        <f t="shared" si="155"/>
        <v>150</v>
      </c>
      <c r="AQ490" s="668">
        <f t="shared" si="151"/>
        <v>0</v>
      </c>
      <c r="AR490" s="668">
        <f t="shared" si="152"/>
        <v>0</v>
      </c>
      <c r="AS490" s="668"/>
      <c r="AT490" s="668"/>
      <c r="AU490" s="668"/>
      <c r="AV490" s="668"/>
      <c r="AW490" s="668"/>
      <c r="AX490" s="668"/>
      <c r="AY490" s="668"/>
      <c r="AZ490" s="668"/>
      <c r="BA490" s="668"/>
      <c r="BB490" s="668">
        <f t="shared" si="156"/>
        <v>150</v>
      </c>
      <c r="BC490" s="668"/>
      <c r="BD490" s="668"/>
      <c r="BE490" s="668"/>
      <c r="BF490" s="668"/>
      <c r="BG490" s="668"/>
      <c r="BH490" s="668"/>
      <c r="BI490" s="668"/>
    </row>
    <row r="491" spans="1:61" x14ac:dyDescent="0.2">
      <c r="A491" s="1020">
        <v>3013</v>
      </c>
      <c r="B491" s="1020" t="s">
        <v>682</v>
      </c>
      <c r="C491" s="1020"/>
      <c r="D491" s="667">
        <v>36</v>
      </c>
      <c r="E491" s="667"/>
      <c r="F491" s="667">
        <v>36</v>
      </c>
      <c r="G491" s="667"/>
      <c r="H491" s="667"/>
      <c r="I491" s="667"/>
      <c r="J491" s="667"/>
      <c r="K491" s="667"/>
      <c r="L491" s="667"/>
      <c r="M491" s="667"/>
      <c r="N491" s="667"/>
      <c r="O491" s="667"/>
      <c r="P491" s="667"/>
      <c r="Q491" s="667"/>
      <c r="R491" s="667"/>
      <c r="S491" s="667"/>
      <c r="T491" s="667"/>
      <c r="U491" s="1020">
        <v>10</v>
      </c>
      <c r="V491" s="668">
        <f t="shared" si="138"/>
        <v>360</v>
      </c>
      <c r="W491" s="668">
        <f t="shared" si="139"/>
        <v>0</v>
      </c>
      <c r="X491" s="668">
        <f t="shared" si="140"/>
        <v>0</v>
      </c>
      <c r="Y491" s="668">
        <f t="shared" si="141"/>
        <v>0</v>
      </c>
      <c r="Z491" s="668">
        <f t="shared" si="142"/>
        <v>0</v>
      </c>
      <c r="AA491" s="668">
        <f t="shared" si="143"/>
        <v>0</v>
      </c>
      <c r="AB491" s="668">
        <f t="shared" si="144"/>
        <v>0</v>
      </c>
      <c r="AC491" s="668">
        <f t="shared" si="153"/>
        <v>0</v>
      </c>
      <c r="AD491" s="668">
        <f t="shared" si="145"/>
        <v>0</v>
      </c>
      <c r="AE491" s="668">
        <f t="shared" si="146"/>
        <v>0</v>
      </c>
      <c r="AF491" s="668">
        <f t="shared" si="147"/>
        <v>0</v>
      </c>
      <c r="AG491" s="668">
        <f t="shared" si="148"/>
        <v>0</v>
      </c>
      <c r="AH491" s="668"/>
      <c r="AI491" s="668"/>
      <c r="AJ491" s="668"/>
      <c r="AK491" s="668"/>
      <c r="AL491" s="668"/>
      <c r="AM491" s="668">
        <f t="shared" si="154"/>
        <v>0</v>
      </c>
      <c r="AN491" s="668">
        <f t="shared" si="149"/>
        <v>0</v>
      </c>
      <c r="AO491" s="668">
        <f t="shared" si="150"/>
        <v>0</v>
      </c>
      <c r="AP491" s="668">
        <f t="shared" si="155"/>
        <v>360</v>
      </c>
      <c r="AQ491" s="668">
        <f t="shared" si="151"/>
        <v>0</v>
      </c>
      <c r="AR491" s="668">
        <f t="shared" si="152"/>
        <v>0</v>
      </c>
      <c r="AS491" s="668"/>
      <c r="AT491" s="668"/>
      <c r="AU491" s="668"/>
      <c r="AV491" s="668"/>
      <c r="AW491" s="668"/>
      <c r="AX491" s="668"/>
      <c r="AY491" s="668"/>
      <c r="AZ491" s="668"/>
      <c r="BA491" s="668"/>
      <c r="BB491" s="668">
        <f t="shared" si="156"/>
        <v>360</v>
      </c>
      <c r="BC491" s="668"/>
      <c r="BD491" s="668"/>
      <c r="BE491" s="668"/>
      <c r="BF491" s="668"/>
      <c r="BG491" s="668"/>
      <c r="BH491" s="668"/>
      <c r="BI491" s="668"/>
    </row>
    <row r="492" spans="1:61" x14ac:dyDescent="0.2">
      <c r="A492" s="1020">
        <v>3014</v>
      </c>
      <c r="B492" s="1020" t="s">
        <v>486</v>
      </c>
      <c r="C492" s="1020"/>
      <c r="D492" s="667">
        <v>24</v>
      </c>
      <c r="E492" s="667"/>
      <c r="F492" s="667"/>
      <c r="G492" s="667"/>
      <c r="H492" s="667"/>
      <c r="I492" s="667"/>
      <c r="J492" s="667"/>
      <c r="K492" s="667"/>
      <c r="L492" s="667"/>
      <c r="M492" s="667"/>
      <c r="N492" s="667"/>
      <c r="O492" s="667"/>
      <c r="P492" s="667"/>
      <c r="Q492" s="667"/>
      <c r="R492" s="667"/>
      <c r="S492" s="667"/>
      <c r="T492" s="667"/>
      <c r="U492" s="1020">
        <v>12</v>
      </c>
      <c r="V492" s="668">
        <f t="shared" si="138"/>
        <v>288</v>
      </c>
      <c r="W492" s="668">
        <f t="shared" si="139"/>
        <v>0</v>
      </c>
      <c r="X492" s="668">
        <f t="shared" si="140"/>
        <v>0</v>
      </c>
      <c r="Y492" s="668">
        <f t="shared" si="141"/>
        <v>0</v>
      </c>
      <c r="Z492" s="668">
        <f t="shared" si="142"/>
        <v>0</v>
      </c>
      <c r="AA492" s="668">
        <f t="shared" si="143"/>
        <v>0</v>
      </c>
      <c r="AB492" s="668">
        <f t="shared" si="144"/>
        <v>0</v>
      </c>
      <c r="AC492" s="668">
        <f t="shared" si="153"/>
        <v>0</v>
      </c>
      <c r="AD492" s="668">
        <f t="shared" si="145"/>
        <v>0</v>
      </c>
      <c r="AE492" s="668">
        <f t="shared" si="146"/>
        <v>0</v>
      </c>
      <c r="AF492" s="668">
        <f t="shared" si="147"/>
        <v>0</v>
      </c>
      <c r="AG492" s="668">
        <f t="shared" si="148"/>
        <v>0</v>
      </c>
      <c r="AH492" s="668"/>
      <c r="AI492" s="668"/>
      <c r="AJ492" s="668"/>
      <c r="AK492" s="668"/>
      <c r="AL492" s="668"/>
      <c r="AM492" s="668">
        <f t="shared" si="154"/>
        <v>0</v>
      </c>
      <c r="AN492" s="668">
        <f t="shared" si="149"/>
        <v>0</v>
      </c>
      <c r="AO492" s="668">
        <f t="shared" si="150"/>
        <v>0</v>
      </c>
      <c r="AP492" s="668">
        <f t="shared" si="155"/>
        <v>0</v>
      </c>
      <c r="AQ492" s="668">
        <f t="shared" si="151"/>
        <v>0</v>
      </c>
      <c r="AR492" s="668">
        <f t="shared" si="152"/>
        <v>0</v>
      </c>
      <c r="AS492" s="668"/>
      <c r="AT492" s="668"/>
      <c r="AU492" s="668"/>
      <c r="AV492" s="668"/>
      <c r="AW492" s="668"/>
      <c r="AX492" s="668"/>
      <c r="AY492" s="668"/>
      <c r="AZ492" s="668"/>
      <c r="BA492" s="668"/>
      <c r="BB492" s="668">
        <f t="shared" si="156"/>
        <v>0</v>
      </c>
      <c r="BC492" s="668"/>
      <c r="BD492" s="668"/>
      <c r="BE492" s="668"/>
      <c r="BF492" s="668"/>
      <c r="BG492" s="668"/>
      <c r="BH492" s="668"/>
      <c r="BI492" s="668"/>
    </row>
    <row r="493" spans="1:61" x14ac:dyDescent="0.2">
      <c r="A493" s="1020">
        <v>3015</v>
      </c>
      <c r="B493" s="1020" t="s">
        <v>486</v>
      </c>
      <c r="C493" s="1020"/>
      <c r="D493" s="667">
        <v>24</v>
      </c>
      <c r="E493" s="667"/>
      <c r="F493" s="667"/>
      <c r="G493" s="667"/>
      <c r="H493" s="667"/>
      <c r="I493" s="667"/>
      <c r="J493" s="667"/>
      <c r="K493" s="667"/>
      <c r="L493" s="667"/>
      <c r="M493" s="667"/>
      <c r="N493" s="667"/>
      <c r="O493" s="667"/>
      <c r="P493" s="667"/>
      <c r="Q493" s="667"/>
      <c r="R493" s="667"/>
      <c r="S493" s="667"/>
      <c r="T493" s="667"/>
      <c r="U493" s="1020">
        <v>12</v>
      </c>
      <c r="V493" s="668">
        <f t="shared" si="138"/>
        <v>288</v>
      </c>
      <c r="W493" s="668">
        <f t="shared" si="139"/>
        <v>0</v>
      </c>
      <c r="X493" s="668">
        <f t="shared" si="140"/>
        <v>0</v>
      </c>
      <c r="Y493" s="668">
        <f t="shared" si="141"/>
        <v>0</v>
      </c>
      <c r="Z493" s="668">
        <f t="shared" si="142"/>
        <v>0</v>
      </c>
      <c r="AA493" s="668">
        <f t="shared" si="143"/>
        <v>0</v>
      </c>
      <c r="AB493" s="668">
        <f t="shared" si="144"/>
        <v>0</v>
      </c>
      <c r="AC493" s="668">
        <f t="shared" si="153"/>
        <v>0</v>
      </c>
      <c r="AD493" s="668">
        <f t="shared" si="145"/>
        <v>0</v>
      </c>
      <c r="AE493" s="668">
        <f t="shared" si="146"/>
        <v>0</v>
      </c>
      <c r="AF493" s="668">
        <f t="shared" si="147"/>
        <v>0</v>
      </c>
      <c r="AG493" s="668">
        <f t="shared" si="148"/>
        <v>0</v>
      </c>
      <c r="AH493" s="668"/>
      <c r="AI493" s="668"/>
      <c r="AJ493" s="668"/>
      <c r="AK493" s="668"/>
      <c r="AL493" s="668"/>
      <c r="AM493" s="668">
        <f t="shared" si="154"/>
        <v>0</v>
      </c>
      <c r="AN493" s="668">
        <f t="shared" si="149"/>
        <v>0</v>
      </c>
      <c r="AO493" s="668">
        <f t="shared" si="150"/>
        <v>0</v>
      </c>
      <c r="AP493" s="668">
        <f t="shared" si="155"/>
        <v>0</v>
      </c>
      <c r="AQ493" s="668">
        <f t="shared" si="151"/>
        <v>0</v>
      </c>
      <c r="AR493" s="668">
        <f t="shared" si="152"/>
        <v>0</v>
      </c>
      <c r="AS493" s="668"/>
      <c r="AT493" s="668"/>
      <c r="AU493" s="668"/>
      <c r="AV493" s="668"/>
      <c r="AW493" s="668"/>
      <c r="AX493" s="668"/>
      <c r="AY493" s="668"/>
      <c r="AZ493" s="668"/>
      <c r="BA493" s="668"/>
      <c r="BB493" s="668">
        <f t="shared" si="156"/>
        <v>0</v>
      </c>
      <c r="BC493" s="668"/>
      <c r="BD493" s="668"/>
      <c r="BE493" s="668"/>
      <c r="BF493" s="668"/>
      <c r="BG493" s="668"/>
      <c r="BH493" s="668"/>
      <c r="BI493" s="668"/>
    </row>
    <row r="494" spans="1:61" x14ac:dyDescent="0.2">
      <c r="A494" s="1020">
        <v>3016</v>
      </c>
      <c r="B494" s="1020" t="s">
        <v>519</v>
      </c>
      <c r="C494" s="1020"/>
      <c r="D494" s="667">
        <v>55</v>
      </c>
      <c r="E494" s="667"/>
      <c r="F494" s="667">
        <v>15</v>
      </c>
      <c r="G494" s="667"/>
      <c r="H494" s="667"/>
      <c r="I494" s="667"/>
      <c r="J494" s="667"/>
      <c r="K494" s="667"/>
      <c r="L494" s="667"/>
      <c r="M494" s="667"/>
      <c r="N494" s="667"/>
      <c r="O494" s="667"/>
      <c r="P494" s="667"/>
      <c r="Q494" s="667"/>
      <c r="R494" s="667"/>
      <c r="S494" s="667"/>
      <c r="T494" s="667">
        <v>245</v>
      </c>
      <c r="U494" s="1020">
        <v>12</v>
      </c>
      <c r="V494" s="668">
        <f t="shared" si="138"/>
        <v>660</v>
      </c>
      <c r="W494" s="668">
        <f t="shared" si="139"/>
        <v>0</v>
      </c>
      <c r="X494" s="668">
        <f t="shared" si="140"/>
        <v>0</v>
      </c>
      <c r="Y494" s="668">
        <f t="shared" si="141"/>
        <v>0</v>
      </c>
      <c r="Z494" s="668">
        <f t="shared" si="142"/>
        <v>0</v>
      </c>
      <c r="AA494" s="668">
        <f t="shared" si="143"/>
        <v>0</v>
      </c>
      <c r="AB494" s="668">
        <f t="shared" si="144"/>
        <v>245</v>
      </c>
      <c r="AC494" s="668">
        <f t="shared" si="153"/>
        <v>0</v>
      </c>
      <c r="AD494" s="668">
        <f t="shared" si="145"/>
        <v>0</v>
      </c>
      <c r="AE494" s="668">
        <f t="shared" si="146"/>
        <v>0</v>
      </c>
      <c r="AF494" s="668">
        <f t="shared" si="147"/>
        <v>0</v>
      </c>
      <c r="AG494" s="668">
        <f t="shared" si="148"/>
        <v>0</v>
      </c>
      <c r="AH494" s="668"/>
      <c r="AI494" s="668"/>
      <c r="AJ494" s="668"/>
      <c r="AK494" s="668"/>
      <c r="AL494" s="668"/>
      <c r="AM494" s="668">
        <f t="shared" si="154"/>
        <v>0</v>
      </c>
      <c r="AN494" s="668">
        <f t="shared" si="149"/>
        <v>0</v>
      </c>
      <c r="AO494" s="668">
        <f t="shared" si="150"/>
        <v>0</v>
      </c>
      <c r="AP494" s="668">
        <f t="shared" si="155"/>
        <v>180</v>
      </c>
      <c r="AQ494" s="668">
        <f t="shared" si="151"/>
        <v>0</v>
      </c>
      <c r="AR494" s="668">
        <f t="shared" si="152"/>
        <v>0</v>
      </c>
      <c r="AS494" s="668"/>
      <c r="AT494" s="668"/>
      <c r="AU494" s="668"/>
      <c r="AV494" s="668"/>
      <c r="AW494" s="668"/>
      <c r="AX494" s="668"/>
      <c r="AY494" s="668"/>
      <c r="AZ494" s="668"/>
      <c r="BA494" s="668"/>
      <c r="BB494" s="668">
        <f t="shared" si="156"/>
        <v>180</v>
      </c>
      <c r="BC494" s="668"/>
      <c r="BD494" s="668"/>
      <c r="BE494" s="668"/>
      <c r="BF494" s="668"/>
      <c r="BG494" s="668"/>
      <c r="BH494" s="668"/>
      <c r="BI494" s="668"/>
    </row>
    <row r="495" spans="1:61" x14ac:dyDescent="0.2">
      <c r="A495" s="1020">
        <v>3017</v>
      </c>
      <c r="B495" s="1020" t="s">
        <v>476</v>
      </c>
      <c r="C495" s="1020"/>
      <c r="D495" s="667">
        <v>59</v>
      </c>
      <c r="E495" s="667"/>
      <c r="F495" s="667"/>
      <c r="G495" s="667"/>
      <c r="H495" s="667"/>
      <c r="I495" s="667"/>
      <c r="J495" s="667"/>
      <c r="K495" s="667"/>
      <c r="L495" s="667"/>
      <c r="M495" s="667"/>
      <c r="N495" s="667"/>
      <c r="O495" s="667"/>
      <c r="P495" s="667"/>
      <c r="Q495" s="667"/>
      <c r="R495" s="667"/>
      <c r="S495" s="667"/>
      <c r="T495" s="667"/>
      <c r="U495" s="1020">
        <v>12</v>
      </c>
      <c r="V495" s="668">
        <f t="shared" si="138"/>
        <v>708</v>
      </c>
      <c r="W495" s="668">
        <f t="shared" si="139"/>
        <v>0</v>
      </c>
      <c r="X495" s="668">
        <f t="shared" si="140"/>
        <v>0</v>
      </c>
      <c r="Y495" s="668">
        <f t="shared" si="141"/>
        <v>0</v>
      </c>
      <c r="Z495" s="668">
        <f t="shared" si="142"/>
        <v>0</v>
      </c>
      <c r="AA495" s="668">
        <f t="shared" si="143"/>
        <v>0</v>
      </c>
      <c r="AB495" s="668">
        <f t="shared" si="144"/>
        <v>0</v>
      </c>
      <c r="AC495" s="668">
        <f t="shared" si="153"/>
        <v>0</v>
      </c>
      <c r="AD495" s="668">
        <f t="shared" si="145"/>
        <v>0</v>
      </c>
      <c r="AE495" s="668">
        <f t="shared" si="146"/>
        <v>0</v>
      </c>
      <c r="AF495" s="668">
        <f t="shared" si="147"/>
        <v>0</v>
      </c>
      <c r="AG495" s="668">
        <f t="shared" si="148"/>
        <v>0</v>
      </c>
      <c r="AH495" s="668"/>
      <c r="AI495" s="668"/>
      <c r="AJ495" s="668"/>
      <c r="AK495" s="668"/>
      <c r="AL495" s="668"/>
      <c r="AM495" s="668">
        <f t="shared" si="154"/>
        <v>0</v>
      </c>
      <c r="AN495" s="668">
        <f t="shared" si="149"/>
        <v>0</v>
      </c>
      <c r="AO495" s="668">
        <f t="shared" si="150"/>
        <v>0</v>
      </c>
      <c r="AP495" s="668">
        <f t="shared" si="155"/>
        <v>0</v>
      </c>
      <c r="AQ495" s="668">
        <f t="shared" si="151"/>
        <v>0</v>
      </c>
      <c r="AR495" s="668">
        <f t="shared" si="152"/>
        <v>0</v>
      </c>
      <c r="AS495" s="668"/>
      <c r="AT495" s="668"/>
      <c r="AU495" s="668"/>
      <c r="AV495" s="668"/>
      <c r="AW495" s="668"/>
      <c r="AX495" s="668"/>
      <c r="AY495" s="668"/>
      <c r="AZ495" s="668"/>
      <c r="BA495" s="668"/>
      <c r="BB495" s="668">
        <f t="shared" si="156"/>
        <v>0</v>
      </c>
      <c r="BC495" s="668"/>
      <c r="BD495" s="668"/>
      <c r="BE495" s="668"/>
      <c r="BF495" s="668"/>
      <c r="BG495" s="668"/>
      <c r="BH495" s="668"/>
      <c r="BI495" s="668"/>
    </row>
    <row r="496" spans="1:61" x14ac:dyDescent="0.2">
      <c r="A496" s="1020">
        <v>3018</v>
      </c>
      <c r="B496" s="1020" t="s">
        <v>579</v>
      </c>
      <c r="C496" s="1020"/>
      <c r="D496" s="667">
        <v>50</v>
      </c>
      <c r="E496" s="667"/>
      <c r="F496" s="667"/>
      <c r="G496" s="667"/>
      <c r="H496" s="667"/>
      <c r="I496" s="667"/>
      <c r="J496" s="667"/>
      <c r="K496" s="667"/>
      <c r="L496" s="667"/>
      <c r="M496" s="667"/>
      <c r="N496" s="667"/>
      <c r="O496" s="667"/>
      <c r="P496" s="667"/>
      <c r="Q496" s="667"/>
      <c r="R496" s="667"/>
      <c r="S496" s="667"/>
      <c r="T496" s="667"/>
      <c r="U496" s="1020">
        <v>12</v>
      </c>
      <c r="V496" s="668">
        <f t="shared" si="138"/>
        <v>600</v>
      </c>
      <c r="W496" s="668">
        <f t="shared" si="139"/>
        <v>0</v>
      </c>
      <c r="X496" s="668">
        <f t="shared" si="140"/>
        <v>0</v>
      </c>
      <c r="Y496" s="668">
        <f t="shared" si="141"/>
        <v>0</v>
      </c>
      <c r="Z496" s="668">
        <f t="shared" si="142"/>
        <v>0</v>
      </c>
      <c r="AA496" s="668">
        <f t="shared" si="143"/>
        <v>0</v>
      </c>
      <c r="AB496" s="668">
        <f t="shared" si="144"/>
        <v>0</v>
      </c>
      <c r="AC496" s="668">
        <f t="shared" si="153"/>
        <v>0</v>
      </c>
      <c r="AD496" s="668">
        <f t="shared" si="145"/>
        <v>0</v>
      </c>
      <c r="AE496" s="668">
        <f t="shared" si="146"/>
        <v>0</v>
      </c>
      <c r="AF496" s="668">
        <f t="shared" si="147"/>
        <v>0</v>
      </c>
      <c r="AG496" s="668">
        <f t="shared" si="148"/>
        <v>0</v>
      </c>
      <c r="AH496" s="668"/>
      <c r="AI496" s="668"/>
      <c r="AJ496" s="668"/>
      <c r="AK496" s="668"/>
      <c r="AL496" s="668"/>
      <c r="AM496" s="668">
        <f t="shared" si="154"/>
        <v>0</v>
      </c>
      <c r="AN496" s="668">
        <f t="shared" si="149"/>
        <v>0</v>
      </c>
      <c r="AO496" s="668">
        <f t="shared" si="150"/>
        <v>0</v>
      </c>
      <c r="AP496" s="668">
        <f t="shared" si="155"/>
        <v>0</v>
      </c>
      <c r="AQ496" s="668">
        <f t="shared" si="151"/>
        <v>0</v>
      </c>
      <c r="AR496" s="668">
        <f t="shared" si="152"/>
        <v>0</v>
      </c>
      <c r="AS496" s="668"/>
      <c r="AT496" s="668"/>
      <c r="AU496" s="668"/>
      <c r="AV496" s="668"/>
      <c r="AW496" s="668"/>
      <c r="AX496" s="668"/>
      <c r="AY496" s="668"/>
      <c r="AZ496" s="668"/>
      <c r="BA496" s="668"/>
      <c r="BB496" s="668">
        <f t="shared" si="156"/>
        <v>0</v>
      </c>
      <c r="BC496" s="668"/>
      <c r="BD496" s="668"/>
      <c r="BE496" s="668"/>
      <c r="BF496" s="668"/>
      <c r="BG496" s="668"/>
      <c r="BH496" s="668"/>
      <c r="BI496" s="668"/>
    </row>
    <row r="497" spans="1:61" x14ac:dyDescent="0.2">
      <c r="A497" s="1020">
        <v>3019</v>
      </c>
      <c r="B497" s="1020" t="s">
        <v>464</v>
      </c>
      <c r="C497" s="1020"/>
      <c r="D497" s="667">
        <v>79</v>
      </c>
      <c r="E497" s="667"/>
      <c r="F497" s="667"/>
      <c r="G497" s="667"/>
      <c r="H497" s="667"/>
      <c r="I497" s="667"/>
      <c r="J497" s="667"/>
      <c r="K497" s="667"/>
      <c r="L497" s="667"/>
      <c r="M497" s="667"/>
      <c r="N497" s="667"/>
      <c r="O497" s="667"/>
      <c r="P497" s="667"/>
      <c r="Q497" s="667"/>
      <c r="R497" s="667"/>
      <c r="S497" s="667"/>
      <c r="T497" s="667"/>
      <c r="U497" s="1020">
        <v>12</v>
      </c>
      <c r="V497" s="668">
        <f t="shared" si="138"/>
        <v>948</v>
      </c>
      <c r="W497" s="668">
        <f t="shared" si="139"/>
        <v>0</v>
      </c>
      <c r="X497" s="668">
        <f t="shared" si="140"/>
        <v>0</v>
      </c>
      <c r="Y497" s="668">
        <f t="shared" si="141"/>
        <v>0</v>
      </c>
      <c r="Z497" s="668">
        <f t="shared" si="142"/>
        <v>0</v>
      </c>
      <c r="AA497" s="668">
        <f t="shared" si="143"/>
        <v>0</v>
      </c>
      <c r="AB497" s="668">
        <f t="shared" si="144"/>
        <v>0</v>
      </c>
      <c r="AC497" s="668">
        <f t="shared" si="153"/>
        <v>0</v>
      </c>
      <c r="AD497" s="668">
        <f t="shared" si="145"/>
        <v>0</v>
      </c>
      <c r="AE497" s="668">
        <f t="shared" si="146"/>
        <v>0</v>
      </c>
      <c r="AF497" s="668">
        <f t="shared" si="147"/>
        <v>0</v>
      </c>
      <c r="AG497" s="668">
        <f t="shared" si="148"/>
        <v>0</v>
      </c>
      <c r="AH497" s="668"/>
      <c r="AI497" s="668"/>
      <c r="AJ497" s="668"/>
      <c r="AK497" s="668"/>
      <c r="AL497" s="668"/>
      <c r="AM497" s="668">
        <f t="shared" si="154"/>
        <v>0</v>
      </c>
      <c r="AN497" s="668">
        <f t="shared" si="149"/>
        <v>0</v>
      </c>
      <c r="AO497" s="668">
        <f t="shared" si="150"/>
        <v>0</v>
      </c>
      <c r="AP497" s="668">
        <f t="shared" si="155"/>
        <v>0</v>
      </c>
      <c r="AQ497" s="668">
        <f t="shared" si="151"/>
        <v>0</v>
      </c>
      <c r="AR497" s="668">
        <f t="shared" si="152"/>
        <v>0</v>
      </c>
      <c r="AS497" s="668"/>
      <c r="AT497" s="668"/>
      <c r="AU497" s="668"/>
      <c r="AV497" s="668"/>
      <c r="AW497" s="668"/>
      <c r="AX497" s="668"/>
      <c r="AY497" s="668"/>
      <c r="AZ497" s="668"/>
      <c r="BA497" s="668"/>
      <c r="BB497" s="668">
        <f t="shared" si="156"/>
        <v>0</v>
      </c>
      <c r="BC497" s="668"/>
      <c r="BD497" s="668"/>
      <c r="BE497" s="668"/>
      <c r="BF497" s="668"/>
      <c r="BG497" s="668"/>
      <c r="BH497" s="668"/>
      <c r="BI497" s="668"/>
    </row>
    <row r="498" spans="1:61" x14ac:dyDescent="0.2">
      <c r="A498" s="1020">
        <v>3020</v>
      </c>
      <c r="B498" s="1020" t="s">
        <v>684</v>
      </c>
      <c r="C498" s="1020"/>
      <c r="D498" s="667">
        <v>38</v>
      </c>
      <c r="E498" s="667"/>
      <c r="F498" s="667">
        <v>38</v>
      </c>
      <c r="G498" s="667"/>
      <c r="H498" s="667"/>
      <c r="I498" s="667"/>
      <c r="J498" s="667"/>
      <c r="K498" s="667"/>
      <c r="L498" s="667"/>
      <c r="M498" s="667"/>
      <c r="N498" s="667"/>
      <c r="O498" s="667"/>
      <c r="P498" s="667"/>
      <c r="Q498" s="667"/>
      <c r="R498" s="667"/>
      <c r="S498" s="667"/>
      <c r="T498" s="667"/>
      <c r="U498" s="1020">
        <v>10</v>
      </c>
      <c r="V498" s="668">
        <f t="shared" si="138"/>
        <v>380</v>
      </c>
      <c r="W498" s="668">
        <f t="shared" si="139"/>
        <v>0</v>
      </c>
      <c r="X498" s="668">
        <f t="shared" si="140"/>
        <v>0</v>
      </c>
      <c r="Y498" s="668">
        <f t="shared" si="141"/>
        <v>0</v>
      </c>
      <c r="Z498" s="668">
        <f t="shared" si="142"/>
        <v>0</v>
      </c>
      <c r="AA498" s="668">
        <f t="shared" si="143"/>
        <v>0</v>
      </c>
      <c r="AB498" s="668">
        <f t="shared" si="144"/>
        <v>0</v>
      </c>
      <c r="AC498" s="668">
        <f t="shared" si="153"/>
        <v>0</v>
      </c>
      <c r="AD498" s="668">
        <f t="shared" si="145"/>
        <v>0</v>
      </c>
      <c r="AE498" s="668">
        <f t="shared" si="146"/>
        <v>0</v>
      </c>
      <c r="AF498" s="668">
        <f t="shared" si="147"/>
        <v>0</v>
      </c>
      <c r="AG498" s="668">
        <f t="shared" si="148"/>
        <v>0</v>
      </c>
      <c r="AH498" s="668"/>
      <c r="AI498" s="668"/>
      <c r="AJ498" s="668"/>
      <c r="AK498" s="668"/>
      <c r="AL498" s="668"/>
      <c r="AM498" s="668">
        <f t="shared" si="154"/>
        <v>0</v>
      </c>
      <c r="AN498" s="668">
        <f t="shared" si="149"/>
        <v>0</v>
      </c>
      <c r="AO498" s="668">
        <f t="shared" si="150"/>
        <v>0</v>
      </c>
      <c r="AP498" s="668">
        <f t="shared" si="155"/>
        <v>380</v>
      </c>
      <c r="AQ498" s="668">
        <f t="shared" si="151"/>
        <v>0</v>
      </c>
      <c r="AR498" s="668">
        <f t="shared" si="152"/>
        <v>0</v>
      </c>
      <c r="AS498" s="668"/>
      <c r="AT498" s="668"/>
      <c r="AU498" s="668"/>
      <c r="AV498" s="668"/>
      <c r="AW498" s="668"/>
      <c r="AX498" s="668"/>
      <c r="AY498" s="668"/>
      <c r="AZ498" s="668"/>
      <c r="BA498" s="668"/>
      <c r="BB498" s="668"/>
      <c r="BC498" s="668"/>
      <c r="BD498" s="668"/>
      <c r="BE498" s="668"/>
      <c r="BF498" s="668"/>
      <c r="BG498" s="668"/>
      <c r="BH498" s="668"/>
      <c r="BI498" s="668"/>
    </row>
    <row r="499" spans="1:61" x14ac:dyDescent="0.2">
      <c r="A499" s="1020" t="s">
        <v>717</v>
      </c>
      <c r="B499" s="1020" t="s">
        <v>719</v>
      </c>
      <c r="C499" s="1020"/>
      <c r="D499" s="667">
        <v>88</v>
      </c>
      <c r="E499" s="667"/>
      <c r="F499" s="667"/>
      <c r="G499" s="667"/>
      <c r="H499" s="667"/>
      <c r="I499" s="667"/>
      <c r="J499" s="667"/>
      <c r="K499" s="667"/>
      <c r="L499" s="667"/>
      <c r="M499" s="667"/>
      <c r="N499" s="667"/>
      <c r="O499" s="667"/>
      <c r="P499" s="667"/>
      <c r="Q499" s="667"/>
      <c r="R499" s="667"/>
      <c r="S499" s="667"/>
      <c r="T499" s="667"/>
      <c r="U499" s="1020">
        <v>10</v>
      </c>
      <c r="V499" s="668">
        <f t="shared" ref="V499:V562" si="157">+U499*D499</f>
        <v>880</v>
      </c>
      <c r="W499" s="668">
        <f t="shared" ref="W499:W562" si="158">+U499*G499</f>
        <v>0</v>
      </c>
      <c r="X499" s="668">
        <f t="shared" ref="X499:X562" si="159">+U499*H499</f>
        <v>0</v>
      </c>
      <c r="Y499" s="668">
        <f t="shared" ref="Y499:Y562" si="160">+U499*J499</f>
        <v>0</v>
      </c>
      <c r="Z499" s="668">
        <f t="shared" ref="Z499:Z562" si="161">IF(C499="y",V499+W499+X499+Y499,0)</f>
        <v>0</v>
      </c>
      <c r="AA499" s="668">
        <f t="shared" ref="AA499:AA562" si="162">+S499</f>
        <v>0</v>
      </c>
      <c r="AB499" s="668">
        <f t="shared" ref="AB499:AB562" si="163">+T499</f>
        <v>0</v>
      </c>
      <c r="AC499" s="668">
        <f t="shared" si="153"/>
        <v>0</v>
      </c>
      <c r="AD499" s="668">
        <f t="shared" ref="AD499:AD562" si="164">+Q499</f>
        <v>0</v>
      </c>
      <c r="AE499" s="668">
        <f t="shared" ref="AE499:AE562" si="165">+U499*M499</f>
        <v>0</v>
      </c>
      <c r="AF499" s="668">
        <f t="shared" ref="AF499:AF562" si="166">+L499*U499</f>
        <v>0</v>
      </c>
      <c r="AG499" s="668">
        <f t="shared" ref="AG499:AG562" si="167">+$AG$4*N499</f>
        <v>0</v>
      </c>
      <c r="AH499" s="668"/>
      <c r="AI499" s="668"/>
      <c r="AJ499" s="668"/>
      <c r="AK499" s="668"/>
      <c r="AL499" s="668"/>
      <c r="AM499" s="668">
        <f t="shared" si="154"/>
        <v>0</v>
      </c>
      <c r="AN499" s="668">
        <f t="shared" si="149"/>
        <v>0</v>
      </c>
      <c r="AO499" s="668">
        <f t="shared" si="150"/>
        <v>0</v>
      </c>
      <c r="AP499" s="668">
        <f t="shared" si="155"/>
        <v>0</v>
      </c>
      <c r="AQ499" s="668">
        <f t="shared" si="151"/>
        <v>0</v>
      </c>
      <c r="AR499" s="668">
        <f t="shared" si="152"/>
        <v>0</v>
      </c>
      <c r="AS499" s="668"/>
      <c r="AT499" s="668"/>
      <c r="AU499" s="668"/>
      <c r="AV499" s="668"/>
      <c r="AW499" s="668"/>
      <c r="AX499" s="668"/>
      <c r="AY499" s="668"/>
      <c r="AZ499" s="668"/>
      <c r="BA499" s="668"/>
      <c r="BB499" s="668">
        <f t="shared" si="156"/>
        <v>0</v>
      </c>
      <c r="BC499" s="668"/>
      <c r="BD499" s="668"/>
      <c r="BE499" s="668"/>
      <c r="BF499" s="668"/>
      <c r="BG499" s="668"/>
      <c r="BH499" s="668"/>
      <c r="BI499" s="668"/>
    </row>
    <row r="500" spans="1:61" x14ac:dyDescent="0.2">
      <c r="A500" s="1020" t="s">
        <v>718</v>
      </c>
      <c r="B500" s="1020" t="s">
        <v>486</v>
      </c>
      <c r="C500" s="1020"/>
      <c r="D500" s="667">
        <v>28</v>
      </c>
      <c r="E500" s="667"/>
      <c r="F500" s="667"/>
      <c r="G500" s="667"/>
      <c r="H500" s="667"/>
      <c r="I500" s="667"/>
      <c r="J500" s="667"/>
      <c r="K500" s="667"/>
      <c r="L500" s="667"/>
      <c r="M500" s="667"/>
      <c r="N500" s="667"/>
      <c r="O500" s="667"/>
      <c r="P500" s="667"/>
      <c r="Q500" s="667"/>
      <c r="R500" s="667"/>
      <c r="S500" s="667"/>
      <c r="T500" s="667"/>
      <c r="U500" s="1020">
        <v>12</v>
      </c>
      <c r="V500" s="668">
        <f t="shared" si="157"/>
        <v>336</v>
      </c>
      <c r="W500" s="668">
        <f t="shared" si="158"/>
        <v>0</v>
      </c>
      <c r="X500" s="668">
        <f t="shared" si="159"/>
        <v>0</v>
      </c>
      <c r="Y500" s="668">
        <f t="shared" si="160"/>
        <v>0</v>
      </c>
      <c r="Z500" s="668">
        <f t="shared" si="161"/>
        <v>0</v>
      </c>
      <c r="AA500" s="668">
        <f t="shared" si="162"/>
        <v>0</v>
      </c>
      <c r="AB500" s="668">
        <f t="shared" si="163"/>
        <v>0</v>
      </c>
      <c r="AC500" s="668">
        <f t="shared" si="153"/>
        <v>0</v>
      </c>
      <c r="AD500" s="668">
        <f t="shared" si="164"/>
        <v>0</v>
      </c>
      <c r="AE500" s="668">
        <f t="shared" si="165"/>
        <v>0</v>
      </c>
      <c r="AF500" s="668">
        <f t="shared" si="166"/>
        <v>0</v>
      </c>
      <c r="AG500" s="668">
        <f t="shared" si="167"/>
        <v>0</v>
      </c>
      <c r="AH500" s="668"/>
      <c r="AI500" s="668"/>
      <c r="AJ500" s="668"/>
      <c r="AK500" s="668"/>
      <c r="AL500" s="668"/>
      <c r="AM500" s="668">
        <f t="shared" si="154"/>
        <v>0</v>
      </c>
      <c r="AN500" s="668">
        <f t="shared" si="149"/>
        <v>0</v>
      </c>
      <c r="AO500" s="668">
        <f t="shared" si="150"/>
        <v>0</v>
      </c>
      <c r="AP500" s="668">
        <f t="shared" si="155"/>
        <v>0</v>
      </c>
      <c r="AQ500" s="668">
        <f t="shared" si="151"/>
        <v>0</v>
      </c>
      <c r="AR500" s="668">
        <f t="shared" si="152"/>
        <v>0</v>
      </c>
      <c r="AS500" s="668"/>
      <c r="AT500" s="668"/>
      <c r="AU500" s="668"/>
      <c r="AV500" s="668"/>
      <c r="AW500" s="668"/>
      <c r="AX500" s="668"/>
      <c r="AY500" s="668"/>
      <c r="AZ500" s="668"/>
      <c r="BA500" s="668"/>
      <c r="BB500" s="668">
        <f t="shared" si="156"/>
        <v>0</v>
      </c>
      <c r="BC500" s="668"/>
      <c r="BD500" s="668"/>
      <c r="BE500" s="668"/>
      <c r="BF500" s="668"/>
      <c r="BG500" s="668"/>
      <c r="BH500" s="668"/>
      <c r="BI500" s="668"/>
    </row>
    <row r="501" spans="1:61" x14ac:dyDescent="0.2">
      <c r="A501" s="1020">
        <v>3022</v>
      </c>
      <c r="B501" s="1020" t="s">
        <v>486</v>
      </c>
      <c r="C501" s="1020"/>
      <c r="D501" s="667">
        <v>52</v>
      </c>
      <c r="E501" s="667"/>
      <c r="F501" s="667"/>
      <c r="G501" s="667"/>
      <c r="H501" s="667"/>
      <c r="I501" s="667"/>
      <c r="J501" s="667"/>
      <c r="K501" s="667"/>
      <c r="L501" s="667"/>
      <c r="M501" s="667"/>
      <c r="N501" s="667"/>
      <c r="O501" s="667"/>
      <c r="P501" s="667"/>
      <c r="Q501" s="667"/>
      <c r="R501" s="667"/>
      <c r="S501" s="667"/>
      <c r="T501" s="667"/>
      <c r="U501" s="1020">
        <v>12</v>
      </c>
      <c r="V501" s="668">
        <f t="shared" si="157"/>
        <v>624</v>
      </c>
      <c r="W501" s="668">
        <f t="shared" si="158"/>
        <v>0</v>
      </c>
      <c r="X501" s="668">
        <f t="shared" si="159"/>
        <v>0</v>
      </c>
      <c r="Y501" s="668">
        <f t="shared" si="160"/>
        <v>0</v>
      </c>
      <c r="Z501" s="668">
        <f t="shared" si="161"/>
        <v>0</v>
      </c>
      <c r="AA501" s="668">
        <f t="shared" si="162"/>
        <v>0</v>
      </c>
      <c r="AB501" s="668">
        <f t="shared" si="163"/>
        <v>0</v>
      </c>
      <c r="AC501" s="668">
        <f t="shared" si="153"/>
        <v>0</v>
      </c>
      <c r="AD501" s="668">
        <f t="shared" si="164"/>
        <v>0</v>
      </c>
      <c r="AE501" s="668">
        <f t="shared" si="165"/>
        <v>0</v>
      </c>
      <c r="AF501" s="668">
        <f t="shared" si="166"/>
        <v>0</v>
      </c>
      <c r="AG501" s="668">
        <f t="shared" si="167"/>
        <v>0</v>
      </c>
      <c r="AH501" s="668"/>
      <c r="AI501" s="668"/>
      <c r="AJ501" s="668"/>
      <c r="AK501" s="668"/>
      <c r="AL501" s="668"/>
      <c r="AM501" s="668">
        <f t="shared" si="154"/>
        <v>0</v>
      </c>
      <c r="AN501" s="668">
        <f t="shared" si="149"/>
        <v>0</v>
      </c>
      <c r="AO501" s="668">
        <f t="shared" si="150"/>
        <v>0</v>
      </c>
      <c r="AP501" s="668">
        <f t="shared" si="155"/>
        <v>0</v>
      </c>
      <c r="AQ501" s="668">
        <f t="shared" si="151"/>
        <v>0</v>
      </c>
      <c r="AR501" s="668">
        <f t="shared" si="152"/>
        <v>0</v>
      </c>
      <c r="AS501" s="668"/>
      <c r="AT501" s="668"/>
      <c r="AU501" s="668"/>
      <c r="AV501" s="668"/>
      <c r="AW501" s="668"/>
      <c r="AX501" s="668"/>
      <c r="AY501" s="668"/>
      <c r="AZ501" s="668"/>
      <c r="BA501" s="668"/>
      <c r="BB501" s="668">
        <f t="shared" si="156"/>
        <v>0</v>
      </c>
      <c r="BC501" s="668"/>
      <c r="BD501" s="668"/>
      <c r="BE501" s="668"/>
      <c r="BF501" s="668"/>
      <c r="BG501" s="668"/>
      <c r="BH501" s="668"/>
      <c r="BI501" s="668"/>
    </row>
    <row r="502" spans="1:61" x14ac:dyDescent="0.2">
      <c r="A502" s="1020">
        <v>3023</v>
      </c>
      <c r="B502" s="1020" t="s">
        <v>672</v>
      </c>
      <c r="C502" s="1020"/>
      <c r="D502" s="667">
        <v>35</v>
      </c>
      <c r="E502" s="667"/>
      <c r="F502" s="667">
        <v>15</v>
      </c>
      <c r="G502" s="667"/>
      <c r="H502" s="667"/>
      <c r="I502" s="667"/>
      <c r="J502" s="667"/>
      <c r="K502" s="667"/>
      <c r="L502" s="667"/>
      <c r="M502" s="667"/>
      <c r="N502" s="667"/>
      <c r="O502" s="667"/>
      <c r="P502" s="667"/>
      <c r="Q502" s="667"/>
      <c r="R502" s="667"/>
      <c r="S502" s="667"/>
      <c r="T502" s="667"/>
      <c r="U502" s="1020">
        <v>12</v>
      </c>
      <c r="V502" s="668">
        <f t="shared" si="157"/>
        <v>420</v>
      </c>
      <c r="W502" s="668">
        <f t="shared" si="158"/>
        <v>0</v>
      </c>
      <c r="X502" s="668">
        <f t="shared" si="159"/>
        <v>0</v>
      </c>
      <c r="Y502" s="668">
        <f t="shared" si="160"/>
        <v>0</v>
      </c>
      <c r="Z502" s="668">
        <f t="shared" si="161"/>
        <v>0</v>
      </c>
      <c r="AA502" s="668">
        <f t="shared" si="162"/>
        <v>0</v>
      </c>
      <c r="AB502" s="668">
        <f t="shared" si="163"/>
        <v>0</v>
      </c>
      <c r="AC502" s="668">
        <f t="shared" si="153"/>
        <v>0</v>
      </c>
      <c r="AD502" s="668">
        <f t="shared" si="164"/>
        <v>0</v>
      </c>
      <c r="AE502" s="668">
        <f t="shared" si="165"/>
        <v>0</v>
      </c>
      <c r="AF502" s="668">
        <f t="shared" si="166"/>
        <v>0</v>
      </c>
      <c r="AG502" s="668">
        <f t="shared" si="167"/>
        <v>0</v>
      </c>
      <c r="AH502" s="668"/>
      <c r="AI502" s="668"/>
      <c r="AJ502" s="668"/>
      <c r="AK502" s="668"/>
      <c r="AL502" s="668"/>
      <c r="AM502" s="668">
        <f t="shared" si="154"/>
        <v>0</v>
      </c>
      <c r="AN502" s="668">
        <f t="shared" si="149"/>
        <v>0</v>
      </c>
      <c r="AO502" s="668">
        <f t="shared" si="150"/>
        <v>0</v>
      </c>
      <c r="AP502" s="668">
        <f t="shared" si="155"/>
        <v>180</v>
      </c>
      <c r="AQ502" s="668">
        <f t="shared" si="151"/>
        <v>0</v>
      </c>
      <c r="AR502" s="668">
        <f t="shared" si="152"/>
        <v>0</v>
      </c>
      <c r="AS502" s="668"/>
      <c r="AT502" s="668"/>
      <c r="AU502" s="668"/>
      <c r="AV502" s="668"/>
      <c r="AW502" s="668"/>
      <c r="AX502" s="668"/>
      <c r="AY502" s="668"/>
      <c r="AZ502" s="668"/>
      <c r="BA502" s="668"/>
      <c r="BB502" s="668">
        <f t="shared" si="156"/>
        <v>180</v>
      </c>
      <c r="BC502" s="668"/>
      <c r="BD502" s="668"/>
      <c r="BE502" s="668"/>
      <c r="BF502" s="668"/>
      <c r="BG502" s="668"/>
      <c r="BH502" s="668"/>
      <c r="BI502" s="668"/>
    </row>
    <row r="503" spans="1:61" x14ac:dyDescent="0.2">
      <c r="A503" s="1020">
        <v>3024</v>
      </c>
      <c r="B503" s="1020" t="s">
        <v>519</v>
      </c>
      <c r="C503" s="1020"/>
      <c r="D503" s="667">
        <v>35</v>
      </c>
      <c r="E503" s="667"/>
      <c r="F503" s="667">
        <v>15</v>
      </c>
      <c r="G503" s="667"/>
      <c r="H503" s="667"/>
      <c r="I503" s="667"/>
      <c r="J503" s="667"/>
      <c r="K503" s="667"/>
      <c r="L503" s="667"/>
      <c r="M503" s="667"/>
      <c r="N503" s="667"/>
      <c r="O503" s="667"/>
      <c r="P503" s="667"/>
      <c r="Q503" s="667"/>
      <c r="R503" s="667"/>
      <c r="S503" s="667"/>
      <c r="T503" s="667">
        <v>150</v>
      </c>
      <c r="U503" s="1020">
        <v>12</v>
      </c>
      <c r="V503" s="668">
        <f t="shared" si="157"/>
        <v>420</v>
      </c>
      <c r="W503" s="668">
        <f t="shared" si="158"/>
        <v>0</v>
      </c>
      <c r="X503" s="668">
        <f t="shared" si="159"/>
        <v>0</v>
      </c>
      <c r="Y503" s="668">
        <f t="shared" si="160"/>
        <v>0</v>
      </c>
      <c r="Z503" s="668">
        <f t="shared" si="161"/>
        <v>0</v>
      </c>
      <c r="AA503" s="668">
        <f t="shared" si="162"/>
        <v>0</v>
      </c>
      <c r="AB503" s="668">
        <f t="shared" si="163"/>
        <v>150</v>
      </c>
      <c r="AC503" s="668">
        <f t="shared" si="153"/>
        <v>0</v>
      </c>
      <c r="AD503" s="668">
        <f t="shared" si="164"/>
        <v>0</v>
      </c>
      <c r="AE503" s="668">
        <f t="shared" si="165"/>
        <v>0</v>
      </c>
      <c r="AF503" s="668">
        <f t="shared" si="166"/>
        <v>0</v>
      </c>
      <c r="AG503" s="668">
        <f t="shared" si="167"/>
        <v>0</v>
      </c>
      <c r="AH503" s="668"/>
      <c r="AI503" s="668"/>
      <c r="AJ503" s="668"/>
      <c r="AK503" s="668"/>
      <c r="AL503" s="668"/>
      <c r="AM503" s="668">
        <f t="shared" si="154"/>
        <v>0</v>
      </c>
      <c r="AN503" s="668">
        <f t="shared" si="149"/>
        <v>0</v>
      </c>
      <c r="AO503" s="668">
        <f t="shared" si="150"/>
        <v>0</v>
      </c>
      <c r="AP503" s="668">
        <f t="shared" si="155"/>
        <v>180</v>
      </c>
      <c r="AQ503" s="668">
        <f t="shared" si="151"/>
        <v>0</v>
      </c>
      <c r="AR503" s="668">
        <f t="shared" si="152"/>
        <v>0</v>
      </c>
      <c r="AS503" s="668"/>
      <c r="AT503" s="668"/>
      <c r="AU503" s="668"/>
      <c r="AV503" s="668"/>
      <c r="AW503" s="668"/>
      <c r="AX503" s="668"/>
      <c r="AY503" s="668"/>
      <c r="AZ503" s="668"/>
      <c r="BA503" s="668"/>
      <c r="BB503" s="668">
        <f t="shared" si="156"/>
        <v>180</v>
      </c>
      <c r="BC503" s="668"/>
      <c r="BD503" s="668"/>
      <c r="BE503" s="668"/>
      <c r="BF503" s="668"/>
      <c r="BG503" s="668"/>
      <c r="BH503" s="668"/>
      <c r="BI503" s="668"/>
    </row>
    <row r="504" spans="1:61" x14ac:dyDescent="0.2">
      <c r="A504" s="1020">
        <v>3025</v>
      </c>
      <c r="B504" s="1020" t="s">
        <v>519</v>
      </c>
      <c r="C504" s="1020"/>
      <c r="D504" s="667">
        <v>35</v>
      </c>
      <c r="E504" s="667"/>
      <c r="F504" s="667">
        <v>15</v>
      </c>
      <c r="G504" s="667"/>
      <c r="H504" s="667"/>
      <c r="I504" s="667"/>
      <c r="J504" s="667"/>
      <c r="K504" s="667"/>
      <c r="L504" s="667"/>
      <c r="M504" s="667"/>
      <c r="N504" s="667"/>
      <c r="O504" s="667"/>
      <c r="P504" s="667"/>
      <c r="Q504" s="667"/>
      <c r="R504" s="667"/>
      <c r="S504" s="667"/>
      <c r="T504" s="667">
        <v>150</v>
      </c>
      <c r="U504" s="1020">
        <v>12</v>
      </c>
      <c r="V504" s="668">
        <f t="shared" si="157"/>
        <v>420</v>
      </c>
      <c r="W504" s="668">
        <f t="shared" si="158"/>
        <v>0</v>
      </c>
      <c r="X504" s="668">
        <f t="shared" si="159"/>
        <v>0</v>
      </c>
      <c r="Y504" s="668">
        <f t="shared" si="160"/>
        <v>0</v>
      </c>
      <c r="Z504" s="668">
        <f t="shared" si="161"/>
        <v>0</v>
      </c>
      <c r="AA504" s="668">
        <f t="shared" si="162"/>
        <v>0</v>
      </c>
      <c r="AB504" s="668">
        <f t="shared" si="163"/>
        <v>150</v>
      </c>
      <c r="AC504" s="668">
        <f t="shared" si="153"/>
        <v>0</v>
      </c>
      <c r="AD504" s="668">
        <f t="shared" si="164"/>
        <v>0</v>
      </c>
      <c r="AE504" s="668">
        <f t="shared" si="165"/>
        <v>0</v>
      </c>
      <c r="AF504" s="668">
        <f t="shared" si="166"/>
        <v>0</v>
      </c>
      <c r="AG504" s="668">
        <f t="shared" si="167"/>
        <v>0</v>
      </c>
      <c r="AH504" s="668"/>
      <c r="AI504" s="668"/>
      <c r="AJ504" s="668"/>
      <c r="AK504" s="668"/>
      <c r="AL504" s="668"/>
      <c r="AM504" s="668">
        <f t="shared" si="154"/>
        <v>0</v>
      </c>
      <c r="AN504" s="668">
        <f t="shared" si="149"/>
        <v>0</v>
      </c>
      <c r="AO504" s="668">
        <f t="shared" si="150"/>
        <v>0</v>
      </c>
      <c r="AP504" s="668">
        <f t="shared" si="155"/>
        <v>180</v>
      </c>
      <c r="AQ504" s="668">
        <f t="shared" si="151"/>
        <v>0</v>
      </c>
      <c r="AR504" s="668">
        <f t="shared" si="152"/>
        <v>0</v>
      </c>
      <c r="AS504" s="668"/>
      <c r="AT504" s="668"/>
      <c r="AU504" s="668"/>
      <c r="AV504" s="668"/>
      <c r="AW504" s="668"/>
      <c r="AX504" s="668"/>
      <c r="AY504" s="668"/>
      <c r="AZ504" s="668"/>
      <c r="BA504" s="668"/>
      <c r="BB504" s="668">
        <f t="shared" si="156"/>
        <v>180</v>
      </c>
      <c r="BC504" s="668"/>
      <c r="BD504" s="668"/>
      <c r="BE504" s="668"/>
      <c r="BF504" s="668"/>
      <c r="BG504" s="668"/>
      <c r="BH504" s="668"/>
      <c r="BI504" s="668"/>
    </row>
    <row r="505" spans="1:61" x14ac:dyDescent="0.2">
      <c r="A505" s="1020">
        <v>3026</v>
      </c>
      <c r="B505" s="1020" t="s">
        <v>515</v>
      </c>
      <c r="C505" s="1020"/>
      <c r="D505" s="667">
        <v>100</v>
      </c>
      <c r="E505" s="667"/>
      <c r="F505" s="667">
        <v>72</v>
      </c>
      <c r="G505" s="667"/>
      <c r="H505" s="667"/>
      <c r="I505" s="667"/>
      <c r="J505" s="667"/>
      <c r="K505" s="667"/>
      <c r="L505" s="667"/>
      <c r="M505" s="667"/>
      <c r="N505" s="667"/>
      <c r="O505" s="667"/>
      <c r="P505" s="667"/>
      <c r="Q505" s="667"/>
      <c r="R505" s="667"/>
      <c r="S505" s="667"/>
      <c r="T505" s="667">
        <v>3005</v>
      </c>
      <c r="U505" s="1020">
        <v>12</v>
      </c>
      <c r="V505" s="668">
        <f t="shared" si="157"/>
        <v>1200</v>
      </c>
      <c r="W505" s="668">
        <f t="shared" si="158"/>
        <v>0</v>
      </c>
      <c r="X505" s="668">
        <f t="shared" si="159"/>
        <v>0</v>
      </c>
      <c r="Y505" s="668">
        <f t="shared" si="160"/>
        <v>0</v>
      </c>
      <c r="Z505" s="668">
        <f t="shared" si="161"/>
        <v>0</v>
      </c>
      <c r="AA505" s="668">
        <f t="shared" si="162"/>
        <v>0</v>
      </c>
      <c r="AB505" s="668">
        <f t="shared" si="163"/>
        <v>3005</v>
      </c>
      <c r="AC505" s="668">
        <f t="shared" si="153"/>
        <v>0</v>
      </c>
      <c r="AD505" s="668">
        <f t="shared" si="164"/>
        <v>0</v>
      </c>
      <c r="AE505" s="668">
        <f t="shared" si="165"/>
        <v>0</v>
      </c>
      <c r="AF505" s="668">
        <f t="shared" si="166"/>
        <v>0</v>
      </c>
      <c r="AG505" s="668">
        <f t="shared" si="167"/>
        <v>0</v>
      </c>
      <c r="AH505" s="668"/>
      <c r="AI505" s="668"/>
      <c r="AJ505" s="668"/>
      <c r="AK505" s="668"/>
      <c r="AL505" s="668"/>
      <c r="AM505" s="668">
        <f t="shared" si="154"/>
        <v>0</v>
      </c>
      <c r="AN505" s="668">
        <f t="shared" si="149"/>
        <v>0</v>
      </c>
      <c r="AO505" s="668">
        <f t="shared" si="150"/>
        <v>0</v>
      </c>
      <c r="AP505" s="668">
        <f t="shared" si="155"/>
        <v>864</v>
      </c>
      <c r="AQ505" s="668">
        <f t="shared" si="151"/>
        <v>0</v>
      </c>
      <c r="AR505" s="668">
        <f t="shared" si="152"/>
        <v>0</v>
      </c>
      <c r="AS505" s="668"/>
      <c r="AT505" s="668"/>
      <c r="AU505" s="668"/>
      <c r="AV505" s="668"/>
      <c r="AW505" s="668"/>
      <c r="AX505" s="668"/>
      <c r="AY505" s="668"/>
      <c r="AZ505" s="668"/>
      <c r="BA505" s="668"/>
      <c r="BB505" s="668"/>
      <c r="BC505" s="668"/>
      <c r="BD505" s="668"/>
      <c r="BE505" s="668"/>
      <c r="BF505" s="668"/>
      <c r="BG505" s="668"/>
      <c r="BH505" s="668"/>
      <c r="BI505" s="668"/>
    </row>
    <row r="506" spans="1:61" x14ac:dyDescent="0.2">
      <c r="A506" s="1020">
        <v>3027</v>
      </c>
      <c r="B506" s="1020" t="s">
        <v>515</v>
      </c>
      <c r="C506" s="1020"/>
      <c r="D506" s="667">
        <v>159</v>
      </c>
      <c r="E506" s="667"/>
      <c r="F506" s="667">
        <v>72</v>
      </c>
      <c r="G506" s="667"/>
      <c r="H506" s="667"/>
      <c r="I506" s="667"/>
      <c r="J506" s="667"/>
      <c r="K506" s="667"/>
      <c r="L506" s="667"/>
      <c r="M506" s="667"/>
      <c r="N506" s="667"/>
      <c r="O506" s="667"/>
      <c r="P506" s="667"/>
      <c r="Q506" s="667"/>
      <c r="R506" s="667"/>
      <c r="S506" s="667"/>
      <c r="T506" s="667">
        <v>4645</v>
      </c>
      <c r="U506" s="1020">
        <v>12</v>
      </c>
      <c r="V506" s="668">
        <f t="shared" si="157"/>
        <v>1908</v>
      </c>
      <c r="W506" s="668">
        <f t="shared" si="158"/>
        <v>0</v>
      </c>
      <c r="X506" s="668">
        <f t="shared" si="159"/>
        <v>0</v>
      </c>
      <c r="Y506" s="668">
        <f t="shared" si="160"/>
        <v>0</v>
      </c>
      <c r="Z506" s="668">
        <f t="shared" si="161"/>
        <v>0</v>
      </c>
      <c r="AA506" s="668">
        <f t="shared" si="162"/>
        <v>0</v>
      </c>
      <c r="AB506" s="668">
        <f t="shared" si="163"/>
        <v>4645</v>
      </c>
      <c r="AC506" s="668">
        <f t="shared" si="153"/>
        <v>0</v>
      </c>
      <c r="AD506" s="668">
        <f t="shared" si="164"/>
        <v>0</v>
      </c>
      <c r="AE506" s="668">
        <f t="shared" si="165"/>
        <v>0</v>
      </c>
      <c r="AF506" s="668">
        <f t="shared" si="166"/>
        <v>0</v>
      </c>
      <c r="AG506" s="668">
        <f t="shared" si="167"/>
        <v>0</v>
      </c>
      <c r="AH506" s="668"/>
      <c r="AI506" s="668"/>
      <c r="AJ506" s="668"/>
      <c r="AK506" s="668"/>
      <c r="AL506" s="668"/>
      <c r="AM506" s="668">
        <f t="shared" si="154"/>
        <v>0</v>
      </c>
      <c r="AN506" s="668">
        <f t="shared" si="149"/>
        <v>0</v>
      </c>
      <c r="AO506" s="668">
        <f t="shared" si="150"/>
        <v>0</v>
      </c>
      <c r="AP506" s="668">
        <f t="shared" si="155"/>
        <v>864</v>
      </c>
      <c r="AQ506" s="668">
        <f t="shared" si="151"/>
        <v>0</v>
      </c>
      <c r="AR506" s="668">
        <f t="shared" si="152"/>
        <v>0</v>
      </c>
      <c r="AS506" s="668"/>
      <c r="AT506" s="668"/>
      <c r="AU506" s="668"/>
      <c r="AV506" s="668"/>
      <c r="AW506" s="668"/>
      <c r="AX506" s="668"/>
      <c r="AY506" s="668"/>
      <c r="AZ506" s="668"/>
      <c r="BA506" s="668"/>
      <c r="BB506" s="668"/>
      <c r="BC506" s="668"/>
      <c r="BD506" s="668"/>
      <c r="BE506" s="668"/>
      <c r="BF506" s="668"/>
      <c r="BG506" s="668"/>
      <c r="BH506" s="668"/>
      <c r="BI506" s="668"/>
    </row>
    <row r="507" spans="1:61" x14ac:dyDescent="0.2">
      <c r="A507" s="1020">
        <v>3028</v>
      </c>
      <c r="B507" s="1020" t="s">
        <v>519</v>
      </c>
      <c r="C507" s="1020"/>
      <c r="D507" s="667">
        <v>35</v>
      </c>
      <c r="E507" s="667"/>
      <c r="F507" s="667">
        <v>15</v>
      </c>
      <c r="G507" s="667"/>
      <c r="H507" s="667"/>
      <c r="I507" s="667"/>
      <c r="J507" s="667"/>
      <c r="K507" s="667"/>
      <c r="L507" s="667"/>
      <c r="M507" s="667"/>
      <c r="N507" s="667"/>
      <c r="O507" s="667"/>
      <c r="P507" s="667"/>
      <c r="Q507" s="667"/>
      <c r="R507" s="667"/>
      <c r="S507" s="667"/>
      <c r="T507" s="667">
        <v>150</v>
      </c>
      <c r="U507" s="1020">
        <v>12</v>
      </c>
      <c r="V507" s="668">
        <f t="shared" si="157"/>
        <v>420</v>
      </c>
      <c r="W507" s="668">
        <f t="shared" si="158"/>
        <v>0</v>
      </c>
      <c r="X507" s="668">
        <f t="shared" si="159"/>
        <v>0</v>
      </c>
      <c r="Y507" s="668">
        <f t="shared" si="160"/>
        <v>0</v>
      </c>
      <c r="Z507" s="668">
        <f t="shared" si="161"/>
        <v>0</v>
      </c>
      <c r="AA507" s="668">
        <f t="shared" si="162"/>
        <v>0</v>
      </c>
      <c r="AB507" s="668">
        <f t="shared" si="163"/>
        <v>150</v>
      </c>
      <c r="AC507" s="668">
        <f t="shared" si="153"/>
        <v>0</v>
      </c>
      <c r="AD507" s="668">
        <f t="shared" si="164"/>
        <v>0</v>
      </c>
      <c r="AE507" s="668">
        <f t="shared" si="165"/>
        <v>0</v>
      </c>
      <c r="AF507" s="668">
        <f t="shared" si="166"/>
        <v>0</v>
      </c>
      <c r="AG507" s="668">
        <f t="shared" si="167"/>
        <v>0</v>
      </c>
      <c r="AH507" s="668"/>
      <c r="AI507" s="668"/>
      <c r="AJ507" s="668"/>
      <c r="AK507" s="668"/>
      <c r="AL507" s="668"/>
      <c r="AM507" s="668">
        <f t="shared" si="154"/>
        <v>0</v>
      </c>
      <c r="AN507" s="668">
        <f t="shared" si="149"/>
        <v>0</v>
      </c>
      <c r="AO507" s="668">
        <f t="shared" si="150"/>
        <v>0</v>
      </c>
      <c r="AP507" s="668">
        <f t="shared" si="155"/>
        <v>180</v>
      </c>
      <c r="AQ507" s="668">
        <f t="shared" si="151"/>
        <v>0</v>
      </c>
      <c r="AR507" s="668">
        <f t="shared" si="152"/>
        <v>0</v>
      </c>
      <c r="AS507" s="668"/>
      <c r="AT507" s="668"/>
      <c r="AU507" s="668"/>
      <c r="AV507" s="668"/>
      <c r="AW507" s="668"/>
      <c r="AX507" s="668"/>
      <c r="AY507" s="668"/>
      <c r="AZ507" s="668"/>
      <c r="BA507" s="668"/>
      <c r="BB507" s="668">
        <f t="shared" si="156"/>
        <v>180</v>
      </c>
      <c r="BC507" s="668"/>
      <c r="BD507" s="668"/>
      <c r="BE507" s="668"/>
      <c r="BF507" s="668"/>
      <c r="BG507" s="668"/>
      <c r="BH507" s="668"/>
      <c r="BI507" s="668"/>
    </row>
    <row r="508" spans="1:61" x14ac:dyDescent="0.2">
      <c r="A508" s="1020">
        <v>3029</v>
      </c>
      <c r="B508" s="1020" t="s">
        <v>519</v>
      </c>
      <c r="C508" s="1020"/>
      <c r="D508" s="667">
        <v>35</v>
      </c>
      <c r="E508" s="667"/>
      <c r="F508" s="667">
        <v>15</v>
      </c>
      <c r="G508" s="667"/>
      <c r="H508" s="667"/>
      <c r="I508" s="667"/>
      <c r="J508" s="667"/>
      <c r="K508" s="667"/>
      <c r="L508" s="667"/>
      <c r="M508" s="667"/>
      <c r="N508" s="667"/>
      <c r="O508" s="667"/>
      <c r="P508" s="667"/>
      <c r="Q508" s="667"/>
      <c r="R508" s="667"/>
      <c r="S508" s="667"/>
      <c r="T508" s="667">
        <v>150</v>
      </c>
      <c r="U508" s="1020">
        <v>12</v>
      </c>
      <c r="V508" s="668">
        <f t="shared" si="157"/>
        <v>420</v>
      </c>
      <c r="W508" s="668">
        <f t="shared" si="158"/>
        <v>0</v>
      </c>
      <c r="X508" s="668">
        <f t="shared" si="159"/>
        <v>0</v>
      </c>
      <c r="Y508" s="668">
        <f t="shared" si="160"/>
        <v>0</v>
      </c>
      <c r="Z508" s="668">
        <f t="shared" si="161"/>
        <v>0</v>
      </c>
      <c r="AA508" s="668">
        <f t="shared" si="162"/>
        <v>0</v>
      </c>
      <c r="AB508" s="668">
        <f t="shared" si="163"/>
        <v>150</v>
      </c>
      <c r="AC508" s="668">
        <f t="shared" si="153"/>
        <v>0</v>
      </c>
      <c r="AD508" s="668">
        <f t="shared" si="164"/>
        <v>0</v>
      </c>
      <c r="AE508" s="668">
        <f t="shared" si="165"/>
        <v>0</v>
      </c>
      <c r="AF508" s="668">
        <f t="shared" si="166"/>
        <v>0</v>
      </c>
      <c r="AG508" s="668">
        <f t="shared" si="167"/>
        <v>0</v>
      </c>
      <c r="AH508" s="668"/>
      <c r="AI508" s="668"/>
      <c r="AJ508" s="668"/>
      <c r="AK508" s="668"/>
      <c r="AL508" s="668"/>
      <c r="AM508" s="668">
        <f t="shared" si="154"/>
        <v>0</v>
      </c>
      <c r="AN508" s="668">
        <f t="shared" si="149"/>
        <v>0</v>
      </c>
      <c r="AO508" s="668">
        <f t="shared" si="150"/>
        <v>0</v>
      </c>
      <c r="AP508" s="668">
        <f t="shared" si="155"/>
        <v>180</v>
      </c>
      <c r="AQ508" s="668">
        <f t="shared" si="151"/>
        <v>0</v>
      </c>
      <c r="AR508" s="668">
        <f t="shared" si="152"/>
        <v>0</v>
      </c>
      <c r="AS508" s="668"/>
      <c r="AT508" s="668"/>
      <c r="AU508" s="668"/>
      <c r="AV508" s="668"/>
      <c r="AW508" s="668"/>
      <c r="AX508" s="668"/>
      <c r="AY508" s="668"/>
      <c r="AZ508" s="668"/>
      <c r="BA508" s="668"/>
      <c r="BB508" s="668">
        <f t="shared" si="156"/>
        <v>180</v>
      </c>
      <c r="BC508" s="668"/>
      <c r="BD508" s="668"/>
      <c r="BE508" s="668"/>
      <c r="BF508" s="668"/>
      <c r="BG508" s="668"/>
      <c r="BH508" s="668"/>
      <c r="BI508" s="668"/>
    </row>
    <row r="509" spans="1:61" x14ac:dyDescent="0.2">
      <c r="A509" s="1020">
        <v>3030</v>
      </c>
      <c r="B509" s="1020" t="s">
        <v>467</v>
      </c>
      <c r="C509" s="1020"/>
      <c r="D509" s="667">
        <v>80</v>
      </c>
      <c r="E509" s="667"/>
      <c r="F509" s="667"/>
      <c r="G509" s="667"/>
      <c r="H509" s="667"/>
      <c r="I509" s="667"/>
      <c r="J509" s="667"/>
      <c r="K509" s="667"/>
      <c r="L509" s="667"/>
      <c r="M509" s="667"/>
      <c r="N509" s="667"/>
      <c r="O509" s="667"/>
      <c r="P509" s="667"/>
      <c r="Q509" s="667"/>
      <c r="R509" s="667"/>
      <c r="S509" s="667"/>
      <c r="T509" s="667"/>
      <c r="U509" s="1020">
        <v>3</v>
      </c>
      <c r="V509" s="668">
        <f t="shared" si="157"/>
        <v>240</v>
      </c>
      <c r="W509" s="668">
        <f t="shared" si="158"/>
        <v>0</v>
      </c>
      <c r="X509" s="668">
        <f t="shared" si="159"/>
        <v>0</v>
      </c>
      <c r="Y509" s="668">
        <f t="shared" si="160"/>
        <v>0</v>
      </c>
      <c r="Z509" s="668">
        <f t="shared" si="161"/>
        <v>0</v>
      </c>
      <c r="AA509" s="668">
        <f t="shared" si="162"/>
        <v>0</v>
      </c>
      <c r="AB509" s="668">
        <f t="shared" si="163"/>
        <v>0</v>
      </c>
      <c r="AC509" s="668">
        <f t="shared" si="153"/>
        <v>0</v>
      </c>
      <c r="AD509" s="668">
        <f t="shared" si="164"/>
        <v>0</v>
      </c>
      <c r="AE509" s="668">
        <f t="shared" si="165"/>
        <v>0</v>
      </c>
      <c r="AF509" s="668">
        <f t="shared" si="166"/>
        <v>0</v>
      </c>
      <c r="AG509" s="668">
        <f t="shared" si="167"/>
        <v>0</v>
      </c>
      <c r="AH509" s="668"/>
      <c r="AI509" s="668"/>
      <c r="AJ509" s="668"/>
      <c r="AK509" s="668"/>
      <c r="AL509" s="668"/>
      <c r="AM509" s="668">
        <f t="shared" si="154"/>
        <v>0</v>
      </c>
      <c r="AN509" s="668">
        <f t="shared" si="149"/>
        <v>0</v>
      </c>
      <c r="AO509" s="668">
        <f t="shared" si="150"/>
        <v>0</v>
      </c>
      <c r="AP509" s="668">
        <f t="shared" si="155"/>
        <v>0</v>
      </c>
      <c r="AQ509" s="668">
        <f t="shared" si="151"/>
        <v>0</v>
      </c>
      <c r="AR509" s="668">
        <f t="shared" si="152"/>
        <v>0</v>
      </c>
      <c r="AS509" s="668"/>
      <c r="AT509" s="668"/>
      <c r="AU509" s="668"/>
      <c r="AV509" s="668"/>
      <c r="AW509" s="668"/>
      <c r="AX509" s="668"/>
      <c r="AY509" s="668"/>
      <c r="AZ509" s="668"/>
      <c r="BA509" s="668"/>
      <c r="BB509" s="668">
        <f t="shared" si="156"/>
        <v>0</v>
      </c>
      <c r="BC509" s="668"/>
      <c r="BD509" s="668"/>
      <c r="BE509" s="668"/>
      <c r="BF509" s="668"/>
      <c r="BG509" s="668"/>
      <c r="BH509" s="668"/>
      <c r="BI509" s="668"/>
    </row>
    <row r="510" spans="1:61" x14ac:dyDescent="0.2">
      <c r="A510" s="1020">
        <v>3031</v>
      </c>
      <c r="B510" s="1020" t="s">
        <v>466</v>
      </c>
      <c r="C510" s="1020"/>
      <c r="D510" s="667">
        <v>80</v>
      </c>
      <c r="E510" s="667"/>
      <c r="F510" s="667"/>
      <c r="G510" s="667"/>
      <c r="H510" s="667"/>
      <c r="I510" s="667"/>
      <c r="J510" s="667"/>
      <c r="K510" s="667"/>
      <c r="L510" s="667"/>
      <c r="M510" s="667"/>
      <c r="N510" s="667"/>
      <c r="O510" s="667"/>
      <c r="P510" s="667"/>
      <c r="Q510" s="667"/>
      <c r="R510" s="667"/>
      <c r="S510" s="667"/>
      <c r="T510" s="667"/>
      <c r="U510" s="1020">
        <v>3</v>
      </c>
      <c r="V510" s="668">
        <f t="shared" si="157"/>
        <v>240</v>
      </c>
      <c r="W510" s="668">
        <f t="shared" si="158"/>
        <v>0</v>
      </c>
      <c r="X510" s="668">
        <f t="shared" si="159"/>
        <v>0</v>
      </c>
      <c r="Y510" s="668">
        <f t="shared" si="160"/>
        <v>0</v>
      </c>
      <c r="Z510" s="668">
        <f t="shared" si="161"/>
        <v>0</v>
      </c>
      <c r="AA510" s="668">
        <f t="shared" si="162"/>
        <v>0</v>
      </c>
      <c r="AB510" s="668">
        <f t="shared" si="163"/>
        <v>0</v>
      </c>
      <c r="AC510" s="668">
        <f t="shared" si="153"/>
        <v>0</v>
      </c>
      <c r="AD510" s="668">
        <f t="shared" si="164"/>
        <v>0</v>
      </c>
      <c r="AE510" s="668">
        <f t="shared" si="165"/>
        <v>0</v>
      </c>
      <c r="AF510" s="668">
        <f t="shared" si="166"/>
        <v>0</v>
      </c>
      <c r="AG510" s="668">
        <f t="shared" si="167"/>
        <v>0</v>
      </c>
      <c r="AH510" s="668"/>
      <c r="AI510" s="668"/>
      <c r="AJ510" s="668"/>
      <c r="AK510" s="668"/>
      <c r="AL510" s="668"/>
      <c r="AM510" s="668">
        <f t="shared" si="154"/>
        <v>0</v>
      </c>
      <c r="AN510" s="668">
        <f t="shared" si="149"/>
        <v>0</v>
      </c>
      <c r="AO510" s="668">
        <f t="shared" si="150"/>
        <v>0</v>
      </c>
      <c r="AP510" s="668">
        <f t="shared" si="155"/>
        <v>0</v>
      </c>
      <c r="AQ510" s="668">
        <f t="shared" si="151"/>
        <v>0</v>
      </c>
      <c r="AR510" s="668">
        <f t="shared" si="152"/>
        <v>0</v>
      </c>
      <c r="AS510" s="668"/>
      <c r="AT510" s="668"/>
      <c r="AU510" s="668"/>
      <c r="AV510" s="668"/>
      <c r="AW510" s="668"/>
      <c r="AX510" s="668"/>
      <c r="AY510" s="668"/>
      <c r="AZ510" s="668"/>
      <c r="BA510" s="668"/>
      <c r="BB510" s="668">
        <f t="shared" si="156"/>
        <v>0</v>
      </c>
      <c r="BC510" s="668"/>
      <c r="BD510" s="668"/>
      <c r="BE510" s="668"/>
      <c r="BF510" s="668"/>
      <c r="BG510" s="668"/>
      <c r="BH510" s="668"/>
      <c r="BI510" s="668"/>
    </row>
    <row r="511" spans="1:61" x14ac:dyDescent="0.2">
      <c r="A511" s="1020">
        <v>3032</v>
      </c>
      <c r="B511" s="1020" t="s">
        <v>682</v>
      </c>
      <c r="C511" s="1020"/>
      <c r="D511" s="667">
        <v>32</v>
      </c>
      <c r="E511" s="667"/>
      <c r="F511" s="667">
        <v>32</v>
      </c>
      <c r="G511" s="667"/>
      <c r="H511" s="667"/>
      <c r="I511" s="667"/>
      <c r="J511" s="667"/>
      <c r="K511" s="667"/>
      <c r="L511" s="667"/>
      <c r="M511" s="667"/>
      <c r="N511" s="667"/>
      <c r="O511" s="667"/>
      <c r="P511" s="667"/>
      <c r="Q511" s="667"/>
      <c r="R511" s="667"/>
      <c r="S511" s="667"/>
      <c r="T511" s="667"/>
      <c r="U511" s="1020">
        <v>10</v>
      </c>
      <c r="V511" s="668">
        <f t="shared" si="157"/>
        <v>320</v>
      </c>
      <c r="W511" s="668">
        <f t="shared" si="158"/>
        <v>0</v>
      </c>
      <c r="X511" s="668">
        <f t="shared" si="159"/>
        <v>0</v>
      </c>
      <c r="Y511" s="668">
        <f t="shared" si="160"/>
        <v>0</v>
      </c>
      <c r="Z511" s="668">
        <f t="shared" si="161"/>
        <v>0</v>
      </c>
      <c r="AA511" s="668">
        <f t="shared" si="162"/>
        <v>0</v>
      </c>
      <c r="AB511" s="668">
        <f t="shared" si="163"/>
        <v>0</v>
      </c>
      <c r="AC511" s="668">
        <f t="shared" si="153"/>
        <v>0</v>
      </c>
      <c r="AD511" s="668">
        <f t="shared" si="164"/>
        <v>0</v>
      </c>
      <c r="AE511" s="668">
        <f t="shared" si="165"/>
        <v>0</v>
      </c>
      <c r="AF511" s="668">
        <f t="shared" si="166"/>
        <v>0</v>
      </c>
      <c r="AG511" s="668">
        <f t="shared" si="167"/>
        <v>0</v>
      </c>
      <c r="AH511" s="668"/>
      <c r="AI511" s="668"/>
      <c r="AJ511" s="668"/>
      <c r="AK511" s="668"/>
      <c r="AL511" s="668"/>
      <c r="AM511" s="668">
        <f t="shared" si="154"/>
        <v>0</v>
      </c>
      <c r="AN511" s="668">
        <f t="shared" si="149"/>
        <v>0</v>
      </c>
      <c r="AO511" s="668">
        <f t="shared" si="150"/>
        <v>0</v>
      </c>
      <c r="AP511" s="668">
        <f t="shared" si="155"/>
        <v>320</v>
      </c>
      <c r="AQ511" s="668">
        <f t="shared" si="151"/>
        <v>0</v>
      </c>
      <c r="AR511" s="668">
        <f t="shared" si="152"/>
        <v>0</v>
      </c>
      <c r="AS511" s="668"/>
      <c r="AT511" s="668"/>
      <c r="AU511" s="668"/>
      <c r="AV511" s="668"/>
      <c r="AW511" s="668"/>
      <c r="AX511" s="668"/>
      <c r="AY511" s="668"/>
      <c r="AZ511" s="668"/>
      <c r="BA511" s="668"/>
      <c r="BB511" s="668">
        <f t="shared" si="156"/>
        <v>320</v>
      </c>
      <c r="BC511" s="668"/>
      <c r="BD511" s="668"/>
      <c r="BE511" s="668"/>
      <c r="BF511" s="668"/>
      <c r="BG511" s="668"/>
      <c r="BH511" s="668"/>
      <c r="BI511" s="668"/>
    </row>
    <row r="512" spans="1:61" x14ac:dyDescent="0.2">
      <c r="A512" s="1020">
        <v>3033</v>
      </c>
      <c r="B512" s="1020" t="s">
        <v>682</v>
      </c>
      <c r="C512" s="1020"/>
      <c r="D512" s="667">
        <v>32</v>
      </c>
      <c r="E512" s="667"/>
      <c r="F512" s="667">
        <v>32</v>
      </c>
      <c r="G512" s="667"/>
      <c r="H512" s="667"/>
      <c r="I512" s="667"/>
      <c r="J512" s="667"/>
      <c r="K512" s="667"/>
      <c r="L512" s="667"/>
      <c r="M512" s="667"/>
      <c r="N512" s="667"/>
      <c r="O512" s="667"/>
      <c r="P512" s="667"/>
      <c r="Q512" s="667"/>
      <c r="R512" s="667"/>
      <c r="S512" s="667"/>
      <c r="T512" s="667"/>
      <c r="U512" s="1020">
        <v>10</v>
      </c>
      <c r="V512" s="668">
        <f t="shared" si="157"/>
        <v>320</v>
      </c>
      <c r="W512" s="668">
        <f t="shared" si="158"/>
        <v>0</v>
      </c>
      <c r="X512" s="668">
        <f t="shared" si="159"/>
        <v>0</v>
      </c>
      <c r="Y512" s="668">
        <f t="shared" si="160"/>
        <v>0</v>
      </c>
      <c r="Z512" s="668">
        <f t="shared" si="161"/>
        <v>0</v>
      </c>
      <c r="AA512" s="668">
        <f t="shared" si="162"/>
        <v>0</v>
      </c>
      <c r="AB512" s="668">
        <f t="shared" si="163"/>
        <v>0</v>
      </c>
      <c r="AC512" s="668">
        <f t="shared" si="153"/>
        <v>0</v>
      </c>
      <c r="AD512" s="668">
        <f t="shared" si="164"/>
        <v>0</v>
      </c>
      <c r="AE512" s="668">
        <f t="shared" si="165"/>
        <v>0</v>
      </c>
      <c r="AF512" s="668">
        <f t="shared" si="166"/>
        <v>0</v>
      </c>
      <c r="AG512" s="668">
        <f t="shared" si="167"/>
        <v>0</v>
      </c>
      <c r="AH512" s="668"/>
      <c r="AI512" s="668"/>
      <c r="AJ512" s="668"/>
      <c r="AK512" s="668"/>
      <c r="AL512" s="668"/>
      <c r="AM512" s="668">
        <f t="shared" si="154"/>
        <v>0</v>
      </c>
      <c r="AN512" s="668">
        <f t="shared" si="149"/>
        <v>0</v>
      </c>
      <c r="AO512" s="668">
        <f t="shared" si="150"/>
        <v>0</v>
      </c>
      <c r="AP512" s="668">
        <f t="shared" si="155"/>
        <v>320</v>
      </c>
      <c r="AQ512" s="668">
        <f t="shared" si="151"/>
        <v>0</v>
      </c>
      <c r="AR512" s="668">
        <f t="shared" si="152"/>
        <v>0</v>
      </c>
      <c r="AS512" s="668"/>
      <c r="AT512" s="668"/>
      <c r="AU512" s="668"/>
      <c r="AV512" s="668"/>
      <c r="AW512" s="668"/>
      <c r="AX512" s="668"/>
      <c r="AY512" s="668"/>
      <c r="AZ512" s="668"/>
      <c r="BA512" s="668"/>
      <c r="BB512" s="668">
        <f t="shared" si="156"/>
        <v>320</v>
      </c>
      <c r="BC512" s="668"/>
      <c r="BD512" s="668"/>
      <c r="BE512" s="668"/>
      <c r="BF512" s="668"/>
      <c r="BG512" s="668"/>
      <c r="BH512" s="668"/>
      <c r="BI512" s="668"/>
    </row>
    <row r="513" spans="1:61" x14ac:dyDescent="0.2">
      <c r="A513" s="1020">
        <v>3034</v>
      </c>
      <c r="B513" s="1020" t="s">
        <v>720</v>
      </c>
      <c r="C513" s="1020"/>
      <c r="D513" s="667">
        <v>82</v>
      </c>
      <c r="E513" s="667"/>
      <c r="F513" s="667"/>
      <c r="G513" s="667"/>
      <c r="H513" s="667"/>
      <c r="I513" s="667"/>
      <c r="J513" s="667"/>
      <c r="K513" s="667"/>
      <c r="L513" s="667"/>
      <c r="M513" s="667"/>
      <c r="N513" s="667"/>
      <c r="O513" s="667"/>
      <c r="P513" s="667"/>
      <c r="Q513" s="667"/>
      <c r="R513" s="667"/>
      <c r="S513" s="667"/>
      <c r="T513" s="667"/>
      <c r="U513" s="1020">
        <v>10</v>
      </c>
      <c r="V513" s="668">
        <f t="shared" si="157"/>
        <v>820</v>
      </c>
      <c r="W513" s="668">
        <f t="shared" si="158"/>
        <v>0</v>
      </c>
      <c r="X513" s="668">
        <f t="shared" si="159"/>
        <v>0</v>
      </c>
      <c r="Y513" s="668">
        <f t="shared" si="160"/>
        <v>0</v>
      </c>
      <c r="Z513" s="668">
        <f t="shared" si="161"/>
        <v>0</v>
      </c>
      <c r="AA513" s="668">
        <f t="shared" si="162"/>
        <v>0</v>
      </c>
      <c r="AB513" s="668">
        <f t="shared" si="163"/>
        <v>0</v>
      </c>
      <c r="AC513" s="668">
        <f t="shared" si="153"/>
        <v>0</v>
      </c>
      <c r="AD513" s="668">
        <f t="shared" si="164"/>
        <v>0</v>
      </c>
      <c r="AE513" s="668">
        <f t="shared" si="165"/>
        <v>0</v>
      </c>
      <c r="AF513" s="668">
        <f t="shared" si="166"/>
        <v>0</v>
      </c>
      <c r="AG513" s="668">
        <f t="shared" si="167"/>
        <v>0</v>
      </c>
      <c r="AH513" s="668"/>
      <c r="AI513" s="668"/>
      <c r="AJ513" s="668"/>
      <c r="AK513" s="668"/>
      <c r="AL513" s="668"/>
      <c r="AM513" s="668">
        <f t="shared" si="154"/>
        <v>0</v>
      </c>
      <c r="AN513" s="668">
        <f t="shared" si="149"/>
        <v>0</v>
      </c>
      <c r="AO513" s="668">
        <f t="shared" si="150"/>
        <v>0</v>
      </c>
      <c r="AP513" s="668">
        <f t="shared" si="155"/>
        <v>0</v>
      </c>
      <c r="AQ513" s="668">
        <f t="shared" si="151"/>
        <v>0</v>
      </c>
      <c r="AR513" s="668">
        <f t="shared" si="152"/>
        <v>0</v>
      </c>
      <c r="AS513" s="668"/>
      <c r="AT513" s="668"/>
      <c r="AU513" s="668"/>
      <c r="AV513" s="668"/>
      <c r="AW513" s="668"/>
      <c r="AX513" s="668"/>
      <c r="AY513" s="668"/>
      <c r="AZ513" s="668"/>
      <c r="BA513" s="668"/>
      <c r="BB513" s="668">
        <f t="shared" si="156"/>
        <v>0</v>
      </c>
      <c r="BC513" s="668"/>
      <c r="BD513" s="668"/>
      <c r="BE513" s="668"/>
      <c r="BF513" s="668"/>
      <c r="BG513" s="668"/>
      <c r="BH513" s="668"/>
      <c r="BI513" s="668"/>
    </row>
    <row r="514" spans="1:61" x14ac:dyDescent="0.2">
      <c r="A514" s="1020">
        <v>3035</v>
      </c>
      <c r="B514" s="1020" t="s">
        <v>517</v>
      </c>
      <c r="C514" s="1020"/>
      <c r="D514" s="667">
        <v>81</v>
      </c>
      <c r="E514" s="667"/>
      <c r="F514" s="667"/>
      <c r="G514" s="667"/>
      <c r="H514" s="667"/>
      <c r="I514" s="667"/>
      <c r="J514" s="667"/>
      <c r="K514" s="667"/>
      <c r="L514" s="667"/>
      <c r="M514" s="667"/>
      <c r="N514" s="667"/>
      <c r="O514" s="667"/>
      <c r="P514" s="667"/>
      <c r="Q514" s="667"/>
      <c r="R514" s="667"/>
      <c r="S514" s="667"/>
      <c r="T514" s="667"/>
      <c r="U514" s="1020">
        <v>12</v>
      </c>
      <c r="V514" s="668">
        <f t="shared" si="157"/>
        <v>972</v>
      </c>
      <c r="W514" s="668">
        <f t="shared" si="158"/>
        <v>0</v>
      </c>
      <c r="X514" s="668">
        <f t="shared" si="159"/>
        <v>0</v>
      </c>
      <c r="Y514" s="668">
        <f t="shared" si="160"/>
        <v>0</v>
      </c>
      <c r="Z514" s="668">
        <f t="shared" si="161"/>
        <v>0</v>
      </c>
      <c r="AA514" s="668">
        <f t="shared" si="162"/>
        <v>0</v>
      </c>
      <c r="AB514" s="668">
        <f t="shared" si="163"/>
        <v>0</v>
      </c>
      <c r="AC514" s="668">
        <f t="shared" si="153"/>
        <v>0</v>
      </c>
      <c r="AD514" s="668">
        <f t="shared" si="164"/>
        <v>0</v>
      </c>
      <c r="AE514" s="668">
        <f t="shared" si="165"/>
        <v>0</v>
      </c>
      <c r="AF514" s="668">
        <f t="shared" si="166"/>
        <v>0</v>
      </c>
      <c r="AG514" s="668">
        <f t="shared" si="167"/>
        <v>0</v>
      </c>
      <c r="AH514" s="668"/>
      <c r="AI514" s="668"/>
      <c r="AJ514" s="668"/>
      <c r="AK514" s="668"/>
      <c r="AL514" s="668"/>
      <c r="AM514" s="668">
        <f t="shared" si="154"/>
        <v>0</v>
      </c>
      <c r="AN514" s="668">
        <f t="shared" si="149"/>
        <v>0</v>
      </c>
      <c r="AO514" s="668">
        <f t="shared" si="150"/>
        <v>0</v>
      </c>
      <c r="AP514" s="668">
        <f t="shared" si="155"/>
        <v>0</v>
      </c>
      <c r="AQ514" s="668">
        <f t="shared" si="151"/>
        <v>0</v>
      </c>
      <c r="AR514" s="668">
        <f t="shared" si="152"/>
        <v>0</v>
      </c>
      <c r="AS514" s="668"/>
      <c r="AT514" s="668"/>
      <c r="AU514" s="668"/>
      <c r="AV514" s="668"/>
      <c r="AW514" s="668"/>
      <c r="AX514" s="668"/>
      <c r="AY514" s="668"/>
      <c r="AZ514" s="668"/>
      <c r="BA514" s="668"/>
      <c r="BB514" s="668">
        <f t="shared" si="156"/>
        <v>0</v>
      </c>
      <c r="BC514" s="668"/>
      <c r="BD514" s="668"/>
      <c r="BE514" s="668"/>
      <c r="BF514" s="668"/>
      <c r="BG514" s="668"/>
      <c r="BH514" s="668"/>
      <c r="BI514" s="668"/>
    </row>
    <row r="515" spans="1:61" x14ac:dyDescent="0.2">
      <c r="A515" s="1020">
        <v>3036</v>
      </c>
      <c r="B515" s="1020" t="s">
        <v>519</v>
      </c>
      <c r="C515" s="1020"/>
      <c r="D515" s="667">
        <v>35</v>
      </c>
      <c r="E515" s="667"/>
      <c r="F515" s="667">
        <v>15</v>
      </c>
      <c r="G515" s="667"/>
      <c r="H515" s="667"/>
      <c r="I515" s="667"/>
      <c r="J515" s="667"/>
      <c r="K515" s="667"/>
      <c r="L515" s="667"/>
      <c r="M515" s="667"/>
      <c r="N515" s="667"/>
      <c r="O515" s="667"/>
      <c r="P515" s="667"/>
      <c r="Q515" s="667"/>
      <c r="R515" s="667"/>
      <c r="S515" s="667"/>
      <c r="T515" s="667">
        <v>150</v>
      </c>
      <c r="U515" s="1020">
        <v>12</v>
      </c>
      <c r="V515" s="668">
        <f t="shared" si="157"/>
        <v>420</v>
      </c>
      <c r="W515" s="668">
        <f t="shared" si="158"/>
        <v>0</v>
      </c>
      <c r="X515" s="668">
        <f t="shared" si="159"/>
        <v>0</v>
      </c>
      <c r="Y515" s="668">
        <f t="shared" si="160"/>
        <v>0</v>
      </c>
      <c r="Z515" s="668">
        <f t="shared" si="161"/>
        <v>0</v>
      </c>
      <c r="AA515" s="668">
        <f t="shared" si="162"/>
        <v>0</v>
      </c>
      <c r="AB515" s="668">
        <f t="shared" si="163"/>
        <v>150</v>
      </c>
      <c r="AC515" s="668">
        <f t="shared" si="153"/>
        <v>0</v>
      </c>
      <c r="AD515" s="668">
        <f t="shared" si="164"/>
        <v>0</v>
      </c>
      <c r="AE515" s="668">
        <f t="shared" si="165"/>
        <v>0</v>
      </c>
      <c r="AF515" s="668">
        <f t="shared" si="166"/>
        <v>0</v>
      </c>
      <c r="AG515" s="668">
        <f t="shared" si="167"/>
        <v>0</v>
      </c>
      <c r="AH515" s="668"/>
      <c r="AI515" s="668"/>
      <c r="AJ515" s="668"/>
      <c r="AK515" s="668"/>
      <c r="AL515" s="668"/>
      <c r="AM515" s="668">
        <f t="shared" si="154"/>
        <v>0</v>
      </c>
      <c r="AN515" s="668">
        <f t="shared" si="149"/>
        <v>0</v>
      </c>
      <c r="AO515" s="668">
        <f t="shared" si="150"/>
        <v>0</v>
      </c>
      <c r="AP515" s="668">
        <f t="shared" si="155"/>
        <v>180</v>
      </c>
      <c r="AQ515" s="668">
        <f t="shared" si="151"/>
        <v>0</v>
      </c>
      <c r="AR515" s="668">
        <f t="shared" si="152"/>
        <v>0</v>
      </c>
      <c r="AS515" s="668"/>
      <c r="AT515" s="668"/>
      <c r="AU515" s="668"/>
      <c r="AV515" s="668"/>
      <c r="AW515" s="668"/>
      <c r="AX515" s="668"/>
      <c r="AY515" s="668"/>
      <c r="AZ515" s="668"/>
      <c r="BA515" s="668"/>
      <c r="BB515" s="668">
        <f t="shared" si="156"/>
        <v>180</v>
      </c>
      <c r="BC515" s="668"/>
      <c r="BD515" s="668"/>
      <c r="BE515" s="668"/>
      <c r="BF515" s="668"/>
      <c r="BG515" s="668"/>
      <c r="BH515" s="668"/>
      <c r="BI515" s="668"/>
    </row>
    <row r="516" spans="1:61" x14ac:dyDescent="0.2">
      <c r="A516" s="1020">
        <v>3037</v>
      </c>
      <c r="B516" s="1020" t="s">
        <v>519</v>
      </c>
      <c r="C516" s="1020"/>
      <c r="D516" s="667">
        <v>35</v>
      </c>
      <c r="E516" s="667"/>
      <c r="F516" s="667">
        <v>15</v>
      </c>
      <c r="G516" s="667"/>
      <c r="H516" s="667"/>
      <c r="I516" s="667"/>
      <c r="J516" s="667"/>
      <c r="K516" s="667"/>
      <c r="L516" s="667"/>
      <c r="M516" s="667"/>
      <c r="N516" s="667"/>
      <c r="O516" s="667"/>
      <c r="P516" s="667"/>
      <c r="Q516" s="667"/>
      <c r="R516" s="667"/>
      <c r="S516" s="667"/>
      <c r="T516" s="667">
        <v>150</v>
      </c>
      <c r="U516" s="1020">
        <v>12</v>
      </c>
      <c r="V516" s="668">
        <f t="shared" si="157"/>
        <v>420</v>
      </c>
      <c r="W516" s="668">
        <f t="shared" si="158"/>
        <v>0</v>
      </c>
      <c r="X516" s="668">
        <f t="shared" si="159"/>
        <v>0</v>
      </c>
      <c r="Y516" s="668">
        <f t="shared" si="160"/>
        <v>0</v>
      </c>
      <c r="Z516" s="668">
        <f t="shared" si="161"/>
        <v>0</v>
      </c>
      <c r="AA516" s="668">
        <f t="shared" si="162"/>
        <v>0</v>
      </c>
      <c r="AB516" s="668">
        <f t="shared" si="163"/>
        <v>150</v>
      </c>
      <c r="AC516" s="668">
        <f t="shared" si="153"/>
        <v>0</v>
      </c>
      <c r="AD516" s="668">
        <f t="shared" si="164"/>
        <v>0</v>
      </c>
      <c r="AE516" s="668">
        <f t="shared" si="165"/>
        <v>0</v>
      </c>
      <c r="AF516" s="668">
        <f t="shared" si="166"/>
        <v>0</v>
      </c>
      <c r="AG516" s="668">
        <f t="shared" si="167"/>
        <v>0</v>
      </c>
      <c r="AH516" s="668"/>
      <c r="AI516" s="668"/>
      <c r="AJ516" s="668"/>
      <c r="AK516" s="668"/>
      <c r="AL516" s="668"/>
      <c r="AM516" s="668">
        <f t="shared" si="154"/>
        <v>0</v>
      </c>
      <c r="AN516" s="668">
        <f t="shared" si="149"/>
        <v>0</v>
      </c>
      <c r="AO516" s="668">
        <f t="shared" si="150"/>
        <v>0</v>
      </c>
      <c r="AP516" s="668">
        <f t="shared" si="155"/>
        <v>180</v>
      </c>
      <c r="AQ516" s="668">
        <f t="shared" si="151"/>
        <v>0</v>
      </c>
      <c r="AR516" s="668">
        <f t="shared" si="152"/>
        <v>0</v>
      </c>
      <c r="AS516" s="668"/>
      <c r="AT516" s="668"/>
      <c r="AU516" s="668"/>
      <c r="AV516" s="668"/>
      <c r="AW516" s="668"/>
      <c r="AX516" s="668"/>
      <c r="AY516" s="668"/>
      <c r="AZ516" s="668"/>
      <c r="BA516" s="668"/>
      <c r="BB516" s="668">
        <f t="shared" si="156"/>
        <v>180</v>
      </c>
      <c r="BC516" s="668"/>
      <c r="BD516" s="668"/>
      <c r="BE516" s="668"/>
      <c r="BF516" s="668"/>
      <c r="BG516" s="668"/>
      <c r="BH516" s="668"/>
      <c r="BI516" s="668"/>
    </row>
    <row r="517" spans="1:61" x14ac:dyDescent="0.2">
      <c r="A517" s="1020" t="s">
        <v>721</v>
      </c>
      <c r="B517" s="1020" t="s">
        <v>515</v>
      </c>
      <c r="C517" s="1020"/>
      <c r="D517" s="667">
        <v>82</v>
      </c>
      <c r="E517" s="667"/>
      <c r="F517" s="667">
        <v>34</v>
      </c>
      <c r="G517" s="667"/>
      <c r="H517" s="667"/>
      <c r="I517" s="667"/>
      <c r="J517" s="667"/>
      <c r="K517" s="667"/>
      <c r="L517" s="667"/>
      <c r="M517" s="667"/>
      <c r="N517" s="667"/>
      <c r="O517" s="667"/>
      <c r="P517" s="667"/>
      <c r="Q517" s="667"/>
      <c r="R517" s="667"/>
      <c r="S517" s="667"/>
      <c r="T517" s="667">
        <v>1426</v>
      </c>
      <c r="U517" s="1020">
        <v>12</v>
      </c>
      <c r="V517" s="668">
        <f t="shared" si="157"/>
        <v>984</v>
      </c>
      <c r="W517" s="668">
        <f t="shared" si="158"/>
        <v>0</v>
      </c>
      <c r="X517" s="668">
        <f t="shared" si="159"/>
        <v>0</v>
      </c>
      <c r="Y517" s="668">
        <f t="shared" si="160"/>
        <v>0</v>
      </c>
      <c r="Z517" s="668">
        <f t="shared" si="161"/>
        <v>0</v>
      </c>
      <c r="AA517" s="668">
        <f t="shared" si="162"/>
        <v>0</v>
      </c>
      <c r="AB517" s="668">
        <f t="shared" si="163"/>
        <v>1426</v>
      </c>
      <c r="AC517" s="668">
        <f t="shared" si="153"/>
        <v>0</v>
      </c>
      <c r="AD517" s="668">
        <f t="shared" si="164"/>
        <v>0</v>
      </c>
      <c r="AE517" s="668">
        <f t="shared" si="165"/>
        <v>0</v>
      </c>
      <c r="AF517" s="668">
        <f t="shared" si="166"/>
        <v>0</v>
      </c>
      <c r="AG517" s="668">
        <f t="shared" si="167"/>
        <v>0</v>
      </c>
      <c r="AH517" s="668"/>
      <c r="AI517" s="668"/>
      <c r="AJ517" s="668"/>
      <c r="AK517" s="668"/>
      <c r="AL517" s="668"/>
      <c r="AM517" s="668">
        <f t="shared" si="154"/>
        <v>0</v>
      </c>
      <c r="AN517" s="668">
        <f t="shared" si="149"/>
        <v>0</v>
      </c>
      <c r="AO517" s="668">
        <f t="shared" si="150"/>
        <v>0</v>
      </c>
      <c r="AP517" s="668">
        <f t="shared" si="155"/>
        <v>408</v>
      </c>
      <c r="AQ517" s="668">
        <f t="shared" si="151"/>
        <v>0</v>
      </c>
      <c r="AR517" s="668">
        <f t="shared" si="152"/>
        <v>0</v>
      </c>
      <c r="AS517" s="668"/>
      <c r="AT517" s="668"/>
      <c r="AU517" s="668"/>
      <c r="AV517" s="668"/>
      <c r="AW517" s="668"/>
      <c r="AX517" s="668"/>
      <c r="AY517" s="668"/>
      <c r="AZ517" s="668"/>
      <c r="BA517" s="668"/>
      <c r="BB517" s="668"/>
      <c r="BC517" s="668"/>
      <c r="BD517" s="668"/>
      <c r="BE517" s="668"/>
      <c r="BF517" s="668"/>
      <c r="BG517" s="668"/>
      <c r="BH517" s="668"/>
      <c r="BI517" s="668"/>
    </row>
    <row r="518" spans="1:61" x14ac:dyDescent="0.2">
      <c r="A518" s="1020" t="s">
        <v>722</v>
      </c>
      <c r="B518" s="1020" t="s">
        <v>515</v>
      </c>
      <c r="C518" s="1020"/>
      <c r="D518" s="667">
        <v>73</v>
      </c>
      <c r="E518" s="667"/>
      <c r="F518" s="667">
        <v>40</v>
      </c>
      <c r="G518" s="667"/>
      <c r="H518" s="667"/>
      <c r="I518" s="667"/>
      <c r="J518" s="667"/>
      <c r="K518" s="667"/>
      <c r="L518" s="667"/>
      <c r="M518" s="667"/>
      <c r="N518" s="667"/>
      <c r="O518" s="667"/>
      <c r="P518" s="667"/>
      <c r="Q518" s="667"/>
      <c r="R518" s="667"/>
      <c r="S518" s="667"/>
      <c r="T518" s="667">
        <v>1055</v>
      </c>
      <c r="U518" s="1020">
        <v>12</v>
      </c>
      <c r="V518" s="668">
        <f t="shared" si="157"/>
        <v>876</v>
      </c>
      <c r="W518" s="668">
        <f t="shared" si="158"/>
        <v>0</v>
      </c>
      <c r="X518" s="668">
        <f t="shared" si="159"/>
        <v>0</v>
      </c>
      <c r="Y518" s="668">
        <f t="shared" si="160"/>
        <v>0</v>
      </c>
      <c r="Z518" s="668">
        <f t="shared" si="161"/>
        <v>0</v>
      </c>
      <c r="AA518" s="668">
        <f t="shared" si="162"/>
        <v>0</v>
      </c>
      <c r="AB518" s="668">
        <f t="shared" si="163"/>
        <v>1055</v>
      </c>
      <c r="AC518" s="668">
        <f t="shared" si="153"/>
        <v>0</v>
      </c>
      <c r="AD518" s="668">
        <f t="shared" si="164"/>
        <v>0</v>
      </c>
      <c r="AE518" s="668">
        <f t="shared" si="165"/>
        <v>0</v>
      </c>
      <c r="AF518" s="668">
        <f t="shared" si="166"/>
        <v>0</v>
      </c>
      <c r="AG518" s="668">
        <f t="shared" si="167"/>
        <v>0</v>
      </c>
      <c r="AH518" s="668"/>
      <c r="AI518" s="668"/>
      <c r="AJ518" s="668"/>
      <c r="AK518" s="668"/>
      <c r="AL518" s="668"/>
      <c r="AM518" s="668">
        <f t="shared" si="154"/>
        <v>0</v>
      </c>
      <c r="AN518" s="668">
        <f t="shared" si="149"/>
        <v>0</v>
      </c>
      <c r="AO518" s="668">
        <f t="shared" si="150"/>
        <v>0</v>
      </c>
      <c r="AP518" s="668">
        <f t="shared" si="155"/>
        <v>480</v>
      </c>
      <c r="AQ518" s="668">
        <f t="shared" si="151"/>
        <v>0</v>
      </c>
      <c r="AR518" s="668">
        <f t="shared" si="152"/>
        <v>0</v>
      </c>
      <c r="AS518" s="668"/>
      <c r="AT518" s="668"/>
      <c r="AU518" s="668"/>
      <c r="AV518" s="668"/>
      <c r="AW518" s="668"/>
      <c r="AX518" s="668"/>
      <c r="AY518" s="668"/>
      <c r="AZ518" s="668"/>
      <c r="BA518" s="668"/>
      <c r="BB518" s="668"/>
      <c r="BC518" s="668"/>
      <c r="BD518" s="668"/>
      <c r="BE518" s="668"/>
      <c r="BF518" s="668"/>
      <c r="BG518" s="668"/>
      <c r="BH518" s="668"/>
      <c r="BI518" s="668"/>
    </row>
    <row r="519" spans="1:61" x14ac:dyDescent="0.2">
      <c r="A519" s="1020">
        <v>3039</v>
      </c>
      <c r="B519" s="1020" t="s">
        <v>515</v>
      </c>
      <c r="C519" s="1020"/>
      <c r="D519" s="667">
        <v>120</v>
      </c>
      <c r="E519" s="667"/>
      <c r="F519" s="667">
        <v>90</v>
      </c>
      <c r="G519" s="667"/>
      <c r="H519" s="667"/>
      <c r="I519" s="667"/>
      <c r="J519" s="667"/>
      <c r="K519" s="667"/>
      <c r="L519" s="667"/>
      <c r="M519" s="667"/>
      <c r="N519" s="667"/>
      <c r="O519" s="667"/>
      <c r="P519" s="667"/>
      <c r="Q519" s="667"/>
      <c r="R519" s="667"/>
      <c r="S519" s="667"/>
      <c r="T519" s="667">
        <v>4467</v>
      </c>
      <c r="U519" s="1020">
        <v>12</v>
      </c>
      <c r="V519" s="668">
        <f t="shared" si="157"/>
        <v>1440</v>
      </c>
      <c r="W519" s="668">
        <f t="shared" si="158"/>
        <v>0</v>
      </c>
      <c r="X519" s="668">
        <f t="shared" si="159"/>
        <v>0</v>
      </c>
      <c r="Y519" s="668">
        <f t="shared" si="160"/>
        <v>0</v>
      </c>
      <c r="Z519" s="668">
        <f t="shared" si="161"/>
        <v>0</v>
      </c>
      <c r="AA519" s="668">
        <f t="shared" si="162"/>
        <v>0</v>
      </c>
      <c r="AB519" s="668">
        <f t="shared" si="163"/>
        <v>4467</v>
      </c>
      <c r="AC519" s="668">
        <f t="shared" si="153"/>
        <v>0</v>
      </c>
      <c r="AD519" s="668">
        <f t="shared" si="164"/>
        <v>0</v>
      </c>
      <c r="AE519" s="668">
        <f t="shared" si="165"/>
        <v>0</v>
      </c>
      <c r="AF519" s="668">
        <f t="shared" si="166"/>
        <v>0</v>
      </c>
      <c r="AG519" s="668">
        <f t="shared" si="167"/>
        <v>0</v>
      </c>
      <c r="AH519" s="668"/>
      <c r="AI519" s="668"/>
      <c r="AJ519" s="668"/>
      <c r="AK519" s="668"/>
      <c r="AL519" s="668"/>
      <c r="AM519" s="668">
        <f t="shared" si="154"/>
        <v>0</v>
      </c>
      <c r="AN519" s="668">
        <f t="shared" si="149"/>
        <v>0</v>
      </c>
      <c r="AO519" s="668">
        <f t="shared" si="150"/>
        <v>0</v>
      </c>
      <c r="AP519" s="668">
        <f t="shared" si="155"/>
        <v>1080</v>
      </c>
      <c r="AQ519" s="668">
        <f t="shared" si="151"/>
        <v>0</v>
      </c>
      <c r="AR519" s="668">
        <f t="shared" si="152"/>
        <v>0</v>
      </c>
      <c r="AS519" s="668"/>
      <c r="AT519" s="668"/>
      <c r="AU519" s="668"/>
      <c r="AV519" s="668"/>
      <c r="AW519" s="668"/>
      <c r="AX519" s="668"/>
      <c r="AY519" s="668"/>
      <c r="AZ519" s="668"/>
      <c r="BA519" s="668"/>
      <c r="BB519" s="668"/>
      <c r="BC519" s="668"/>
      <c r="BD519" s="668"/>
      <c r="BE519" s="668"/>
      <c r="BF519" s="668"/>
      <c r="BG519" s="668"/>
      <c r="BH519" s="668"/>
      <c r="BI519" s="668"/>
    </row>
    <row r="520" spans="1:61" x14ac:dyDescent="0.2">
      <c r="A520" s="1020">
        <v>3040</v>
      </c>
      <c r="B520" s="1020" t="s">
        <v>519</v>
      </c>
      <c r="C520" s="1020"/>
      <c r="D520" s="667">
        <v>35</v>
      </c>
      <c r="E520" s="667"/>
      <c r="F520" s="667">
        <v>15</v>
      </c>
      <c r="G520" s="667"/>
      <c r="H520" s="667"/>
      <c r="I520" s="667"/>
      <c r="J520" s="667"/>
      <c r="K520" s="667"/>
      <c r="L520" s="667"/>
      <c r="M520" s="667"/>
      <c r="N520" s="667"/>
      <c r="O520" s="667"/>
      <c r="P520" s="667"/>
      <c r="Q520" s="667"/>
      <c r="R520" s="667"/>
      <c r="S520" s="667"/>
      <c r="T520" s="667">
        <v>150</v>
      </c>
      <c r="U520" s="1020">
        <v>12</v>
      </c>
      <c r="V520" s="668">
        <f t="shared" si="157"/>
        <v>420</v>
      </c>
      <c r="W520" s="668">
        <f t="shared" si="158"/>
        <v>0</v>
      </c>
      <c r="X520" s="668">
        <f t="shared" si="159"/>
        <v>0</v>
      </c>
      <c r="Y520" s="668">
        <f t="shared" si="160"/>
        <v>0</v>
      </c>
      <c r="Z520" s="668">
        <f t="shared" si="161"/>
        <v>0</v>
      </c>
      <c r="AA520" s="668">
        <f t="shared" si="162"/>
        <v>0</v>
      </c>
      <c r="AB520" s="668">
        <f t="shared" si="163"/>
        <v>150</v>
      </c>
      <c r="AC520" s="668">
        <f t="shared" si="153"/>
        <v>0</v>
      </c>
      <c r="AD520" s="668">
        <f t="shared" si="164"/>
        <v>0</v>
      </c>
      <c r="AE520" s="668">
        <f t="shared" si="165"/>
        <v>0</v>
      </c>
      <c r="AF520" s="668">
        <f t="shared" si="166"/>
        <v>0</v>
      </c>
      <c r="AG520" s="668">
        <f t="shared" si="167"/>
        <v>0</v>
      </c>
      <c r="AH520" s="668"/>
      <c r="AI520" s="668"/>
      <c r="AJ520" s="668"/>
      <c r="AK520" s="668"/>
      <c r="AL520" s="668"/>
      <c r="AM520" s="668">
        <f t="shared" si="154"/>
        <v>0</v>
      </c>
      <c r="AN520" s="668">
        <f t="shared" ref="AN520:AN583" si="168">+U520*E520</f>
        <v>0</v>
      </c>
      <c r="AO520" s="668">
        <f t="shared" ref="AO520:AO583" si="169">+U520*O520</f>
        <v>0</v>
      </c>
      <c r="AP520" s="668">
        <f t="shared" si="155"/>
        <v>180</v>
      </c>
      <c r="AQ520" s="668">
        <f t="shared" ref="AQ520:AQ583" si="170">+$AQ$4*K520</f>
        <v>0</v>
      </c>
      <c r="AR520" s="668">
        <f t="shared" ref="AR520:AR583" si="171">+$AR$4*K520</f>
        <v>0</v>
      </c>
      <c r="AS520" s="668"/>
      <c r="AT520" s="668"/>
      <c r="AU520" s="668"/>
      <c r="AV520" s="668"/>
      <c r="AW520" s="668"/>
      <c r="AX520" s="668"/>
      <c r="AY520" s="668"/>
      <c r="AZ520" s="668"/>
      <c r="BA520" s="668"/>
      <c r="BB520" s="668">
        <f t="shared" si="156"/>
        <v>180</v>
      </c>
      <c r="BC520" s="668"/>
      <c r="BD520" s="668"/>
      <c r="BE520" s="668"/>
      <c r="BF520" s="668"/>
      <c r="BG520" s="668"/>
      <c r="BH520" s="668"/>
      <c r="BI520" s="668"/>
    </row>
    <row r="521" spans="1:61" x14ac:dyDescent="0.2">
      <c r="A521" s="1020">
        <v>3041</v>
      </c>
      <c r="B521" s="1020" t="s">
        <v>519</v>
      </c>
      <c r="C521" s="1020"/>
      <c r="D521" s="667">
        <v>35</v>
      </c>
      <c r="E521" s="667"/>
      <c r="F521" s="667">
        <v>15</v>
      </c>
      <c r="G521" s="667"/>
      <c r="H521" s="667"/>
      <c r="I521" s="667"/>
      <c r="J521" s="667"/>
      <c r="K521" s="667"/>
      <c r="L521" s="667"/>
      <c r="M521" s="667"/>
      <c r="N521" s="667"/>
      <c r="O521" s="667"/>
      <c r="P521" s="667"/>
      <c r="Q521" s="667"/>
      <c r="R521" s="667"/>
      <c r="S521" s="667"/>
      <c r="T521" s="667">
        <v>150</v>
      </c>
      <c r="U521" s="1020">
        <v>12</v>
      </c>
      <c r="V521" s="668">
        <f t="shared" si="157"/>
        <v>420</v>
      </c>
      <c r="W521" s="668">
        <f t="shared" si="158"/>
        <v>0</v>
      </c>
      <c r="X521" s="668">
        <f t="shared" si="159"/>
        <v>0</v>
      </c>
      <c r="Y521" s="668">
        <f t="shared" si="160"/>
        <v>0</v>
      </c>
      <c r="Z521" s="668">
        <f t="shared" si="161"/>
        <v>0</v>
      </c>
      <c r="AA521" s="668">
        <f t="shared" si="162"/>
        <v>0</v>
      </c>
      <c r="AB521" s="668">
        <f t="shared" si="163"/>
        <v>150</v>
      </c>
      <c r="AC521" s="668">
        <f t="shared" si="153"/>
        <v>0</v>
      </c>
      <c r="AD521" s="668">
        <f t="shared" si="164"/>
        <v>0</v>
      </c>
      <c r="AE521" s="668">
        <f t="shared" si="165"/>
        <v>0</v>
      </c>
      <c r="AF521" s="668">
        <f t="shared" si="166"/>
        <v>0</v>
      </c>
      <c r="AG521" s="668">
        <f t="shared" si="167"/>
        <v>0</v>
      </c>
      <c r="AH521" s="668"/>
      <c r="AI521" s="668"/>
      <c r="AJ521" s="668"/>
      <c r="AK521" s="668"/>
      <c r="AL521" s="668"/>
      <c r="AM521" s="668">
        <f t="shared" si="154"/>
        <v>0</v>
      </c>
      <c r="AN521" s="668">
        <f t="shared" si="168"/>
        <v>0</v>
      </c>
      <c r="AO521" s="668">
        <f t="shared" si="169"/>
        <v>0</v>
      </c>
      <c r="AP521" s="668">
        <f t="shared" si="155"/>
        <v>180</v>
      </c>
      <c r="AQ521" s="668">
        <f t="shared" si="170"/>
        <v>0</v>
      </c>
      <c r="AR521" s="668">
        <f t="shared" si="171"/>
        <v>0</v>
      </c>
      <c r="AS521" s="668"/>
      <c r="AT521" s="668"/>
      <c r="AU521" s="668"/>
      <c r="AV521" s="668"/>
      <c r="AW521" s="668"/>
      <c r="AX521" s="668"/>
      <c r="AY521" s="668"/>
      <c r="AZ521" s="668"/>
      <c r="BA521" s="668"/>
      <c r="BB521" s="668">
        <f t="shared" si="156"/>
        <v>180</v>
      </c>
      <c r="BC521" s="668"/>
      <c r="BD521" s="668"/>
      <c r="BE521" s="668"/>
      <c r="BF521" s="668"/>
      <c r="BG521" s="668"/>
      <c r="BH521" s="668"/>
      <c r="BI521" s="668"/>
    </row>
    <row r="522" spans="1:61" x14ac:dyDescent="0.2">
      <c r="A522" s="1020">
        <v>3042</v>
      </c>
      <c r="B522" s="1020" t="s">
        <v>476</v>
      </c>
      <c r="C522" s="1020"/>
      <c r="D522" s="667">
        <v>54</v>
      </c>
      <c r="E522" s="667"/>
      <c r="F522" s="667"/>
      <c r="G522" s="667"/>
      <c r="H522" s="667"/>
      <c r="I522" s="667"/>
      <c r="J522" s="667"/>
      <c r="K522" s="667"/>
      <c r="L522" s="667"/>
      <c r="M522" s="667"/>
      <c r="N522" s="667"/>
      <c r="O522" s="667"/>
      <c r="P522" s="667"/>
      <c r="Q522" s="667"/>
      <c r="R522" s="667"/>
      <c r="S522" s="667"/>
      <c r="T522" s="667"/>
      <c r="U522" s="1020">
        <v>12</v>
      </c>
      <c r="V522" s="668">
        <f t="shared" si="157"/>
        <v>648</v>
      </c>
      <c r="W522" s="668">
        <f t="shared" si="158"/>
        <v>0</v>
      </c>
      <c r="X522" s="668">
        <f t="shared" si="159"/>
        <v>0</v>
      </c>
      <c r="Y522" s="668">
        <f t="shared" si="160"/>
        <v>0</v>
      </c>
      <c r="Z522" s="668">
        <f t="shared" si="161"/>
        <v>0</v>
      </c>
      <c r="AA522" s="668">
        <f t="shared" si="162"/>
        <v>0</v>
      </c>
      <c r="AB522" s="668">
        <f t="shared" si="163"/>
        <v>0</v>
      </c>
      <c r="AC522" s="668">
        <f t="shared" ref="AC522:AC585" si="172">+U522*P522</f>
        <v>0</v>
      </c>
      <c r="AD522" s="668">
        <f t="shared" si="164"/>
        <v>0</v>
      </c>
      <c r="AE522" s="668">
        <f t="shared" si="165"/>
        <v>0</v>
      </c>
      <c r="AF522" s="668">
        <f t="shared" si="166"/>
        <v>0</v>
      </c>
      <c r="AG522" s="668">
        <f t="shared" si="167"/>
        <v>0</v>
      </c>
      <c r="AH522" s="668"/>
      <c r="AI522" s="668"/>
      <c r="AJ522" s="668"/>
      <c r="AK522" s="668"/>
      <c r="AL522" s="668"/>
      <c r="AM522" s="668">
        <f t="shared" si="154"/>
        <v>0</v>
      </c>
      <c r="AN522" s="668">
        <f t="shared" si="168"/>
        <v>0</v>
      </c>
      <c r="AO522" s="668">
        <f t="shared" si="169"/>
        <v>0</v>
      </c>
      <c r="AP522" s="668">
        <f t="shared" si="155"/>
        <v>0</v>
      </c>
      <c r="AQ522" s="668">
        <f t="shared" si="170"/>
        <v>0</v>
      </c>
      <c r="AR522" s="668">
        <f t="shared" si="171"/>
        <v>0</v>
      </c>
      <c r="AS522" s="668"/>
      <c r="AT522" s="668"/>
      <c r="AU522" s="668"/>
      <c r="AV522" s="668"/>
      <c r="AW522" s="668"/>
      <c r="AX522" s="668"/>
      <c r="AY522" s="668"/>
      <c r="AZ522" s="668"/>
      <c r="BA522" s="668"/>
      <c r="BB522" s="668">
        <f t="shared" si="156"/>
        <v>0</v>
      </c>
      <c r="BC522" s="668"/>
      <c r="BD522" s="668"/>
      <c r="BE522" s="668"/>
      <c r="BF522" s="668"/>
      <c r="BG522" s="668"/>
      <c r="BH522" s="668"/>
      <c r="BI522" s="668"/>
    </row>
    <row r="523" spans="1:61" x14ac:dyDescent="0.2">
      <c r="A523" s="1020">
        <v>3043</v>
      </c>
      <c r="B523" s="1020" t="s">
        <v>579</v>
      </c>
      <c r="C523" s="1020"/>
      <c r="D523" s="667">
        <v>48</v>
      </c>
      <c r="E523" s="667"/>
      <c r="F523" s="667"/>
      <c r="G523" s="667"/>
      <c r="H523" s="667"/>
      <c r="I523" s="667"/>
      <c r="J523" s="667"/>
      <c r="K523" s="667"/>
      <c r="L523" s="667"/>
      <c r="M523" s="667"/>
      <c r="N523" s="667"/>
      <c r="O523" s="667"/>
      <c r="P523" s="667"/>
      <c r="Q523" s="667"/>
      <c r="R523" s="667"/>
      <c r="S523" s="667"/>
      <c r="T523" s="667"/>
      <c r="U523" s="1020">
        <v>12</v>
      </c>
      <c r="V523" s="668">
        <f t="shared" si="157"/>
        <v>576</v>
      </c>
      <c r="W523" s="668">
        <f t="shared" si="158"/>
        <v>0</v>
      </c>
      <c r="X523" s="668">
        <f t="shared" si="159"/>
        <v>0</v>
      </c>
      <c r="Y523" s="668">
        <f t="shared" si="160"/>
        <v>0</v>
      </c>
      <c r="Z523" s="668">
        <f t="shared" si="161"/>
        <v>0</v>
      </c>
      <c r="AA523" s="668">
        <f t="shared" si="162"/>
        <v>0</v>
      </c>
      <c r="AB523" s="668">
        <f t="shared" si="163"/>
        <v>0</v>
      </c>
      <c r="AC523" s="668">
        <f t="shared" si="172"/>
        <v>0</v>
      </c>
      <c r="AD523" s="668">
        <f t="shared" si="164"/>
        <v>0</v>
      </c>
      <c r="AE523" s="668">
        <f t="shared" si="165"/>
        <v>0</v>
      </c>
      <c r="AF523" s="668">
        <f t="shared" si="166"/>
        <v>0</v>
      </c>
      <c r="AG523" s="668">
        <f t="shared" si="167"/>
        <v>0</v>
      </c>
      <c r="AH523" s="668"/>
      <c r="AI523" s="668"/>
      <c r="AJ523" s="668"/>
      <c r="AK523" s="668"/>
      <c r="AL523" s="668"/>
      <c r="AM523" s="668">
        <f t="shared" si="154"/>
        <v>0</v>
      </c>
      <c r="AN523" s="668">
        <f t="shared" si="168"/>
        <v>0</v>
      </c>
      <c r="AO523" s="668">
        <f t="shared" si="169"/>
        <v>0</v>
      </c>
      <c r="AP523" s="668">
        <f t="shared" si="155"/>
        <v>0</v>
      </c>
      <c r="AQ523" s="668">
        <f t="shared" si="170"/>
        <v>0</v>
      </c>
      <c r="AR523" s="668">
        <f t="shared" si="171"/>
        <v>0</v>
      </c>
      <c r="AS523" s="668"/>
      <c r="AT523" s="668"/>
      <c r="AU523" s="668"/>
      <c r="AV523" s="668"/>
      <c r="AW523" s="668"/>
      <c r="AX523" s="668"/>
      <c r="AY523" s="668"/>
      <c r="AZ523" s="668"/>
      <c r="BA523" s="668"/>
      <c r="BB523" s="668">
        <f t="shared" si="156"/>
        <v>0</v>
      </c>
      <c r="BC523" s="668"/>
      <c r="BD523" s="668"/>
      <c r="BE523" s="668"/>
      <c r="BF523" s="668"/>
      <c r="BG523" s="668"/>
      <c r="BH523" s="668"/>
      <c r="BI523" s="668"/>
    </row>
    <row r="524" spans="1:61" x14ac:dyDescent="0.2">
      <c r="A524" s="1020">
        <v>3044</v>
      </c>
      <c r="B524" s="1020" t="s">
        <v>686</v>
      </c>
      <c r="C524" s="1020"/>
      <c r="D524" s="667">
        <v>73</v>
      </c>
      <c r="E524" s="667"/>
      <c r="F524" s="667"/>
      <c r="G524" s="667"/>
      <c r="H524" s="667"/>
      <c r="I524" s="667"/>
      <c r="J524" s="667"/>
      <c r="K524" s="667"/>
      <c r="L524" s="667"/>
      <c r="M524" s="667"/>
      <c r="N524" s="667"/>
      <c r="O524" s="667"/>
      <c r="P524" s="667"/>
      <c r="Q524" s="667"/>
      <c r="R524" s="667"/>
      <c r="S524" s="667"/>
      <c r="T524" s="667"/>
      <c r="U524" s="1020">
        <v>10</v>
      </c>
      <c r="V524" s="668">
        <f t="shared" si="157"/>
        <v>730</v>
      </c>
      <c r="W524" s="668">
        <f t="shared" si="158"/>
        <v>0</v>
      </c>
      <c r="X524" s="668">
        <f t="shared" si="159"/>
        <v>0</v>
      </c>
      <c r="Y524" s="668">
        <f t="shared" si="160"/>
        <v>0</v>
      </c>
      <c r="Z524" s="668">
        <f t="shared" si="161"/>
        <v>0</v>
      </c>
      <c r="AA524" s="668">
        <f t="shared" si="162"/>
        <v>0</v>
      </c>
      <c r="AB524" s="668">
        <f t="shared" si="163"/>
        <v>0</v>
      </c>
      <c r="AC524" s="668">
        <f t="shared" si="172"/>
        <v>0</v>
      </c>
      <c r="AD524" s="668">
        <f t="shared" si="164"/>
        <v>0</v>
      </c>
      <c r="AE524" s="668">
        <f t="shared" si="165"/>
        <v>0</v>
      </c>
      <c r="AF524" s="668">
        <f t="shared" si="166"/>
        <v>0</v>
      </c>
      <c r="AG524" s="668">
        <f t="shared" si="167"/>
        <v>0</v>
      </c>
      <c r="AH524" s="668"/>
      <c r="AI524" s="668"/>
      <c r="AJ524" s="668"/>
      <c r="AK524" s="668"/>
      <c r="AL524" s="668"/>
      <c r="AM524" s="668">
        <f t="shared" si="154"/>
        <v>0</v>
      </c>
      <c r="AN524" s="668">
        <f t="shared" si="168"/>
        <v>0</v>
      </c>
      <c r="AO524" s="668">
        <f t="shared" si="169"/>
        <v>0</v>
      </c>
      <c r="AP524" s="668">
        <f t="shared" si="155"/>
        <v>0</v>
      </c>
      <c r="AQ524" s="668">
        <f t="shared" si="170"/>
        <v>0</v>
      </c>
      <c r="AR524" s="668">
        <f t="shared" si="171"/>
        <v>0</v>
      </c>
      <c r="AS524" s="668"/>
      <c r="AT524" s="668"/>
      <c r="AU524" s="668"/>
      <c r="AV524" s="668"/>
      <c r="AW524" s="668"/>
      <c r="AX524" s="668"/>
      <c r="AY524" s="668"/>
      <c r="AZ524" s="668"/>
      <c r="BA524" s="668"/>
      <c r="BB524" s="668">
        <f t="shared" si="156"/>
        <v>0</v>
      </c>
      <c r="BC524" s="668"/>
      <c r="BD524" s="668"/>
      <c r="BE524" s="668"/>
      <c r="BF524" s="668"/>
      <c r="BG524" s="668"/>
      <c r="BH524" s="668"/>
      <c r="BI524" s="668"/>
    </row>
    <row r="525" spans="1:61" x14ac:dyDescent="0.2">
      <c r="A525" s="1020">
        <v>3045</v>
      </c>
      <c r="B525" s="1020" t="s">
        <v>684</v>
      </c>
      <c r="C525" s="1020"/>
      <c r="D525" s="667">
        <v>42</v>
      </c>
      <c r="E525" s="667"/>
      <c r="F525" s="667">
        <v>42</v>
      </c>
      <c r="G525" s="667"/>
      <c r="H525" s="667"/>
      <c r="I525" s="667"/>
      <c r="J525" s="667"/>
      <c r="K525" s="667"/>
      <c r="L525" s="667"/>
      <c r="M525" s="667"/>
      <c r="N525" s="667"/>
      <c r="O525" s="667"/>
      <c r="P525" s="667"/>
      <c r="Q525" s="667"/>
      <c r="R525" s="667"/>
      <c r="S525" s="667"/>
      <c r="T525" s="667"/>
      <c r="U525" s="1020">
        <v>10</v>
      </c>
      <c r="V525" s="668">
        <f t="shared" si="157"/>
        <v>420</v>
      </c>
      <c r="W525" s="668">
        <f t="shared" si="158"/>
        <v>0</v>
      </c>
      <c r="X525" s="668">
        <f t="shared" si="159"/>
        <v>0</v>
      </c>
      <c r="Y525" s="668">
        <f t="shared" si="160"/>
        <v>0</v>
      </c>
      <c r="Z525" s="668">
        <f t="shared" si="161"/>
        <v>0</v>
      </c>
      <c r="AA525" s="668">
        <f t="shared" si="162"/>
        <v>0</v>
      </c>
      <c r="AB525" s="668">
        <f t="shared" si="163"/>
        <v>0</v>
      </c>
      <c r="AC525" s="668">
        <f t="shared" si="172"/>
        <v>0</v>
      </c>
      <c r="AD525" s="668">
        <f t="shared" si="164"/>
        <v>0</v>
      </c>
      <c r="AE525" s="668">
        <f t="shared" si="165"/>
        <v>0</v>
      </c>
      <c r="AF525" s="668">
        <f t="shared" si="166"/>
        <v>0</v>
      </c>
      <c r="AG525" s="668">
        <f t="shared" si="167"/>
        <v>0</v>
      </c>
      <c r="AH525" s="668"/>
      <c r="AI525" s="668"/>
      <c r="AJ525" s="668"/>
      <c r="AK525" s="668"/>
      <c r="AL525" s="668"/>
      <c r="AM525" s="668">
        <f t="shared" si="154"/>
        <v>0</v>
      </c>
      <c r="AN525" s="668">
        <f t="shared" si="168"/>
        <v>0</v>
      </c>
      <c r="AO525" s="668">
        <f t="shared" si="169"/>
        <v>0</v>
      </c>
      <c r="AP525" s="668">
        <f t="shared" si="155"/>
        <v>420</v>
      </c>
      <c r="AQ525" s="668">
        <f t="shared" si="170"/>
        <v>0</v>
      </c>
      <c r="AR525" s="668">
        <f t="shared" si="171"/>
        <v>0</v>
      </c>
      <c r="AS525" s="668"/>
      <c r="AT525" s="668"/>
      <c r="AU525" s="668"/>
      <c r="AV525" s="668"/>
      <c r="AW525" s="668"/>
      <c r="AX525" s="668"/>
      <c r="AY525" s="668"/>
      <c r="AZ525" s="668"/>
      <c r="BA525" s="668"/>
      <c r="BB525" s="668"/>
      <c r="BC525" s="668"/>
      <c r="BD525" s="668"/>
      <c r="BE525" s="668"/>
      <c r="BF525" s="668"/>
      <c r="BG525" s="668"/>
      <c r="BH525" s="668"/>
      <c r="BI525" s="668"/>
    </row>
    <row r="526" spans="1:61" x14ac:dyDescent="0.2">
      <c r="A526" s="1020">
        <v>3046</v>
      </c>
      <c r="B526" s="1020" t="s">
        <v>723</v>
      </c>
      <c r="C526" s="1020"/>
      <c r="D526" s="667">
        <v>62</v>
      </c>
      <c r="E526" s="667"/>
      <c r="F526" s="667"/>
      <c r="G526" s="667"/>
      <c r="H526" s="667"/>
      <c r="I526" s="667"/>
      <c r="J526" s="667"/>
      <c r="K526" s="667"/>
      <c r="L526" s="667"/>
      <c r="M526" s="667"/>
      <c r="N526" s="667"/>
      <c r="O526" s="667"/>
      <c r="P526" s="667"/>
      <c r="Q526" s="667"/>
      <c r="R526" s="667"/>
      <c r="S526" s="667"/>
      <c r="T526" s="667"/>
      <c r="U526" s="1020">
        <v>10</v>
      </c>
      <c r="V526" s="668">
        <f t="shared" si="157"/>
        <v>620</v>
      </c>
      <c r="W526" s="668">
        <f t="shared" si="158"/>
        <v>0</v>
      </c>
      <c r="X526" s="668">
        <f t="shared" si="159"/>
        <v>0</v>
      </c>
      <c r="Y526" s="668">
        <f t="shared" si="160"/>
        <v>0</v>
      </c>
      <c r="Z526" s="668">
        <f t="shared" si="161"/>
        <v>0</v>
      </c>
      <c r="AA526" s="668">
        <f t="shared" si="162"/>
        <v>0</v>
      </c>
      <c r="AB526" s="668">
        <f t="shared" si="163"/>
        <v>0</v>
      </c>
      <c r="AC526" s="668">
        <f t="shared" si="172"/>
        <v>0</v>
      </c>
      <c r="AD526" s="668">
        <f t="shared" si="164"/>
        <v>0</v>
      </c>
      <c r="AE526" s="668">
        <f t="shared" si="165"/>
        <v>0</v>
      </c>
      <c r="AF526" s="668">
        <f t="shared" si="166"/>
        <v>0</v>
      </c>
      <c r="AG526" s="668">
        <f t="shared" si="167"/>
        <v>0</v>
      </c>
      <c r="AH526" s="668"/>
      <c r="AI526" s="668"/>
      <c r="AJ526" s="668"/>
      <c r="AK526" s="668"/>
      <c r="AL526" s="668"/>
      <c r="AM526" s="668">
        <f t="shared" si="154"/>
        <v>0</v>
      </c>
      <c r="AN526" s="668">
        <f t="shared" si="168"/>
        <v>0</v>
      </c>
      <c r="AO526" s="668">
        <f t="shared" si="169"/>
        <v>0</v>
      </c>
      <c r="AP526" s="668">
        <f t="shared" si="155"/>
        <v>0</v>
      </c>
      <c r="AQ526" s="668">
        <f t="shared" si="170"/>
        <v>0</v>
      </c>
      <c r="AR526" s="668">
        <f t="shared" si="171"/>
        <v>0</v>
      </c>
      <c r="AS526" s="668"/>
      <c r="AT526" s="668"/>
      <c r="AU526" s="668"/>
      <c r="AV526" s="668"/>
      <c r="AW526" s="668"/>
      <c r="AX526" s="668"/>
      <c r="AY526" s="668"/>
      <c r="AZ526" s="668"/>
      <c r="BA526" s="668"/>
      <c r="BB526" s="668">
        <f t="shared" si="156"/>
        <v>0</v>
      </c>
      <c r="BC526" s="668"/>
      <c r="BD526" s="668"/>
      <c r="BE526" s="668"/>
      <c r="BF526" s="668"/>
      <c r="BG526" s="668"/>
      <c r="BH526" s="668"/>
      <c r="BI526" s="668"/>
    </row>
    <row r="527" spans="1:61" x14ac:dyDescent="0.2">
      <c r="A527" s="1020">
        <v>3047</v>
      </c>
      <c r="B527" s="1020" t="s">
        <v>672</v>
      </c>
      <c r="C527" s="1020"/>
      <c r="D527" s="667">
        <v>35</v>
      </c>
      <c r="E527" s="667"/>
      <c r="F527" s="667">
        <v>15</v>
      </c>
      <c r="G527" s="667"/>
      <c r="H527" s="667"/>
      <c r="I527" s="667"/>
      <c r="J527" s="667"/>
      <c r="K527" s="667"/>
      <c r="L527" s="667"/>
      <c r="M527" s="667"/>
      <c r="N527" s="667"/>
      <c r="O527" s="667"/>
      <c r="P527" s="667"/>
      <c r="Q527" s="667"/>
      <c r="R527" s="667"/>
      <c r="S527" s="667"/>
      <c r="T527" s="667"/>
      <c r="U527" s="1020">
        <v>10</v>
      </c>
      <c r="V527" s="668">
        <f t="shared" si="157"/>
        <v>350</v>
      </c>
      <c r="W527" s="668">
        <f t="shared" si="158"/>
        <v>0</v>
      </c>
      <c r="X527" s="668">
        <f t="shared" si="159"/>
        <v>0</v>
      </c>
      <c r="Y527" s="668">
        <f t="shared" si="160"/>
        <v>0</v>
      </c>
      <c r="Z527" s="668">
        <f t="shared" si="161"/>
        <v>0</v>
      </c>
      <c r="AA527" s="668">
        <f t="shared" si="162"/>
        <v>0</v>
      </c>
      <c r="AB527" s="668">
        <f t="shared" si="163"/>
        <v>0</v>
      </c>
      <c r="AC527" s="668">
        <f t="shared" si="172"/>
        <v>0</v>
      </c>
      <c r="AD527" s="668">
        <f t="shared" si="164"/>
        <v>0</v>
      </c>
      <c r="AE527" s="668">
        <f t="shared" si="165"/>
        <v>0</v>
      </c>
      <c r="AF527" s="668">
        <f t="shared" si="166"/>
        <v>0</v>
      </c>
      <c r="AG527" s="668">
        <f t="shared" si="167"/>
        <v>0</v>
      </c>
      <c r="AH527" s="668"/>
      <c r="AI527" s="668"/>
      <c r="AJ527" s="668"/>
      <c r="AK527" s="668"/>
      <c r="AL527" s="668"/>
      <c r="AM527" s="668">
        <f t="shared" si="154"/>
        <v>0</v>
      </c>
      <c r="AN527" s="668">
        <f t="shared" si="168"/>
        <v>0</v>
      </c>
      <c r="AO527" s="668">
        <f t="shared" si="169"/>
        <v>0</v>
      </c>
      <c r="AP527" s="668">
        <f t="shared" si="155"/>
        <v>150</v>
      </c>
      <c r="AQ527" s="668">
        <f t="shared" si="170"/>
        <v>0</v>
      </c>
      <c r="AR527" s="668">
        <f t="shared" si="171"/>
        <v>0</v>
      </c>
      <c r="AS527" s="668"/>
      <c r="AT527" s="668"/>
      <c r="AU527" s="668"/>
      <c r="AV527" s="668"/>
      <c r="AW527" s="668"/>
      <c r="AX527" s="668"/>
      <c r="AY527" s="668"/>
      <c r="AZ527" s="668"/>
      <c r="BA527" s="668"/>
      <c r="BB527" s="668">
        <f t="shared" si="156"/>
        <v>150</v>
      </c>
      <c r="BC527" s="668"/>
      <c r="BD527" s="668"/>
      <c r="BE527" s="668"/>
      <c r="BF527" s="668"/>
      <c r="BG527" s="668"/>
      <c r="BH527" s="668"/>
      <c r="BI527" s="668"/>
    </row>
    <row r="528" spans="1:61" x14ac:dyDescent="0.2">
      <c r="A528" s="1020">
        <v>3048</v>
      </c>
      <c r="B528" s="1020" t="s">
        <v>672</v>
      </c>
      <c r="C528" s="1020"/>
      <c r="D528" s="667">
        <v>35</v>
      </c>
      <c r="E528" s="667"/>
      <c r="F528" s="667">
        <v>15</v>
      </c>
      <c r="G528" s="667"/>
      <c r="H528" s="667"/>
      <c r="I528" s="667"/>
      <c r="J528" s="667"/>
      <c r="K528" s="667"/>
      <c r="L528" s="667"/>
      <c r="M528" s="667"/>
      <c r="N528" s="667"/>
      <c r="O528" s="667"/>
      <c r="P528" s="667"/>
      <c r="Q528" s="667"/>
      <c r="R528" s="667"/>
      <c r="S528" s="667"/>
      <c r="T528" s="667"/>
      <c r="U528" s="1020">
        <v>10</v>
      </c>
      <c r="V528" s="668">
        <f t="shared" si="157"/>
        <v>350</v>
      </c>
      <c r="W528" s="668">
        <f t="shared" si="158"/>
        <v>0</v>
      </c>
      <c r="X528" s="668">
        <f t="shared" si="159"/>
        <v>0</v>
      </c>
      <c r="Y528" s="668">
        <f t="shared" si="160"/>
        <v>0</v>
      </c>
      <c r="Z528" s="668">
        <f t="shared" si="161"/>
        <v>0</v>
      </c>
      <c r="AA528" s="668">
        <f t="shared" si="162"/>
        <v>0</v>
      </c>
      <c r="AB528" s="668">
        <f t="shared" si="163"/>
        <v>0</v>
      </c>
      <c r="AC528" s="668">
        <f t="shared" si="172"/>
        <v>0</v>
      </c>
      <c r="AD528" s="668">
        <f t="shared" si="164"/>
        <v>0</v>
      </c>
      <c r="AE528" s="668">
        <f t="shared" si="165"/>
        <v>0</v>
      </c>
      <c r="AF528" s="668">
        <f t="shared" si="166"/>
        <v>0</v>
      </c>
      <c r="AG528" s="668">
        <f t="shared" si="167"/>
        <v>0</v>
      </c>
      <c r="AH528" s="668"/>
      <c r="AI528" s="668"/>
      <c r="AJ528" s="668"/>
      <c r="AK528" s="668"/>
      <c r="AL528" s="668"/>
      <c r="AM528" s="668">
        <f t="shared" si="154"/>
        <v>0</v>
      </c>
      <c r="AN528" s="668">
        <f t="shared" si="168"/>
        <v>0</v>
      </c>
      <c r="AO528" s="668">
        <f t="shared" si="169"/>
        <v>0</v>
      </c>
      <c r="AP528" s="668">
        <f t="shared" si="155"/>
        <v>150</v>
      </c>
      <c r="AQ528" s="668">
        <f t="shared" si="170"/>
        <v>0</v>
      </c>
      <c r="AR528" s="668">
        <f t="shared" si="171"/>
        <v>0</v>
      </c>
      <c r="AS528" s="668"/>
      <c r="AT528" s="668"/>
      <c r="AU528" s="668"/>
      <c r="AV528" s="668"/>
      <c r="AW528" s="668"/>
      <c r="AX528" s="668"/>
      <c r="AY528" s="668"/>
      <c r="AZ528" s="668"/>
      <c r="BA528" s="668"/>
      <c r="BB528" s="668">
        <f t="shared" si="156"/>
        <v>150</v>
      </c>
      <c r="BC528" s="668"/>
      <c r="BD528" s="668"/>
      <c r="BE528" s="668"/>
      <c r="BF528" s="668"/>
      <c r="BG528" s="668"/>
      <c r="BH528" s="668"/>
      <c r="BI528" s="668"/>
    </row>
    <row r="529" spans="1:61" x14ac:dyDescent="0.2">
      <c r="A529" s="1020">
        <v>3049</v>
      </c>
      <c r="B529" s="1020" t="s">
        <v>519</v>
      </c>
      <c r="C529" s="1020"/>
      <c r="D529" s="667">
        <v>35</v>
      </c>
      <c r="E529" s="667"/>
      <c r="F529" s="667">
        <v>15</v>
      </c>
      <c r="G529" s="667"/>
      <c r="H529" s="667"/>
      <c r="I529" s="667"/>
      <c r="J529" s="667"/>
      <c r="K529" s="667"/>
      <c r="L529" s="667"/>
      <c r="M529" s="667"/>
      <c r="N529" s="667"/>
      <c r="O529" s="667"/>
      <c r="P529" s="667"/>
      <c r="Q529" s="667"/>
      <c r="R529" s="667"/>
      <c r="S529" s="667"/>
      <c r="T529" s="667">
        <v>150</v>
      </c>
      <c r="U529" s="1020">
        <v>12</v>
      </c>
      <c r="V529" s="668">
        <f t="shared" si="157"/>
        <v>420</v>
      </c>
      <c r="W529" s="668">
        <f t="shared" si="158"/>
        <v>0</v>
      </c>
      <c r="X529" s="668">
        <f t="shared" si="159"/>
        <v>0</v>
      </c>
      <c r="Y529" s="668">
        <f t="shared" si="160"/>
        <v>0</v>
      </c>
      <c r="Z529" s="668">
        <f t="shared" si="161"/>
        <v>0</v>
      </c>
      <c r="AA529" s="668">
        <f t="shared" si="162"/>
        <v>0</v>
      </c>
      <c r="AB529" s="668">
        <f t="shared" si="163"/>
        <v>150</v>
      </c>
      <c r="AC529" s="668">
        <f t="shared" si="172"/>
        <v>0</v>
      </c>
      <c r="AD529" s="668">
        <f t="shared" si="164"/>
        <v>0</v>
      </c>
      <c r="AE529" s="668">
        <f t="shared" si="165"/>
        <v>0</v>
      </c>
      <c r="AF529" s="668">
        <f t="shared" si="166"/>
        <v>0</v>
      </c>
      <c r="AG529" s="668">
        <f t="shared" si="167"/>
        <v>0</v>
      </c>
      <c r="AH529" s="668"/>
      <c r="AI529" s="668"/>
      <c r="AJ529" s="668"/>
      <c r="AK529" s="668"/>
      <c r="AL529" s="668"/>
      <c r="AM529" s="668">
        <f t="shared" ref="AM529:AM592" si="173">+I529</f>
        <v>0</v>
      </c>
      <c r="AN529" s="668">
        <f t="shared" si="168"/>
        <v>0</v>
      </c>
      <c r="AO529" s="668">
        <f t="shared" si="169"/>
        <v>0</v>
      </c>
      <c r="AP529" s="668">
        <f t="shared" si="155"/>
        <v>180</v>
      </c>
      <c r="AQ529" s="668">
        <f t="shared" si="170"/>
        <v>0</v>
      </c>
      <c r="AR529" s="668">
        <f t="shared" si="171"/>
        <v>0</v>
      </c>
      <c r="AS529" s="668"/>
      <c r="AT529" s="668"/>
      <c r="AU529" s="668"/>
      <c r="AV529" s="668"/>
      <c r="AW529" s="668"/>
      <c r="AX529" s="668"/>
      <c r="AY529" s="668"/>
      <c r="AZ529" s="668"/>
      <c r="BA529" s="668"/>
      <c r="BB529" s="668">
        <f t="shared" si="156"/>
        <v>180</v>
      </c>
      <c r="BC529" s="668"/>
      <c r="BD529" s="668"/>
      <c r="BE529" s="668"/>
      <c r="BF529" s="668"/>
      <c r="BG529" s="668"/>
      <c r="BH529" s="668"/>
      <c r="BI529" s="668"/>
    </row>
    <row r="530" spans="1:61" x14ac:dyDescent="0.2">
      <c r="A530" s="1020">
        <v>3050</v>
      </c>
      <c r="B530" s="1020" t="s">
        <v>519</v>
      </c>
      <c r="C530" s="1020"/>
      <c r="D530" s="667">
        <v>35</v>
      </c>
      <c r="E530" s="667"/>
      <c r="F530" s="667">
        <v>15</v>
      </c>
      <c r="G530" s="667"/>
      <c r="H530" s="667"/>
      <c r="I530" s="667"/>
      <c r="J530" s="667"/>
      <c r="K530" s="667"/>
      <c r="L530" s="667"/>
      <c r="M530" s="667"/>
      <c r="N530" s="667"/>
      <c r="O530" s="667"/>
      <c r="P530" s="667"/>
      <c r="Q530" s="667"/>
      <c r="R530" s="667"/>
      <c r="S530" s="667"/>
      <c r="T530" s="667">
        <v>150</v>
      </c>
      <c r="U530" s="1020">
        <v>12</v>
      </c>
      <c r="V530" s="668">
        <f t="shared" si="157"/>
        <v>420</v>
      </c>
      <c r="W530" s="668">
        <f t="shared" si="158"/>
        <v>0</v>
      </c>
      <c r="X530" s="668">
        <f t="shared" si="159"/>
        <v>0</v>
      </c>
      <c r="Y530" s="668">
        <f t="shared" si="160"/>
        <v>0</v>
      </c>
      <c r="Z530" s="668">
        <f t="shared" si="161"/>
        <v>0</v>
      </c>
      <c r="AA530" s="668">
        <f t="shared" si="162"/>
        <v>0</v>
      </c>
      <c r="AB530" s="668">
        <f t="shared" si="163"/>
        <v>150</v>
      </c>
      <c r="AC530" s="668">
        <f t="shared" si="172"/>
        <v>0</v>
      </c>
      <c r="AD530" s="668">
        <f t="shared" si="164"/>
        <v>0</v>
      </c>
      <c r="AE530" s="668">
        <f t="shared" si="165"/>
        <v>0</v>
      </c>
      <c r="AF530" s="668">
        <f t="shared" si="166"/>
        <v>0</v>
      </c>
      <c r="AG530" s="668">
        <f t="shared" si="167"/>
        <v>0</v>
      </c>
      <c r="AH530" s="668"/>
      <c r="AI530" s="668"/>
      <c r="AJ530" s="668"/>
      <c r="AK530" s="668"/>
      <c r="AL530" s="668"/>
      <c r="AM530" s="668">
        <f t="shared" si="173"/>
        <v>0</v>
      </c>
      <c r="AN530" s="668">
        <f t="shared" si="168"/>
        <v>0</v>
      </c>
      <c r="AO530" s="668">
        <f t="shared" si="169"/>
        <v>0</v>
      </c>
      <c r="AP530" s="668">
        <f t="shared" ref="AP530:AP593" si="174">+U530*F530</f>
        <v>180</v>
      </c>
      <c r="AQ530" s="668">
        <f t="shared" si="170"/>
        <v>0</v>
      </c>
      <c r="AR530" s="668">
        <f t="shared" si="171"/>
        <v>0</v>
      </c>
      <c r="AS530" s="668"/>
      <c r="AT530" s="668"/>
      <c r="AU530" s="668"/>
      <c r="AV530" s="668"/>
      <c r="AW530" s="668"/>
      <c r="AX530" s="668"/>
      <c r="AY530" s="668"/>
      <c r="AZ530" s="668"/>
      <c r="BA530" s="668"/>
      <c r="BB530" s="668">
        <f t="shared" ref="BB530:BB593" si="175">+AP530</f>
        <v>180</v>
      </c>
      <c r="BC530" s="668"/>
      <c r="BD530" s="668"/>
      <c r="BE530" s="668"/>
      <c r="BF530" s="668"/>
      <c r="BG530" s="668"/>
      <c r="BH530" s="668"/>
      <c r="BI530" s="668"/>
    </row>
    <row r="531" spans="1:61" x14ac:dyDescent="0.2">
      <c r="A531" s="1020">
        <v>3051</v>
      </c>
      <c r="B531" s="1020" t="s">
        <v>515</v>
      </c>
      <c r="C531" s="1020"/>
      <c r="D531" s="667">
        <v>107</v>
      </c>
      <c r="E531" s="667"/>
      <c r="F531" s="667">
        <v>67</v>
      </c>
      <c r="G531" s="667"/>
      <c r="H531" s="667"/>
      <c r="I531" s="667"/>
      <c r="J531" s="667"/>
      <c r="K531" s="667"/>
      <c r="L531" s="667"/>
      <c r="M531" s="667"/>
      <c r="N531" s="667"/>
      <c r="O531" s="667"/>
      <c r="P531" s="667"/>
      <c r="Q531" s="667"/>
      <c r="R531" s="667"/>
      <c r="S531" s="667"/>
      <c r="T531" s="667">
        <v>3037</v>
      </c>
      <c r="U531" s="1020">
        <v>12</v>
      </c>
      <c r="V531" s="668">
        <f t="shared" si="157"/>
        <v>1284</v>
      </c>
      <c r="W531" s="668">
        <f t="shared" si="158"/>
        <v>0</v>
      </c>
      <c r="X531" s="668">
        <f t="shared" si="159"/>
        <v>0</v>
      </c>
      <c r="Y531" s="668">
        <f t="shared" si="160"/>
        <v>0</v>
      </c>
      <c r="Z531" s="668">
        <f t="shared" si="161"/>
        <v>0</v>
      </c>
      <c r="AA531" s="668">
        <f t="shared" si="162"/>
        <v>0</v>
      </c>
      <c r="AB531" s="668">
        <f t="shared" si="163"/>
        <v>3037</v>
      </c>
      <c r="AC531" s="668">
        <f t="shared" si="172"/>
        <v>0</v>
      </c>
      <c r="AD531" s="668">
        <f t="shared" si="164"/>
        <v>0</v>
      </c>
      <c r="AE531" s="668">
        <f t="shared" si="165"/>
        <v>0</v>
      </c>
      <c r="AF531" s="668">
        <f t="shared" si="166"/>
        <v>0</v>
      </c>
      <c r="AG531" s="668">
        <f t="shared" si="167"/>
        <v>0</v>
      </c>
      <c r="AH531" s="668"/>
      <c r="AI531" s="668"/>
      <c r="AJ531" s="668"/>
      <c r="AK531" s="668"/>
      <c r="AL531" s="668"/>
      <c r="AM531" s="668">
        <f t="shared" si="173"/>
        <v>0</v>
      </c>
      <c r="AN531" s="668">
        <f t="shared" si="168"/>
        <v>0</v>
      </c>
      <c r="AO531" s="668">
        <f t="shared" si="169"/>
        <v>0</v>
      </c>
      <c r="AP531" s="668">
        <f t="shared" si="174"/>
        <v>804</v>
      </c>
      <c r="AQ531" s="668">
        <f t="shared" si="170"/>
        <v>0</v>
      </c>
      <c r="AR531" s="668">
        <f t="shared" si="171"/>
        <v>0</v>
      </c>
      <c r="AS531" s="668"/>
      <c r="AT531" s="668"/>
      <c r="AU531" s="668"/>
      <c r="AV531" s="668"/>
      <c r="AW531" s="668"/>
      <c r="AX531" s="668"/>
      <c r="AY531" s="668"/>
      <c r="AZ531" s="668"/>
      <c r="BA531" s="668"/>
      <c r="BB531" s="668"/>
      <c r="BC531" s="668"/>
      <c r="BD531" s="668"/>
      <c r="BE531" s="668"/>
      <c r="BF531" s="668"/>
      <c r="BG531" s="668"/>
      <c r="BH531" s="668"/>
      <c r="BI531" s="668"/>
    </row>
    <row r="532" spans="1:61" x14ac:dyDescent="0.2">
      <c r="A532" s="1020">
        <v>3052</v>
      </c>
      <c r="B532" s="1020" t="s">
        <v>517</v>
      </c>
      <c r="C532" s="1020"/>
      <c r="D532" s="667"/>
      <c r="E532" s="667"/>
      <c r="F532" s="667"/>
      <c r="G532" s="667">
        <v>65</v>
      </c>
      <c r="H532" s="667"/>
      <c r="I532" s="667"/>
      <c r="J532" s="667"/>
      <c r="K532" s="667"/>
      <c r="L532" s="667"/>
      <c r="M532" s="667"/>
      <c r="N532" s="667"/>
      <c r="O532" s="667"/>
      <c r="P532" s="667"/>
      <c r="Q532" s="667"/>
      <c r="R532" s="667"/>
      <c r="S532" s="667"/>
      <c r="T532" s="667"/>
      <c r="U532" s="1020">
        <v>12</v>
      </c>
      <c r="V532" s="668">
        <f t="shared" si="157"/>
        <v>0</v>
      </c>
      <c r="W532" s="668">
        <f t="shared" si="158"/>
        <v>780</v>
      </c>
      <c r="X532" s="668">
        <f t="shared" si="159"/>
        <v>0</v>
      </c>
      <c r="Y532" s="668">
        <f t="shared" si="160"/>
        <v>0</v>
      </c>
      <c r="Z532" s="668">
        <f t="shared" si="161"/>
        <v>0</v>
      </c>
      <c r="AA532" s="668">
        <f t="shared" si="162"/>
        <v>0</v>
      </c>
      <c r="AB532" s="668">
        <f t="shared" si="163"/>
        <v>0</v>
      </c>
      <c r="AC532" s="668">
        <f t="shared" si="172"/>
        <v>0</v>
      </c>
      <c r="AD532" s="668">
        <f t="shared" si="164"/>
        <v>0</v>
      </c>
      <c r="AE532" s="668">
        <f t="shared" si="165"/>
        <v>0</v>
      </c>
      <c r="AF532" s="668">
        <f t="shared" si="166"/>
        <v>0</v>
      </c>
      <c r="AG532" s="668">
        <f t="shared" si="167"/>
        <v>0</v>
      </c>
      <c r="AH532" s="668"/>
      <c r="AI532" s="668"/>
      <c r="AJ532" s="668"/>
      <c r="AK532" s="668"/>
      <c r="AL532" s="668"/>
      <c r="AM532" s="668">
        <f t="shared" si="173"/>
        <v>0</v>
      </c>
      <c r="AN532" s="668">
        <f t="shared" si="168"/>
        <v>0</v>
      </c>
      <c r="AO532" s="668">
        <f t="shared" si="169"/>
        <v>0</v>
      </c>
      <c r="AP532" s="668">
        <f t="shared" si="174"/>
        <v>0</v>
      </c>
      <c r="AQ532" s="668">
        <f t="shared" si="170"/>
        <v>0</v>
      </c>
      <c r="AR532" s="668">
        <f t="shared" si="171"/>
        <v>0</v>
      </c>
      <c r="AS532" s="668"/>
      <c r="AT532" s="668"/>
      <c r="AU532" s="668"/>
      <c r="AV532" s="668"/>
      <c r="AW532" s="668"/>
      <c r="AX532" s="668"/>
      <c r="AY532" s="668"/>
      <c r="AZ532" s="668"/>
      <c r="BA532" s="668"/>
      <c r="BB532" s="668">
        <f t="shared" si="175"/>
        <v>0</v>
      </c>
      <c r="BC532" s="668"/>
      <c r="BD532" s="668"/>
      <c r="BE532" s="668"/>
      <c r="BF532" s="668"/>
      <c r="BG532" s="668"/>
      <c r="BH532" s="668"/>
      <c r="BI532" s="668"/>
    </row>
    <row r="533" spans="1:61" x14ac:dyDescent="0.2">
      <c r="A533" s="1020">
        <v>3053</v>
      </c>
      <c r="B533" s="1020" t="s">
        <v>515</v>
      </c>
      <c r="C533" s="1020"/>
      <c r="D533" s="667">
        <v>270</v>
      </c>
      <c r="E533" s="667"/>
      <c r="F533" s="667"/>
      <c r="G533" s="667"/>
      <c r="H533" s="667"/>
      <c r="I533" s="667"/>
      <c r="J533" s="667"/>
      <c r="K533" s="667"/>
      <c r="L533" s="667"/>
      <c r="M533" s="667"/>
      <c r="N533" s="667"/>
      <c r="O533" s="667"/>
      <c r="P533" s="667"/>
      <c r="Q533" s="667"/>
      <c r="R533" s="667"/>
      <c r="S533" s="667"/>
      <c r="T533" s="667">
        <v>4597</v>
      </c>
      <c r="U533" s="1020">
        <v>12</v>
      </c>
      <c r="V533" s="668">
        <f t="shared" si="157"/>
        <v>3240</v>
      </c>
      <c r="W533" s="668">
        <f t="shared" si="158"/>
        <v>0</v>
      </c>
      <c r="X533" s="668">
        <f t="shared" si="159"/>
        <v>0</v>
      </c>
      <c r="Y533" s="668">
        <f t="shared" si="160"/>
        <v>0</v>
      </c>
      <c r="Z533" s="668">
        <f t="shared" si="161"/>
        <v>0</v>
      </c>
      <c r="AA533" s="668">
        <f t="shared" si="162"/>
        <v>0</v>
      </c>
      <c r="AB533" s="668">
        <f t="shared" si="163"/>
        <v>4597</v>
      </c>
      <c r="AC533" s="668">
        <f t="shared" si="172"/>
        <v>0</v>
      </c>
      <c r="AD533" s="668">
        <f t="shared" si="164"/>
        <v>0</v>
      </c>
      <c r="AE533" s="668">
        <f t="shared" si="165"/>
        <v>0</v>
      </c>
      <c r="AF533" s="668">
        <f t="shared" si="166"/>
        <v>0</v>
      </c>
      <c r="AG533" s="668">
        <f t="shared" si="167"/>
        <v>0</v>
      </c>
      <c r="AH533" s="668"/>
      <c r="AI533" s="668"/>
      <c r="AJ533" s="668"/>
      <c r="AK533" s="668"/>
      <c r="AL533" s="668"/>
      <c r="AM533" s="668">
        <f t="shared" si="173"/>
        <v>0</v>
      </c>
      <c r="AN533" s="668">
        <f t="shared" si="168"/>
        <v>0</v>
      </c>
      <c r="AO533" s="668">
        <f t="shared" si="169"/>
        <v>0</v>
      </c>
      <c r="AP533" s="668">
        <f t="shared" si="174"/>
        <v>0</v>
      </c>
      <c r="AQ533" s="668">
        <f t="shared" si="170"/>
        <v>0</v>
      </c>
      <c r="AR533" s="668">
        <f t="shared" si="171"/>
        <v>0</v>
      </c>
      <c r="AS533" s="668"/>
      <c r="AT533" s="668"/>
      <c r="AU533" s="668"/>
      <c r="AV533" s="668"/>
      <c r="AW533" s="668"/>
      <c r="AX533" s="668"/>
      <c r="AY533" s="668"/>
      <c r="AZ533" s="668"/>
      <c r="BA533" s="668"/>
      <c r="BB533" s="668">
        <f t="shared" si="175"/>
        <v>0</v>
      </c>
      <c r="BC533" s="668"/>
      <c r="BD533" s="668"/>
      <c r="BE533" s="668"/>
      <c r="BF533" s="668"/>
      <c r="BG533" s="668"/>
      <c r="BH533" s="668"/>
      <c r="BI533" s="668"/>
    </row>
    <row r="534" spans="1:61" x14ac:dyDescent="0.2">
      <c r="A534" s="1020">
        <v>3054</v>
      </c>
      <c r="B534" s="1020" t="s">
        <v>519</v>
      </c>
      <c r="C534" s="1020"/>
      <c r="D534" s="667">
        <v>35</v>
      </c>
      <c r="E534" s="667"/>
      <c r="F534" s="667">
        <v>15</v>
      </c>
      <c r="G534" s="667"/>
      <c r="H534" s="667"/>
      <c r="I534" s="667"/>
      <c r="J534" s="667"/>
      <c r="K534" s="667"/>
      <c r="L534" s="667"/>
      <c r="M534" s="667"/>
      <c r="N534" s="667"/>
      <c r="O534" s="667"/>
      <c r="P534" s="667"/>
      <c r="Q534" s="667"/>
      <c r="R534" s="667"/>
      <c r="S534" s="667"/>
      <c r="T534" s="667">
        <v>150</v>
      </c>
      <c r="U534" s="1020">
        <v>12</v>
      </c>
      <c r="V534" s="668">
        <f t="shared" si="157"/>
        <v>420</v>
      </c>
      <c r="W534" s="668">
        <f t="shared" si="158"/>
        <v>0</v>
      </c>
      <c r="X534" s="668">
        <f t="shared" si="159"/>
        <v>0</v>
      </c>
      <c r="Y534" s="668">
        <f t="shared" si="160"/>
        <v>0</v>
      </c>
      <c r="Z534" s="668">
        <f t="shared" si="161"/>
        <v>0</v>
      </c>
      <c r="AA534" s="668">
        <f t="shared" si="162"/>
        <v>0</v>
      </c>
      <c r="AB534" s="668">
        <f t="shared" si="163"/>
        <v>150</v>
      </c>
      <c r="AC534" s="668">
        <f t="shared" si="172"/>
        <v>0</v>
      </c>
      <c r="AD534" s="668">
        <f t="shared" si="164"/>
        <v>0</v>
      </c>
      <c r="AE534" s="668">
        <f t="shared" si="165"/>
        <v>0</v>
      </c>
      <c r="AF534" s="668">
        <f t="shared" si="166"/>
        <v>0</v>
      </c>
      <c r="AG534" s="668">
        <f t="shared" si="167"/>
        <v>0</v>
      </c>
      <c r="AH534" s="668"/>
      <c r="AI534" s="668"/>
      <c r="AJ534" s="668"/>
      <c r="AK534" s="668"/>
      <c r="AL534" s="668"/>
      <c r="AM534" s="668">
        <f t="shared" si="173"/>
        <v>0</v>
      </c>
      <c r="AN534" s="668">
        <f t="shared" si="168"/>
        <v>0</v>
      </c>
      <c r="AO534" s="668">
        <f t="shared" si="169"/>
        <v>0</v>
      </c>
      <c r="AP534" s="668">
        <f t="shared" si="174"/>
        <v>180</v>
      </c>
      <c r="AQ534" s="668">
        <f t="shared" si="170"/>
        <v>0</v>
      </c>
      <c r="AR534" s="668">
        <f t="shared" si="171"/>
        <v>0</v>
      </c>
      <c r="AS534" s="668"/>
      <c r="AT534" s="668"/>
      <c r="AU534" s="668"/>
      <c r="AV534" s="668"/>
      <c r="AW534" s="668"/>
      <c r="AX534" s="668"/>
      <c r="AY534" s="668"/>
      <c r="AZ534" s="668"/>
      <c r="BA534" s="668"/>
      <c r="BB534" s="668">
        <f t="shared" si="175"/>
        <v>180</v>
      </c>
      <c r="BC534" s="668"/>
      <c r="BD534" s="668"/>
      <c r="BE534" s="668"/>
      <c r="BF534" s="668"/>
      <c r="BG534" s="668"/>
      <c r="BH534" s="668"/>
      <c r="BI534" s="668"/>
    </row>
    <row r="535" spans="1:61" x14ac:dyDescent="0.2">
      <c r="A535" s="1020">
        <v>3055</v>
      </c>
      <c r="B535" s="1020" t="s">
        <v>519</v>
      </c>
      <c r="C535" s="1020"/>
      <c r="D535" s="667">
        <v>35</v>
      </c>
      <c r="E535" s="667"/>
      <c r="F535" s="667">
        <v>15</v>
      </c>
      <c r="G535" s="667"/>
      <c r="H535" s="667"/>
      <c r="I535" s="667"/>
      <c r="J535" s="667"/>
      <c r="K535" s="667"/>
      <c r="L535" s="667"/>
      <c r="M535" s="667"/>
      <c r="N535" s="667"/>
      <c r="O535" s="667"/>
      <c r="P535" s="667"/>
      <c r="Q535" s="667"/>
      <c r="R535" s="667"/>
      <c r="S535" s="667"/>
      <c r="T535" s="667">
        <v>150</v>
      </c>
      <c r="U535" s="1020">
        <v>12</v>
      </c>
      <c r="V535" s="668">
        <f t="shared" si="157"/>
        <v>420</v>
      </c>
      <c r="W535" s="668">
        <f t="shared" si="158"/>
        <v>0</v>
      </c>
      <c r="X535" s="668">
        <f t="shared" si="159"/>
        <v>0</v>
      </c>
      <c r="Y535" s="668">
        <f t="shared" si="160"/>
        <v>0</v>
      </c>
      <c r="Z535" s="668">
        <f t="shared" si="161"/>
        <v>0</v>
      </c>
      <c r="AA535" s="668">
        <f t="shared" si="162"/>
        <v>0</v>
      </c>
      <c r="AB535" s="668">
        <f t="shared" si="163"/>
        <v>150</v>
      </c>
      <c r="AC535" s="668">
        <f t="shared" si="172"/>
        <v>0</v>
      </c>
      <c r="AD535" s="668">
        <f t="shared" si="164"/>
        <v>0</v>
      </c>
      <c r="AE535" s="668">
        <f t="shared" si="165"/>
        <v>0</v>
      </c>
      <c r="AF535" s="668">
        <f t="shared" si="166"/>
        <v>0</v>
      </c>
      <c r="AG535" s="668">
        <f t="shared" si="167"/>
        <v>0</v>
      </c>
      <c r="AH535" s="668"/>
      <c r="AI535" s="668"/>
      <c r="AJ535" s="668"/>
      <c r="AK535" s="668"/>
      <c r="AL535" s="668"/>
      <c r="AM535" s="668">
        <f t="shared" si="173"/>
        <v>0</v>
      </c>
      <c r="AN535" s="668">
        <f t="shared" si="168"/>
        <v>0</v>
      </c>
      <c r="AO535" s="668">
        <f t="shared" si="169"/>
        <v>0</v>
      </c>
      <c r="AP535" s="668">
        <f t="shared" si="174"/>
        <v>180</v>
      </c>
      <c r="AQ535" s="668">
        <f t="shared" si="170"/>
        <v>0</v>
      </c>
      <c r="AR535" s="668">
        <f t="shared" si="171"/>
        <v>0</v>
      </c>
      <c r="AS535" s="668"/>
      <c r="AT535" s="668"/>
      <c r="AU535" s="668"/>
      <c r="AV535" s="668"/>
      <c r="AW535" s="668"/>
      <c r="AX535" s="668"/>
      <c r="AY535" s="668"/>
      <c r="AZ535" s="668"/>
      <c r="BA535" s="668"/>
      <c r="BB535" s="668">
        <f t="shared" si="175"/>
        <v>180</v>
      </c>
      <c r="BC535" s="668"/>
      <c r="BD535" s="668"/>
      <c r="BE535" s="668"/>
      <c r="BF535" s="668"/>
      <c r="BG535" s="668"/>
      <c r="BH535" s="668"/>
      <c r="BI535" s="668"/>
    </row>
    <row r="536" spans="1:61" x14ac:dyDescent="0.2">
      <c r="A536" s="1020">
        <v>3056</v>
      </c>
      <c r="B536" s="1020" t="s">
        <v>467</v>
      </c>
      <c r="C536" s="1020"/>
      <c r="D536" s="667">
        <v>80</v>
      </c>
      <c r="E536" s="667"/>
      <c r="F536" s="667"/>
      <c r="G536" s="667"/>
      <c r="H536" s="667"/>
      <c r="I536" s="667"/>
      <c r="J536" s="667"/>
      <c r="K536" s="667"/>
      <c r="L536" s="667"/>
      <c r="M536" s="667"/>
      <c r="N536" s="667"/>
      <c r="O536" s="667"/>
      <c r="P536" s="667"/>
      <c r="Q536" s="667"/>
      <c r="R536" s="667"/>
      <c r="S536" s="667"/>
      <c r="T536" s="667"/>
      <c r="U536" s="1020">
        <v>3</v>
      </c>
      <c r="V536" s="668">
        <f t="shared" si="157"/>
        <v>240</v>
      </c>
      <c r="W536" s="668">
        <f t="shared" si="158"/>
        <v>0</v>
      </c>
      <c r="X536" s="668">
        <f t="shared" si="159"/>
        <v>0</v>
      </c>
      <c r="Y536" s="668">
        <f t="shared" si="160"/>
        <v>0</v>
      </c>
      <c r="Z536" s="668">
        <f t="shared" si="161"/>
        <v>0</v>
      </c>
      <c r="AA536" s="668">
        <f t="shared" si="162"/>
        <v>0</v>
      </c>
      <c r="AB536" s="668">
        <f t="shared" si="163"/>
        <v>0</v>
      </c>
      <c r="AC536" s="668">
        <f t="shared" si="172"/>
        <v>0</v>
      </c>
      <c r="AD536" s="668">
        <f t="shared" si="164"/>
        <v>0</v>
      </c>
      <c r="AE536" s="668">
        <f t="shared" si="165"/>
        <v>0</v>
      </c>
      <c r="AF536" s="668">
        <f t="shared" si="166"/>
        <v>0</v>
      </c>
      <c r="AG536" s="668">
        <f t="shared" si="167"/>
        <v>0</v>
      </c>
      <c r="AH536" s="668"/>
      <c r="AI536" s="668"/>
      <c r="AJ536" s="668"/>
      <c r="AK536" s="668"/>
      <c r="AL536" s="668"/>
      <c r="AM536" s="668">
        <f t="shared" si="173"/>
        <v>0</v>
      </c>
      <c r="AN536" s="668">
        <f t="shared" si="168"/>
        <v>0</v>
      </c>
      <c r="AO536" s="668">
        <f t="shared" si="169"/>
        <v>0</v>
      </c>
      <c r="AP536" s="668">
        <f t="shared" si="174"/>
        <v>0</v>
      </c>
      <c r="AQ536" s="668">
        <f t="shared" si="170"/>
        <v>0</v>
      </c>
      <c r="AR536" s="668">
        <f t="shared" si="171"/>
        <v>0</v>
      </c>
      <c r="AS536" s="668"/>
      <c r="AT536" s="668"/>
      <c r="AU536" s="668"/>
      <c r="AV536" s="668"/>
      <c r="AW536" s="668"/>
      <c r="AX536" s="668"/>
      <c r="AY536" s="668"/>
      <c r="AZ536" s="668"/>
      <c r="BA536" s="668"/>
      <c r="BB536" s="668">
        <f t="shared" si="175"/>
        <v>0</v>
      </c>
      <c r="BC536" s="668"/>
      <c r="BD536" s="668"/>
      <c r="BE536" s="668"/>
      <c r="BF536" s="668"/>
      <c r="BG536" s="668"/>
      <c r="BH536" s="668"/>
      <c r="BI536" s="668"/>
    </row>
    <row r="537" spans="1:61" x14ac:dyDescent="0.2">
      <c r="A537" s="1020">
        <v>3057</v>
      </c>
      <c r="B537" s="1020" t="s">
        <v>466</v>
      </c>
      <c r="C537" s="1020"/>
      <c r="D537" s="667">
        <v>80</v>
      </c>
      <c r="E537" s="667"/>
      <c r="F537" s="667"/>
      <c r="G537" s="667"/>
      <c r="H537" s="667"/>
      <c r="I537" s="667"/>
      <c r="J537" s="667"/>
      <c r="K537" s="667"/>
      <c r="L537" s="667"/>
      <c r="M537" s="667"/>
      <c r="N537" s="667"/>
      <c r="O537" s="667"/>
      <c r="P537" s="667"/>
      <c r="Q537" s="667"/>
      <c r="R537" s="667"/>
      <c r="S537" s="667"/>
      <c r="T537" s="667"/>
      <c r="U537" s="1020">
        <v>3</v>
      </c>
      <c r="V537" s="668">
        <f t="shared" si="157"/>
        <v>240</v>
      </c>
      <c r="W537" s="668">
        <f t="shared" si="158"/>
        <v>0</v>
      </c>
      <c r="X537" s="668">
        <f t="shared" si="159"/>
        <v>0</v>
      </c>
      <c r="Y537" s="668">
        <f t="shared" si="160"/>
        <v>0</v>
      </c>
      <c r="Z537" s="668">
        <f t="shared" si="161"/>
        <v>0</v>
      </c>
      <c r="AA537" s="668">
        <f t="shared" si="162"/>
        <v>0</v>
      </c>
      <c r="AB537" s="668">
        <f t="shared" si="163"/>
        <v>0</v>
      </c>
      <c r="AC537" s="668">
        <f t="shared" si="172"/>
        <v>0</v>
      </c>
      <c r="AD537" s="668">
        <f t="shared" si="164"/>
        <v>0</v>
      </c>
      <c r="AE537" s="668">
        <f t="shared" si="165"/>
        <v>0</v>
      </c>
      <c r="AF537" s="668">
        <f t="shared" si="166"/>
        <v>0</v>
      </c>
      <c r="AG537" s="668">
        <f t="shared" si="167"/>
        <v>0</v>
      </c>
      <c r="AH537" s="668"/>
      <c r="AI537" s="668"/>
      <c r="AJ537" s="668"/>
      <c r="AK537" s="668"/>
      <c r="AL537" s="668"/>
      <c r="AM537" s="668">
        <f t="shared" si="173"/>
        <v>0</v>
      </c>
      <c r="AN537" s="668">
        <f t="shared" si="168"/>
        <v>0</v>
      </c>
      <c r="AO537" s="668">
        <f t="shared" si="169"/>
        <v>0</v>
      </c>
      <c r="AP537" s="668">
        <f t="shared" si="174"/>
        <v>0</v>
      </c>
      <c r="AQ537" s="668">
        <f t="shared" si="170"/>
        <v>0</v>
      </c>
      <c r="AR537" s="668">
        <f t="shared" si="171"/>
        <v>0</v>
      </c>
      <c r="AS537" s="668"/>
      <c r="AT537" s="668"/>
      <c r="AU537" s="668"/>
      <c r="AV537" s="668"/>
      <c r="AW537" s="668"/>
      <c r="AX537" s="668"/>
      <c r="AY537" s="668"/>
      <c r="AZ537" s="668"/>
      <c r="BA537" s="668"/>
      <c r="BB537" s="668">
        <f t="shared" si="175"/>
        <v>0</v>
      </c>
      <c r="BC537" s="668"/>
      <c r="BD537" s="668"/>
      <c r="BE537" s="668"/>
      <c r="BF537" s="668"/>
      <c r="BG537" s="668"/>
      <c r="BH537" s="668"/>
      <c r="BI537" s="668"/>
    </row>
    <row r="538" spans="1:61" x14ac:dyDescent="0.2">
      <c r="A538" s="1020">
        <v>3058</v>
      </c>
      <c r="B538" s="1020" t="s">
        <v>625</v>
      </c>
      <c r="C538" s="1020"/>
      <c r="D538" s="667">
        <v>45</v>
      </c>
      <c r="E538" s="667"/>
      <c r="F538" s="667"/>
      <c r="G538" s="667"/>
      <c r="H538" s="667"/>
      <c r="I538" s="667"/>
      <c r="J538" s="667"/>
      <c r="K538" s="667"/>
      <c r="L538" s="667"/>
      <c r="M538" s="667"/>
      <c r="N538" s="667"/>
      <c r="O538" s="667"/>
      <c r="P538" s="667"/>
      <c r="Q538" s="667"/>
      <c r="R538" s="667"/>
      <c r="S538" s="667"/>
      <c r="T538" s="667"/>
      <c r="U538" s="1020">
        <v>10</v>
      </c>
      <c r="V538" s="668">
        <f t="shared" si="157"/>
        <v>450</v>
      </c>
      <c r="W538" s="668">
        <f t="shared" si="158"/>
        <v>0</v>
      </c>
      <c r="X538" s="668">
        <f t="shared" si="159"/>
        <v>0</v>
      </c>
      <c r="Y538" s="668">
        <f t="shared" si="160"/>
        <v>0</v>
      </c>
      <c r="Z538" s="668">
        <f t="shared" si="161"/>
        <v>0</v>
      </c>
      <c r="AA538" s="668">
        <f t="shared" si="162"/>
        <v>0</v>
      </c>
      <c r="AB538" s="668">
        <f t="shared" si="163"/>
        <v>0</v>
      </c>
      <c r="AC538" s="668">
        <f t="shared" si="172"/>
        <v>0</v>
      </c>
      <c r="AD538" s="668">
        <f t="shared" si="164"/>
        <v>0</v>
      </c>
      <c r="AE538" s="668">
        <f t="shared" si="165"/>
        <v>0</v>
      </c>
      <c r="AF538" s="668">
        <f t="shared" si="166"/>
        <v>0</v>
      </c>
      <c r="AG538" s="668">
        <f t="shared" si="167"/>
        <v>0</v>
      </c>
      <c r="AH538" s="668"/>
      <c r="AI538" s="668"/>
      <c r="AJ538" s="668"/>
      <c r="AK538" s="668"/>
      <c r="AL538" s="668"/>
      <c r="AM538" s="668">
        <f t="shared" si="173"/>
        <v>0</v>
      </c>
      <c r="AN538" s="668">
        <f t="shared" si="168"/>
        <v>0</v>
      </c>
      <c r="AO538" s="668">
        <f t="shared" si="169"/>
        <v>0</v>
      </c>
      <c r="AP538" s="668">
        <f t="shared" si="174"/>
        <v>0</v>
      </c>
      <c r="AQ538" s="668">
        <f t="shared" si="170"/>
        <v>0</v>
      </c>
      <c r="AR538" s="668">
        <f t="shared" si="171"/>
        <v>0</v>
      </c>
      <c r="AS538" s="668"/>
      <c r="AT538" s="668"/>
      <c r="AU538" s="668"/>
      <c r="AV538" s="668"/>
      <c r="AW538" s="668"/>
      <c r="AX538" s="668"/>
      <c r="AY538" s="668"/>
      <c r="AZ538" s="668"/>
      <c r="BA538" s="668"/>
      <c r="BB538" s="668">
        <f t="shared" si="175"/>
        <v>0</v>
      </c>
      <c r="BC538" s="668"/>
      <c r="BD538" s="668"/>
      <c r="BE538" s="668"/>
      <c r="BF538" s="668"/>
      <c r="BG538" s="668"/>
      <c r="BH538" s="668"/>
      <c r="BI538" s="668"/>
    </row>
    <row r="539" spans="1:61" x14ac:dyDescent="0.2">
      <c r="A539" s="1020">
        <v>3059</v>
      </c>
      <c r="B539" s="1020" t="s">
        <v>686</v>
      </c>
      <c r="C539" s="1020"/>
      <c r="D539" s="667">
        <v>130</v>
      </c>
      <c r="E539" s="667"/>
      <c r="F539" s="667"/>
      <c r="G539" s="667"/>
      <c r="H539" s="667"/>
      <c r="I539" s="667"/>
      <c r="J539" s="667"/>
      <c r="K539" s="667"/>
      <c r="L539" s="667">
        <v>4</v>
      </c>
      <c r="M539" s="667"/>
      <c r="N539" s="667"/>
      <c r="O539" s="667"/>
      <c r="P539" s="667"/>
      <c r="Q539" s="667"/>
      <c r="R539" s="667"/>
      <c r="S539" s="667"/>
      <c r="T539" s="667"/>
      <c r="U539" s="1020">
        <v>10</v>
      </c>
      <c r="V539" s="668">
        <f t="shared" si="157"/>
        <v>1300</v>
      </c>
      <c r="W539" s="668">
        <f t="shared" si="158"/>
        <v>0</v>
      </c>
      <c r="X539" s="668">
        <f t="shared" si="159"/>
        <v>0</v>
      </c>
      <c r="Y539" s="668">
        <f t="shared" si="160"/>
        <v>0</v>
      </c>
      <c r="Z539" s="668">
        <f t="shared" si="161"/>
        <v>0</v>
      </c>
      <c r="AA539" s="668">
        <f t="shared" si="162"/>
        <v>0</v>
      </c>
      <c r="AB539" s="668">
        <f t="shared" si="163"/>
        <v>0</v>
      </c>
      <c r="AC539" s="668">
        <f t="shared" si="172"/>
        <v>0</v>
      </c>
      <c r="AD539" s="668">
        <f t="shared" si="164"/>
        <v>0</v>
      </c>
      <c r="AE539" s="668">
        <f t="shared" si="165"/>
        <v>0</v>
      </c>
      <c r="AF539" s="668">
        <f t="shared" si="166"/>
        <v>40</v>
      </c>
      <c r="AG539" s="668">
        <f t="shared" si="167"/>
        <v>0</v>
      </c>
      <c r="AH539" s="668"/>
      <c r="AI539" s="668"/>
      <c r="AJ539" s="668"/>
      <c r="AK539" s="668"/>
      <c r="AL539" s="668"/>
      <c r="AM539" s="668">
        <f t="shared" si="173"/>
        <v>0</v>
      </c>
      <c r="AN539" s="668">
        <f t="shared" si="168"/>
        <v>0</v>
      </c>
      <c r="AO539" s="668">
        <f t="shared" si="169"/>
        <v>0</v>
      </c>
      <c r="AP539" s="668">
        <f t="shared" si="174"/>
        <v>0</v>
      </c>
      <c r="AQ539" s="668">
        <f t="shared" si="170"/>
        <v>0</v>
      </c>
      <c r="AR539" s="668">
        <f t="shared" si="171"/>
        <v>0</v>
      </c>
      <c r="AS539" s="668"/>
      <c r="AT539" s="668"/>
      <c r="AU539" s="668"/>
      <c r="AV539" s="668"/>
      <c r="AW539" s="668"/>
      <c r="AX539" s="668"/>
      <c r="AY539" s="668"/>
      <c r="AZ539" s="668"/>
      <c r="BA539" s="668"/>
      <c r="BB539" s="668">
        <f t="shared" si="175"/>
        <v>0</v>
      </c>
      <c r="BC539" s="668"/>
      <c r="BD539" s="668"/>
      <c r="BE539" s="668"/>
      <c r="BF539" s="668"/>
      <c r="BG539" s="668"/>
      <c r="BH539" s="668"/>
      <c r="BI539" s="668"/>
    </row>
    <row r="540" spans="1:61" x14ac:dyDescent="0.2">
      <c r="A540" s="1020">
        <v>3060</v>
      </c>
      <c r="B540" s="1020" t="s">
        <v>685</v>
      </c>
      <c r="C540" s="1020"/>
      <c r="D540" s="667">
        <v>100</v>
      </c>
      <c r="E540" s="667"/>
      <c r="F540" s="667"/>
      <c r="G540" s="667"/>
      <c r="H540" s="667"/>
      <c r="I540" s="667"/>
      <c r="J540" s="667"/>
      <c r="K540" s="667"/>
      <c r="L540" s="667"/>
      <c r="M540" s="667"/>
      <c r="N540" s="667"/>
      <c r="O540" s="667"/>
      <c r="P540" s="667"/>
      <c r="Q540" s="667"/>
      <c r="R540" s="667"/>
      <c r="S540" s="667"/>
      <c r="T540" s="667"/>
      <c r="U540" s="1020">
        <v>10</v>
      </c>
      <c r="V540" s="668">
        <f t="shared" si="157"/>
        <v>1000</v>
      </c>
      <c r="W540" s="668">
        <f t="shared" si="158"/>
        <v>0</v>
      </c>
      <c r="X540" s="668">
        <f t="shared" si="159"/>
        <v>0</v>
      </c>
      <c r="Y540" s="668">
        <f t="shared" si="160"/>
        <v>0</v>
      </c>
      <c r="Z540" s="668">
        <f t="shared" si="161"/>
        <v>0</v>
      </c>
      <c r="AA540" s="668">
        <f t="shared" si="162"/>
        <v>0</v>
      </c>
      <c r="AB540" s="668">
        <f t="shared" si="163"/>
        <v>0</v>
      </c>
      <c r="AC540" s="668">
        <f t="shared" si="172"/>
        <v>0</v>
      </c>
      <c r="AD540" s="668">
        <f t="shared" si="164"/>
        <v>0</v>
      </c>
      <c r="AE540" s="668">
        <f t="shared" si="165"/>
        <v>0</v>
      </c>
      <c r="AF540" s="668">
        <f t="shared" si="166"/>
        <v>0</v>
      </c>
      <c r="AG540" s="668">
        <f t="shared" si="167"/>
        <v>0</v>
      </c>
      <c r="AH540" s="668"/>
      <c r="AI540" s="668"/>
      <c r="AJ540" s="668"/>
      <c r="AK540" s="668"/>
      <c r="AL540" s="668"/>
      <c r="AM540" s="668">
        <f t="shared" si="173"/>
        <v>0</v>
      </c>
      <c r="AN540" s="668">
        <f t="shared" si="168"/>
        <v>0</v>
      </c>
      <c r="AO540" s="668">
        <f t="shared" si="169"/>
        <v>0</v>
      </c>
      <c r="AP540" s="668">
        <f t="shared" si="174"/>
        <v>0</v>
      </c>
      <c r="AQ540" s="668">
        <f t="shared" si="170"/>
        <v>0</v>
      </c>
      <c r="AR540" s="668">
        <f t="shared" si="171"/>
        <v>0</v>
      </c>
      <c r="AS540" s="668"/>
      <c r="AT540" s="668"/>
      <c r="AU540" s="668"/>
      <c r="AV540" s="668"/>
      <c r="AW540" s="668"/>
      <c r="AX540" s="668"/>
      <c r="AY540" s="668"/>
      <c r="AZ540" s="668"/>
      <c r="BA540" s="668"/>
      <c r="BB540" s="668">
        <f t="shared" si="175"/>
        <v>0</v>
      </c>
      <c r="BC540" s="668"/>
      <c r="BD540" s="668"/>
      <c r="BE540" s="668"/>
      <c r="BF540" s="668"/>
      <c r="BG540" s="668"/>
      <c r="BH540" s="668"/>
      <c r="BI540" s="668"/>
    </row>
    <row r="541" spans="1:61" x14ac:dyDescent="0.2">
      <c r="A541" s="1020">
        <v>3061</v>
      </c>
      <c r="B541" s="1020" t="s">
        <v>579</v>
      </c>
      <c r="C541" s="1020"/>
      <c r="D541" s="667">
        <v>52</v>
      </c>
      <c r="E541" s="667"/>
      <c r="F541" s="667"/>
      <c r="G541" s="667"/>
      <c r="H541" s="667"/>
      <c r="I541" s="667"/>
      <c r="J541" s="667"/>
      <c r="K541" s="667"/>
      <c r="L541" s="667"/>
      <c r="M541" s="667"/>
      <c r="N541" s="667"/>
      <c r="O541" s="667"/>
      <c r="P541" s="667"/>
      <c r="Q541" s="667"/>
      <c r="R541" s="667"/>
      <c r="S541" s="667"/>
      <c r="T541" s="667"/>
      <c r="U541" s="1020">
        <v>12</v>
      </c>
      <c r="V541" s="668">
        <f t="shared" si="157"/>
        <v>624</v>
      </c>
      <c r="W541" s="668">
        <f t="shared" si="158"/>
        <v>0</v>
      </c>
      <c r="X541" s="668">
        <f t="shared" si="159"/>
        <v>0</v>
      </c>
      <c r="Y541" s="668">
        <f t="shared" si="160"/>
        <v>0</v>
      </c>
      <c r="Z541" s="668">
        <f t="shared" si="161"/>
        <v>0</v>
      </c>
      <c r="AA541" s="668">
        <f t="shared" si="162"/>
        <v>0</v>
      </c>
      <c r="AB541" s="668">
        <f t="shared" si="163"/>
        <v>0</v>
      </c>
      <c r="AC541" s="668">
        <f t="shared" si="172"/>
        <v>0</v>
      </c>
      <c r="AD541" s="668">
        <f t="shared" si="164"/>
        <v>0</v>
      </c>
      <c r="AE541" s="668">
        <f t="shared" si="165"/>
        <v>0</v>
      </c>
      <c r="AF541" s="668">
        <f t="shared" si="166"/>
        <v>0</v>
      </c>
      <c r="AG541" s="668">
        <f t="shared" si="167"/>
        <v>0</v>
      </c>
      <c r="AH541" s="668"/>
      <c r="AI541" s="668"/>
      <c r="AJ541" s="668"/>
      <c r="AK541" s="668"/>
      <c r="AL541" s="668"/>
      <c r="AM541" s="668">
        <f t="shared" si="173"/>
        <v>0</v>
      </c>
      <c r="AN541" s="668">
        <f t="shared" si="168"/>
        <v>0</v>
      </c>
      <c r="AO541" s="668">
        <f t="shared" si="169"/>
        <v>0</v>
      </c>
      <c r="AP541" s="668">
        <f t="shared" si="174"/>
        <v>0</v>
      </c>
      <c r="AQ541" s="668">
        <f t="shared" si="170"/>
        <v>0</v>
      </c>
      <c r="AR541" s="668">
        <f t="shared" si="171"/>
        <v>0</v>
      </c>
      <c r="AS541" s="668"/>
      <c r="AT541" s="668"/>
      <c r="AU541" s="668"/>
      <c r="AV541" s="668"/>
      <c r="AW541" s="668"/>
      <c r="AX541" s="668"/>
      <c r="AY541" s="668"/>
      <c r="AZ541" s="668"/>
      <c r="BA541" s="668"/>
      <c r="BB541" s="668">
        <f t="shared" si="175"/>
        <v>0</v>
      </c>
      <c r="BC541" s="668"/>
      <c r="BD541" s="668"/>
      <c r="BE541" s="668"/>
      <c r="BF541" s="668"/>
      <c r="BG541" s="668"/>
      <c r="BH541" s="668"/>
      <c r="BI541" s="668"/>
    </row>
    <row r="542" spans="1:61" x14ac:dyDescent="0.2">
      <c r="A542" s="1020">
        <v>3062</v>
      </c>
      <c r="B542" s="1020" t="s">
        <v>682</v>
      </c>
      <c r="C542" s="1020"/>
      <c r="D542" s="667">
        <v>32</v>
      </c>
      <c r="E542" s="667"/>
      <c r="F542" s="667">
        <v>32</v>
      </c>
      <c r="G542" s="667"/>
      <c r="H542" s="667"/>
      <c r="I542" s="667"/>
      <c r="J542" s="667"/>
      <c r="K542" s="667"/>
      <c r="L542" s="667"/>
      <c r="M542" s="667"/>
      <c r="N542" s="667"/>
      <c r="O542" s="667"/>
      <c r="P542" s="667"/>
      <c r="Q542" s="667"/>
      <c r="R542" s="667"/>
      <c r="S542" s="667"/>
      <c r="T542" s="667"/>
      <c r="U542" s="1020">
        <v>10</v>
      </c>
      <c r="V542" s="668">
        <f t="shared" si="157"/>
        <v>320</v>
      </c>
      <c r="W542" s="668">
        <f t="shared" si="158"/>
        <v>0</v>
      </c>
      <c r="X542" s="668">
        <f t="shared" si="159"/>
        <v>0</v>
      </c>
      <c r="Y542" s="668">
        <f t="shared" si="160"/>
        <v>0</v>
      </c>
      <c r="Z542" s="668">
        <f t="shared" si="161"/>
        <v>0</v>
      </c>
      <c r="AA542" s="668">
        <f t="shared" si="162"/>
        <v>0</v>
      </c>
      <c r="AB542" s="668">
        <f t="shared" si="163"/>
        <v>0</v>
      </c>
      <c r="AC542" s="668">
        <f t="shared" si="172"/>
        <v>0</v>
      </c>
      <c r="AD542" s="668">
        <f t="shared" si="164"/>
        <v>0</v>
      </c>
      <c r="AE542" s="668">
        <f t="shared" si="165"/>
        <v>0</v>
      </c>
      <c r="AF542" s="668">
        <f t="shared" si="166"/>
        <v>0</v>
      </c>
      <c r="AG542" s="668">
        <f t="shared" si="167"/>
        <v>0</v>
      </c>
      <c r="AH542" s="668"/>
      <c r="AI542" s="668"/>
      <c r="AJ542" s="668"/>
      <c r="AK542" s="668"/>
      <c r="AL542" s="668"/>
      <c r="AM542" s="668">
        <f t="shared" si="173"/>
        <v>0</v>
      </c>
      <c r="AN542" s="668">
        <f t="shared" si="168"/>
        <v>0</v>
      </c>
      <c r="AO542" s="668">
        <f t="shared" si="169"/>
        <v>0</v>
      </c>
      <c r="AP542" s="668">
        <f t="shared" si="174"/>
        <v>320</v>
      </c>
      <c r="AQ542" s="668">
        <f t="shared" si="170"/>
        <v>0</v>
      </c>
      <c r="AR542" s="668">
        <f t="shared" si="171"/>
        <v>0</v>
      </c>
      <c r="AS542" s="668"/>
      <c r="AT542" s="668"/>
      <c r="AU542" s="668"/>
      <c r="AV542" s="668"/>
      <c r="AW542" s="668"/>
      <c r="AX542" s="668"/>
      <c r="AY542" s="668"/>
      <c r="AZ542" s="668"/>
      <c r="BA542" s="668"/>
      <c r="BB542" s="668">
        <f t="shared" si="175"/>
        <v>320</v>
      </c>
      <c r="BC542" s="668"/>
      <c r="BD542" s="668"/>
      <c r="BE542" s="668"/>
      <c r="BF542" s="668"/>
      <c r="BG542" s="668"/>
      <c r="BH542" s="668"/>
      <c r="BI542" s="668"/>
    </row>
    <row r="543" spans="1:61" x14ac:dyDescent="0.2">
      <c r="A543" s="1020">
        <v>3063</v>
      </c>
      <c r="B543" s="1020" t="s">
        <v>682</v>
      </c>
      <c r="C543" s="1020"/>
      <c r="D543" s="667">
        <v>32</v>
      </c>
      <c r="E543" s="667"/>
      <c r="F543" s="667">
        <v>32</v>
      </c>
      <c r="G543" s="667"/>
      <c r="H543" s="667"/>
      <c r="I543" s="667"/>
      <c r="J543" s="667"/>
      <c r="K543" s="667"/>
      <c r="L543" s="667"/>
      <c r="M543" s="667"/>
      <c r="N543" s="667"/>
      <c r="O543" s="667"/>
      <c r="P543" s="667"/>
      <c r="Q543" s="667"/>
      <c r="R543" s="667"/>
      <c r="S543" s="667"/>
      <c r="T543" s="667"/>
      <c r="U543" s="1020">
        <v>10</v>
      </c>
      <c r="V543" s="668">
        <f t="shared" si="157"/>
        <v>320</v>
      </c>
      <c r="W543" s="668">
        <f t="shared" si="158"/>
        <v>0</v>
      </c>
      <c r="X543" s="668">
        <f t="shared" si="159"/>
        <v>0</v>
      </c>
      <c r="Y543" s="668">
        <f t="shared" si="160"/>
        <v>0</v>
      </c>
      <c r="Z543" s="668">
        <f t="shared" si="161"/>
        <v>0</v>
      </c>
      <c r="AA543" s="668">
        <f t="shared" si="162"/>
        <v>0</v>
      </c>
      <c r="AB543" s="668">
        <f t="shared" si="163"/>
        <v>0</v>
      </c>
      <c r="AC543" s="668">
        <f t="shared" si="172"/>
        <v>0</v>
      </c>
      <c r="AD543" s="668">
        <f t="shared" si="164"/>
        <v>0</v>
      </c>
      <c r="AE543" s="668">
        <f t="shared" si="165"/>
        <v>0</v>
      </c>
      <c r="AF543" s="668">
        <f t="shared" si="166"/>
        <v>0</v>
      </c>
      <c r="AG543" s="668">
        <f t="shared" si="167"/>
        <v>0</v>
      </c>
      <c r="AH543" s="668"/>
      <c r="AI543" s="668"/>
      <c r="AJ543" s="668"/>
      <c r="AK543" s="668"/>
      <c r="AL543" s="668"/>
      <c r="AM543" s="668">
        <f t="shared" si="173"/>
        <v>0</v>
      </c>
      <c r="AN543" s="668">
        <f t="shared" si="168"/>
        <v>0</v>
      </c>
      <c r="AO543" s="668">
        <f t="shared" si="169"/>
        <v>0</v>
      </c>
      <c r="AP543" s="668">
        <f t="shared" si="174"/>
        <v>320</v>
      </c>
      <c r="AQ543" s="668">
        <f t="shared" si="170"/>
        <v>0</v>
      </c>
      <c r="AR543" s="668">
        <f t="shared" si="171"/>
        <v>0</v>
      </c>
      <c r="AS543" s="668"/>
      <c r="AT543" s="668"/>
      <c r="AU543" s="668"/>
      <c r="AV543" s="668"/>
      <c r="AW543" s="668"/>
      <c r="AX543" s="668"/>
      <c r="AY543" s="668"/>
      <c r="AZ543" s="668"/>
      <c r="BA543" s="668"/>
      <c r="BB543" s="668">
        <f t="shared" si="175"/>
        <v>320</v>
      </c>
      <c r="BC543" s="668"/>
      <c r="BD543" s="668"/>
      <c r="BE543" s="668"/>
      <c r="BF543" s="668"/>
      <c r="BG543" s="668"/>
      <c r="BH543" s="668"/>
      <c r="BI543" s="668"/>
    </row>
    <row r="544" spans="1:61" x14ac:dyDescent="0.2">
      <c r="A544" s="1020">
        <v>3064</v>
      </c>
      <c r="B544" s="1020" t="s">
        <v>685</v>
      </c>
      <c r="C544" s="1020"/>
      <c r="D544" s="667">
        <v>82</v>
      </c>
      <c r="E544" s="667"/>
      <c r="F544" s="667"/>
      <c r="G544" s="667"/>
      <c r="H544" s="667"/>
      <c r="I544" s="667"/>
      <c r="J544" s="667"/>
      <c r="K544" s="667"/>
      <c r="L544" s="667"/>
      <c r="M544" s="667"/>
      <c r="N544" s="667"/>
      <c r="O544" s="667"/>
      <c r="P544" s="667"/>
      <c r="Q544" s="667"/>
      <c r="R544" s="667"/>
      <c r="S544" s="667"/>
      <c r="T544" s="667"/>
      <c r="U544" s="1020">
        <v>10</v>
      </c>
      <c r="V544" s="668">
        <f t="shared" si="157"/>
        <v>820</v>
      </c>
      <c r="W544" s="668">
        <f t="shared" si="158"/>
        <v>0</v>
      </c>
      <c r="X544" s="668">
        <f t="shared" si="159"/>
        <v>0</v>
      </c>
      <c r="Y544" s="668">
        <f t="shared" si="160"/>
        <v>0</v>
      </c>
      <c r="Z544" s="668">
        <f t="shared" si="161"/>
        <v>0</v>
      </c>
      <c r="AA544" s="668">
        <f t="shared" si="162"/>
        <v>0</v>
      </c>
      <c r="AB544" s="668">
        <f t="shared" si="163"/>
        <v>0</v>
      </c>
      <c r="AC544" s="668">
        <f t="shared" si="172"/>
        <v>0</v>
      </c>
      <c r="AD544" s="668">
        <f t="shared" si="164"/>
        <v>0</v>
      </c>
      <c r="AE544" s="668">
        <f t="shared" si="165"/>
        <v>0</v>
      </c>
      <c r="AF544" s="668">
        <f t="shared" si="166"/>
        <v>0</v>
      </c>
      <c r="AG544" s="668">
        <f t="shared" si="167"/>
        <v>0</v>
      </c>
      <c r="AH544" s="668"/>
      <c r="AI544" s="668"/>
      <c r="AJ544" s="668"/>
      <c r="AK544" s="668"/>
      <c r="AL544" s="668"/>
      <c r="AM544" s="668">
        <f t="shared" si="173"/>
        <v>0</v>
      </c>
      <c r="AN544" s="668">
        <f t="shared" si="168"/>
        <v>0</v>
      </c>
      <c r="AO544" s="668">
        <f t="shared" si="169"/>
        <v>0</v>
      </c>
      <c r="AP544" s="668">
        <f t="shared" si="174"/>
        <v>0</v>
      </c>
      <c r="AQ544" s="668">
        <f t="shared" si="170"/>
        <v>0</v>
      </c>
      <c r="AR544" s="668">
        <f t="shared" si="171"/>
        <v>0</v>
      </c>
      <c r="AS544" s="668"/>
      <c r="AT544" s="668"/>
      <c r="AU544" s="668"/>
      <c r="AV544" s="668"/>
      <c r="AW544" s="668"/>
      <c r="AX544" s="668"/>
      <c r="AY544" s="668"/>
      <c r="AZ544" s="668"/>
      <c r="BA544" s="668"/>
      <c r="BB544" s="668">
        <f t="shared" si="175"/>
        <v>0</v>
      </c>
      <c r="BC544" s="668"/>
      <c r="BD544" s="668"/>
      <c r="BE544" s="668"/>
      <c r="BF544" s="668"/>
      <c r="BG544" s="668"/>
      <c r="BH544" s="668"/>
      <c r="BI544" s="668"/>
    </row>
    <row r="545" spans="1:61" x14ac:dyDescent="0.2">
      <c r="A545" s="1020">
        <v>3065</v>
      </c>
      <c r="B545" s="1013" t="s">
        <v>517</v>
      </c>
      <c r="C545" s="1013"/>
      <c r="D545" s="667">
        <v>81</v>
      </c>
      <c r="E545" s="667"/>
      <c r="F545" s="667"/>
      <c r="G545" s="667"/>
      <c r="H545" s="667"/>
      <c r="I545" s="667"/>
      <c r="J545" s="667"/>
      <c r="K545" s="667"/>
      <c r="L545" s="667"/>
      <c r="M545" s="667"/>
      <c r="N545" s="667"/>
      <c r="O545" s="667"/>
      <c r="P545" s="667"/>
      <c r="Q545" s="667"/>
      <c r="R545" s="667"/>
      <c r="S545" s="667"/>
      <c r="T545" s="667"/>
      <c r="U545" s="1013">
        <v>12</v>
      </c>
      <c r="V545" s="668">
        <f t="shared" si="157"/>
        <v>972</v>
      </c>
      <c r="W545" s="668">
        <f t="shared" si="158"/>
        <v>0</v>
      </c>
      <c r="X545" s="668">
        <f t="shared" si="159"/>
        <v>0</v>
      </c>
      <c r="Y545" s="668">
        <f t="shared" si="160"/>
        <v>0</v>
      </c>
      <c r="Z545" s="668">
        <f t="shared" si="161"/>
        <v>0</v>
      </c>
      <c r="AA545" s="668">
        <f t="shared" si="162"/>
        <v>0</v>
      </c>
      <c r="AB545" s="668">
        <f t="shared" si="163"/>
        <v>0</v>
      </c>
      <c r="AC545" s="668">
        <f t="shared" si="172"/>
        <v>0</v>
      </c>
      <c r="AD545" s="668">
        <f t="shared" si="164"/>
        <v>0</v>
      </c>
      <c r="AE545" s="668">
        <f t="shared" si="165"/>
        <v>0</v>
      </c>
      <c r="AF545" s="668">
        <f t="shared" si="166"/>
        <v>0</v>
      </c>
      <c r="AG545" s="668">
        <f t="shared" si="167"/>
        <v>0</v>
      </c>
      <c r="AH545" s="668"/>
      <c r="AI545" s="668"/>
      <c r="AJ545" s="668"/>
      <c r="AK545" s="668"/>
      <c r="AL545" s="668"/>
      <c r="AM545" s="668">
        <f t="shared" si="173"/>
        <v>0</v>
      </c>
      <c r="AN545" s="668">
        <f t="shared" si="168"/>
        <v>0</v>
      </c>
      <c r="AO545" s="668">
        <f t="shared" si="169"/>
        <v>0</v>
      </c>
      <c r="AP545" s="668">
        <f t="shared" si="174"/>
        <v>0</v>
      </c>
      <c r="AQ545" s="668">
        <f t="shared" si="170"/>
        <v>0</v>
      </c>
      <c r="AR545" s="668">
        <f t="shared" si="171"/>
        <v>0</v>
      </c>
      <c r="AS545" s="668"/>
      <c r="AT545" s="668"/>
      <c r="AU545" s="668"/>
      <c r="AV545" s="668"/>
      <c r="AW545" s="668"/>
      <c r="AX545" s="668"/>
      <c r="AY545" s="668"/>
      <c r="AZ545" s="668"/>
      <c r="BA545" s="668"/>
      <c r="BB545" s="668">
        <f t="shared" si="175"/>
        <v>0</v>
      </c>
      <c r="BC545" s="668"/>
      <c r="BD545" s="668"/>
      <c r="BE545" s="668"/>
      <c r="BF545" s="668"/>
      <c r="BG545" s="668"/>
      <c r="BH545" s="668"/>
      <c r="BI545" s="668"/>
    </row>
    <row r="546" spans="1:61" x14ac:dyDescent="0.2">
      <c r="A546" s="1020">
        <v>3066</v>
      </c>
      <c r="B546" s="1013" t="s">
        <v>519</v>
      </c>
      <c r="C546" s="1013"/>
      <c r="D546" s="667">
        <v>35</v>
      </c>
      <c r="E546" s="667"/>
      <c r="F546" s="667">
        <v>15</v>
      </c>
      <c r="G546" s="667"/>
      <c r="H546" s="667"/>
      <c r="I546" s="667"/>
      <c r="J546" s="667"/>
      <c r="K546" s="667"/>
      <c r="L546" s="667"/>
      <c r="M546" s="667"/>
      <c r="N546" s="667"/>
      <c r="O546" s="667"/>
      <c r="P546" s="667"/>
      <c r="Q546" s="667"/>
      <c r="R546" s="667"/>
      <c r="S546" s="667"/>
      <c r="T546" s="667">
        <v>150</v>
      </c>
      <c r="U546" s="1013">
        <v>12</v>
      </c>
      <c r="V546" s="668">
        <f t="shared" si="157"/>
        <v>420</v>
      </c>
      <c r="W546" s="668">
        <f t="shared" si="158"/>
        <v>0</v>
      </c>
      <c r="X546" s="668">
        <f t="shared" si="159"/>
        <v>0</v>
      </c>
      <c r="Y546" s="668">
        <f t="shared" si="160"/>
        <v>0</v>
      </c>
      <c r="Z546" s="668">
        <f t="shared" si="161"/>
        <v>0</v>
      </c>
      <c r="AA546" s="668">
        <f t="shared" si="162"/>
        <v>0</v>
      </c>
      <c r="AB546" s="668">
        <f t="shared" si="163"/>
        <v>150</v>
      </c>
      <c r="AC546" s="668">
        <f t="shared" si="172"/>
        <v>0</v>
      </c>
      <c r="AD546" s="668">
        <f t="shared" si="164"/>
        <v>0</v>
      </c>
      <c r="AE546" s="668">
        <f t="shared" si="165"/>
        <v>0</v>
      </c>
      <c r="AF546" s="668">
        <f t="shared" si="166"/>
        <v>0</v>
      </c>
      <c r="AG546" s="668">
        <f t="shared" si="167"/>
        <v>0</v>
      </c>
      <c r="AH546" s="668"/>
      <c r="AI546" s="668"/>
      <c r="AJ546" s="668"/>
      <c r="AK546" s="668"/>
      <c r="AL546" s="668"/>
      <c r="AM546" s="668">
        <f t="shared" si="173"/>
        <v>0</v>
      </c>
      <c r="AN546" s="668">
        <f t="shared" si="168"/>
        <v>0</v>
      </c>
      <c r="AO546" s="668">
        <f t="shared" si="169"/>
        <v>0</v>
      </c>
      <c r="AP546" s="668">
        <f t="shared" si="174"/>
        <v>180</v>
      </c>
      <c r="AQ546" s="668">
        <f t="shared" si="170"/>
        <v>0</v>
      </c>
      <c r="AR546" s="668">
        <f t="shared" si="171"/>
        <v>0</v>
      </c>
      <c r="AS546" s="668"/>
      <c r="AT546" s="668"/>
      <c r="AU546" s="668"/>
      <c r="AV546" s="668"/>
      <c r="AW546" s="668"/>
      <c r="AX546" s="668"/>
      <c r="AY546" s="668"/>
      <c r="AZ546" s="668"/>
      <c r="BA546" s="668"/>
      <c r="BB546" s="668">
        <f t="shared" si="175"/>
        <v>180</v>
      </c>
      <c r="BC546" s="668"/>
      <c r="BD546" s="668"/>
      <c r="BE546" s="668"/>
      <c r="BF546" s="668"/>
      <c r="BG546" s="668"/>
      <c r="BH546" s="668"/>
      <c r="BI546" s="668"/>
    </row>
    <row r="547" spans="1:61" x14ac:dyDescent="0.2">
      <c r="A547" s="1020">
        <v>3067</v>
      </c>
      <c r="B547" s="1013" t="s">
        <v>519</v>
      </c>
      <c r="C547" s="1013"/>
      <c r="D547" s="667">
        <v>35</v>
      </c>
      <c r="E547" s="667"/>
      <c r="F547" s="667">
        <v>15</v>
      </c>
      <c r="G547" s="667"/>
      <c r="H547" s="667"/>
      <c r="I547" s="667"/>
      <c r="J547" s="667"/>
      <c r="K547" s="667"/>
      <c r="L547" s="667"/>
      <c r="M547" s="667"/>
      <c r="N547" s="667"/>
      <c r="O547" s="667"/>
      <c r="P547" s="667"/>
      <c r="Q547" s="667"/>
      <c r="R547" s="667"/>
      <c r="S547" s="667"/>
      <c r="T547" s="667">
        <v>150</v>
      </c>
      <c r="U547" s="1013">
        <v>12</v>
      </c>
      <c r="V547" s="668">
        <f t="shared" si="157"/>
        <v>420</v>
      </c>
      <c r="W547" s="668">
        <f t="shared" si="158"/>
        <v>0</v>
      </c>
      <c r="X547" s="668">
        <f t="shared" si="159"/>
        <v>0</v>
      </c>
      <c r="Y547" s="668">
        <f t="shared" si="160"/>
        <v>0</v>
      </c>
      <c r="Z547" s="668">
        <f t="shared" si="161"/>
        <v>0</v>
      </c>
      <c r="AA547" s="668">
        <f t="shared" si="162"/>
        <v>0</v>
      </c>
      <c r="AB547" s="668">
        <f t="shared" si="163"/>
        <v>150</v>
      </c>
      <c r="AC547" s="668">
        <f t="shared" si="172"/>
        <v>0</v>
      </c>
      <c r="AD547" s="668">
        <f t="shared" si="164"/>
        <v>0</v>
      </c>
      <c r="AE547" s="668">
        <f t="shared" si="165"/>
        <v>0</v>
      </c>
      <c r="AF547" s="668">
        <f t="shared" si="166"/>
        <v>0</v>
      </c>
      <c r="AG547" s="668">
        <f t="shared" si="167"/>
        <v>0</v>
      </c>
      <c r="AH547" s="668"/>
      <c r="AI547" s="668"/>
      <c r="AJ547" s="668"/>
      <c r="AK547" s="668"/>
      <c r="AL547" s="668"/>
      <c r="AM547" s="668">
        <f t="shared" si="173"/>
        <v>0</v>
      </c>
      <c r="AN547" s="668">
        <f t="shared" si="168"/>
        <v>0</v>
      </c>
      <c r="AO547" s="668">
        <f t="shared" si="169"/>
        <v>0</v>
      </c>
      <c r="AP547" s="668">
        <f t="shared" si="174"/>
        <v>180</v>
      </c>
      <c r="AQ547" s="668">
        <f t="shared" si="170"/>
        <v>0</v>
      </c>
      <c r="AR547" s="668">
        <f t="shared" si="171"/>
        <v>0</v>
      </c>
      <c r="AS547" s="668"/>
      <c r="AT547" s="668"/>
      <c r="AU547" s="668"/>
      <c r="AV547" s="668"/>
      <c r="AW547" s="668"/>
      <c r="AX547" s="668"/>
      <c r="AY547" s="668"/>
      <c r="AZ547" s="668"/>
      <c r="BA547" s="668"/>
      <c r="BB547" s="668">
        <f t="shared" si="175"/>
        <v>180</v>
      </c>
      <c r="BC547" s="668"/>
      <c r="BD547" s="668"/>
      <c r="BE547" s="668"/>
      <c r="BF547" s="668"/>
      <c r="BG547" s="668"/>
      <c r="BH547" s="668"/>
      <c r="BI547" s="668"/>
    </row>
    <row r="548" spans="1:61" x14ac:dyDescent="0.2">
      <c r="A548" s="1020">
        <v>3068</v>
      </c>
      <c r="B548" s="1013" t="s">
        <v>515</v>
      </c>
      <c r="C548" s="1013"/>
      <c r="D548" s="667">
        <v>77</v>
      </c>
      <c r="E548" s="667"/>
      <c r="F548" s="667">
        <v>61</v>
      </c>
      <c r="G548" s="667"/>
      <c r="H548" s="667"/>
      <c r="I548" s="667"/>
      <c r="J548" s="667"/>
      <c r="K548" s="667"/>
      <c r="L548" s="667"/>
      <c r="M548" s="667"/>
      <c r="N548" s="667"/>
      <c r="O548" s="667"/>
      <c r="P548" s="667"/>
      <c r="Q548" s="667"/>
      <c r="R548" s="667"/>
      <c r="S548" s="667"/>
      <c r="T548" s="667">
        <v>2020</v>
      </c>
      <c r="U548" s="1013">
        <v>12</v>
      </c>
      <c r="V548" s="668">
        <f t="shared" si="157"/>
        <v>924</v>
      </c>
      <c r="W548" s="668">
        <f t="shared" si="158"/>
        <v>0</v>
      </c>
      <c r="X548" s="668">
        <f t="shared" si="159"/>
        <v>0</v>
      </c>
      <c r="Y548" s="668">
        <f t="shared" si="160"/>
        <v>0</v>
      </c>
      <c r="Z548" s="668">
        <f t="shared" si="161"/>
        <v>0</v>
      </c>
      <c r="AA548" s="668">
        <f t="shared" si="162"/>
        <v>0</v>
      </c>
      <c r="AB548" s="668">
        <f t="shared" si="163"/>
        <v>2020</v>
      </c>
      <c r="AC548" s="668">
        <f t="shared" si="172"/>
        <v>0</v>
      </c>
      <c r="AD548" s="668">
        <f t="shared" si="164"/>
        <v>0</v>
      </c>
      <c r="AE548" s="668">
        <f t="shared" si="165"/>
        <v>0</v>
      </c>
      <c r="AF548" s="668">
        <f t="shared" si="166"/>
        <v>0</v>
      </c>
      <c r="AG548" s="668">
        <f t="shared" si="167"/>
        <v>0</v>
      </c>
      <c r="AH548" s="668"/>
      <c r="AI548" s="668"/>
      <c r="AJ548" s="668"/>
      <c r="AK548" s="668"/>
      <c r="AL548" s="668"/>
      <c r="AM548" s="668">
        <f t="shared" si="173"/>
        <v>0</v>
      </c>
      <c r="AN548" s="668">
        <f t="shared" si="168"/>
        <v>0</v>
      </c>
      <c r="AO548" s="668">
        <f t="shared" si="169"/>
        <v>0</v>
      </c>
      <c r="AP548" s="668">
        <f t="shared" si="174"/>
        <v>732</v>
      </c>
      <c r="AQ548" s="668">
        <f t="shared" si="170"/>
        <v>0</v>
      </c>
      <c r="AR548" s="668">
        <f t="shared" si="171"/>
        <v>0</v>
      </c>
      <c r="AS548" s="668"/>
      <c r="AT548" s="668"/>
      <c r="AU548" s="668"/>
      <c r="AV548" s="668"/>
      <c r="AW548" s="668"/>
      <c r="AX548" s="668"/>
      <c r="AY548" s="668"/>
      <c r="AZ548" s="668"/>
      <c r="BA548" s="668"/>
      <c r="BB548" s="668"/>
      <c r="BC548" s="668"/>
      <c r="BD548" s="668"/>
      <c r="BE548" s="668"/>
      <c r="BF548" s="668"/>
      <c r="BG548" s="668"/>
      <c r="BH548" s="668"/>
      <c r="BI548" s="668"/>
    </row>
    <row r="549" spans="1:61" x14ac:dyDescent="0.2">
      <c r="A549" s="1020">
        <v>3069</v>
      </c>
      <c r="B549" s="1013" t="s">
        <v>515</v>
      </c>
      <c r="C549" s="1013"/>
      <c r="D549" s="667">
        <v>132</v>
      </c>
      <c r="E549" s="667"/>
      <c r="F549" s="667"/>
      <c r="G549" s="667"/>
      <c r="H549" s="667"/>
      <c r="I549" s="667"/>
      <c r="J549" s="667"/>
      <c r="K549" s="667"/>
      <c r="L549" s="667"/>
      <c r="M549" s="667"/>
      <c r="N549" s="667"/>
      <c r="O549" s="667"/>
      <c r="P549" s="667"/>
      <c r="Q549" s="667"/>
      <c r="R549" s="667"/>
      <c r="S549" s="667"/>
      <c r="T549" s="667">
        <v>4000</v>
      </c>
      <c r="U549" s="1013">
        <v>12</v>
      </c>
      <c r="V549" s="668">
        <f t="shared" si="157"/>
        <v>1584</v>
      </c>
      <c r="W549" s="668">
        <f t="shared" si="158"/>
        <v>0</v>
      </c>
      <c r="X549" s="668">
        <f t="shared" si="159"/>
        <v>0</v>
      </c>
      <c r="Y549" s="668">
        <f t="shared" si="160"/>
        <v>0</v>
      </c>
      <c r="Z549" s="668">
        <f t="shared" si="161"/>
        <v>0</v>
      </c>
      <c r="AA549" s="668">
        <f t="shared" si="162"/>
        <v>0</v>
      </c>
      <c r="AB549" s="668">
        <f t="shared" si="163"/>
        <v>4000</v>
      </c>
      <c r="AC549" s="668">
        <f t="shared" si="172"/>
        <v>0</v>
      </c>
      <c r="AD549" s="668">
        <f t="shared" si="164"/>
        <v>0</v>
      </c>
      <c r="AE549" s="668">
        <f t="shared" si="165"/>
        <v>0</v>
      </c>
      <c r="AF549" s="668">
        <f t="shared" si="166"/>
        <v>0</v>
      </c>
      <c r="AG549" s="668">
        <f t="shared" si="167"/>
        <v>0</v>
      </c>
      <c r="AH549" s="668"/>
      <c r="AI549" s="668"/>
      <c r="AJ549" s="668"/>
      <c r="AK549" s="668"/>
      <c r="AL549" s="668"/>
      <c r="AM549" s="668">
        <f t="shared" si="173"/>
        <v>0</v>
      </c>
      <c r="AN549" s="668">
        <f t="shared" si="168"/>
        <v>0</v>
      </c>
      <c r="AO549" s="668">
        <f t="shared" si="169"/>
        <v>0</v>
      </c>
      <c r="AP549" s="668">
        <f t="shared" si="174"/>
        <v>0</v>
      </c>
      <c r="AQ549" s="668">
        <f t="shared" si="170"/>
        <v>0</v>
      </c>
      <c r="AR549" s="668">
        <f t="shared" si="171"/>
        <v>0</v>
      </c>
      <c r="AS549" s="668"/>
      <c r="AT549" s="668"/>
      <c r="AU549" s="668"/>
      <c r="AV549" s="668"/>
      <c r="AW549" s="668"/>
      <c r="AX549" s="668"/>
      <c r="AY549" s="668"/>
      <c r="AZ549" s="668"/>
      <c r="BA549" s="668"/>
      <c r="BB549" s="668">
        <f t="shared" si="175"/>
        <v>0</v>
      </c>
      <c r="BC549" s="668"/>
      <c r="BD549" s="668"/>
      <c r="BE549" s="668"/>
      <c r="BF549" s="668"/>
      <c r="BG549" s="668"/>
      <c r="BH549" s="668"/>
      <c r="BI549" s="668"/>
    </row>
    <row r="550" spans="1:61" x14ac:dyDescent="0.2">
      <c r="A550" s="1020">
        <v>3070</v>
      </c>
      <c r="B550" s="1013" t="s">
        <v>519</v>
      </c>
      <c r="C550" s="1013"/>
      <c r="D550" s="667">
        <v>35</v>
      </c>
      <c r="E550" s="667"/>
      <c r="F550" s="667">
        <v>15</v>
      </c>
      <c r="G550" s="667"/>
      <c r="H550" s="667"/>
      <c r="I550" s="667"/>
      <c r="J550" s="667"/>
      <c r="K550" s="667"/>
      <c r="L550" s="667"/>
      <c r="M550" s="667"/>
      <c r="N550" s="667"/>
      <c r="O550" s="667"/>
      <c r="P550" s="667"/>
      <c r="Q550" s="667"/>
      <c r="R550" s="667"/>
      <c r="S550" s="667"/>
      <c r="T550" s="667">
        <v>150</v>
      </c>
      <c r="U550" s="1013">
        <v>12</v>
      </c>
      <c r="V550" s="668">
        <f t="shared" si="157"/>
        <v>420</v>
      </c>
      <c r="W550" s="668">
        <f t="shared" si="158"/>
        <v>0</v>
      </c>
      <c r="X550" s="668">
        <f t="shared" si="159"/>
        <v>0</v>
      </c>
      <c r="Y550" s="668">
        <f t="shared" si="160"/>
        <v>0</v>
      </c>
      <c r="Z550" s="668">
        <f t="shared" si="161"/>
        <v>0</v>
      </c>
      <c r="AA550" s="668">
        <f t="shared" si="162"/>
        <v>0</v>
      </c>
      <c r="AB550" s="668">
        <f t="shared" si="163"/>
        <v>150</v>
      </c>
      <c r="AC550" s="668">
        <f t="shared" si="172"/>
        <v>0</v>
      </c>
      <c r="AD550" s="668">
        <f t="shared" si="164"/>
        <v>0</v>
      </c>
      <c r="AE550" s="668">
        <f t="shared" si="165"/>
        <v>0</v>
      </c>
      <c r="AF550" s="668">
        <f t="shared" si="166"/>
        <v>0</v>
      </c>
      <c r="AG550" s="668">
        <f t="shared" si="167"/>
        <v>0</v>
      </c>
      <c r="AH550" s="668"/>
      <c r="AI550" s="668"/>
      <c r="AJ550" s="668"/>
      <c r="AK550" s="668"/>
      <c r="AL550" s="668"/>
      <c r="AM550" s="668">
        <f t="shared" si="173"/>
        <v>0</v>
      </c>
      <c r="AN550" s="668">
        <f t="shared" si="168"/>
        <v>0</v>
      </c>
      <c r="AO550" s="668">
        <f t="shared" si="169"/>
        <v>0</v>
      </c>
      <c r="AP550" s="668">
        <f t="shared" si="174"/>
        <v>180</v>
      </c>
      <c r="AQ550" s="668">
        <f t="shared" si="170"/>
        <v>0</v>
      </c>
      <c r="AR550" s="668">
        <f t="shared" si="171"/>
        <v>0</v>
      </c>
      <c r="AS550" s="668"/>
      <c r="AT550" s="668"/>
      <c r="AU550" s="668"/>
      <c r="AV550" s="668"/>
      <c r="AW550" s="668"/>
      <c r="AX550" s="668"/>
      <c r="AY550" s="668"/>
      <c r="AZ550" s="668"/>
      <c r="BA550" s="668"/>
      <c r="BB550" s="668">
        <f t="shared" si="175"/>
        <v>180</v>
      </c>
      <c r="BC550" s="668"/>
      <c r="BD550" s="668"/>
      <c r="BE550" s="668"/>
      <c r="BF550" s="668"/>
      <c r="BG550" s="668"/>
      <c r="BH550" s="668"/>
      <c r="BI550" s="668"/>
    </row>
    <row r="551" spans="1:61" x14ac:dyDescent="0.2">
      <c r="A551" s="1020">
        <v>3071</v>
      </c>
      <c r="B551" s="1013" t="s">
        <v>519</v>
      </c>
      <c r="C551" s="1013"/>
      <c r="D551" s="667">
        <v>35</v>
      </c>
      <c r="E551" s="667"/>
      <c r="F551" s="667">
        <v>15</v>
      </c>
      <c r="G551" s="667"/>
      <c r="H551" s="667"/>
      <c r="I551" s="667"/>
      <c r="J551" s="667"/>
      <c r="K551" s="667"/>
      <c r="L551" s="667"/>
      <c r="M551" s="667"/>
      <c r="N551" s="667"/>
      <c r="O551" s="667"/>
      <c r="P551" s="667"/>
      <c r="Q551" s="667"/>
      <c r="R551" s="667"/>
      <c r="S551" s="667"/>
      <c r="T551" s="667">
        <v>150</v>
      </c>
      <c r="U551" s="1013">
        <v>12</v>
      </c>
      <c r="V551" s="668">
        <f t="shared" si="157"/>
        <v>420</v>
      </c>
      <c r="W551" s="668">
        <f t="shared" si="158"/>
        <v>0</v>
      </c>
      <c r="X551" s="668">
        <f t="shared" si="159"/>
        <v>0</v>
      </c>
      <c r="Y551" s="668">
        <f t="shared" si="160"/>
        <v>0</v>
      </c>
      <c r="Z551" s="668">
        <f t="shared" si="161"/>
        <v>0</v>
      </c>
      <c r="AA551" s="668">
        <f t="shared" si="162"/>
        <v>0</v>
      </c>
      <c r="AB551" s="668">
        <f t="shared" si="163"/>
        <v>150</v>
      </c>
      <c r="AC551" s="668">
        <f t="shared" si="172"/>
        <v>0</v>
      </c>
      <c r="AD551" s="668">
        <f t="shared" si="164"/>
        <v>0</v>
      </c>
      <c r="AE551" s="668">
        <f t="shared" si="165"/>
        <v>0</v>
      </c>
      <c r="AF551" s="668">
        <f t="shared" si="166"/>
        <v>0</v>
      </c>
      <c r="AG551" s="668">
        <f t="shared" si="167"/>
        <v>0</v>
      </c>
      <c r="AH551" s="668"/>
      <c r="AI551" s="668"/>
      <c r="AJ551" s="668"/>
      <c r="AK551" s="668"/>
      <c r="AL551" s="668"/>
      <c r="AM551" s="668">
        <f t="shared" si="173"/>
        <v>0</v>
      </c>
      <c r="AN551" s="668">
        <f t="shared" si="168"/>
        <v>0</v>
      </c>
      <c r="AO551" s="668">
        <f t="shared" si="169"/>
        <v>0</v>
      </c>
      <c r="AP551" s="668">
        <f t="shared" si="174"/>
        <v>180</v>
      </c>
      <c r="AQ551" s="668">
        <f t="shared" si="170"/>
        <v>0</v>
      </c>
      <c r="AR551" s="668">
        <f t="shared" si="171"/>
        <v>0</v>
      </c>
      <c r="AS551" s="668"/>
      <c r="AT551" s="668"/>
      <c r="AU551" s="668"/>
      <c r="AV551" s="668"/>
      <c r="AW551" s="668"/>
      <c r="AX551" s="668"/>
      <c r="AY551" s="668"/>
      <c r="AZ551" s="668"/>
      <c r="BA551" s="668"/>
      <c r="BB551" s="668">
        <f t="shared" si="175"/>
        <v>180</v>
      </c>
      <c r="BC551" s="668"/>
      <c r="BD551" s="668"/>
      <c r="BE551" s="668"/>
      <c r="BF551" s="668"/>
      <c r="BG551" s="668"/>
      <c r="BH551" s="668"/>
      <c r="BI551" s="668"/>
    </row>
    <row r="552" spans="1:61" x14ac:dyDescent="0.2">
      <c r="A552" s="1020">
        <v>3072</v>
      </c>
      <c r="B552" s="1013" t="s">
        <v>476</v>
      </c>
      <c r="C552" s="1013"/>
      <c r="D552" s="667">
        <v>54</v>
      </c>
      <c r="E552" s="667"/>
      <c r="F552" s="667"/>
      <c r="G552" s="667"/>
      <c r="H552" s="667"/>
      <c r="I552" s="667"/>
      <c r="J552" s="667"/>
      <c r="K552" s="667"/>
      <c r="L552" s="667"/>
      <c r="M552" s="667"/>
      <c r="N552" s="667"/>
      <c r="O552" s="667"/>
      <c r="P552" s="667"/>
      <c r="Q552" s="667"/>
      <c r="R552" s="667"/>
      <c r="S552" s="667"/>
      <c r="T552" s="667"/>
      <c r="U552" s="1013">
        <v>12</v>
      </c>
      <c r="V552" s="668">
        <f t="shared" si="157"/>
        <v>648</v>
      </c>
      <c r="W552" s="668">
        <f t="shared" si="158"/>
        <v>0</v>
      </c>
      <c r="X552" s="668">
        <f t="shared" si="159"/>
        <v>0</v>
      </c>
      <c r="Y552" s="668">
        <f t="shared" si="160"/>
        <v>0</v>
      </c>
      <c r="Z552" s="668">
        <f t="shared" si="161"/>
        <v>0</v>
      </c>
      <c r="AA552" s="668">
        <f t="shared" si="162"/>
        <v>0</v>
      </c>
      <c r="AB552" s="668">
        <f t="shared" si="163"/>
        <v>0</v>
      </c>
      <c r="AC552" s="668">
        <f t="shared" si="172"/>
        <v>0</v>
      </c>
      <c r="AD552" s="668">
        <f t="shared" si="164"/>
        <v>0</v>
      </c>
      <c r="AE552" s="668">
        <f t="shared" si="165"/>
        <v>0</v>
      </c>
      <c r="AF552" s="668">
        <f t="shared" si="166"/>
        <v>0</v>
      </c>
      <c r="AG552" s="668">
        <f t="shared" si="167"/>
        <v>0</v>
      </c>
      <c r="AH552" s="668"/>
      <c r="AI552" s="668"/>
      <c r="AJ552" s="668"/>
      <c r="AK552" s="668"/>
      <c r="AL552" s="668"/>
      <c r="AM552" s="668">
        <f t="shared" si="173"/>
        <v>0</v>
      </c>
      <c r="AN552" s="668">
        <f t="shared" si="168"/>
        <v>0</v>
      </c>
      <c r="AO552" s="668">
        <f t="shared" si="169"/>
        <v>0</v>
      </c>
      <c r="AP552" s="668">
        <f t="shared" si="174"/>
        <v>0</v>
      </c>
      <c r="AQ552" s="668">
        <f t="shared" si="170"/>
        <v>0</v>
      </c>
      <c r="AR552" s="668">
        <f t="shared" si="171"/>
        <v>0</v>
      </c>
      <c r="AS552" s="668"/>
      <c r="AT552" s="668"/>
      <c r="AU552" s="668"/>
      <c r="AV552" s="668"/>
      <c r="AW552" s="668"/>
      <c r="AX552" s="668"/>
      <c r="AY552" s="668"/>
      <c r="AZ552" s="668"/>
      <c r="BA552" s="668"/>
      <c r="BB552" s="668">
        <f t="shared" si="175"/>
        <v>0</v>
      </c>
      <c r="BC552" s="668"/>
      <c r="BD552" s="668"/>
      <c r="BE552" s="668"/>
      <c r="BF552" s="668"/>
      <c r="BG552" s="668"/>
      <c r="BH552" s="668"/>
      <c r="BI552" s="668"/>
    </row>
    <row r="553" spans="1:61" x14ac:dyDescent="0.2">
      <c r="A553" s="1020">
        <v>3073</v>
      </c>
      <c r="B553" s="1013" t="s">
        <v>579</v>
      </c>
      <c r="C553" s="1013"/>
      <c r="D553" s="667">
        <v>48</v>
      </c>
      <c r="E553" s="667"/>
      <c r="F553" s="667"/>
      <c r="G553" s="667"/>
      <c r="H553" s="667"/>
      <c r="I553" s="667"/>
      <c r="J553" s="667"/>
      <c r="K553" s="667"/>
      <c r="L553" s="667"/>
      <c r="M553" s="667"/>
      <c r="N553" s="667"/>
      <c r="O553" s="667"/>
      <c r="P553" s="667"/>
      <c r="Q553" s="667"/>
      <c r="R553" s="667"/>
      <c r="S553" s="667"/>
      <c r="T553" s="667"/>
      <c r="U553" s="1013">
        <v>12</v>
      </c>
      <c r="V553" s="668">
        <f t="shared" si="157"/>
        <v>576</v>
      </c>
      <c r="W553" s="668">
        <f t="shared" si="158"/>
        <v>0</v>
      </c>
      <c r="X553" s="668">
        <f t="shared" si="159"/>
        <v>0</v>
      </c>
      <c r="Y553" s="668">
        <f t="shared" si="160"/>
        <v>0</v>
      </c>
      <c r="Z553" s="668">
        <f t="shared" si="161"/>
        <v>0</v>
      </c>
      <c r="AA553" s="668">
        <f t="shared" si="162"/>
        <v>0</v>
      </c>
      <c r="AB553" s="668">
        <f t="shared" si="163"/>
        <v>0</v>
      </c>
      <c r="AC553" s="668">
        <f t="shared" si="172"/>
        <v>0</v>
      </c>
      <c r="AD553" s="668">
        <f t="shared" si="164"/>
        <v>0</v>
      </c>
      <c r="AE553" s="668">
        <f t="shared" si="165"/>
        <v>0</v>
      </c>
      <c r="AF553" s="668">
        <f t="shared" si="166"/>
        <v>0</v>
      </c>
      <c r="AG553" s="668">
        <f t="shared" si="167"/>
        <v>0</v>
      </c>
      <c r="AH553" s="668"/>
      <c r="AI553" s="668"/>
      <c r="AJ553" s="668"/>
      <c r="AK553" s="668"/>
      <c r="AL553" s="668"/>
      <c r="AM553" s="668">
        <f t="shared" si="173"/>
        <v>0</v>
      </c>
      <c r="AN553" s="668">
        <f t="shared" si="168"/>
        <v>0</v>
      </c>
      <c r="AO553" s="668">
        <f t="shared" si="169"/>
        <v>0</v>
      </c>
      <c r="AP553" s="668">
        <f t="shared" si="174"/>
        <v>0</v>
      </c>
      <c r="AQ553" s="668">
        <f t="shared" si="170"/>
        <v>0</v>
      </c>
      <c r="AR553" s="668">
        <f t="shared" si="171"/>
        <v>0</v>
      </c>
      <c r="AS553" s="668"/>
      <c r="AT553" s="668"/>
      <c r="AU553" s="668"/>
      <c r="AV553" s="668"/>
      <c r="AW553" s="668"/>
      <c r="AX553" s="668"/>
      <c r="AY553" s="668"/>
      <c r="AZ553" s="668"/>
      <c r="BA553" s="668"/>
      <c r="BB553" s="668">
        <f t="shared" si="175"/>
        <v>0</v>
      </c>
      <c r="BC553" s="668"/>
      <c r="BD553" s="668"/>
      <c r="BE553" s="668"/>
      <c r="BF553" s="668"/>
      <c r="BG553" s="668"/>
      <c r="BH553" s="668"/>
      <c r="BI553" s="668"/>
    </row>
    <row r="554" spans="1:61" x14ac:dyDescent="0.2">
      <c r="A554" s="1020" t="s">
        <v>724</v>
      </c>
      <c r="B554" s="1013" t="s">
        <v>686</v>
      </c>
      <c r="C554" s="1013"/>
      <c r="D554" s="667">
        <v>68</v>
      </c>
      <c r="E554" s="667"/>
      <c r="F554" s="667"/>
      <c r="G554" s="667"/>
      <c r="H554" s="667"/>
      <c r="I554" s="667"/>
      <c r="J554" s="667"/>
      <c r="K554" s="667"/>
      <c r="L554" s="667"/>
      <c r="M554" s="667"/>
      <c r="N554" s="667"/>
      <c r="O554" s="667"/>
      <c r="P554" s="667"/>
      <c r="Q554" s="667"/>
      <c r="R554" s="667"/>
      <c r="S554" s="667"/>
      <c r="T554" s="667"/>
      <c r="U554" s="1013">
        <v>10</v>
      </c>
      <c r="V554" s="668">
        <f t="shared" si="157"/>
        <v>680</v>
      </c>
      <c r="W554" s="668">
        <f t="shared" si="158"/>
        <v>0</v>
      </c>
      <c r="X554" s="668">
        <f t="shared" si="159"/>
        <v>0</v>
      </c>
      <c r="Y554" s="668">
        <f t="shared" si="160"/>
        <v>0</v>
      </c>
      <c r="Z554" s="668">
        <f t="shared" si="161"/>
        <v>0</v>
      </c>
      <c r="AA554" s="668">
        <f t="shared" si="162"/>
        <v>0</v>
      </c>
      <c r="AB554" s="668">
        <f t="shared" si="163"/>
        <v>0</v>
      </c>
      <c r="AC554" s="668">
        <f t="shared" si="172"/>
        <v>0</v>
      </c>
      <c r="AD554" s="668">
        <f t="shared" si="164"/>
        <v>0</v>
      </c>
      <c r="AE554" s="668">
        <f t="shared" si="165"/>
        <v>0</v>
      </c>
      <c r="AF554" s="668">
        <f t="shared" si="166"/>
        <v>0</v>
      </c>
      <c r="AG554" s="668">
        <f t="shared" si="167"/>
        <v>0</v>
      </c>
      <c r="AH554" s="668"/>
      <c r="AI554" s="668"/>
      <c r="AJ554" s="668"/>
      <c r="AK554" s="668"/>
      <c r="AL554" s="668"/>
      <c r="AM554" s="668">
        <f t="shared" si="173"/>
        <v>0</v>
      </c>
      <c r="AN554" s="668">
        <f t="shared" si="168"/>
        <v>0</v>
      </c>
      <c r="AO554" s="668">
        <f t="shared" si="169"/>
        <v>0</v>
      </c>
      <c r="AP554" s="668">
        <f t="shared" si="174"/>
        <v>0</v>
      </c>
      <c r="AQ554" s="668">
        <f t="shared" si="170"/>
        <v>0</v>
      </c>
      <c r="AR554" s="668">
        <f t="shared" si="171"/>
        <v>0</v>
      </c>
      <c r="AS554" s="668"/>
      <c r="AT554" s="668"/>
      <c r="AU554" s="668"/>
      <c r="AV554" s="668"/>
      <c r="AW554" s="668"/>
      <c r="AX554" s="668"/>
      <c r="AY554" s="668"/>
      <c r="AZ554" s="668"/>
      <c r="BA554" s="668"/>
      <c r="BB554" s="668">
        <f t="shared" si="175"/>
        <v>0</v>
      </c>
      <c r="BC554" s="668"/>
      <c r="BD554" s="668"/>
      <c r="BE554" s="668"/>
      <c r="BF554" s="668"/>
      <c r="BG554" s="668"/>
      <c r="BH554" s="668"/>
      <c r="BI554" s="668"/>
    </row>
    <row r="555" spans="1:61" x14ac:dyDescent="0.2">
      <c r="A555" s="1013" t="s">
        <v>725</v>
      </c>
      <c r="B555" s="1013" t="s">
        <v>726</v>
      </c>
      <c r="C555" s="1013"/>
      <c r="D555" s="667">
        <v>32</v>
      </c>
      <c r="E555" s="667"/>
      <c r="F555" s="667"/>
      <c r="G555" s="667"/>
      <c r="H555" s="667"/>
      <c r="I555" s="667"/>
      <c r="J555" s="667"/>
      <c r="K555" s="667"/>
      <c r="L555" s="667"/>
      <c r="M555" s="667"/>
      <c r="N555" s="667"/>
      <c r="O555" s="667"/>
      <c r="P555" s="667"/>
      <c r="Q555" s="667"/>
      <c r="R555" s="667"/>
      <c r="S555" s="667"/>
      <c r="T555" s="667"/>
      <c r="U555" s="1013">
        <v>10</v>
      </c>
      <c r="V555" s="668">
        <f t="shared" si="157"/>
        <v>320</v>
      </c>
      <c r="W555" s="668">
        <f t="shared" si="158"/>
        <v>0</v>
      </c>
      <c r="X555" s="668">
        <f t="shared" si="159"/>
        <v>0</v>
      </c>
      <c r="Y555" s="668">
        <f t="shared" si="160"/>
        <v>0</v>
      </c>
      <c r="Z555" s="668">
        <f t="shared" si="161"/>
        <v>0</v>
      </c>
      <c r="AA555" s="668">
        <f t="shared" si="162"/>
        <v>0</v>
      </c>
      <c r="AB555" s="668">
        <f t="shared" si="163"/>
        <v>0</v>
      </c>
      <c r="AC555" s="668">
        <f t="shared" si="172"/>
        <v>0</v>
      </c>
      <c r="AD555" s="668">
        <f t="shared" si="164"/>
        <v>0</v>
      </c>
      <c r="AE555" s="668">
        <f t="shared" si="165"/>
        <v>0</v>
      </c>
      <c r="AF555" s="668">
        <f t="shared" si="166"/>
        <v>0</v>
      </c>
      <c r="AG555" s="668">
        <f t="shared" si="167"/>
        <v>0</v>
      </c>
      <c r="AH555" s="668"/>
      <c r="AI555" s="668"/>
      <c r="AJ555" s="668"/>
      <c r="AK555" s="668"/>
      <c r="AL555" s="668"/>
      <c r="AM555" s="668">
        <f t="shared" si="173"/>
        <v>0</v>
      </c>
      <c r="AN555" s="668">
        <f t="shared" si="168"/>
        <v>0</v>
      </c>
      <c r="AO555" s="668">
        <f t="shared" si="169"/>
        <v>0</v>
      </c>
      <c r="AP555" s="668">
        <f t="shared" si="174"/>
        <v>0</v>
      </c>
      <c r="AQ555" s="668">
        <f t="shared" si="170"/>
        <v>0</v>
      </c>
      <c r="AR555" s="668">
        <f t="shared" si="171"/>
        <v>0</v>
      </c>
      <c r="AS555" s="668"/>
      <c r="AT555" s="668"/>
      <c r="AU555" s="668"/>
      <c r="AV555" s="668"/>
      <c r="AW555" s="668"/>
      <c r="AX555" s="668"/>
      <c r="AY555" s="668"/>
      <c r="AZ555" s="668"/>
      <c r="BA555" s="668"/>
      <c r="BB555" s="668">
        <f t="shared" si="175"/>
        <v>0</v>
      </c>
      <c r="BC555" s="668"/>
      <c r="BD555" s="668"/>
      <c r="BE555" s="668"/>
      <c r="BF555" s="668"/>
      <c r="BG555" s="668"/>
      <c r="BH555" s="668"/>
      <c r="BI555" s="668"/>
    </row>
    <row r="556" spans="1:61" x14ac:dyDescent="0.2">
      <c r="A556" s="1013">
        <v>3075</v>
      </c>
      <c r="B556" s="1013" t="s">
        <v>516</v>
      </c>
      <c r="C556" s="1013"/>
      <c r="D556" s="667">
        <v>32</v>
      </c>
      <c r="E556" s="667"/>
      <c r="F556" s="667">
        <v>32</v>
      </c>
      <c r="G556" s="667"/>
      <c r="H556" s="667"/>
      <c r="I556" s="667"/>
      <c r="J556" s="667"/>
      <c r="K556" s="667"/>
      <c r="L556" s="667"/>
      <c r="M556" s="667"/>
      <c r="N556" s="667"/>
      <c r="O556" s="667"/>
      <c r="P556" s="667"/>
      <c r="Q556" s="667"/>
      <c r="R556" s="667"/>
      <c r="S556" s="667"/>
      <c r="T556" s="667"/>
      <c r="U556" s="1013">
        <v>10</v>
      </c>
      <c r="V556" s="668">
        <f t="shared" si="157"/>
        <v>320</v>
      </c>
      <c r="W556" s="668">
        <f t="shared" si="158"/>
        <v>0</v>
      </c>
      <c r="X556" s="668">
        <f t="shared" si="159"/>
        <v>0</v>
      </c>
      <c r="Y556" s="668">
        <f t="shared" si="160"/>
        <v>0</v>
      </c>
      <c r="Z556" s="668">
        <f t="shared" si="161"/>
        <v>0</v>
      </c>
      <c r="AA556" s="668">
        <f t="shared" si="162"/>
        <v>0</v>
      </c>
      <c r="AB556" s="668">
        <f t="shared" si="163"/>
        <v>0</v>
      </c>
      <c r="AC556" s="668">
        <f t="shared" si="172"/>
        <v>0</v>
      </c>
      <c r="AD556" s="668">
        <f t="shared" si="164"/>
        <v>0</v>
      </c>
      <c r="AE556" s="668">
        <f t="shared" si="165"/>
        <v>0</v>
      </c>
      <c r="AF556" s="668">
        <f t="shared" si="166"/>
        <v>0</v>
      </c>
      <c r="AG556" s="668">
        <f t="shared" si="167"/>
        <v>0</v>
      </c>
      <c r="AH556" s="668"/>
      <c r="AI556" s="668"/>
      <c r="AJ556" s="668"/>
      <c r="AK556" s="668"/>
      <c r="AL556" s="668"/>
      <c r="AM556" s="668">
        <f t="shared" si="173"/>
        <v>0</v>
      </c>
      <c r="AN556" s="668">
        <f t="shared" si="168"/>
        <v>0</v>
      </c>
      <c r="AO556" s="668">
        <f t="shared" si="169"/>
        <v>0</v>
      </c>
      <c r="AP556" s="668">
        <f t="shared" si="174"/>
        <v>320</v>
      </c>
      <c r="AQ556" s="668">
        <f t="shared" si="170"/>
        <v>0</v>
      </c>
      <c r="AR556" s="668">
        <f t="shared" si="171"/>
        <v>0</v>
      </c>
      <c r="AS556" s="668"/>
      <c r="AT556" s="668"/>
      <c r="AU556" s="668"/>
      <c r="AV556" s="668"/>
      <c r="AW556" s="668"/>
      <c r="AX556" s="668"/>
      <c r="AY556" s="668"/>
      <c r="AZ556" s="668"/>
      <c r="BA556" s="668"/>
      <c r="BB556" s="668"/>
      <c r="BC556" s="668"/>
      <c r="BD556" s="668"/>
      <c r="BE556" s="668"/>
      <c r="BF556" s="668"/>
      <c r="BG556" s="668"/>
      <c r="BH556" s="668"/>
      <c r="BI556" s="668"/>
    </row>
    <row r="557" spans="1:61" x14ac:dyDescent="0.2">
      <c r="A557" s="1013">
        <v>3076</v>
      </c>
      <c r="B557" s="1013" t="s">
        <v>684</v>
      </c>
      <c r="C557" s="1013"/>
      <c r="D557" s="667">
        <v>42</v>
      </c>
      <c r="E557" s="667"/>
      <c r="F557" s="667">
        <v>42</v>
      </c>
      <c r="G557" s="667"/>
      <c r="H557" s="667"/>
      <c r="I557" s="667"/>
      <c r="J557" s="667"/>
      <c r="K557" s="667"/>
      <c r="L557" s="667"/>
      <c r="M557" s="667"/>
      <c r="N557" s="667"/>
      <c r="O557" s="667"/>
      <c r="P557" s="667"/>
      <c r="Q557" s="667"/>
      <c r="R557" s="667"/>
      <c r="S557" s="667"/>
      <c r="T557" s="667"/>
      <c r="U557" s="1013">
        <v>10</v>
      </c>
      <c r="V557" s="668">
        <f t="shared" si="157"/>
        <v>420</v>
      </c>
      <c r="W557" s="668">
        <f t="shared" si="158"/>
        <v>0</v>
      </c>
      <c r="X557" s="668">
        <f t="shared" si="159"/>
        <v>0</v>
      </c>
      <c r="Y557" s="668">
        <f t="shared" si="160"/>
        <v>0</v>
      </c>
      <c r="Z557" s="668">
        <f t="shared" si="161"/>
        <v>0</v>
      </c>
      <c r="AA557" s="668">
        <f t="shared" si="162"/>
        <v>0</v>
      </c>
      <c r="AB557" s="668">
        <f t="shared" si="163"/>
        <v>0</v>
      </c>
      <c r="AC557" s="668">
        <f t="shared" si="172"/>
        <v>0</v>
      </c>
      <c r="AD557" s="668">
        <f t="shared" si="164"/>
        <v>0</v>
      </c>
      <c r="AE557" s="668">
        <f t="shared" si="165"/>
        <v>0</v>
      </c>
      <c r="AF557" s="668">
        <f t="shared" si="166"/>
        <v>0</v>
      </c>
      <c r="AG557" s="668">
        <f t="shared" si="167"/>
        <v>0</v>
      </c>
      <c r="AH557" s="668"/>
      <c r="AI557" s="668"/>
      <c r="AJ557" s="668"/>
      <c r="AK557" s="668"/>
      <c r="AL557" s="668"/>
      <c r="AM557" s="668">
        <f t="shared" si="173"/>
        <v>0</v>
      </c>
      <c r="AN557" s="668">
        <f t="shared" si="168"/>
        <v>0</v>
      </c>
      <c r="AO557" s="668">
        <f t="shared" si="169"/>
        <v>0</v>
      </c>
      <c r="AP557" s="668">
        <f t="shared" si="174"/>
        <v>420</v>
      </c>
      <c r="AQ557" s="668">
        <f t="shared" si="170"/>
        <v>0</v>
      </c>
      <c r="AR557" s="668">
        <f t="shared" si="171"/>
        <v>0</v>
      </c>
      <c r="AS557" s="668"/>
      <c r="AT557" s="668"/>
      <c r="AU557" s="668"/>
      <c r="AV557" s="668"/>
      <c r="AW557" s="668"/>
      <c r="AX557" s="668"/>
      <c r="AY557" s="668"/>
      <c r="AZ557" s="668"/>
      <c r="BA557" s="668"/>
      <c r="BB557" s="668"/>
      <c r="BC557" s="668"/>
      <c r="BD557" s="668"/>
      <c r="BE557" s="668"/>
      <c r="BF557" s="668"/>
      <c r="BG557" s="668"/>
      <c r="BH557" s="668"/>
      <c r="BI557" s="668"/>
    </row>
    <row r="558" spans="1:61" x14ac:dyDescent="0.2">
      <c r="A558" s="1020">
        <v>3077</v>
      </c>
      <c r="B558" s="1013" t="s">
        <v>517</v>
      </c>
      <c r="C558" s="1013"/>
      <c r="D558" s="667">
        <v>71</v>
      </c>
      <c r="E558" s="667"/>
      <c r="F558" s="667"/>
      <c r="G558" s="667"/>
      <c r="H558" s="667"/>
      <c r="I558" s="667"/>
      <c r="J558" s="667"/>
      <c r="K558" s="667"/>
      <c r="L558" s="667"/>
      <c r="M558" s="667"/>
      <c r="N558" s="667"/>
      <c r="O558" s="667"/>
      <c r="P558" s="667"/>
      <c r="Q558" s="667"/>
      <c r="R558" s="667"/>
      <c r="S558" s="667"/>
      <c r="T558" s="667"/>
      <c r="U558" s="1013">
        <v>12</v>
      </c>
      <c r="V558" s="668">
        <f t="shared" si="157"/>
        <v>852</v>
      </c>
      <c r="W558" s="668">
        <f t="shared" si="158"/>
        <v>0</v>
      </c>
      <c r="X558" s="668">
        <f t="shared" si="159"/>
        <v>0</v>
      </c>
      <c r="Y558" s="668">
        <f t="shared" si="160"/>
        <v>0</v>
      </c>
      <c r="Z558" s="668">
        <f t="shared" si="161"/>
        <v>0</v>
      </c>
      <c r="AA558" s="668">
        <f t="shared" si="162"/>
        <v>0</v>
      </c>
      <c r="AB558" s="668">
        <f t="shared" si="163"/>
        <v>0</v>
      </c>
      <c r="AC558" s="668">
        <f t="shared" si="172"/>
        <v>0</v>
      </c>
      <c r="AD558" s="668">
        <f t="shared" si="164"/>
        <v>0</v>
      </c>
      <c r="AE558" s="668">
        <f t="shared" si="165"/>
        <v>0</v>
      </c>
      <c r="AF558" s="668">
        <f t="shared" si="166"/>
        <v>0</v>
      </c>
      <c r="AG558" s="668">
        <f t="shared" si="167"/>
        <v>0</v>
      </c>
      <c r="AH558" s="668"/>
      <c r="AI558" s="668"/>
      <c r="AJ558" s="668"/>
      <c r="AK558" s="668"/>
      <c r="AL558" s="668"/>
      <c r="AM558" s="668">
        <f t="shared" si="173"/>
        <v>0</v>
      </c>
      <c r="AN558" s="668">
        <f t="shared" si="168"/>
        <v>0</v>
      </c>
      <c r="AO558" s="668">
        <f t="shared" si="169"/>
        <v>0</v>
      </c>
      <c r="AP558" s="668">
        <f t="shared" si="174"/>
        <v>0</v>
      </c>
      <c r="AQ558" s="668">
        <f t="shared" si="170"/>
        <v>0</v>
      </c>
      <c r="AR558" s="668">
        <f t="shared" si="171"/>
        <v>0</v>
      </c>
      <c r="AS558" s="668"/>
      <c r="AT558" s="668"/>
      <c r="AU558" s="668"/>
      <c r="AV558" s="668"/>
      <c r="AW558" s="668"/>
      <c r="AX558" s="668"/>
      <c r="AY558" s="668"/>
      <c r="AZ558" s="668"/>
      <c r="BA558" s="668"/>
      <c r="BB558" s="668">
        <f t="shared" si="175"/>
        <v>0</v>
      </c>
      <c r="BC558" s="668"/>
      <c r="BD558" s="668"/>
      <c r="BE558" s="668"/>
      <c r="BF558" s="668"/>
      <c r="BG558" s="668"/>
      <c r="BH558" s="668"/>
      <c r="BI558" s="668"/>
    </row>
    <row r="559" spans="1:61" x14ac:dyDescent="0.2">
      <c r="A559" s="1020">
        <v>3078</v>
      </c>
      <c r="B559" s="1013" t="s">
        <v>672</v>
      </c>
      <c r="C559" s="1013"/>
      <c r="D559" s="667">
        <v>35</v>
      </c>
      <c r="E559" s="667"/>
      <c r="F559" s="667">
        <v>15</v>
      </c>
      <c r="G559" s="667"/>
      <c r="H559" s="667"/>
      <c r="I559" s="667"/>
      <c r="J559" s="667"/>
      <c r="K559" s="667"/>
      <c r="L559" s="667"/>
      <c r="M559" s="667"/>
      <c r="N559" s="667"/>
      <c r="O559" s="667"/>
      <c r="P559" s="667"/>
      <c r="Q559" s="667"/>
      <c r="R559" s="667"/>
      <c r="S559" s="667"/>
      <c r="T559" s="667"/>
      <c r="U559" s="1013">
        <v>10</v>
      </c>
      <c r="V559" s="668">
        <f t="shared" si="157"/>
        <v>350</v>
      </c>
      <c r="W559" s="668">
        <f t="shared" si="158"/>
        <v>0</v>
      </c>
      <c r="X559" s="668">
        <f t="shared" si="159"/>
        <v>0</v>
      </c>
      <c r="Y559" s="668">
        <f t="shared" si="160"/>
        <v>0</v>
      </c>
      <c r="Z559" s="668">
        <f t="shared" si="161"/>
        <v>0</v>
      </c>
      <c r="AA559" s="668">
        <f t="shared" si="162"/>
        <v>0</v>
      </c>
      <c r="AB559" s="668">
        <f t="shared" si="163"/>
        <v>0</v>
      </c>
      <c r="AC559" s="668">
        <f t="shared" si="172"/>
        <v>0</v>
      </c>
      <c r="AD559" s="668">
        <f t="shared" si="164"/>
        <v>0</v>
      </c>
      <c r="AE559" s="668">
        <f t="shared" si="165"/>
        <v>0</v>
      </c>
      <c r="AF559" s="668">
        <f t="shared" si="166"/>
        <v>0</v>
      </c>
      <c r="AG559" s="668">
        <f t="shared" si="167"/>
        <v>0</v>
      </c>
      <c r="AH559" s="668"/>
      <c r="AI559" s="668"/>
      <c r="AJ559" s="668"/>
      <c r="AK559" s="668"/>
      <c r="AL559" s="668"/>
      <c r="AM559" s="668">
        <f t="shared" si="173"/>
        <v>0</v>
      </c>
      <c r="AN559" s="668">
        <f t="shared" si="168"/>
        <v>0</v>
      </c>
      <c r="AO559" s="668">
        <f t="shared" si="169"/>
        <v>0</v>
      </c>
      <c r="AP559" s="668">
        <f t="shared" si="174"/>
        <v>150</v>
      </c>
      <c r="AQ559" s="668">
        <f t="shared" si="170"/>
        <v>0</v>
      </c>
      <c r="AR559" s="668">
        <f t="shared" si="171"/>
        <v>0</v>
      </c>
      <c r="AS559" s="668"/>
      <c r="AT559" s="668"/>
      <c r="AU559" s="668"/>
      <c r="AV559" s="668"/>
      <c r="AW559" s="668"/>
      <c r="AX559" s="668"/>
      <c r="AY559" s="668"/>
      <c r="AZ559" s="668"/>
      <c r="BA559" s="668"/>
      <c r="BB559" s="668">
        <f t="shared" si="175"/>
        <v>150</v>
      </c>
      <c r="BC559" s="668"/>
      <c r="BD559" s="668"/>
      <c r="BE559" s="668"/>
      <c r="BF559" s="668"/>
      <c r="BG559" s="668"/>
      <c r="BH559" s="668"/>
      <c r="BI559" s="668"/>
    </row>
    <row r="560" spans="1:61" x14ac:dyDescent="0.2">
      <c r="A560" s="1020">
        <v>3079</v>
      </c>
      <c r="B560" s="1013" t="s">
        <v>519</v>
      </c>
      <c r="C560" s="1013"/>
      <c r="D560" s="667">
        <v>45</v>
      </c>
      <c r="E560" s="667"/>
      <c r="F560" s="667">
        <v>15</v>
      </c>
      <c r="G560" s="667"/>
      <c r="H560" s="667"/>
      <c r="I560" s="667"/>
      <c r="J560" s="667"/>
      <c r="K560" s="667"/>
      <c r="L560" s="667"/>
      <c r="M560" s="667"/>
      <c r="N560" s="667"/>
      <c r="O560" s="667"/>
      <c r="P560" s="667"/>
      <c r="Q560" s="667"/>
      <c r="R560" s="667"/>
      <c r="S560" s="667"/>
      <c r="T560" s="667">
        <v>226</v>
      </c>
      <c r="U560" s="1013">
        <v>12</v>
      </c>
      <c r="V560" s="668">
        <f t="shared" si="157"/>
        <v>540</v>
      </c>
      <c r="W560" s="668">
        <f t="shared" si="158"/>
        <v>0</v>
      </c>
      <c r="X560" s="668">
        <f t="shared" si="159"/>
        <v>0</v>
      </c>
      <c r="Y560" s="668">
        <f t="shared" si="160"/>
        <v>0</v>
      </c>
      <c r="Z560" s="668">
        <f t="shared" si="161"/>
        <v>0</v>
      </c>
      <c r="AA560" s="668">
        <f t="shared" si="162"/>
        <v>0</v>
      </c>
      <c r="AB560" s="668">
        <f t="shared" si="163"/>
        <v>226</v>
      </c>
      <c r="AC560" s="668">
        <f t="shared" si="172"/>
        <v>0</v>
      </c>
      <c r="AD560" s="668">
        <f t="shared" si="164"/>
        <v>0</v>
      </c>
      <c r="AE560" s="668">
        <f t="shared" si="165"/>
        <v>0</v>
      </c>
      <c r="AF560" s="668">
        <f t="shared" si="166"/>
        <v>0</v>
      </c>
      <c r="AG560" s="668">
        <f t="shared" si="167"/>
        <v>0</v>
      </c>
      <c r="AH560" s="668"/>
      <c r="AI560" s="668"/>
      <c r="AJ560" s="668"/>
      <c r="AK560" s="668"/>
      <c r="AL560" s="668"/>
      <c r="AM560" s="668">
        <f t="shared" si="173"/>
        <v>0</v>
      </c>
      <c r="AN560" s="668">
        <f t="shared" si="168"/>
        <v>0</v>
      </c>
      <c r="AO560" s="668">
        <f t="shared" si="169"/>
        <v>0</v>
      </c>
      <c r="AP560" s="668">
        <f t="shared" si="174"/>
        <v>180</v>
      </c>
      <c r="AQ560" s="668">
        <f t="shared" si="170"/>
        <v>0</v>
      </c>
      <c r="AR560" s="668">
        <f t="shared" si="171"/>
        <v>0</v>
      </c>
      <c r="AS560" s="668"/>
      <c r="AT560" s="668"/>
      <c r="AU560" s="668"/>
      <c r="AV560" s="668"/>
      <c r="AW560" s="668"/>
      <c r="AX560" s="668"/>
      <c r="AY560" s="668"/>
      <c r="AZ560" s="668"/>
      <c r="BA560" s="668"/>
      <c r="BB560" s="668">
        <f t="shared" si="175"/>
        <v>180</v>
      </c>
      <c r="BC560" s="668"/>
      <c r="BD560" s="668"/>
      <c r="BE560" s="668"/>
      <c r="BF560" s="668"/>
      <c r="BG560" s="668"/>
      <c r="BH560" s="668"/>
      <c r="BI560" s="668"/>
    </row>
    <row r="561" spans="1:61" x14ac:dyDescent="0.2">
      <c r="A561" s="1020">
        <v>3080</v>
      </c>
      <c r="B561" s="1013" t="s">
        <v>519</v>
      </c>
      <c r="C561" s="1013"/>
      <c r="D561" s="667">
        <v>35</v>
      </c>
      <c r="E561" s="667"/>
      <c r="F561" s="667">
        <v>15</v>
      </c>
      <c r="G561" s="667"/>
      <c r="H561" s="667"/>
      <c r="I561" s="667"/>
      <c r="J561" s="667"/>
      <c r="K561" s="667"/>
      <c r="L561" s="667"/>
      <c r="M561" s="667"/>
      <c r="N561" s="667"/>
      <c r="O561" s="667"/>
      <c r="P561" s="667"/>
      <c r="Q561" s="667"/>
      <c r="R561" s="667"/>
      <c r="S561" s="667"/>
      <c r="T561" s="667">
        <v>150</v>
      </c>
      <c r="U561" s="1013">
        <v>12</v>
      </c>
      <c r="V561" s="668">
        <f t="shared" si="157"/>
        <v>420</v>
      </c>
      <c r="W561" s="668">
        <f t="shared" si="158"/>
        <v>0</v>
      </c>
      <c r="X561" s="668">
        <f t="shared" si="159"/>
        <v>0</v>
      </c>
      <c r="Y561" s="668">
        <f t="shared" si="160"/>
        <v>0</v>
      </c>
      <c r="Z561" s="668">
        <f t="shared" si="161"/>
        <v>0</v>
      </c>
      <c r="AA561" s="668">
        <f t="shared" si="162"/>
        <v>0</v>
      </c>
      <c r="AB561" s="668">
        <f t="shared" si="163"/>
        <v>150</v>
      </c>
      <c r="AC561" s="668">
        <f t="shared" si="172"/>
        <v>0</v>
      </c>
      <c r="AD561" s="668">
        <f t="shared" si="164"/>
        <v>0</v>
      </c>
      <c r="AE561" s="668">
        <f t="shared" si="165"/>
        <v>0</v>
      </c>
      <c r="AF561" s="668">
        <f t="shared" si="166"/>
        <v>0</v>
      </c>
      <c r="AG561" s="668">
        <f t="shared" si="167"/>
        <v>0</v>
      </c>
      <c r="AH561" s="668"/>
      <c r="AI561" s="668"/>
      <c r="AJ561" s="668"/>
      <c r="AK561" s="668"/>
      <c r="AL561" s="668"/>
      <c r="AM561" s="668">
        <f t="shared" si="173"/>
        <v>0</v>
      </c>
      <c r="AN561" s="668">
        <f t="shared" si="168"/>
        <v>0</v>
      </c>
      <c r="AO561" s="668">
        <f t="shared" si="169"/>
        <v>0</v>
      </c>
      <c r="AP561" s="668">
        <f t="shared" si="174"/>
        <v>180</v>
      </c>
      <c r="AQ561" s="668">
        <f t="shared" si="170"/>
        <v>0</v>
      </c>
      <c r="AR561" s="668">
        <f t="shared" si="171"/>
        <v>0</v>
      </c>
      <c r="AS561" s="668"/>
      <c r="AT561" s="668"/>
      <c r="AU561" s="668"/>
      <c r="AV561" s="668"/>
      <c r="AW561" s="668"/>
      <c r="AX561" s="668"/>
      <c r="AY561" s="668"/>
      <c r="AZ561" s="668"/>
      <c r="BA561" s="668"/>
      <c r="BB561" s="668">
        <f t="shared" si="175"/>
        <v>180</v>
      </c>
      <c r="BC561" s="668"/>
      <c r="BD561" s="668"/>
      <c r="BE561" s="668"/>
      <c r="BF561" s="668"/>
      <c r="BG561" s="668"/>
      <c r="BH561" s="668"/>
      <c r="BI561" s="668"/>
    </row>
    <row r="562" spans="1:61" x14ac:dyDescent="0.2">
      <c r="A562" s="1020">
        <v>3081</v>
      </c>
      <c r="B562" s="1013" t="s">
        <v>515</v>
      </c>
      <c r="C562" s="1013"/>
      <c r="D562" s="667">
        <v>77</v>
      </c>
      <c r="E562" s="667"/>
      <c r="F562" s="667">
        <v>60</v>
      </c>
      <c r="G562" s="667"/>
      <c r="H562" s="667"/>
      <c r="I562" s="667"/>
      <c r="J562" s="667"/>
      <c r="K562" s="667"/>
      <c r="L562" s="667"/>
      <c r="M562" s="667"/>
      <c r="N562" s="667"/>
      <c r="O562" s="667"/>
      <c r="P562" s="667"/>
      <c r="Q562" s="667"/>
      <c r="R562" s="667"/>
      <c r="S562" s="667"/>
      <c r="T562" s="667">
        <v>2020</v>
      </c>
      <c r="U562" s="1013">
        <v>12</v>
      </c>
      <c r="V562" s="668">
        <f t="shared" si="157"/>
        <v>924</v>
      </c>
      <c r="W562" s="668">
        <f t="shared" si="158"/>
        <v>0</v>
      </c>
      <c r="X562" s="668">
        <f t="shared" si="159"/>
        <v>0</v>
      </c>
      <c r="Y562" s="668">
        <f t="shared" si="160"/>
        <v>0</v>
      </c>
      <c r="Z562" s="668">
        <f t="shared" si="161"/>
        <v>0</v>
      </c>
      <c r="AA562" s="668">
        <f t="shared" si="162"/>
        <v>0</v>
      </c>
      <c r="AB562" s="668">
        <f t="shared" si="163"/>
        <v>2020</v>
      </c>
      <c r="AC562" s="668">
        <f t="shared" si="172"/>
        <v>0</v>
      </c>
      <c r="AD562" s="668">
        <f t="shared" si="164"/>
        <v>0</v>
      </c>
      <c r="AE562" s="668">
        <f t="shared" si="165"/>
        <v>0</v>
      </c>
      <c r="AF562" s="668">
        <f t="shared" si="166"/>
        <v>0</v>
      </c>
      <c r="AG562" s="668">
        <f t="shared" si="167"/>
        <v>0</v>
      </c>
      <c r="AH562" s="668"/>
      <c r="AI562" s="668"/>
      <c r="AJ562" s="668"/>
      <c r="AK562" s="668"/>
      <c r="AL562" s="668"/>
      <c r="AM562" s="668">
        <f t="shared" si="173"/>
        <v>0</v>
      </c>
      <c r="AN562" s="668">
        <f t="shared" si="168"/>
        <v>0</v>
      </c>
      <c r="AO562" s="668">
        <f t="shared" si="169"/>
        <v>0</v>
      </c>
      <c r="AP562" s="668">
        <f t="shared" si="174"/>
        <v>720</v>
      </c>
      <c r="AQ562" s="668">
        <f t="shared" si="170"/>
        <v>0</v>
      </c>
      <c r="AR562" s="668">
        <f t="shared" si="171"/>
        <v>0</v>
      </c>
      <c r="AS562" s="668"/>
      <c r="AT562" s="668"/>
      <c r="AU562" s="668"/>
      <c r="AV562" s="668"/>
      <c r="AW562" s="668"/>
      <c r="AX562" s="668"/>
      <c r="AY562" s="668"/>
      <c r="AZ562" s="668"/>
      <c r="BA562" s="668"/>
      <c r="BB562" s="668"/>
      <c r="BC562" s="668"/>
      <c r="BD562" s="668"/>
      <c r="BE562" s="668"/>
      <c r="BF562" s="668"/>
      <c r="BG562" s="668"/>
      <c r="BH562" s="668"/>
      <c r="BI562" s="668"/>
    </row>
    <row r="563" spans="1:61" x14ac:dyDescent="0.2">
      <c r="A563" s="1020">
        <v>3082</v>
      </c>
      <c r="B563" s="1013" t="s">
        <v>515</v>
      </c>
      <c r="C563" s="1013"/>
      <c r="D563" s="667">
        <v>102</v>
      </c>
      <c r="E563" s="667"/>
      <c r="F563" s="667">
        <v>60</v>
      </c>
      <c r="G563" s="667"/>
      <c r="H563" s="667"/>
      <c r="I563" s="667"/>
      <c r="J563" s="667"/>
      <c r="K563" s="667"/>
      <c r="L563" s="667"/>
      <c r="M563" s="667"/>
      <c r="N563" s="667"/>
      <c r="O563" s="667"/>
      <c r="P563" s="667"/>
      <c r="Q563" s="667"/>
      <c r="R563" s="667"/>
      <c r="S563" s="667"/>
      <c r="T563" s="667">
        <v>3000</v>
      </c>
      <c r="U563" s="1013">
        <v>12</v>
      </c>
      <c r="V563" s="668">
        <f t="shared" ref="V563:V626" si="176">+U563*D563</f>
        <v>1224</v>
      </c>
      <c r="W563" s="668">
        <f t="shared" ref="W563:W626" si="177">+U563*G563</f>
        <v>0</v>
      </c>
      <c r="X563" s="668">
        <f t="shared" ref="X563:X626" si="178">+U563*H563</f>
        <v>0</v>
      </c>
      <c r="Y563" s="668">
        <f t="shared" ref="Y563:Y626" si="179">+U563*J563</f>
        <v>0</v>
      </c>
      <c r="Z563" s="668">
        <f t="shared" ref="Z563:Z626" si="180">IF(C563="y",V563+W563+X563+Y563,0)</f>
        <v>0</v>
      </c>
      <c r="AA563" s="668">
        <f t="shared" ref="AA563:AA626" si="181">+S563</f>
        <v>0</v>
      </c>
      <c r="AB563" s="668">
        <f t="shared" ref="AB563:AB626" si="182">+T563</f>
        <v>3000</v>
      </c>
      <c r="AC563" s="668">
        <f t="shared" si="172"/>
        <v>0</v>
      </c>
      <c r="AD563" s="668">
        <f t="shared" ref="AD563:AD626" si="183">+Q563</f>
        <v>0</v>
      </c>
      <c r="AE563" s="668">
        <f t="shared" ref="AE563:AE626" si="184">+U563*M563</f>
        <v>0</v>
      </c>
      <c r="AF563" s="668">
        <f t="shared" ref="AF563:AF626" si="185">+L563*U563</f>
        <v>0</v>
      </c>
      <c r="AG563" s="668">
        <f t="shared" ref="AG563:AG626" si="186">+$AG$4*N563</f>
        <v>0</v>
      </c>
      <c r="AH563" s="668"/>
      <c r="AI563" s="668"/>
      <c r="AJ563" s="668"/>
      <c r="AK563" s="668"/>
      <c r="AL563" s="668"/>
      <c r="AM563" s="668">
        <f t="shared" si="173"/>
        <v>0</v>
      </c>
      <c r="AN563" s="668">
        <f t="shared" si="168"/>
        <v>0</v>
      </c>
      <c r="AO563" s="668">
        <f t="shared" si="169"/>
        <v>0</v>
      </c>
      <c r="AP563" s="668">
        <f t="shared" si="174"/>
        <v>720</v>
      </c>
      <c r="AQ563" s="668">
        <f t="shared" si="170"/>
        <v>0</v>
      </c>
      <c r="AR563" s="668">
        <f t="shared" si="171"/>
        <v>0</v>
      </c>
      <c r="AS563" s="668"/>
      <c r="AT563" s="668"/>
      <c r="AU563" s="668"/>
      <c r="AV563" s="668"/>
      <c r="AW563" s="668"/>
      <c r="AX563" s="668"/>
      <c r="AY563" s="668"/>
      <c r="AZ563" s="668"/>
      <c r="BA563" s="668"/>
      <c r="BB563" s="668"/>
      <c r="BC563" s="668"/>
      <c r="BD563" s="668"/>
      <c r="BE563" s="668"/>
      <c r="BF563" s="668"/>
      <c r="BG563" s="668"/>
      <c r="BH563" s="668"/>
      <c r="BI563" s="668"/>
    </row>
    <row r="564" spans="1:61" x14ac:dyDescent="0.2">
      <c r="A564" s="1020">
        <v>3083</v>
      </c>
      <c r="B564" s="1013" t="s">
        <v>519</v>
      </c>
      <c r="C564" s="1013"/>
      <c r="D564" s="667">
        <v>35</v>
      </c>
      <c r="E564" s="667"/>
      <c r="F564" s="667">
        <v>15</v>
      </c>
      <c r="G564" s="667"/>
      <c r="H564" s="667"/>
      <c r="I564" s="667"/>
      <c r="J564" s="667"/>
      <c r="K564" s="667"/>
      <c r="L564" s="667"/>
      <c r="M564" s="667"/>
      <c r="N564" s="667"/>
      <c r="O564" s="667"/>
      <c r="P564" s="667"/>
      <c r="Q564" s="667"/>
      <c r="R564" s="667"/>
      <c r="S564" s="667"/>
      <c r="T564" s="667">
        <v>150</v>
      </c>
      <c r="U564" s="1013">
        <v>12</v>
      </c>
      <c r="V564" s="668">
        <f t="shared" si="176"/>
        <v>420</v>
      </c>
      <c r="W564" s="668">
        <f t="shared" si="177"/>
        <v>0</v>
      </c>
      <c r="X564" s="668">
        <f t="shared" si="178"/>
        <v>0</v>
      </c>
      <c r="Y564" s="668">
        <f t="shared" si="179"/>
        <v>0</v>
      </c>
      <c r="Z564" s="668">
        <f t="shared" si="180"/>
        <v>0</v>
      </c>
      <c r="AA564" s="668">
        <f t="shared" si="181"/>
        <v>0</v>
      </c>
      <c r="AB564" s="668">
        <f t="shared" si="182"/>
        <v>150</v>
      </c>
      <c r="AC564" s="668">
        <f t="shared" si="172"/>
        <v>0</v>
      </c>
      <c r="AD564" s="668">
        <f t="shared" si="183"/>
        <v>0</v>
      </c>
      <c r="AE564" s="668">
        <f t="shared" si="184"/>
        <v>0</v>
      </c>
      <c r="AF564" s="668">
        <f t="shared" si="185"/>
        <v>0</v>
      </c>
      <c r="AG564" s="668">
        <f t="shared" si="186"/>
        <v>0</v>
      </c>
      <c r="AH564" s="668"/>
      <c r="AI564" s="668"/>
      <c r="AJ564" s="668"/>
      <c r="AK564" s="668"/>
      <c r="AL564" s="668"/>
      <c r="AM564" s="668">
        <f t="shared" si="173"/>
        <v>0</v>
      </c>
      <c r="AN564" s="668">
        <f t="shared" si="168"/>
        <v>0</v>
      </c>
      <c r="AO564" s="668">
        <f t="shared" si="169"/>
        <v>0</v>
      </c>
      <c r="AP564" s="668">
        <f t="shared" si="174"/>
        <v>180</v>
      </c>
      <c r="AQ564" s="668">
        <f t="shared" si="170"/>
        <v>0</v>
      </c>
      <c r="AR564" s="668">
        <f t="shared" si="171"/>
        <v>0</v>
      </c>
      <c r="AS564" s="668"/>
      <c r="AT564" s="668"/>
      <c r="AU564" s="668"/>
      <c r="AV564" s="668"/>
      <c r="AW564" s="668"/>
      <c r="AX564" s="668"/>
      <c r="AY564" s="668"/>
      <c r="AZ564" s="668"/>
      <c r="BA564" s="668"/>
      <c r="BB564" s="668">
        <f t="shared" si="175"/>
        <v>180</v>
      </c>
      <c r="BC564" s="668"/>
      <c r="BD564" s="668"/>
      <c r="BE564" s="668"/>
      <c r="BF564" s="668"/>
      <c r="BG564" s="668"/>
      <c r="BH564" s="668"/>
      <c r="BI564" s="668"/>
    </row>
    <row r="565" spans="1:61" x14ac:dyDescent="0.2">
      <c r="A565" s="1020" t="s">
        <v>727</v>
      </c>
      <c r="B565" s="1013" t="s">
        <v>729</v>
      </c>
      <c r="C565" s="1013"/>
      <c r="D565" s="667">
        <v>80</v>
      </c>
      <c r="E565" s="667"/>
      <c r="F565" s="667"/>
      <c r="G565" s="667"/>
      <c r="H565" s="667"/>
      <c r="I565" s="667"/>
      <c r="J565" s="667"/>
      <c r="K565" s="667"/>
      <c r="L565" s="667"/>
      <c r="M565" s="667"/>
      <c r="N565" s="667"/>
      <c r="O565" s="667">
        <v>1</v>
      </c>
      <c r="P565" s="667"/>
      <c r="Q565" s="667"/>
      <c r="R565" s="667"/>
      <c r="S565" s="667"/>
      <c r="T565" s="667"/>
      <c r="U565" s="1013">
        <v>10</v>
      </c>
      <c r="V565" s="668">
        <f t="shared" si="176"/>
        <v>800</v>
      </c>
      <c r="W565" s="668">
        <f t="shared" si="177"/>
        <v>0</v>
      </c>
      <c r="X565" s="668">
        <f t="shared" si="178"/>
        <v>0</v>
      </c>
      <c r="Y565" s="668">
        <f t="shared" si="179"/>
        <v>0</v>
      </c>
      <c r="Z565" s="668">
        <f t="shared" si="180"/>
        <v>0</v>
      </c>
      <c r="AA565" s="668">
        <f t="shared" si="181"/>
        <v>0</v>
      </c>
      <c r="AB565" s="668">
        <f t="shared" si="182"/>
        <v>0</v>
      </c>
      <c r="AC565" s="668">
        <f t="shared" si="172"/>
        <v>0</v>
      </c>
      <c r="AD565" s="668">
        <f t="shared" si="183"/>
        <v>0</v>
      </c>
      <c r="AE565" s="668">
        <f t="shared" si="184"/>
        <v>0</v>
      </c>
      <c r="AF565" s="668">
        <f t="shared" si="185"/>
        <v>0</v>
      </c>
      <c r="AG565" s="668">
        <f t="shared" si="186"/>
        <v>0</v>
      </c>
      <c r="AH565" s="668"/>
      <c r="AI565" s="668"/>
      <c r="AJ565" s="668"/>
      <c r="AK565" s="668"/>
      <c r="AL565" s="668"/>
      <c r="AM565" s="668">
        <f t="shared" si="173"/>
        <v>0</v>
      </c>
      <c r="AN565" s="668">
        <f t="shared" si="168"/>
        <v>0</v>
      </c>
      <c r="AO565" s="668">
        <f t="shared" si="169"/>
        <v>10</v>
      </c>
      <c r="AP565" s="668">
        <f t="shared" si="174"/>
        <v>0</v>
      </c>
      <c r="AQ565" s="668">
        <f t="shared" si="170"/>
        <v>0</v>
      </c>
      <c r="AR565" s="668">
        <f t="shared" si="171"/>
        <v>0</v>
      </c>
      <c r="AS565" s="668"/>
      <c r="AT565" s="668"/>
      <c r="AU565" s="668"/>
      <c r="AV565" s="668"/>
      <c r="AW565" s="668"/>
      <c r="AX565" s="668"/>
      <c r="AY565" s="668"/>
      <c r="AZ565" s="668"/>
      <c r="BA565" s="668"/>
      <c r="BB565" s="668">
        <f t="shared" si="175"/>
        <v>0</v>
      </c>
      <c r="BC565" s="668"/>
      <c r="BD565" s="668"/>
      <c r="BE565" s="668"/>
      <c r="BF565" s="668"/>
      <c r="BG565" s="668"/>
      <c r="BH565" s="668"/>
      <c r="BI565" s="668"/>
    </row>
    <row r="566" spans="1:61" x14ac:dyDescent="0.2">
      <c r="A566" s="1020" t="s">
        <v>728</v>
      </c>
      <c r="B566" s="1020" t="s">
        <v>696</v>
      </c>
      <c r="C566" s="1020"/>
      <c r="D566" s="667">
        <v>51</v>
      </c>
      <c r="E566" s="667"/>
      <c r="F566" s="667"/>
      <c r="G566" s="667"/>
      <c r="H566" s="667"/>
      <c r="I566" s="667"/>
      <c r="J566" s="667"/>
      <c r="K566" s="667"/>
      <c r="L566" s="667"/>
      <c r="M566" s="667"/>
      <c r="N566" s="667"/>
      <c r="O566" s="667"/>
      <c r="P566" s="667"/>
      <c r="Q566" s="667"/>
      <c r="R566" s="667"/>
      <c r="S566" s="667"/>
      <c r="T566" s="667"/>
      <c r="U566" s="1020">
        <v>10</v>
      </c>
      <c r="V566" s="668">
        <f t="shared" si="176"/>
        <v>510</v>
      </c>
      <c r="W566" s="668">
        <f t="shared" si="177"/>
        <v>0</v>
      </c>
      <c r="X566" s="668">
        <f t="shared" si="178"/>
        <v>0</v>
      </c>
      <c r="Y566" s="668">
        <f t="shared" si="179"/>
        <v>0</v>
      </c>
      <c r="Z566" s="668">
        <f t="shared" si="180"/>
        <v>0</v>
      </c>
      <c r="AA566" s="668">
        <f t="shared" si="181"/>
        <v>0</v>
      </c>
      <c r="AB566" s="668">
        <f t="shared" si="182"/>
        <v>0</v>
      </c>
      <c r="AC566" s="668">
        <f t="shared" si="172"/>
        <v>0</v>
      </c>
      <c r="AD566" s="668">
        <f t="shared" si="183"/>
        <v>0</v>
      </c>
      <c r="AE566" s="668">
        <f t="shared" si="184"/>
        <v>0</v>
      </c>
      <c r="AF566" s="668">
        <f t="shared" si="185"/>
        <v>0</v>
      </c>
      <c r="AG566" s="668">
        <f t="shared" si="186"/>
        <v>0</v>
      </c>
      <c r="AH566" s="668"/>
      <c r="AI566" s="668"/>
      <c r="AJ566" s="668"/>
      <c r="AK566" s="668"/>
      <c r="AL566" s="668"/>
      <c r="AM566" s="668">
        <f t="shared" si="173"/>
        <v>0</v>
      </c>
      <c r="AN566" s="668">
        <f t="shared" si="168"/>
        <v>0</v>
      </c>
      <c r="AO566" s="668">
        <f t="shared" si="169"/>
        <v>0</v>
      </c>
      <c r="AP566" s="668">
        <f t="shared" si="174"/>
        <v>0</v>
      </c>
      <c r="AQ566" s="668">
        <f t="shared" si="170"/>
        <v>0</v>
      </c>
      <c r="AR566" s="668">
        <f t="shared" si="171"/>
        <v>0</v>
      </c>
      <c r="AS566" s="668"/>
      <c r="AT566" s="668"/>
      <c r="AU566" s="668"/>
      <c r="AV566" s="668"/>
      <c r="AW566" s="668"/>
      <c r="AX566" s="668"/>
      <c r="AY566" s="668"/>
      <c r="AZ566" s="668"/>
      <c r="BA566" s="668"/>
      <c r="BB566" s="668">
        <f t="shared" si="175"/>
        <v>0</v>
      </c>
      <c r="BC566" s="668"/>
      <c r="BD566" s="668"/>
      <c r="BE566" s="668"/>
      <c r="BF566" s="668"/>
      <c r="BG566" s="668"/>
      <c r="BH566" s="668"/>
      <c r="BI566" s="668"/>
    </row>
    <row r="567" spans="1:61" x14ac:dyDescent="0.2">
      <c r="A567" s="1020">
        <v>3085</v>
      </c>
      <c r="B567" s="1013" t="s">
        <v>697</v>
      </c>
      <c r="C567" s="1013"/>
      <c r="D567" s="667">
        <v>80</v>
      </c>
      <c r="E567" s="667"/>
      <c r="F567" s="667"/>
      <c r="G567" s="667"/>
      <c r="H567" s="667"/>
      <c r="I567" s="667"/>
      <c r="J567" s="667"/>
      <c r="K567" s="667"/>
      <c r="L567" s="667"/>
      <c r="M567" s="667"/>
      <c r="N567" s="667"/>
      <c r="O567" s="667"/>
      <c r="P567" s="667"/>
      <c r="Q567" s="667"/>
      <c r="R567" s="667"/>
      <c r="S567" s="667"/>
      <c r="T567" s="667"/>
      <c r="U567" s="1013">
        <v>10</v>
      </c>
      <c r="V567" s="668">
        <f t="shared" si="176"/>
        <v>800</v>
      </c>
      <c r="W567" s="668">
        <f t="shared" si="177"/>
        <v>0</v>
      </c>
      <c r="X567" s="668">
        <f t="shared" si="178"/>
        <v>0</v>
      </c>
      <c r="Y567" s="668">
        <f t="shared" si="179"/>
        <v>0</v>
      </c>
      <c r="Z567" s="668">
        <f t="shared" si="180"/>
        <v>0</v>
      </c>
      <c r="AA567" s="668">
        <f t="shared" si="181"/>
        <v>0</v>
      </c>
      <c r="AB567" s="668">
        <f t="shared" si="182"/>
        <v>0</v>
      </c>
      <c r="AC567" s="668">
        <f t="shared" si="172"/>
        <v>0</v>
      </c>
      <c r="AD567" s="668">
        <f t="shared" si="183"/>
        <v>0</v>
      </c>
      <c r="AE567" s="668">
        <f t="shared" si="184"/>
        <v>0</v>
      </c>
      <c r="AF567" s="668">
        <f t="shared" si="185"/>
        <v>0</v>
      </c>
      <c r="AG567" s="668">
        <f t="shared" si="186"/>
        <v>0</v>
      </c>
      <c r="AH567" s="668"/>
      <c r="AI567" s="668"/>
      <c r="AJ567" s="668"/>
      <c r="AK567" s="668"/>
      <c r="AL567" s="668"/>
      <c r="AM567" s="668">
        <f t="shared" si="173"/>
        <v>0</v>
      </c>
      <c r="AN567" s="668">
        <f t="shared" si="168"/>
        <v>0</v>
      </c>
      <c r="AO567" s="668">
        <f t="shared" si="169"/>
        <v>0</v>
      </c>
      <c r="AP567" s="668">
        <f t="shared" si="174"/>
        <v>0</v>
      </c>
      <c r="AQ567" s="668">
        <f t="shared" si="170"/>
        <v>0</v>
      </c>
      <c r="AR567" s="668">
        <f t="shared" si="171"/>
        <v>0</v>
      </c>
      <c r="AS567" s="668"/>
      <c r="AT567" s="668"/>
      <c r="AU567" s="668"/>
      <c r="AV567" s="668"/>
      <c r="AW567" s="668"/>
      <c r="AX567" s="668"/>
      <c r="AY567" s="668"/>
      <c r="AZ567" s="668"/>
      <c r="BA567" s="668"/>
      <c r="BB567" s="668">
        <f t="shared" si="175"/>
        <v>0</v>
      </c>
      <c r="BC567" s="668"/>
      <c r="BD567" s="668"/>
      <c r="BE567" s="668"/>
      <c r="BF567" s="668"/>
      <c r="BG567" s="668"/>
      <c r="BH567" s="668"/>
      <c r="BI567" s="668"/>
    </row>
    <row r="568" spans="1:61" x14ac:dyDescent="0.2">
      <c r="A568" s="1020">
        <v>3086</v>
      </c>
      <c r="B568" s="1013" t="s">
        <v>517</v>
      </c>
      <c r="C568" s="1013"/>
      <c r="D568" s="667">
        <v>50</v>
      </c>
      <c r="E568" s="667"/>
      <c r="F568" s="667"/>
      <c r="G568" s="667"/>
      <c r="H568" s="667"/>
      <c r="I568" s="667"/>
      <c r="J568" s="667"/>
      <c r="K568" s="667"/>
      <c r="L568" s="667"/>
      <c r="M568" s="667"/>
      <c r="N568" s="667"/>
      <c r="O568" s="667"/>
      <c r="P568" s="667"/>
      <c r="Q568" s="667"/>
      <c r="R568" s="667"/>
      <c r="S568" s="667"/>
      <c r="T568" s="667"/>
      <c r="U568" s="1013">
        <v>12</v>
      </c>
      <c r="V568" s="668">
        <f t="shared" si="176"/>
        <v>600</v>
      </c>
      <c r="W568" s="668">
        <f t="shared" si="177"/>
        <v>0</v>
      </c>
      <c r="X568" s="668">
        <f t="shared" si="178"/>
        <v>0</v>
      </c>
      <c r="Y568" s="668">
        <f t="shared" si="179"/>
        <v>0</v>
      </c>
      <c r="Z568" s="668">
        <f t="shared" si="180"/>
        <v>0</v>
      </c>
      <c r="AA568" s="668">
        <f t="shared" si="181"/>
        <v>0</v>
      </c>
      <c r="AB568" s="668">
        <f t="shared" si="182"/>
        <v>0</v>
      </c>
      <c r="AC568" s="668">
        <f t="shared" si="172"/>
        <v>0</v>
      </c>
      <c r="AD568" s="668">
        <f t="shared" si="183"/>
        <v>0</v>
      </c>
      <c r="AE568" s="668">
        <f t="shared" si="184"/>
        <v>0</v>
      </c>
      <c r="AF568" s="668">
        <f t="shared" si="185"/>
        <v>0</v>
      </c>
      <c r="AG568" s="668">
        <f t="shared" si="186"/>
        <v>0</v>
      </c>
      <c r="AH568" s="668"/>
      <c r="AI568" s="668"/>
      <c r="AJ568" s="668"/>
      <c r="AK568" s="668"/>
      <c r="AL568" s="668"/>
      <c r="AM568" s="668">
        <f t="shared" si="173"/>
        <v>0</v>
      </c>
      <c r="AN568" s="668">
        <f t="shared" si="168"/>
        <v>0</v>
      </c>
      <c r="AO568" s="668">
        <f t="shared" si="169"/>
        <v>0</v>
      </c>
      <c r="AP568" s="668">
        <f t="shared" si="174"/>
        <v>0</v>
      </c>
      <c r="AQ568" s="668">
        <f t="shared" si="170"/>
        <v>0</v>
      </c>
      <c r="AR568" s="668">
        <f t="shared" si="171"/>
        <v>0</v>
      </c>
      <c r="AS568" s="668"/>
      <c r="AT568" s="668"/>
      <c r="AU568" s="668"/>
      <c r="AV568" s="668"/>
      <c r="AW568" s="668"/>
      <c r="AX568" s="668"/>
      <c r="AY568" s="668"/>
      <c r="AZ568" s="668"/>
      <c r="BA568" s="668"/>
      <c r="BB568" s="668">
        <f t="shared" si="175"/>
        <v>0</v>
      </c>
      <c r="BC568" s="668"/>
      <c r="BD568" s="668"/>
      <c r="BE568" s="668"/>
      <c r="BF568" s="668"/>
      <c r="BG568" s="668"/>
      <c r="BH568" s="668"/>
      <c r="BI568" s="668"/>
    </row>
    <row r="569" spans="1:61" x14ac:dyDescent="0.2">
      <c r="A569" s="1020">
        <v>3087</v>
      </c>
      <c r="B569" s="1013" t="s">
        <v>519</v>
      </c>
      <c r="C569" s="1013"/>
      <c r="D569" s="667">
        <v>50</v>
      </c>
      <c r="E569" s="667"/>
      <c r="F569" s="667"/>
      <c r="G569" s="667"/>
      <c r="H569" s="667"/>
      <c r="I569" s="667"/>
      <c r="J569" s="667"/>
      <c r="K569" s="667"/>
      <c r="L569" s="667"/>
      <c r="M569" s="667"/>
      <c r="N569" s="667"/>
      <c r="O569" s="667"/>
      <c r="P569" s="667"/>
      <c r="Q569" s="667"/>
      <c r="R569" s="667"/>
      <c r="S569" s="667"/>
      <c r="T569" s="667">
        <v>150</v>
      </c>
      <c r="U569" s="1013">
        <v>12</v>
      </c>
      <c r="V569" s="668">
        <f t="shared" si="176"/>
        <v>600</v>
      </c>
      <c r="W569" s="668">
        <f t="shared" si="177"/>
        <v>0</v>
      </c>
      <c r="X569" s="668">
        <f t="shared" si="178"/>
        <v>0</v>
      </c>
      <c r="Y569" s="668">
        <f t="shared" si="179"/>
        <v>0</v>
      </c>
      <c r="Z569" s="668">
        <f t="shared" si="180"/>
        <v>0</v>
      </c>
      <c r="AA569" s="668">
        <f t="shared" si="181"/>
        <v>0</v>
      </c>
      <c r="AB569" s="668">
        <f t="shared" si="182"/>
        <v>150</v>
      </c>
      <c r="AC569" s="668">
        <f t="shared" si="172"/>
        <v>0</v>
      </c>
      <c r="AD569" s="668">
        <f t="shared" si="183"/>
        <v>0</v>
      </c>
      <c r="AE569" s="668">
        <f t="shared" si="184"/>
        <v>0</v>
      </c>
      <c r="AF569" s="668">
        <f t="shared" si="185"/>
        <v>0</v>
      </c>
      <c r="AG569" s="668">
        <f t="shared" si="186"/>
        <v>0</v>
      </c>
      <c r="AH569" s="668"/>
      <c r="AI569" s="668"/>
      <c r="AJ569" s="668"/>
      <c r="AK569" s="668"/>
      <c r="AL569" s="668"/>
      <c r="AM569" s="668">
        <f t="shared" si="173"/>
        <v>0</v>
      </c>
      <c r="AN569" s="668">
        <f t="shared" si="168"/>
        <v>0</v>
      </c>
      <c r="AO569" s="668">
        <f t="shared" si="169"/>
        <v>0</v>
      </c>
      <c r="AP569" s="668">
        <f t="shared" si="174"/>
        <v>0</v>
      </c>
      <c r="AQ569" s="668">
        <f t="shared" si="170"/>
        <v>0</v>
      </c>
      <c r="AR569" s="668">
        <f t="shared" si="171"/>
        <v>0</v>
      </c>
      <c r="AS569" s="668"/>
      <c r="AT569" s="668"/>
      <c r="AU569" s="668"/>
      <c r="AV569" s="668"/>
      <c r="AW569" s="668"/>
      <c r="AX569" s="668"/>
      <c r="AY569" s="668"/>
      <c r="AZ569" s="668"/>
      <c r="BA569" s="668"/>
      <c r="BB569" s="668">
        <f t="shared" si="175"/>
        <v>0</v>
      </c>
      <c r="BC569" s="668"/>
      <c r="BD569" s="668"/>
      <c r="BE569" s="668"/>
      <c r="BF569" s="668"/>
      <c r="BG569" s="668"/>
      <c r="BH569" s="668"/>
      <c r="BI569" s="668"/>
    </row>
    <row r="570" spans="1:61" x14ac:dyDescent="0.2">
      <c r="A570" s="1020">
        <v>3088</v>
      </c>
      <c r="B570" s="1013" t="s">
        <v>730</v>
      </c>
      <c r="C570" s="1013"/>
      <c r="D570" s="667">
        <v>80</v>
      </c>
      <c r="E570" s="667"/>
      <c r="F570" s="667">
        <v>40</v>
      </c>
      <c r="G570" s="667"/>
      <c r="H570" s="667"/>
      <c r="I570" s="667"/>
      <c r="J570" s="667"/>
      <c r="K570" s="667"/>
      <c r="L570" s="667"/>
      <c r="M570" s="667"/>
      <c r="N570" s="667"/>
      <c r="O570" s="667">
        <v>2</v>
      </c>
      <c r="P570" s="667"/>
      <c r="Q570" s="667"/>
      <c r="R570" s="667"/>
      <c r="S570" s="667"/>
      <c r="T570" s="667"/>
      <c r="U570" s="1013">
        <v>10</v>
      </c>
      <c r="V570" s="668">
        <f t="shared" si="176"/>
        <v>800</v>
      </c>
      <c r="W570" s="668">
        <f t="shared" si="177"/>
        <v>0</v>
      </c>
      <c r="X570" s="668">
        <f t="shared" si="178"/>
        <v>0</v>
      </c>
      <c r="Y570" s="668">
        <f t="shared" si="179"/>
        <v>0</v>
      </c>
      <c r="Z570" s="668">
        <f t="shared" si="180"/>
        <v>0</v>
      </c>
      <c r="AA570" s="668">
        <f t="shared" si="181"/>
        <v>0</v>
      </c>
      <c r="AB570" s="668">
        <f t="shared" si="182"/>
        <v>0</v>
      </c>
      <c r="AC570" s="668">
        <f t="shared" si="172"/>
        <v>0</v>
      </c>
      <c r="AD570" s="668">
        <f t="shared" si="183"/>
        <v>0</v>
      </c>
      <c r="AE570" s="668">
        <f t="shared" si="184"/>
        <v>0</v>
      </c>
      <c r="AF570" s="668">
        <f t="shared" si="185"/>
        <v>0</v>
      </c>
      <c r="AG570" s="668">
        <f t="shared" si="186"/>
        <v>0</v>
      </c>
      <c r="AH570" s="668"/>
      <c r="AI570" s="668"/>
      <c r="AJ570" s="668"/>
      <c r="AK570" s="668"/>
      <c r="AL570" s="668"/>
      <c r="AM570" s="668">
        <f t="shared" si="173"/>
        <v>0</v>
      </c>
      <c r="AN570" s="668">
        <f t="shared" si="168"/>
        <v>0</v>
      </c>
      <c r="AO570" s="668">
        <f t="shared" si="169"/>
        <v>20</v>
      </c>
      <c r="AP570" s="668">
        <f t="shared" si="174"/>
        <v>400</v>
      </c>
      <c r="AQ570" s="668">
        <f t="shared" si="170"/>
        <v>0</v>
      </c>
      <c r="AR570" s="668">
        <f t="shared" si="171"/>
        <v>0</v>
      </c>
      <c r="AS570" s="668"/>
      <c r="AT570" s="668"/>
      <c r="AU570" s="668"/>
      <c r="AV570" s="668"/>
      <c r="AW570" s="668"/>
      <c r="AX570" s="668"/>
      <c r="AY570" s="668"/>
      <c r="AZ570" s="668"/>
      <c r="BA570" s="668"/>
      <c r="BB570" s="668">
        <f t="shared" si="175"/>
        <v>400</v>
      </c>
      <c r="BC570" s="668"/>
      <c r="BD570" s="668"/>
      <c r="BE570" s="668"/>
      <c r="BF570" s="668"/>
      <c r="BG570" s="668"/>
      <c r="BH570" s="668"/>
      <c r="BI570" s="668"/>
    </row>
    <row r="571" spans="1:61" x14ac:dyDescent="0.2">
      <c r="A571" s="1020">
        <v>3089</v>
      </c>
      <c r="B571" s="1013"/>
      <c r="C571" s="1013"/>
      <c r="D571" s="667"/>
      <c r="E571" s="667"/>
      <c r="F571" s="667"/>
      <c r="G571" s="667"/>
      <c r="H571" s="667"/>
      <c r="I571" s="667"/>
      <c r="J571" s="667"/>
      <c r="K571" s="667"/>
      <c r="L571" s="667"/>
      <c r="M571" s="667"/>
      <c r="N571" s="667"/>
      <c r="O571" s="667"/>
      <c r="P571" s="667"/>
      <c r="Q571" s="667"/>
      <c r="R571" s="667"/>
      <c r="S571" s="667"/>
      <c r="T571" s="667"/>
      <c r="U571" s="1013"/>
      <c r="V571" s="668">
        <f t="shared" si="176"/>
        <v>0</v>
      </c>
      <c r="W571" s="668">
        <f t="shared" si="177"/>
        <v>0</v>
      </c>
      <c r="X571" s="668">
        <f t="shared" si="178"/>
        <v>0</v>
      </c>
      <c r="Y571" s="668">
        <f t="shared" si="179"/>
        <v>0</v>
      </c>
      <c r="Z571" s="668">
        <f t="shared" si="180"/>
        <v>0</v>
      </c>
      <c r="AA571" s="668">
        <f t="shared" si="181"/>
        <v>0</v>
      </c>
      <c r="AB571" s="668">
        <f t="shared" si="182"/>
        <v>0</v>
      </c>
      <c r="AC571" s="668">
        <f t="shared" si="172"/>
        <v>0</v>
      </c>
      <c r="AD571" s="668">
        <f t="shared" si="183"/>
        <v>0</v>
      </c>
      <c r="AE571" s="668">
        <f t="shared" si="184"/>
        <v>0</v>
      </c>
      <c r="AF571" s="668">
        <f t="shared" si="185"/>
        <v>0</v>
      </c>
      <c r="AG571" s="668">
        <f t="shared" si="186"/>
        <v>0</v>
      </c>
      <c r="AH571" s="668"/>
      <c r="AI571" s="668"/>
      <c r="AJ571" s="668"/>
      <c r="AK571" s="668"/>
      <c r="AL571" s="668"/>
      <c r="AM571" s="668">
        <f t="shared" si="173"/>
        <v>0</v>
      </c>
      <c r="AN571" s="668">
        <f t="shared" si="168"/>
        <v>0</v>
      </c>
      <c r="AO571" s="668">
        <f t="shared" si="169"/>
        <v>0</v>
      </c>
      <c r="AP571" s="668">
        <f t="shared" si="174"/>
        <v>0</v>
      </c>
      <c r="AQ571" s="668">
        <f t="shared" si="170"/>
        <v>0</v>
      </c>
      <c r="AR571" s="668">
        <f t="shared" si="171"/>
        <v>0</v>
      </c>
      <c r="AS571" s="668"/>
      <c r="AT571" s="668"/>
      <c r="AU571" s="668"/>
      <c r="AV571" s="668"/>
      <c r="AW571" s="668"/>
      <c r="AX571" s="668"/>
      <c r="AY571" s="668"/>
      <c r="AZ571" s="668"/>
      <c r="BA571" s="668"/>
      <c r="BB571" s="668">
        <f t="shared" si="175"/>
        <v>0</v>
      </c>
      <c r="BC571" s="668"/>
      <c r="BD571" s="668"/>
      <c r="BE571" s="668"/>
      <c r="BF571" s="668"/>
      <c r="BG571" s="668"/>
      <c r="BH571" s="668"/>
      <c r="BI571" s="668"/>
    </row>
    <row r="572" spans="1:61" x14ac:dyDescent="0.2">
      <c r="A572" s="1020">
        <v>3090</v>
      </c>
      <c r="B572" s="1013" t="s">
        <v>672</v>
      </c>
      <c r="C572" s="1013"/>
      <c r="D572" s="667">
        <v>35</v>
      </c>
      <c r="E572" s="667"/>
      <c r="F572" s="667">
        <v>15</v>
      </c>
      <c r="G572" s="667"/>
      <c r="H572" s="667"/>
      <c r="I572" s="667"/>
      <c r="J572" s="667"/>
      <c r="K572" s="667"/>
      <c r="L572" s="667"/>
      <c r="M572" s="667"/>
      <c r="N572" s="667"/>
      <c r="O572" s="667"/>
      <c r="P572" s="667"/>
      <c r="Q572" s="667"/>
      <c r="R572" s="667"/>
      <c r="S572" s="667"/>
      <c r="T572" s="667"/>
      <c r="U572" s="1013">
        <v>10</v>
      </c>
      <c r="V572" s="668">
        <f t="shared" si="176"/>
        <v>350</v>
      </c>
      <c r="W572" s="668">
        <f t="shared" si="177"/>
        <v>0</v>
      </c>
      <c r="X572" s="668">
        <f t="shared" si="178"/>
        <v>0</v>
      </c>
      <c r="Y572" s="668">
        <f t="shared" si="179"/>
        <v>0</v>
      </c>
      <c r="Z572" s="668">
        <f t="shared" si="180"/>
        <v>0</v>
      </c>
      <c r="AA572" s="668">
        <f t="shared" si="181"/>
        <v>0</v>
      </c>
      <c r="AB572" s="668">
        <f t="shared" si="182"/>
        <v>0</v>
      </c>
      <c r="AC572" s="668">
        <f t="shared" si="172"/>
        <v>0</v>
      </c>
      <c r="AD572" s="668">
        <f t="shared" si="183"/>
        <v>0</v>
      </c>
      <c r="AE572" s="668">
        <f t="shared" si="184"/>
        <v>0</v>
      </c>
      <c r="AF572" s="668">
        <f t="shared" si="185"/>
        <v>0</v>
      </c>
      <c r="AG572" s="668">
        <f t="shared" si="186"/>
        <v>0</v>
      </c>
      <c r="AH572" s="668"/>
      <c r="AI572" s="668"/>
      <c r="AJ572" s="668"/>
      <c r="AK572" s="668"/>
      <c r="AL572" s="668"/>
      <c r="AM572" s="668">
        <f t="shared" si="173"/>
        <v>0</v>
      </c>
      <c r="AN572" s="668">
        <f t="shared" si="168"/>
        <v>0</v>
      </c>
      <c r="AO572" s="668">
        <f t="shared" si="169"/>
        <v>0</v>
      </c>
      <c r="AP572" s="668">
        <f t="shared" si="174"/>
        <v>150</v>
      </c>
      <c r="AQ572" s="668">
        <f t="shared" si="170"/>
        <v>0</v>
      </c>
      <c r="AR572" s="668">
        <f t="shared" si="171"/>
        <v>0</v>
      </c>
      <c r="AS572" s="668"/>
      <c r="AT572" s="668"/>
      <c r="AU572" s="668"/>
      <c r="AV572" s="668"/>
      <c r="AW572" s="668"/>
      <c r="AX572" s="668"/>
      <c r="AY572" s="668"/>
      <c r="AZ572" s="668"/>
      <c r="BA572" s="668"/>
      <c r="BB572" s="668">
        <f t="shared" si="175"/>
        <v>150</v>
      </c>
      <c r="BC572" s="668"/>
      <c r="BD572" s="668"/>
      <c r="BE572" s="668"/>
      <c r="BF572" s="668"/>
      <c r="BG572" s="668"/>
      <c r="BH572" s="668"/>
      <c r="BI572" s="668"/>
    </row>
    <row r="573" spans="1:61" x14ac:dyDescent="0.2">
      <c r="A573" s="1020" t="s">
        <v>731</v>
      </c>
      <c r="B573" s="1013" t="s">
        <v>729</v>
      </c>
      <c r="C573" s="1013"/>
      <c r="D573" s="667">
        <v>80</v>
      </c>
      <c r="E573" s="667"/>
      <c r="F573" s="667"/>
      <c r="G573" s="667"/>
      <c r="H573" s="667"/>
      <c r="I573" s="667"/>
      <c r="J573" s="667"/>
      <c r="K573" s="667"/>
      <c r="L573" s="667"/>
      <c r="M573" s="667"/>
      <c r="N573" s="667"/>
      <c r="O573" s="667">
        <v>1</v>
      </c>
      <c r="P573" s="667"/>
      <c r="Q573" s="667"/>
      <c r="R573" s="667"/>
      <c r="S573" s="667"/>
      <c r="T573" s="667"/>
      <c r="U573" s="1013">
        <v>10</v>
      </c>
      <c r="V573" s="668">
        <f t="shared" si="176"/>
        <v>800</v>
      </c>
      <c r="W573" s="668">
        <f t="shared" si="177"/>
        <v>0</v>
      </c>
      <c r="X573" s="668">
        <f t="shared" si="178"/>
        <v>0</v>
      </c>
      <c r="Y573" s="668">
        <f t="shared" si="179"/>
        <v>0</v>
      </c>
      <c r="Z573" s="668">
        <f t="shared" si="180"/>
        <v>0</v>
      </c>
      <c r="AA573" s="668">
        <f t="shared" si="181"/>
        <v>0</v>
      </c>
      <c r="AB573" s="668">
        <f t="shared" si="182"/>
        <v>0</v>
      </c>
      <c r="AC573" s="668">
        <f t="shared" si="172"/>
        <v>0</v>
      </c>
      <c r="AD573" s="668">
        <f t="shared" si="183"/>
        <v>0</v>
      </c>
      <c r="AE573" s="668">
        <f t="shared" si="184"/>
        <v>0</v>
      </c>
      <c r="AF573" s="668">
        <f t="shared" si="185"/>
        <v>0</v>
      </c>
      <c r="AG573" s="668">
        <f t="shared" si="186"/>
        <v>0</v>
      </c>
      <c r="AH573" s="668"/>
      <c r="AI573" s="668"/>
      <c r="AJ573" s="668"/>
      <c r="AK573" s="668"/>
      <c r="AL573" s="668"/>
      <c r="AM573" s="668">
        <f t="shared" si="173"/>
        <v>0</v>
      </c>
      <c r="AN573" s="668">
        <f t="shared" si="168"/>
        <v>0</v>
      </c>
      <c r="AO573" s="668">
        <f t="shared" si="169"/>
        <v>10</v>
      </c>
      <c r="AP573" s="668">
        <f t="shared" si="174"/>
        <v>0</v>
      </c>
      <c r="AQ573" s="668">
        <f t="shared" si="170"/>
        <v>0</v>
      </c>
      <c r="AR573" s="668">
        <f t="shared" si="171"/>
        <v>0</v>
      </c>
      <c r="AS573" s="668"/>
      <c r="AT573" s="668"/>
      <c r="AU573" s="668"/>
      <c r="AV573" s="668"/>
      <c r="AW573" s="668"/>
      <c r="AX573" s="668"/>
      <c r="AY573" s="668"/>
      <c r="AZ573" s="668"/>
      <c r="BA573" s="668"/>
      <c r="BB573" s="668">
        <f t="shared" si="175"/>
        <v>0</v>
      </c>
      <c r="BC573" s="668"/>
      <c r="BD573" s="668"/>
      <c r="BE573" s="668"/>
      <c r="BF573" s="668"/>
      <c r="BG573" s="668"/>
      <c r="BH573" s="668"/>
      <c r="BI573" s="668"/>
    </row>
    <row r="574" spans="1:61" x14ac:dyDescent="0.2">
      <c r="A574" s="1020" t="s">
        <v>732</v>
      </c>
      <c r="B574" s="1020" t="s">
        <v>696</v>
      </c>
      <c r="C574" s="1020"/>
      <c r="D574" s="667">
        <v>51</v>
      </c>
      <c r="E574" s="667"/>
      <c r="F574" s="667"/>
      <c r="G574" s="667"/>
      <c r="H574" s="667"/>
      <c r="I574" s="667"/>
      <c r="J574" s="667"/>
      <c r="K574" s="667"/>
      <c r="L574" s="667"/>
      <c r="M574" s="667"/>
      <c r="N574" s="667"/>
      <c r="O574" s="667"/>
      <c r="P574" s="667"/>
      <c r="Q574" s="667"/>
      <c r="R574" s="667"/>
      <c r="S574" s="667"/>
      <c r="T574" s="667"/>
      <c r="U574" s="1020">
        <v>10</v>
      </c>
      <c r="V574" s="668">
        <f t="shared" si="176"/>
        <v>510</v>
      </c>
      <c r="W574" s="668">
        <f t="shared" si="177"/>
        <v>0</v>
      </c>
      <c r="X574" s="668">
        <f t="shared" si="178"/>
        <v>0</v>
      </c>
      <c r="Y574" s="668">
        <f t="shared" si="179"/>
        <v>0</v>
      </c>
      <c r="Z574" s="668">
        <f t="shared" si="180"/>
        <v>0</v>
      </c>
      <c r="AA574" s="668">
        <f t="shared" si="181"/>
        <v>0</v>
      </c>
      <c r="AB574" s="668">
        <f t="shared" si="182"/>
        <v>0</v>
      </c>
      <c r="AC574" s="668">
        <f t="shared" si="172"/>
        <v>0</v>
      </c>
      <c r="AD574" s="668">
        <f t="shared" si="183"/>
        <v>0</v>
      </c>
      <c r="AE574" s="668">
        <f t="shared" si="184"/>
        <v>0</v>
      </c>
      <c r="AF574" s="668">
        <f t="shared" si="185"/>
        <v>0</v>
      </c>
      <c r="AG574" s="668">
        <f t="shared" si="186"/>
        <v>0</v>
      </c>
      <c r="AH574" s="668"/>
      <c r="AI574" s="668"/>
      <c r="AJ574" s="668"/>
      <c r="AK574" s="668"/>
      <c r="AL574" s="668"/>
      <c r="AM574" s="668">
        <f t="shared" si="173"/>
        <v>0</v>
      </c>
      <c r="AN574" s="668">
        <f t="shared" si="168"/>
        <v>0</v>
      </c>
      <c r="AO574" s="668">
        <f t="shared" si="169"/>
        <v>0</v>
      </c>
      <c r="AP574" s="668">
        <f t="shared" si="174"/>
        <v>0</v>
      </c>
      <c r="AQ574" s="668">
        <f t="shared" si="170"/>
        <v>0</v>
      </c>
      <c r="AR574" s="668">
        <f t="shared" si="171"/>
        <v>0</v>
      </c>
      <c r="AS574" s="668"/>
      <c r="AT574" s="668"/>
      <c r="AU574" s="668"/>
      <c r="AV574" s="668"/>
      <c r="AW574" s="668"/>
      <c r="AX574" s="668"/>
      <c r="AY574" s="668"/>
      <c r="AZ574" s="668"/>
      <c r="BA574" s="668"/>
      <c r="BB574" s="668">
        <f t="shared" si="175"/>
        <v>0</v>
      </c>
      <c r="BC574" s="668"/>
      <c r="BD574" s="668"/>
      <c r="BE574" s="668"/>
      <c r="BF574" s="668"/>
      <c r="BG574" s="668"/>
      <c r="BH574" s="668"/>
      <c r="BI574" s="668"/>
    </row>
    <row r="575" spans="1:61" x14ac:dyDescent="0.2">
      <c r="A575" s="1020">
        <v>3092</v>
      </c>
      <c r="B575" s="1013" t="s">
        <v>515</v>
      </c>
      <c r="C575" s="1013"/>
      <c r="D575" s="667">
        <v>162</v>
      </c>
      <c r="E575" s="667"/>
      <c r="F575" s="667"/>
      <c r="G575" s="667"/>
      <c r="H575" s="667"/>
      <c r="I575" s="667"/>
      <c r="J575" s="667"/>
      <c r="K575" s="667"/>
      <c r="L575" s="667"/>
      <c r="M575" s="667"/>
      <c r="N575" s="667"/>
      <c r="O575" s="667"/>
      <c r="P575" s="667"/>
      <c r="Q575" s="667"/>
      <c r="R575" s="667"/>
      <c r="S575" s="667"/>
      <c r="T575" s="667">
        <v>3000</v>
      </c>
      <c r="U575" s="1013">
        <v>12</v>
      </c>
      <c r="V575" s="668">
        <f t="shared" si="176"/>
        <v>1944</v>
      </c>
      <c r="W575" s="668">
        <f t="shared" si="177"/>
        <v>0</v>
      </c>
      <c r="X575" s="668">
        <f t="shared" si="178"/>
        <v>0</v>
      </c>
      <c r="Y575" s="668">
        <f t="shared" si="179"/>
        <v>0</v>
      </c>
      <c r="Z575" s="668">
        <f t="shared" si="180"/>
        <v>0</v>
      </c>
      <c r="AA575" s="668">
        <f t="shared" si="181"/>
        <v>0</v>
      </c>
      <c r="AB575" s="668">
        <f t="shared" si="182"/>
        <v>3000</v>
      </c>
      <c r="AC575" s="668">
        <f t="shared" si="172"/>
        <v>0</v>
      </c>
      <c r="AD575" s="668">
        <f t="shared" si="183"/>
        <v>0</v>
      </c>
      <c r="AE575" s="668">
        <f t="shared" si="184"/>
        <v>0</v>
      </c>
      <c r="AF575" s="668">
        <f t="shared" si="185"/>
        <v>0</v>
      </c>
      <c r="AG575" s="668">
        <f t="shared" si="186"/>
        <v>0</v>
      </c>
      <c r="AH575" s="668"/>
      <c r="AI575" s="668"/>
      <c r="AJ575" s="668"/>
      <c r="AK575" s="668"/>
      <c r="AL575" s="668"/>
      <c r="AM575" s="668">
        <f t="shared" si="173"/>
        <v>0</v>
      </c>
      <c r="AN575" s="668">
        <f t="shared" si="168"/>
        <v>0</v>
      </c>
      <c r="AO575" s="668">
        <f t="shared" si="169"/>
        <v>0</v>
      </c>
      <c r="AP575" s="668">
        <f t="shared" si="174"/>
        <v>0</v>
      </c>
      <c r="AQ575" s="668">
        <f t="shared" si="170"/>
        <v>0</v>
      </c>
      <c r="AR575" s="668">
        <f t="shared" si="171"/>
        <v>0</v>
      </c>
      <c r="AS575" s="668"/>
      <c r="AT575" s="668"/>
      <c r="AU575" s="668"/>
      <c r="AV575" s="668"/>
      <c r="AW575" s="668"/>
      <c r="AX575" s="668"/>
      <c r="AY575" s="668"/>
      <c r="AZ575" s="668"/>
      <c r="BA575" s="668"/>
      <c r="BB575" s="668">
        <f t="shared" si="175"/>
        <v>0</v>
      </c>
      <c r="BC575" s="668"/>
      <c r="BD575" s="668"/>
      <c r="BE575" s="668"/>
      <c r="BF575" s="668"/>
      <c r="BG575" s="668"/>
      <c r="BH575" s="668"/>
      <c r="BI575" s="668"/>
    </row>
    <row r="576" spans="1:61" x14ac:dyDescent="0.2">
      <c r="A576" s="1020">
        <v>3093</v>
      </c>
      <c r="B576" s="1013" t="s">
        <v>733</v>
      </c>
      <c r="C576" s="1013"/>
      <c r="D576" s="667">
        <v>80</v>
      </c>
      <c r="E576" s="667"/>
      <c r="F576" s="667"/>
      <c r="G576" s="667"/>
      <c r="H576" s="667"/>
      <c r="I576" s="667"/>
      <c r="J576" s="667"/>
      <c r="K576" s="667"/>
      <c r="L576" s="667"/>
      <c r="M576" s="667"/>
      <c r="N576" s="667"/>
      <c r="O576" s="667"/>
      <c r="P576" s="667"/>
      <c r="Q576" s="667"/>
      <c r="R576" s="667"/>
      <c r="S576" s="667"/>
      <c r="T576" s="667"/>
      <c r="U576" s="1013">
        <v>10</v>
      </c>
      <c r="V576" s="668">
        <f t="shared" si="176"/>
        <v>800</v>
      </c>
      <c r="W576" s="668">
        <f t="shared" si="177"/>
        <v>0</v>
      </c>
      <c r="X576" s="668">
        <f t="shared" si="178"/>
        <v>0</v>
      </c>
      <c r="Y576" s="668">
        <f t="shared" si="179"/>
        <v>0</v>
      </c>
      <c r="Z576" s="668">
        <f t="shared" si="180"/>
        <v>0</v>
      </c>
      <c r="AA576" s="668">
        <f t="shared" si="181"/>
        <v>0</v>
      </c>
      <c r="AB576" s="668">
        <f t="shared" si="182"/>
        <v>0</v>
      </c>
      <c r="AC576" s="668">
        <f t="shared" si="172"/>
        <v>0</v>
      </c>
      <c r="AD576" s="668">
        <f t="shared" si="183"/>
        <v>0</v>
      </c>
      <c r="AE576" s="668">
        <f t="shared" si="184"/>
        <v>0</v>
      </c>
      <c r="AF576" s="668">
        <f t="shared" si="185"/>
        <v>0</v>
      </c>
      <c r="AG576" s="668">
        <f t="shared" si="186"/>
        <v>0</v>
      </c>
      <c r="AH576" s="668"/>
      <c r="AI576" s="668"/>
      <c r="AJ576" s="668"/>
      <c r="AK576" s="668"/>
      <c r="AL576" s="668"/>
      <c r="AM576" s="668">
        <f t="shared" si="173"/>
        <v>0</v>
      </c>
      <c r="AN576" s="668">
        <f t="shared" si="168"/>
        <v>0</v>
      </c>
      <c r="AO576" s="668">
        <f t="shared" si="169"/>
        <v>0</v>
      </c>
      <c r="AP576" s="668">
        <f t="shared" si="174"/>
        <v>0</v>
      </c>
      <c r="AQ576" s="668">
        <f t="shared" si="170"/>
        <v>0</v>
      </c>
      <c r="AR576" s="668">
        <f t="shared" si="171"/>
        <v>0</v>
      </c>
      <c r="AS576" s="668"/>
      <c r="AT576" s="668"/>
      <c r="AU576" s="668"/>
      <c r="AV576" s="668"/>
      <c r="AW576" s="668"/>
      <c r="AX576" s="668"/>
      <c r="AY576" s="668"/>
      <c r="AZ576" s="668"/>
      <c r="BA576" s="668"/>
      <c r="BB576" s="668">
        <f t="shared" si="175"/>
        <v>0</v>
      </c>
      <c r="BC576" s="668"/>
      <c r="BD576" s="668"/>
      <c r="BE576" s="668"/>
      <c r="BF576" s="668"/>
      <c r="BG576" s="668"/>
      <c r="BH576" s="668"/>
      <c r="BI576" s="668"/>
    </row>
    <row r="577" spans="1:61" x14ac:dyDescent="0.2">
      <c r="A577" s="1020">
        <v>3094</v>
      </c>
      <c r="B577" s="1012" t="s">
        <v>517</v>
      </c>
      <c r="C577" s="1012"/>
      <c r="D577" s="667">
        <v>50</v>
      </c>
      <c r="E577" s="667"/>
      <c r="F577" s="667"/>
      <c r="G577" s="667"/>
      <c r="H577" s="667"/>
      <c r="I577" s="667"/>
      <c r="J577" s="667"/>
      <c r="K577" s="667"/>
      <c r="L577" s="667"/>
      <c r="M577" s="667"/>
      <c r="N577" s="667"/>
      <c r="O577" s="667"/>
      <c r="P577" s="667"/>
      <c r="Q577" s="667"/>
      <c r="R577" s="667"/>
      <c r="S577" s="667"/>
      <c r="T577" s="667"/>
      <c r="U577" s="1012">
        <v>12</v>
      </c>
      <c r="V577" s="668">
        <f t="shared" si="176"/>
        <v>600</v>
      </c>
      <c r="W577" s="668">
        <f t="shared" si="177"/>
        <v>0</v>
      </c>
      <c r="X577" s="668">
        <f t="shared" si="178"/>
        <v>0</v>
      </c>
      <c r="Y577" s="668">
        <f t="shared" si="179"/>
        <v>0</v>
      </c>
      <c r="Z577" s="668">
        <f t="shared" si="180"/>
        <v>0</v>
      </c>
      <c r="AA577" s="668">
        <f t="shared" si="181"/>
        <v>0</v>
      </c>
      <c r="AB577" s="668">
        <f t="shared" si="182"/>
        <v>0</v>
      </c>
      <c r="AC577" s="668">
        <f t="shared" si="172"/>
        <v>0</v>
      </c>
      <c r="AD577" s="668">
        <f t="shared" si="183"/>
        <v>0</v>
      </c>
      <c r="AE577" s="668">
        <f t="shared" si="184"/>
        <v>0</v>
      </c>
      <c r="AF577" s="668">
        <f t="shared" si="185"/>
        <v>0</v>
      </c>
      <c r="AG577" s="668">
        <f t="shared" si="186"/>
        <v>0</v>
      </c>
      <c r="AH577" s="668"/>
      <c r="AI577" s="668"/>
      <c r="AJ577" s="668"/>
      <c r="AK577" s="668"/>
      <c r="AL577" s="668"/>
      <c r="AM577" s="668">
        <f t="shared" si="173"/>
        <v>0</v>
      </c>
      <c r="AN577" s="668">
        <f t="shared" si="168"/>
        <v>0</v>
      </c>
      <c r="AO577" s="668">
        <f t="shared" si="169"/>
        <v>0</v>
      </c>
      <c r="AP577" s="668">
        <f t="shared" si="174"/>
        <v>0</v>
      </c>
      <c r="AQ577" s="668">
        <f t="shared" si="170"/>
        <v>0</v>
      </c>
      <c r="AR577" s="668">
        <f t="shared" si="171"/>
        <v>0</v>
      </c>
      <c r="AS577" s="668"/>
      <c r="AT577" s="668"/>
      <c r="AU577" s="668"/>
      <c r="AV577" s="668"/>
      <c r="AW577" s="668"/>
      <c r="AX577" s="668"/>
      <c r="AY577" s="668"/>
      <c r="AZ577" s="668"/>
      <c r="BA577" s="668"/>
      <c r="BB577" s="668">
        <f t="shared" si="175"/>
        <v>0</v>
      </c>
      <c r="BC577" s="668"/>
      <c r="BD577" s="668"/>
      <c r="BE577" s="668"/>
      <c r="BF577" s="668"/>
      <c r="BG577" s="668"/>
      <c r="BH577" s="668"/>
      <c r="BI577" s="668"/>
    </row>
    <row r="578" spans="1:61" x14ac:dyDescent="0.2">
      <c r="A578" s="1020">
        <v>3095</v>
      </c>
      <c r="B578" s="1012" t="s">
        <v>519</v>
      </c>
      <c r="C578" s="1012"/>
      <c r="D578" s="667">
        <v>35</v>
      </c>
      <c r="E578" s="667"/>
      <c r="F578" s="667">
        <v>15</v>
      </c>
      <c r="G578" s="667"/>
      <c r="H578" s="667"/>
      <c r="I578" s="667"/>
      <c r="J578" s="667"/>
      <c r="K578" s="667"/>
      <c r="L578" s="667"/>
      <c r="M578" s="667"/>
      <c r="N578" s="667"/>
      <c r="O578" s="667"/>
      <c r="P578" s="667"/>
      <c r="Q578" s="667"/>
      <c r="R578" s="667"/>
      <c r="S578" s="667"/>
      <c r="T578" s="667">
        <v>150</v>
      </c>
      <c r="U578" s="1012">
        <v>12</v>
      </c>
      <c r="V578" s="668">
        <f t="shared" si="176"/>
        <v>420</v>
      </c>
      <c r="W578" s="668">
        <f t="shared" si="177"/>
        <v>0</v>
      </c>
      <c r="X578" s="668">
        <f t="shared" si="178"/>
        <v>0</v>
      </c>
      <c r="Y578" s="668">
        <f t="shared" si="179"/>
        <v>0</v>
      </c>
      <c r="Z578" s="668">
        <f t="shared" si="180"/>
        <v>0</v>
      </c>
      <c r="AA578" s="668">
        <f t="shared" si="181"/>
        <v>0</v>
      </c>
      <c r="AB578" s="668">
        <f t="shared" si="182"/>
        <v>150</v>
      </c>
      <c r="AC578" s="668">
        <f t="shared" si="172"/>
        <v>0</v>
      </c>
      <c r="AD578" s="668">
        <f t="shared" si="183"/>
        <v>0</v>
      </c>
      <c r="AE578" s="668">
        <f t="shared" si="184"/>
        <v>0</v>
      </c>
      <c r="AF578" s="668">
        <f t="shared" si="185"/>
        <v>0</v>
      </c>
      <c r="AG578" s="668">
        <f t="shared" si="186"/>
        <v>0</v>
      </c>
      <c r="AH578" s="668"/>
      <c r="AI578" s="668"/>
      <c r="AJ578" s="668"/>
      <c r="AK578" s="668"/>
      <c r="AL578" s="668"/>
      <c r="AM578" s="668">
        <f t="shared" si="173"/>
        <v>0</v>
      </c>
      <c r="AN578" s="668">
        <f t="shared" si="168"/>
        <v>0</v>
      </c>
      <c r="AO578" s="668">
        <f t="shared" si="169"/>
        <v>0</v>
      </c>
      <c r="AP578" s="668">
        <f t="shared" si="174"/>
        <v>180</v>
      </c>
      <c r="AQ578" s="668">
        <f t="shared" si="170"/>
        <v>0</v>
      </c>
      <c r="AR578" s="668">
        <f t="shared" si="171"/>
        <v>0</v>
      </c>
      <c r="AS578" s="668"/>
      <c r="AT578" s="668"/>
      <c r="AU578" s="668"/>
      <c r="AV578" s="668"/>
      <c r="AW578" s="668"/>
      <c r="AX578" s="668"/>
      <c r="AY578" s="668"/>
      <c r="AZ578" s="668"/>
      <c r="BA578" s="668"/>
      <c r="BB578" s="668">
        <f t="shared" si="175"/>
        <v>180</v>
      </c>
      <c r="BC578" s="668"/>
      <c r="BD578" s="668"/>
      <c r="BE578" s="668"/>
      <c r="BF578" s="668"/>
      <c r="BG578" s="668"/>
      <c r="BH578" s="668"/>
      <c r="BI578" s="668"/>
    </row>
    <row r="579" spans="1:61" x14ac:dyDescent="0.2">
      <c r="A579" s="1020">
        <v>3096</v>
      </c>
      <c r="B579" s="1012" t="s">
        <v>730</v>
      </c>
      <c r="C579" s="1012"/>
      <c r="D579" s="667">
        <v>80</v>
      </c>
      <c r="E579" s="667"/>
      <c r="F579" s="667">
        <v>40</v>
      </c>
      <c r="G579" s="667"/>
      <c r="H579" s="667"/>
      <c r="I579" s="667"/>
      <c r="J579" s="667"/>
      <c r="K579" s="667"/>
      <c r="L579" s="667"/>
      <c r="M579" s="667"/>
      <c r="N579" s="667"/>
      <c r="O579" s="667">
        <v>2</v>
      </c>
      <c r="P579" s="667"/>
      <c r="Q579" s="667"/>
      <c r="R579" s="667"/>
      <c r="S579" s="667"/>
      <c r="T579" s="667"/>
      <c r="U579" s="1012">
        <v>10</v>
      </c>
      <c r="V579" s="668">
        <f t="shared" si="176"/>
        <v>800</v>
      </c>
      <c r="W579" s="668">
        <f t="shared" si="177"/>
        <v>0</v>
      </c>
      <c r="X579" s="668">
        <f t="shared" si="178"/>
        <v>0</v>
      </c>
      <c r="Y579" s="668">
        <f t="shared" si="179"/>
        <v>0</v>
      </c>
      <c r="Z579" s="668">
        <f t="shared" si="180"/>
        <v>0</v>
      </c>
      <c r="AA579" s="668">
        <f t="shared" si="181"/>
        <v>0</v>
      </c>
      <c r="AB579" s="668">
        <f t="shared" si="182"/>
        <v>0</v>
      </c>
      <c r="AC579" s="668">
        <f t="shared" si="172"/>
        <v>0</v>
      </c>
      <c r="AD579" s="668">
        <f t="shared" si="183"/>
        <v>0</v>
      </c>
      <c r="AE579" s="668">
        <f t="shared" si="184"/>
        <v>0</v>
      </c>
      <c r="AF579" s="668">
        <f t="shared" si="185"/>
        <v>0</v>
      </c>
      <c r="AG579" s="668">
        <f t="shared" si="186"/>
        <v>0</v>
      </c>
      <c r="AH579" s="668"/>
      <c r="AI579" s="668"/>
      <c r="AJ579" s="668"/>
      <c r="AK579" s="668"/>
      <c r="AL579" s="668"/>
      <c r="AM579" s="668">
        <f t="shared" si="173"/>
        <v>0</v>
      </c>
      <c r="AN579" s="668">
        <f t="shared" si="168"/>
        <v>0</v>
      </c>
      <c r="AO579" s="668">
        <f t="shared" si="169"/>
        <v>20</v>
      </c>
      <c r="AP579" s="668">
        <f t="shared" si="174"/>
        <v>400</v>
      </c>
      <c r="AQ579" s="668">
        <f t="shared" si="170"/>
        <v>0</v>
      </c>
      <c r="AR579" s="668">
        <f t="shared" si="171"/>
        <v>0</v>
      </c>
      <c r="AS579" s="668"/>
      <c r="AT579" s="668"/>
      <c r="AU579" s="668"/>
      <c r="AV579" s="668"/>
      <c r="AW579" s="668"/>
      <c r="AX579" s="668"/>
      <c r="AY579" s="668"/>
      <c r="AZ579" s="668"/>
      <c r="BA579" s="668"/>
      <c r="BB579" s="668">
        <f t="shared" si="175"/>
        <v>400</v>
      </c>
      <c r="BC579" s="668"/>
      <c r="BD579" s="668"/>
      <c r="BE579" s="668"/>
      <c r="BF579" s="668"/>
      <c r="BG579" s="668"/>
      <c r="BH579" s="668"/>
      <c r="BI579" s="668"/>
    </row>
    <row r="580" spans="1:61" x14ac:dyDescent="0.2">
      <c r="A580" s="1012">
        <v>3100</v>
      </c>
      <c r="B580" s="1012" t="s">
        <v>735</v>
      </c>
      <c r="C580" s="1012"/>
      <c r="D580" s="667">
        <v>140</v>
      </c>
      <c r="E580" s="667"/>
      <c r="F580" s="667">
        <v>80</v>
      </c>
      <c r="G580" s="667"/>
      <c r="H580" s="667"/>
      <c r="I580" s="667"/>
      <c r="J580" s="667"/>
      <c r="K580" s="667"/>
      <c r="L580" s="667"/>
      <c r="M580" s="667"/>
      <c r="N580" s="667"/>
      <c r="O580" s="667"/>
      <c r="P580" s="667"/>
      <c r="Q580" s="667"/>
      <c r="R580" s="667"/>
      <c r="S580" s="667"/>
      <c r="T580" s="667"/>
      <c r="U580" s="1012">
        <v>14</v>
      </c>
      <c r="V580" s="668">
        <f t="shared" si="176"/>
        <v>1960</v>
      </c>
      <c r="W580" s="668">
        <f t="shared" si="177"/>
        <v>0</v>
      </c>
      <c r="X580" s="668">
        <f t="shared" si="178"/>
        <v>0</v>
      </c>
      <c r="Y580" s="668">
        <f t="shared" si="179"/>
        <v>0</v>
      </c>
      <c r="Z580" s="668">
        <f t="shared" si="180"/>
        <v>0</v>
      </c>
      <c r="AA580" s="668">
        <f t="shared" si="181"/>
        <v>0</v>
      </c>
      <c r="AB580" s="668">
        <f t="shared" si="182"/>
        <v>0</v>
      </c>
      <c r="AC580" s="668">
        <f t="shared" si="172"/>
        <v>0</v>
      </c>
      <c r="AD580" s="668">
        <f t="shared" si="183"/>
        <v>0</v>
      </c>
      <c r="AE580" s="668">
        <f t="shared" si="184"/>
        <v>0</v>
      </c>
      <c r="AF580" s="668">
        <f t="shared" si="185"/>
        <v>0</v>
      </c>
      <c r="AG580" s="668">
        <f t="shared" si="186"/>
        <v>0</v>
      </c>
      <c r="AH580" s="668"/>
      <c r="AI580" s="668"/>
      <c r="AJ580" s="668"/>
      <c r="AK580" s="668"/>
      <c r="AL580" s="668"/>
      <c r="AM580" s="668">
        <f t="shared" si="173"/>
        <v>0</v>
      </c>
      <c r="AN580" s="668">
        <f t="shared" si="168"/>
        <v>0</v>
      </c>
      <c r="AO580" s="668">
        <f t="shared" si="169"/>
        <v>0</v>
      </c>
      <c r="AP580" s="668">
        <f t="shared" si="174"/>
        <v>1120</v>
      </c>
      <c r="AQ580" s="668">
        <f t="shared" si="170"/>
        <v>0</v>
      </c>
      <c r="AR580" s="668">
        <f t="shared" si="171"/>
        <v>0</v>
      </c>
      <c r="AS580" s="668"/>
      <c r="AT580" s="668"/>
      <c r="AU580" s="668"/>
      <c r="AV580" s="668"/>
      <c r="AW580" s="668"/>
      <c r="AX580" s="668"/>
      <c r="AY580" s="668"/>
      <c r="AZ580" s="668"/>
      <c r="BA580" s="668"/>
      <c r="BB580" s="668"/>
      <c r="BC580" s="668"/>
      <c r="BD580" s="668"/>
      <c r="BE580" s="668"/>
      <c r="BF580" s="668"/>
      <c r="BG580" s="668"/>
      <c r="BH580" s="668"/>
      <c r="BI580" s="668"/>
    </row>
    <row r="581" spans="1:61" x14ac:dyDescent="0.2">
      <c r="A581" s="1012" t="s">
        <v>734</v>
      </c>
      <c r="B581" s="1012" t="s">
        <v>465</v>
      </c>
      <c r="C581" s="1012"/>
      <c r="D581" s="667">
        <v>76</v>
      </c>
      <c r="E581" s="667"/>
      <c r="F581" s="667"/>
      <c r="G581" s="667"/>
      <c r="H581" s="667"/>
      <c r="I581" s="667"/>
      <c r="J581" s="667"/>
      <c r="K581" s="667"/>
      <c r="L581" s="667"/>
      <c r="M581" s="667"/>
      <c r="N581" s="667"/>
      <c r="O581" s="667"/>
      <c r="P581" s="667"/>
      <c r="Q581" s="667"/>
      <c r="R581" s="667"/>
      <c r="S581" s="667"/>
      <c r="T581" s="667"/>
      <c r="U581" s="1012">
        <v>10</v>
      </c>
      <c r="V581" s="668">
        <f t="shared" si="176"/>
        <v>760</v>
      </c>
      <c r="W581" s="668">
        <f t="shared" si="177"/>
        <v>0</v>
      </c>
      <c r="X581" s="668">
        <f t="shared" si="178"/>
        <v>0</v>
      </c>
      <c r="Y581" s="668">
        <f t="shared" si="179"/>
        <v>0</v>
      </c>
      <c r="Z581" s="668">
        <f t="shared" si="180"/>
        <v>0</v>
      </c>
      <c r="AA581" s="668">
        <f t="shared" si="181"/>
        <v>0</v>
      </c>
      <c r="AB581" s="668">
        <f t="shared" si="182"/>
        <v>0</v>
      </c>
      <c r="AC581" s="668">
        <f t="shared" si="172"/>
        <v>0</v>
      </c>
      <c r="AD581" s="668">
        <f t="shared" si="183"/>
        <v>0</v>
      </c>
      <c r="AE581" s="668">
        <f t="shared" si="184"/>
        <v>0</v>
      </c>
      <c r="AF581" s="668">
        <f t="shared" si="185"/>
        <v>0</v>
      </c>
      <c r="AG581" s="668">
        <f t="shared" si="186"/>
        <v>0</v>
      </c>
      <c r="AH581" s="668"/>
      <c r="AI581" s="668"/>
      <c r="AJ581" s="668"/>
      <c r="AK581" s="668"/>
      <c r="AL581" s="668"/>
      <c r="AM581" s="668">
        <f t="shared" si="173"/>
        <v>0</v>
      </c>
      <c r="AN581" s="668">
        <f t="shared" si="168"/>
        <v>0</v>
      </c>
      <c r="AO581" s="668">
        <f t="shared" si="169"/>
        <v>0</v>
      </c>
      <c r="AP581" s="668">
        <f t="shared" si="174"/>
        <v>0</v>
      </c>
      <c r="AQ581" s="668">
        <f t="shared" si="170"/>
        <v>0</v>
      </c>
      <c r="AR581" s="668">
        <f t="shared" si="171"/>
        <v>0</v>
      </c>
      <c r="AS581" s="668"/>
      <c r="AT581" s="668"/>
      <c r="AU581" s="668"/>
      <c r="AV581" s="668"/>
      <c r="AW581" s="668"/>
      <c r="AX581" s="668"/>
      <c r="AY581" s="668"/>
      <c r="AZ581" s="668"/>
      <c r="BA581" s="668"/>
      <c r="BB581" s="668">
        <f t="shared" si="175"/>
        <v>0</v>
      </c>
      <c r="BC581" s="668"/>
      <c r="BD581" s="668"/>
      <c r="BE581" s="668"/>
      <c r="BF581" s="668"/>
      <c r="BG581" s="668"/>
      <c r="BH581" s="668"/>
      <c r="BI581" s="668"/>
    </row>
    <row r="582" spans="1:61" x14ac:dyDescent="0.2">
      <c r="A582" s="1020">
        <v>3101</v>
      </c>
      <c r="B582" s="1020" t="s">
        <v>457</v>
      </c>
      <c r="C582" s="1020"/>
      <c r="D582" s="667">
        <v>28</v>
      </c>
      <c r="E582" s="667"/>
      <c r="F582" s="667"/>
      <c r="G582" s="667">
        <v>48</v>
      </c>
      <c r="H582" s="667"/>
      <c r="I582" s="667"/>
      <c r="J582" s="667"/>
      <c r="K582" s="667"/>
      <c r="L582" s="667"/>
      <c r="M582" s="667"/>
      <c r="N582" s="667"/>
      <c r="O582" s="667"/>
      <c r="P582" s="667"/>
      <c r="Q582" s="667"/>
      <c r="R582" s="667"/>
      <c r="S582" s="667"/>
      <c r="T582" s="667"/>
      <c r="U582" s="1020">
        <v>12</v>
      </c>
      <c r="V582" s="668">
        <f t="shared" si="176"/>
        <v>336</v>
      </c>
      <c r="W582" s="668">
        <f t="shared" si="177"/>
        <v>576</v>
      </c>
      <c r="X582" s="668">
        <f t="shared" si="178"/>
        <v>0</v>
      </c>
      <c r="Y582" s="668">
        <f t="shared" si="179"/>
        <v>0</v>
      </c>
      <c r="Z582" s="668">
        <f t="shared" si="180"/>
        <v>0</v>
      </c>
      <c r="AA582" s="668">
        <f t="shared" si="181"/>
        <v>0</v>
      </c>
      <c r="AB582" s="668">
        <f t="shared" si="182"/>
        <v>0</v>
      </c>
      <c r="AC582" s="668">
        <f t="shared" si="172"/>
        <v>0</v>
      </c>
      <c r="AD582" s="668">
        <f t="shared" si="183"/>
        <v>0</v>
      </c>
      <c r="AE582" s="668">
        <f t="shared" si="184"/>
        <v>0</v>
      </c>
      <c r="AF582" s="668">
        <f t="shared" si="185"/>
        <v>0</v>
      </c>
      <c r="AG582" s="668">
        <f t="shared" si="186"/>
        <v>0</v>
      </c>
      <c r="AH582" s="668"/>
      <c r="AI582" s="668"/>
      <c r="AJ582" s="668"/>
      <c r="AK582" s="668"/>
      <c r="AL582" s="668"/>
      <c r="AM582" s="668">
        <f t="shared" si="173"/>
        <v>0</v>
      </c>
      <c r="AN582" s="668">
        <f t="shared" si="168"/>
        <v>0</v>
      </c>
      <c r="AO582" s="668">
        <f t="shared" si="169"/>
        <v>0</v>
      </c>
      <c r="AP582" s="668">
        <f t="shared" si="174"/>
        <v>0</v>
      </c>
      <c r="AQ582" s="668">
        <f t="shared" si="170"/>
        <v>0</v>
      </c>
      <c r="AR582" s="668">
        <f t="shared" si="171"/>
        <v>0</v>
      </c>
      <c r="AS582" s="668"/>
      <c r="AT582" s="668"/>
      <c r="AU582" s="668"/>
      <c r="AV582" s="668"/>
      <c r="AW582" s="668"/>
      <c r="AX582" s="668"/>
      <c r="AY582" s="668"/>
      <c r="AZ582" s="668"/>
      <c r="BA582" s="668"/>
      <c r="BB582" s="668">
        <f t="shared" si="175"/>
        <v>0</v>
      </c>
      <c r="BC582" s="668"/>
      <c r="BD582" s="668"/>
      <c r="BE582" s="668"/>
      <c r="BF582" s="668"/>
      <c r="BG582" s="668"/>
      <c r="BH582" s="668"/>
      <c r="BI582" s="668"/>
    </row>
    <row r="583" spans="1:61" x14ac:dyDescent="0.2">
      <c r="A583" s="1020">
        <v>3104</v>
      </c>
      <c r="B583" s="1020" t="s">
        <v>686</v>
      </c>
      <c r="C583" s="1020"/>
      <c r="D583" s="667">
        <v>121</v>
      </c>
      <c r="E583" s="667"/>
      <c r="F583" s="667"/>
      <c r="G583" s="667"/>
      <c r="H583" s="667"/>
      <c r="I583" s="667"/>
      <c r="J583" s="667"/>
      <c r="K583" s="667"/>
      <c r="L583" s="667"/>
      <c r="M583" s="667"/>
      <c r="N583" s="667"/>
      <c r="O583" s="667"/>
      <c r="P583" s="667"/>
      <c r="Q583" s="667"/>
      <c r="R583" s="667"/>
      <c r="S583" s="667"/>
      <c r="T583" s="667"/>
      <c r="U583" s="1020">
        <v>10</v>
      </c>
      <c r="V583" s="668">
        <f t="shared" si="176"/>
        <v>1210</v>
      </c>
      <c r="W583" s="668">
        <f t="shared" si="177"/>
        <v>0</v>
      </c>
      <c r="X583" s="668">
        <f t="shared" si="178"/>
        <v>0</v>
      </c>
      <c r="Y583" s="668">
        <f t="shared" si="179"/>
        <v>0</v>
      </c>
      <c r="Z583" s="668">
        <f t="shared" si="180"/>
        <v>0</v>
      </c>
      <c r="AA583" s="668">
        <f t="shared" si="181"/>
        <v>0</v>
      </c>
      <c r="AB583" s="668">
        <f t="shared" si="182"/>
        <v>0</v>
      </c>
      <c r="AC583" s="668">
        <f t="shared" si="172"/>
        <v>0</v>
      </c>
      <c r="AD583" s="668">
        <f t="shared" si="183"/>
        <v>0</v>
      </c>
      <c r="AE583" s="668">
        <f t="shared" si="184"/>
        <v>0</v>
      </c>
      <c r="AF583" s="668">
        <f t="shared" si="185"/>
        <v>0</v>
      </c>
      <c r="AG583" s="668">
        <f t="shared" si="186"/>
        <v>0</v>
      </c>
      <c r="AH583" s="668"/>
      <c r="AI583" s="668"/>
      <c r="AJ583" s="668"/>
      <c r="AK583" s="668"/>
      <c r="AL583" s="668"/>
      <c r="AM583" s="668">
        <f t="shared" si="173"/>
        <v>0</v>
      </c>
      <c r="AN583" s="668">
        <f t="shared" si="168"/>
        <v>0</v>
      </c>
      <c r="AO583" s="668">
        <f t="shared" si="169"/>
        <v>0</v>
      </c>
      <c r="AP583" s="668">
        <f t="shared" si="174"/>
        <v>0</v>
      </c>
      <c r="AQ583" s="668">
        <f t="shared" si="170"/>
        <v>0</v>
      </c>
      <c r="AR583" s="668">
        <f t="shared" si="171"/>
        <v>0</v>
      </c>
      <c r="AS583" s="668"/>
      <c r="AT583" s="668"/>
      <c r="AU583" s="668"/>
      <c r="AV583" s="668"/>
      <c r="AW583" s="668"/>
      <c r="AX583" s="668"/>
      <c r="AY583" s="668"/>
      <c r="AZ583" s="668"/>
      <c r="BA583" s="668"/>
      <c r="BB583" s="668">
        <f t="shared" si="175"/>
        <v>0</v>
      </c>
      <c r="BC583" s="668"/>
      <c r="BD583" s="668"/>
      <c r="BE583" s="668"/>
      <c r="BF583" s="668"/>
      <c r="BG583" s="668"/>
      <c r="BH583" s="668"/>
      <c r="BI583" s="668"/>
    </row>
    <row r="584" spans="1:61" x14ac:dyDescent="0.2">
      <c r="A584" s="1020">
        <v>3105</v>
      </c>
      <c r="B584" s="1020" t="s">
        <v>476</v>
      </c>
      <c r="C584" s="1020"/>
      <c r="D584" s="667">
        <v>59</v>
      </c>
      <c r="E584" s="667"/>
      <c r="F584" s="667"/>
      <c r="G584" s="667"/>
      <c r="H584" s="667"/>
      <c r="I584" s="667"/>
      <c r="J584" s="667"/>
      <c r="K584" s="667"/>
      <c r="L584" s="667"/>
      <c r="M584" s="667"/>
      <c r="N584" s="667"/>
      <c r="O584" s="667"/>
      <c r="P584" s="667"/>
      <c r="Q584" s="667"/>
      <c r="R584" s="667"/>
      <c r="S584" s="667"/>
      <c r="T584" s="667"/>
      <c r="U584" s="1020">
        <v>12</v>
      </c>
      <c r="V584" s="668">
        <f t="shared" si="176"/>
        <v>708</v>
      </c>
      <c r="W584" s="668">
        <f t="shared" si="177"/>
        <v>0</v>
      </c>
      <c r="X584" s="668">
        <f t="shared" si="178"/>
        <v>0</v>
      </c>
      <c r="Y584" s="668">
        <f t="shared" si="179"/>
        <v>0</v>
      </c>
      <c r="Z584" s="668">
        <f t="shared" si="180"/>
        <v>0</v>
      </c>
      <c r="AA584" s="668">
        <f t="shared" si="181"/>
        <v>0</v>
      </c>
      <c r="AB584" s="668">
        <f t="shared" si="182"/>
        <v>0</v>
      </c>
      <c r="AC584" s="668">
        <f t="shared" si="172"/>
        <v>0</v>
      </c>
      <c r="AD584" s="668">
        <f t="shared" si="183"/>
        <v>0</v>
      </c>
      <c r="AE584" s="668">
        <f t="shared" si="184"/>
        <v>0</v>
      </c>
      <c r="AF584" s="668">
        <f t="shared" si="185"/>
        <v>0</v>
      </c>
      <c r="AG584" s="668">
        <f t="shared" si="186"/>
        <v>0</v>
      </c>
      <c r="AH584" s="668"/>
      <c r="AI584" s="668"/>
      <c r="AJ584" s="668"/>
      <c r="AK584" s="668"/>
      <c r="AL584" s="668"/>
      <c r="AM584" s="668">
        <f t="shared" si="173"/>
        <v>0</v>
      </c>
      <c r="AN584" s="668">
        <f t="shared" ref="AN584:AN647" si="187">+U584*E584</f>
        <v>0</v>
      </c>
      <c r="AO584" s="668">
        <f t="shared" ref="AO584:AO647" si="188">+U584*O584</f>
        <v>0</v>
      </c>
      <c r="AP584" s="668">
        <f t="shared" si="174"/>
        <v>0</v>
      </c>
      <c r="AQ584" s="668">
        <f t="shared" ref="AQ584:AQ647" si="189">+$AQ$4*K584</f>
        <v>0</v>
      </c>
      <c r="AR584" s="668">
        <f t="shared" ref="AR584:AR647" si="190">+$AR$4*K584</f>
        <v>0</v>
      </c>
      <c r="AS584" s="668"/>
      <c r="AT584" s="668"/>
      <c r="AU584" s="668"/>
      <c r="AV584" s="668"/>
      <c r="AW584" s="668"/>
      <c r="AX584" s="668"/>
      <c r="AY584" s="668"/>
      <c r="AZ584" s="668"/>
      <c r="BA584" s="668"/>
      <c r="BB584" s="668">
        <f t="shared" si="175"/>
        <v>0</v>
      </c>
      <c r="BC584" s="668"/>
      <c r="BD584" s="668"/>
      <c r="BE584" s="668"/>
      <c r="BF584" s="668"/>
      <c r="BG584" s="668"/>
      <c r="BH584" s="668"/>
      <c r="BI584" s="668"/>
    </row>
    <row r="585" spans="1:61" x14ac:dyDescent="0.2">
      <c r="A585" s="1020">
        <v>3106</v>
      </c>
      <c r="B585" s="1020" t="s">
        <v>579</v>
      </c>
      <c r="C585" s="1020"/>
      <c r="D585" s="667">
        <v>51</v>
      </c>
      <c r="E585" s="667"/>
      <c r="F585" s="667"/>
      <c r="G585" s="667"/>
      <c r="H585" s="667"/>
      <c r="I585" s="667"/>
      <c r="J585" s="667"/>
      <c r="K585" s="667"/>
      <c r="L585" s="667"/>
      <c r="M585" s="667"/>
      <c r="N585" s="667"/>
      <c r="O585" s="667"/>
      <c r="P585" s="667"/>
      <c r="Q585" s="667"/>
      <c r="R585" s="667"/>
      <c r="S585" s="667"/>
      <c r="T585" s="667"/>
      <c r="U585" s="1020">
        <v>12</v>
      </c>
      <c r="V585" s="668">
        <f t="shared" si="176"/>
        <v>612</v>
      </c>
      <c r="W585" s="668">
        <f t="shared" si="177"/>
        <v>0</v>
      </c>
      <c r="X585" s="668">
        <f t="shared" si="178"/>
        <v>0</v>
      </c>
      <c r="Y585" s="668">
        <f t="shared" si="179"/>
        <v>0</v>
      </c>
      <c r="Z585" s="668">
        <f t="shared" si="180"/>
        <v>0</v>
      </c>
      <c r="AA585" s="668">
        <f t="shared" si="181"/>
        <v>0</v>
      </c>
      <c r="AB585" s="668">
        <f t="shared" si="182"/>
        <v>0</v>
      </c>
      <c r="AC585" s="668">
        <f t="shared" si="172"/>
        <v>0</v>
      </c>
      <c r="AD585" s="668">
        <f t="shared" si="183"/>
        <v>0</v>
      </c>
      <c r="AE585" s="668">
        <f t="shared" si="184"/>
        <v>0</v>
      </c>
      <c r="AF585" s="668">
        <f t="shared" si="185"/>
        <v>0</v>
      </c>
      <c r="AG585" s="668">
        <f t="shared" si="186"/>
        <v>0</v>
      </c>
      <c r="AH585" s="668"/>
      <c r="AI585" s="668"/>
      <c r="AJ585" s="668"/>
      <c r="AK585" s="668"/>
      <c r="AL585" s="668"/>
      <c r="AM585" s="668">
        <f t="shared" si="173"/>
        <v>0</v>
      </c>
      <c r="AN585" s="668">
        <f t="shared" si="187"/>
        <v>0</v>
      </c>
      <c r="AO585" s="668">
        <f t="shared" si="188"/>
        <v>0</v>
      </c>
      <c r="AP585" s="668">
        <f t="shared" si="174"/>
        <v>0</v>
      </c>
      <c r="AQ585" s="668">
        <f t="shared" si="189"/>
        <v>0</v>
      </c>
      <c r="AR585" s="668">
        <f t="shared" si="190"/>
        <v>0</v>
      </c>
      <c r="AS585" s="668"/>
      <c r="AT585" s="668"/>
      <c r="AU585" s="668"/>
      <c r="AV585" s="668"/>
      <c r="AW585" s="668"/>
      <c r="AX585" s="668"/>
      <c r="AY585" s="668"/>
      <c r="AZ585" s="668"/>
      <c r="BA585" s="668"/>
      <c r="BB585" s="668">
        <f t="shared" si="175"/>
        <v>0</v>
      </c>
      <c r="BC585" s="668"/>
      <c r="BD585" s="668"/>
      <c r="BE585" s="668"/>
      <c r="BF585" s="668"/>
      <c r="BG585" s="668"/>
      <c r="BH585" s="668"/>
      <c r="BI585" s="668"/>
    </row>
    <row r="586" spans="1:61" x14ac:dyDescent="0.2">
      <c r="A586" s="1020">
        <v>3107</v>
      </c>
      <c r="B586" s="1020" t="s">
        <v>736</v>
      </c>
      <c r="C586" s="1020"/>
      <c r="D586" s="667">
        <v>107</v>
      </c>
      <c r="E586" s="667"/>
      <c r="F586" s="667"/>
      <c r="G586" s="667"/>
      <c r="H586" s="667"/>
      <c r="I586" s="667"/>
      <c r="J586" s="667"/>
      <c r="K586" s="667"/>
      <c r="L586" s="667">
        <v>6</v>
      </c>
      <c r="M586" s="667"/>
      <c r="N586" s="667"/>
      <c r="O586" s="667"/>
      <c r="P586" s="667"/>
      <c r="Q586" s="667"/>
      <c r="R586" s="667"/>
      <c r="S586" s="667"/>
      <c r="T586" s="667"/>
      <c r="U586" s="1020">
        <v>10</v>
      </c>
      <c r="V586" s="668">
        <f t="shared" si="176"/>
        <v>1070</v>
      </c>
      <c r="W586" s="668">
        <f t="shared" si="177"/>
        <v>0</v>
      </c>
      <c r="X586" s="668">
        <f t="shared" si="178"/>
        <v>0</v>
      </c>
      <c r="Y586" s="668">
        <f t="shared" si="179"/>
        <v>0</v>
      </c>
      <c r="Z586" s="668">
        <f t="shared" si="180"/>
        <v>0</v>
      </c>
      <c r="AA586" s="668">
        <f t="shared" si="181"/>
        <v>0</v>
      </c>
      <c r="AB586" s="668">
        <f t="shared" si="182"/>
        <v>0</v>
      </c>
      <c r="AC586" s="668">
        <f t="shared" ref="AC586:AC649" si="191">+U586*P586</f>
        <v>0</v>
      </c>
      <c r="AD586" s="668">
        <f t="shared" si="183"/>
        <v>0</v>
      </c>
      <c r="AE586" s="668">
        <f t="shared" si="184"/>
        <v>0</v>
      </c>
      <c r="AF586" s="668">
        <f t="shared" si="185"/>
        <v>60</v>
      </c>
      <c r="AG586" s="668">
        <f t="shared" si="186"/>
        <v>0</v>
      </c>
      <c r="AH586" s="668"/>
      <c r="AI586" s="668"/>
      <c r="AJ586" s="668"/>
      <c r="AK586" s="668"/>
      <c r="AL586" s="668"/>
      <c r="AM586" s="668">
        <f t="shared" si="173"/>
        <v>0</v>
      </c>
      <c r="AN586" s="668">
        <f t="shared" si="187"/>
        <v>0</v>
      </c>
      <c r="AO586" s="668">
        <f t="shared" si="188"/>
        <v>0</v>
      </c>
      <c r="AP586" s="668">
        <f t="shared" si="174"/>
        <v>0</v>
      </c>
      <c r="AQ586" s="668">
        <f t="shared" si="189"/>
        <v>0</v>
      </c>
      <c r="AR586" s="668">
        <f t="shared" si="190"/>
        <v>0</v>
      </c>
      <c r="AS586" s="668"/>
      <c r="AT586" s="668"/>
      <c r="AU586" s="668"/>
      <c r="AV586" s="668"/>
      <c r="AW586" s="668"/>
      <c r="AX586" s="668"/>
      <c r="AY586" s="668"/>
      <c r="AZ586" s="668"/>
      <c r="BA586" s="668"/>
      <c r="BB586" s="668">
        <f t="shared" si="175"/>
        <v>0</v>
      </c>
      <c r="BC586" s="668"/>
      <c r="BD586" s="668"/>
      <c r="BE586" s="668"/>
      <c r="BF586" s="668"/>
      <c r="BG586" s="668"/>
      <c r="BH586" s="668"/>
      <c r="BI586" s="668"/>
    </row>
    <row r="587" spans="1:61" x14ac:dyDescent="0.2">
      <c r="A587" s="1020">
        <v>3108</v>
      </c>
      <c r="B587" s="1020" t="s">
        <v>737</v>
      </c>
      <c r="C587" s="1020"/>
      <c r="D587" s="667">
        <v>93</v>
      </c>
      <c r="E587" s="667">
        <v>63</v>
      </c>
      <c r="F587" s="667"/>
      <c r="G587" s="667"/>
      <c r="H587" s="667"/>
      <c r="I587" s="667">
        <v>262</v>
      </c>
      <c r="J587" s="667"/>
      <c r="K587" s="667"/>
      <c r="L587" s="667"/>
      <c r="M587" s="667"/>
      <c r="N587" s="667"/>
      <c r="O587" s="667"/>
      <c r="P587" s="667"/>
      <c r="Q587" s="667"/>
      <c r="R587" s="667"/>
      <c r="S587" s="667"/>
      <c r="T587" s="667"/>
      <c r="U587" s="1020">
        <v>11</v>
      </c>
      <c r="V587" s="668">
        <f t="shared" si="176"/>
        <v>1023</v>
      </c>
      <c r="W587" s="668">
        <f t="shared" si="177"/>
        <v>0</v>
      </c>
      <c r="X587" s="668">
        <f t="shared" si="178"/>
        <v>0</v>
      </c>
      <c r="Y587" s="668">
        <f t="shared" si="179"/>
        <v>0</v>
      </c>
      <c r="Z587" s="668">
        <f t="shared" si="180"/>
        <v>0</v>
      </c>
      <c r="AA587" s="668">
        <f t="shared" si="181"/>
        <v>0</v>
      </c>
      <c r="AB587" s="668">
        <f t="shared" si="182"/>
        <v>0</v>
      </c>
      <c r="AC587" s="668">
        <f t="shared" si="191"/>
        <v>0</v>
      </c>
      <c r="AD587" s="668">
        <f t="shared" si="183"/>
        <v>0</v>
      </c>
      <c r="AE587" s="668">
        <f t="shared" si="184"/>
        <v>0</v>
      </c>
      <c r="AF587" s="668">
        <f t="shared" si="185"/>
        <v>0</v>
      </c>
      <c r="AG587" s="668">
        <f t="shared" si="186"/>
        <v>0</v>
      </c>
      <c r="AH587" s="668"/>
      <c r="AI587" s="668"/>
      <c r="AJ587" s="668"/>
      <c r="AK587" s="668"/>
      <c r="AL587" s="668"/>
      <c r="AM587" s="668">
        <f t="shared" si="173"/>
        <v>262</v>
      </c>
      <c r="AN587" s="668">
        <f t="shared" si="187"/>
        <v>693</v>
      </c>
      <c r="AO587" s="668">
        <f t="shared" si="188"/>
        <v>0</v>
      </c>
      <c r="AP587" s="668">
        <f t="shared" si="174"/>
        <v>0</v>
      </c>
      <c r="AQ587" s="668">
        <f t="shared" si="189"/>
        <v>0</v>
      </c>
      <c r="AR587" s="668">
        <f t="shared" si="190"/>
        <v>0</v>
      </c>
      <c r="AS587" s="668"/>
      <c r="AT587" s="668"/>
      <c r="AU587" s="668"/>
      <c r="AV587" s="668"/>
      <c r="AW587" s="668"/>
      <c r="AX587" s="668"/>
      <c r="AY587" s="668"/>
      <c r="AZ587" s="668"/>
      <c r="BA587" s="668"/>
      <c r="BB587" s="668">
        <f t="shared" si="175"/>
        <v>0</v>
      </c>
      <c r="BC587" s="668"/>
      <c r="BD587" s="668"/>
      <c r="BE587" s="668"/>
      <c r="BF587" s="668"/>
      <c r="BG587" s="668"/>
      <c r="BH587" s="668"/>
      <c r="BI587" s="668"/>
    </row>
    <row r="588" spans="1:61" x14ac:dyDescent="0.2">
      <c r="A588" s="1020">
        <v>3109</v>
      </c>
      <c r="B588" s="1020" t="s">
        <v>515</v>
      </c>
      <c r="C588" s="1020"/>
      <c r="D588" s="667">
        <v>56</v>
      </c>
      <c r="E588" s="667"/>
      <c r="F588" s="667"/>
      <c r="G588" s="667"/>
      <c r="H588" s="667"/>
      <c r="I588" s="667"/>
      <c r="J588" s="667"/>
      <c r="K588" s="667"/>
      <c r="L588" s="667"/>
      <c r="M588" s="667"/>
      <c r="N588" s="667"/>
      <c r="O588" s="667"/>
      <c r="P588" s="667"/>
      <c r="Q588" s="667"/>
      <c r="R588" s="667"/>
      <c r="S588" s="667"/>
      <c r="T588" s="667">
        <v>1542</v>
      </c>
      <c r="U588" s="1020">
        <v>12</v>
      </c>
      <c r="V588" s="668">
        <f t="shared" si="176"/>
        <v>672</v>
      </c>
      <c r="W588" s="668">
        <f t="shared" si="177"/>
        <v>0</v>
      </c>
      <c r="X588" s="668">
        <f t="shared" si="178"/>
        <v>0</v>
      </c>
      <c r="Y588" s="668">
        <f t="shared" si="179"/>
        <v>0</v>
      </c>
      <c r="Z588" s="668">
        <f t="shared" si="180"/>
        <v>0</v>
      </c>
      <c r="AA588" s="668">
        <f t="shared" si="181"/>
        <v>0</v>
      </c>
      <c r="AB588" s="668">
        <f t="shared" si="182"/>
        <v>1542</v>
      </c>
      <c r="AC588" s="668">
        <f t="shared" si="191"/>
        <v>0</v>
      </c>
      <c r="AD588" s="668">
        <f t="shared" si="183"/>
        <v>0</v>
      </c>
      <c r="AE588" s="668">
        <f t="shared" si="184"/>
        <v>0</v>
      </c>
      <c r="AF588" s="668">
        <f t="shared" si="185"/>
        <v>0</v>
      </c>
      <c r="AG588" s="668">
        <f t="shared" si="186"/>
        <v>0</v>
      </c>
      <c r="AH588" s="668"/>
      <c r="AI588" s="668"/>
      <c r="AJ588" s="668"/>
      <c r="AK588" s="668"/>
      <c r="AL588" s="668"/>
      <c r="AM588" s="668">
        <f t="shared" si="173"/>
        <v>0</v>
      </c>
      <c r="AN588" s="668">
        <f t="shared" si="187"/>
        <v>0</v>
      </c>
      <c r="AO588" s="668">
        <f t="shared" si="188"/>
        <v>0</v>
      </c>
      <c r="AP588" s="668">
        <f t="shared" si="174"/>
        <v>0</v>
      </c>
      <c r="AQ588" s="668">
        <f t="shared" si="189"/>
        <v>0</v>
      </c>
      <c r="AR588" s="668">
        <f t="shared" si="190"/>
        <v>0</v>
      </c>
      <c r="AS588" s="668"/>
      <c r="AT588" s="668"/>
      <c r="AU588" s="668"/>
      <c r="AV588" s="668"/>
      <c r="AW588" s="668"/>
      <c r="AX588" s="668"/>
      <c r="AY588" s="668"/>
      <c r="AZ588" s="668"/>
      <c r="BA588" s="668"/>
      <c r="BB588" s="668">
        <f t="shared" si="175"/>
        <v>0</v>
      </c>
      <c r="BC588" s="668"/>
      <c r="BD588" s="668"/>
      <c r="BE588" s="668"/>
      <c r="BF588" s="668"/>
      <c r="BG588" s="668"/>
      <c r="BH588" s="668"/>
      <c r="BI588" s="668"/>
    </row>
    <row r="589" spans="1:61" x14ac:dyDescent="0.2">
      <c r="A589" s="1020">
        <v>3110</v>
      </c>
      <c r="B589" s="1020" t="s">
        <v>515</v>
      </c>
      <c r="C589" s="1020"/>
      <c r="D589" s="667">
        <v>115</v>
      </c>
      <c r="E589" s="667"/>
      <c r="F589" s="667">
        <v>35</v>
      </c>
      <c r="G589" s="667"/>
      <c r="H589" s="667"/>
      <c r="I589" s="667"/>
      <c r="J589" s="667"/>
      <c r="K589" s="667"/>
      <c r="L589" s="667"/>
      <c r="M589" s="667"/>
      <c r="N589" s="667"/>
      <c r="O589" s="667"/>
      <c r="P589" s="667"/>
      <c r="Q589" s="667"/>
      <c r="R589" s="667"/>
      <c r="S589" s="667"/>
      <c r="T589" s="667">
        <v>2840</v>
      </c>
      <c r="U589" s="1020">
        <v>12</v>
      </c>
      <c r="V589" s="668">
        <f t="shared" si="176"/>
        <v>1380</v>
      </c>
      <c r="W589" s="668">
        <f t="shared" si="177"/>
        <v>0</v>
      </c>
      <c r="X589" s="668">
        <f t="shared" si="178"/>
        <v>0</v>
      </c>
      <c r="Y589" s="668">
        <f t="shared" si="179"/>
        <v>0</v>
      </c>
      <c r="Z589" s="668">
        <f t="shared" si="180"/>
        <v>0</v>
      </c>
      <c r="AA589" s="668">
        <f t="shared" si="181"/>
        <v>0</v>
      </c>
      <c r="AB589" s="668">
        <f t="shared" si="182"/>
        <v>2840</v>
      </c>
      <c r="AC589" s="668">
        <f t="shared" si="191"/>
        <v>0</v>
      </c>
      <c r="AD589" s="668">
        <f t="shared" si="183"/>
        <v>0</v>
      </c>
      <c r="AE589" s="668">
        <f t="shared" si="184"/>
        <v>0</v>
      </c>
      <c r="AF589" s="668">
        <f t="shared" si="185"/>
        <v>0</v>
      </c>
      <c r="AG589" s="668">
        <f t="shared" si="186"/>
        <v>0</v>
      </c>
      <c r="AH589" s="668"/>
      <c r="AI589" s="668"/>
      <c r="AJ589" s="668"/>
      <c r="AK589" s="668"/>
      <c r="AL589" s="668"/>
      <c r="AM589" s="668">
        <f t="shared" si="173"/>
        <v>0</v>
      </c>
      <c r="AN589" s="668">
        <f t="shared" si="187"/>
        <v>0</v>
      </c>
      <c r="AO589" s="668">
        <f t="shared" si="188"/>
        <v>0</v>
      </c>
      <c r="AP589" s="668">
        <f t="shared" si="174"/>
        <v>420</v>
      </c>
      <c r="AQ589" s="668">
        <f t="shared" si="189"/>
        <v>0</v>
      </c>
      <c r="AR589" s="668">
        <f t="shared" si="190"/>
        <v>0</v>
      </c>
      <c r="AS589" s="668"/>
      <c r="AT589" s="668"/>
      <c r="AU589" s="668"/>
      <c r="AV589" s="668"/>
      <c r="AW589" s="668"/>
      <c r="AX589" s="668"/>
      <c r="AY589" s="668"/>
      <c r="AZ589" s="668"/>
      <c r="BA589" s="668"/>
      <c r="BB589" s="668"/>
      <c r="BC589" s="668"/>
      <c r="BD589" s="668"/>
      <c r="BE589" s="668"/>
      <c r="BF589" s="668"/>
      <c r="BG589" s="668"/>
      <c r="BH589" s="668"/>
      <c r="BI589" s="668"/>
    </row>
    <row r="590" spans="1:61" x14ac:dyDescent="0.2">
      <c r="A590" s="1020">
        <v>3111</v>
      </c>
      <c r="B590" s="1020" t="s">
        <v>467</v>
      </c>
      <c r="C590" s="1020"/>
      <c r="D590" s="667">
        <v>80</v>
      </c>
      <c r="E590" s="667"/>
      <c r="F590" s="667"/>
      <c r="G590" s="667"/>
      <c r="H590" s="667"/>
      <c r="I590" s="667"/>
      <c r="J590" s="667"/>
      <c r="K590" s="667"/>
      <c r="L590" s="667"/>
      <c r="M590" s="667"/>
      <c r="N590" s="667"/>
      <c r="O590" s="667"/>
      <c r="P590" s="667"/>
      <c r="Q590" s="667"/>
      <c r="R590" s="667"/>
      <c r="S590" s="667"/>
      <c r="T590" s="667"/>
      <c r="U590" s="1020">
        <v>3</v>
      </c>
      <c r="V590" s="668">
        <f t="shared" si="176"/>
        <v>240</v>
      </c>
      <c r="W590" s="668">
        <f t="shared" si="177"/>
        <v>0</v>
      </c>
      <c r="X590" s="668">
        <f t="shared" si="178"/>
        <v>0</v>
      </c>
      <c r="Y590" s="668">
        <f t="shared" si="179"/>
        <v>0</v>
      </c>
      <c r="Z590" s="668">
        <f t="shared" si="180"/>
        <v>0</v>
      </c>
      <c r="AA590" s="668">
        <f t="shared" si="181"/>
        <v>0</v>
      </c>
      <c r="AB590" s="668">
        <f t="shared" si="182"/>
        <v>0</v>
      </c>
      <c r="AC590" s="668">
        <f t="shared" si="191"/>
        <v>0</v>
      </c>
      <c r="AD590" s="668">
        <f t="shared" si="183"/>
        <v>0</v>
      </c>
      <c r="AE590" s="668">
        <f t="shared" si="184"/>
        <v>0</v>
      </c>
      <c r="AF590" s="668">
        <f t="shared" si="185"/>
        <v>0</v>
      </c>
      <c r="AG590" s="668">
        <f t="shared" si="186"/>
        <v>0</v>
      </c>
      <c r="AH590" s="668"/>
      <c r="AI590" s="668"/>
      <c r="AJ590" s="668"/>
      <c r="AK590" s="668"/>
      <c r="AL590" s="668"/>
      <c r="AM590" s="668">
        <f t="shared" si="173"/>
        <v>0</v>
      </c>
      <c r="AN590" s="668">
        <f t="shared" si="187"/>
        <v>0</v>
      </c>
      <c r="AO590" s="668">
        <f t="shared" si="188"/>
        <v>0</v>
      </c>
      <c r="AP590" s="668">
        <f t="shared" si="174"/>
        <v>0</v>
      </c>
      <c r="AQ590" s="668">
        <f t="shared" si="189"/>
        <v>0</v>
      </c>
      <c r="AR590" s="668">
        <f t="shared" si="190"/>
        <v>0</v>
      </c>
      <c r="AS590" s="668"/>
      <c r="AT590" s="668"/>
      <c r="AU590" s="668"/>
      <c r="AV590" s="668"/>
      <c r="AW590" s="668"/>
      <c r="AX590" s="668"/>
      <c r="AY590" s="668"/>
      <c r="AZ590" s="668"/>
      <c r="BA590" s="668"/>
      <c r="BB590" s="668">
        <f t="shared" si="175"/>
        <v>0</v>
      </c>
      <c r="BC590" s="668"/>
      <c r="BD590" s="668"/>
      <c r="BE590" s="668"/>
      <c r="BF590" s="668"/>
      <c r="BG590" s="668"/>
      <c r="BH590" s="668"/>
      <c r="BI590" s="668"/>
    </row>
    <row r="591" spans="1:61" x14ac:dyDescent="0.2">
      <c r="A591" s="1020">
        <v>3112</v>
      </c>
      <c r="B591" s="1020" t="s">
        <v>466</v>
      </c>
      <c r="C591" s="1020"/>
      <c r="D591" s="667">
        <v>80</v>
      </c>
      <c r="E591" s="667"/>
      <c r="F591" s="667"/>
      <c r="G591" s="667"/>
      <c r="H591" s="667"/>
      <c r="I591" s="667"/>
      <c r="J591" s="667"/>
      <c r="K591" s="667"/>
      <c r="L591" s="667"/>
      <c r="M591" s="667"/>
      <c r="N591" s="667"/>
      <c r="O591" s="667"/>
      <c r="P591" s="667"/>
      <c r="Q591" s="667"/>
      <c r="R591" s="667"/>
      <c r="S591" s="667"/>
      <c r="T591" s="667"/>
      <c r="U591" s="1020">
        <v>3</v>
      </c>
      <c r="V591" s="668">
        <f t="shared" si="176"/>
        <v>240</v>
      </c>
      <c r="W591" s="668">
        <f t="shared" si="177"/>
        <v>0</v>
      </c>
      <c r="X591" s="668">
        <f t="shared" si="178"/>
        <v>0</v>
      </c>
      <c r="Y591" s="668">
        <f t="shared" si="179"/>
        <v>0</v>
      </c>
      <c r="Z591" s="668">
        <f t="shared" si="180"/>
        <v>0</v>
      </c>
      <c r="AA591" s="668">
        <f t="shared" si="181"/>
        <v>0</v>
      </c>
      <c r="AB591" s="668">
        <f t="shared" si="182"/>
        <v>0</v>
      </c>
      <c r="AC591" s="668">
        <f t="shared" si="191"/>
        <v>0</v>
      </c>
      <c r="AD591" s="668">
        <f t="shared" si="183"/>
        <v>0</v>
      </c>
      <c r="AE591" s="668">
        <f t="shared" si="184"/>
        <v>0</v>
      </c>
      <c r="AF591" s="668">
        <f t="shared" si="185"/>
        <v>0</v>
      </c>
      <c r="AG591" s="668">
        <f t="shared" si="186"/>
        <v>0</v>
      </c>
      <c r="AH591" s="668"/>
      <c r="AI591" s="668"/>
      <c r="AJ591" s="668"/>
      <c r="AK591" s="668"/>
      <c r="AL591" s="668"/>
      <c r="AM591" s="668">
        <f t="shared" si="173"/>
        <v>0</v>
      </c>
      <c r="AN591" s="668">
        <f t="shared" si="187"/>
        <v>0</v>
      </c>
      <c r="AO591" s="668">
        <f t="shared" si="188"/>
        <v>0</v>
      </c>
      <c r="AP591" s="668">
        <f t="shared" si="174"/>
        <v>0</v>
      </c>
      <c r="AQ591" s="668">
        <f t="shared" si="189"/>
        <v>0</v>
      </c>
      <c r="AR591" s="668">
        <f t="shared" si="190"/>
        <v>0</v>
      </c>
      <c r="AS591" s="668"/>
      <c r="AT591" s="668"/>
      <c r="AU591" s="668"/>
      <c r="AV591" s="668"/>
      <c r="AW591" s="668"/>
      <c r="AX591" s="668"/>
      <c r="AY591" s="668"/>
      <c r="AZ591" s="668"/>
      <c r="BA591" s="668"/>
      <c r="BB591" s="668">
        <f t="shared" si="175"/>
        <v>0</v>
      </c>
      <c r="BC591" s="668"/>
      <c r="BD591" s="668"/>
      <c r="BE591" s="668"/>
      <c r="BF591" s="668"/>
      <c r="BG591" s="668"/>
      <c r="BH591" s="668"/>
      <c r="BI591" s="668"/>
    </row>
    <row r="592" spans="1:61" x14ac:dyDescent="0.2">
      <c r="A592" s="1020">
        <v>3113</v>
      </c>
      <c r="B592" s="1020" t="s">
        <v>625</v>
      </c>
      <c r="C592" s="1020"/>
      <c r="D592" s="667">
        <v>39</v>
      </c>
      <c r="E592" s="667"/>
      <c r="F592" s="667"/>
      <c r="G592" s="667"/>
      <c r="H592" s="667"/>
      <c r="I592" s="667"/>
      <c r="J592" s="667"/>
      <c r="K592" s="667"/>
      <c r="L592" s="667"/>
      <c r="M592" s="667"/>
      <c r="N592" s="667"/>
      <c r="O592" s="667"/>
      <c r="P592" s="667"/>
      <c r="Q592" s="667"/>
      <c r="R592" s="667"/>
      <c r="S592" s="667"/>
      <c r="T592" s="667"/>
      <c r="U592" s="1020">
        <v>10</v>
      </c>
      <c r="V592" s="668">
        <f t="shared" si="176"/>
        <v>390</v>
      </c>
      <c r="W592" s="668">
        <f t="shared" si="177"/>
        <v>0</v>
      </c>
      <c r="X592" s="668">
        <f t="shared" si="178"/>
        <v>0</v>
      </c>
      <c r="Y592" s="668">
        <f t="shared" si="179"/>
        <v>0</v>
      </c>
      <c r="Z592" s="668">
        <f t="shared" si="180"/>
        <v>0</v>
      </c>
      <c r="AA592" s="668">
        <f t="shared" si="181"/>
        <v>0</v>
      </c>
      <c r="AB592" s="668">
        <f t="shared" si="182"/>
        <v>0</v>
      </c>
      <c r="AC592" s="668">
        <f t="shared" si="191"/>
        <v>0</v>
      </c>
      <c r="AD592" s="668">
        <f t="shared" si="183"/>
        <v>0</v>
      </c>
      <c r="AE592" s="668">
        <f t="shared" si="184"/>
        <v>0</v>
      </c>
      <c r="AF592" s="668">
        <f t="shared" si="185"/>
        <v>0</v>
      </c>
      <c r="AG592" s="668">
        <f t="shared" si="186"/>
        <v>0</v>
      </c>
      <c r="AH592" s="668"/>
      <c r="AI592" s="668"/>
      <c r="AJ592" s="668"/>
      <c r="AK592" s="668"/>
      <c r="AL592" s="668"/>
      <c r="AM592" s="668">
        <f t="shared" si="173"/>
        <v>0</v>
      </c>
      <c r="AN592" s="668">
        <f t="shared" si="187"/>
        <v>0</v>
      </c>
      <c r="AO592" s="668">
        <f t="shared" si="188"/>
        <v>0</v>
      </c>
      <c r="AP592" s="668">
        <f t="shared" si="174"/>
        <v>0</v>
      </c>
      <c r="AQ592" s="668">
        <f t="shared" si="189"/>
        <v>0</v>
      </c>
      <c r="AR592" s="668">
        <f t="shared" si="190"/>
        <v>0</v>
      </c>
      <c r="AS592" s="668"/>
      <c r="AT592" s="668"/>
      <c r="AU592" s="668"/>
      <c r="AV592" s="668"/>
      <c r="AW592" s="668"/>
      <c r="AX592" s="668"/>
      <c r="AY592" s="668"/>
      <c r="AZ592" s="668"/>
      <c r="BA592" s="668"/>
      <c r="BB592" s="668">
        <f t="shared" si="175"/>
        <v>0</v>
      </c>
      <c r="BC592" s="668"/>
      <c r="BD592" s="668"/>
      <c r="BE592" s="668"/>
      <c r="BF592" s="668"/>
      <c r="BG592" s="668"/>
      <c r="BH592" s="668"/>
      <c r="BI592" s="668"/>
    </row>
    <row r="593" spans="1:61" x14ac:dyDescent="0.2">
      <c r="A593" s="1020">
        <v>3114</v>
      </c>
      <c r="B593" s="1020" t="s">
        <v>686</v>
      </c>
      <c r="C593" s="1020"/>
      <c r="D593" s="667">
        <v>106</v>
      </c>
      <c r="E593" s="667"/>
      <c r="F593" s="667"/>
      <c r="G593" s="667"/>
      <c r="H593" s="667"/>
      <c r="I593" s="667"/>
      <c r="J593" s="667"/>
      <c r="K593" s="667"/>
      <c r="L593" s="667"/>
      <c r="M593" s="667"/>
      <c r="N593" s="667"/>
      <c r="O593" s="667"/>
      <c r="P593" s="667"/>
      <c r="Q593" s="667"/>
      <c r="R593" s="667"/>
      <c r="S593" s="667"/>
      <c r="T593" s="667"/>
      <c r="U593" s="1020">
        <v>12</v>
      </c>
      <c r="V593" s="668">
        <f t="shared" si="176"/>
        <v>1272</v>
      </c>
      <c r="W593" s="668">
        <f t="shared" si="177"/>
        <v>0</v>
      </c>
      <c r="X593" s="668">
        <f t="shared" si="178"/>
        <v>0</v>
      </c>
      <c r="Y593" s="668">
        <f t="shared" si="179"/>
        <v>0</v>
      </c>
      <c r="Z593" s="668">
        <f t="shared" si="180"/>
        <v>0</v>
      </c>
      <c r="AA593" s="668">
        <f t="shared" si="181"/>
        <v>0</v>
      </c>
      <c r="AB593" s="668">
        <f t="shared" si="182"/>
        <v>0</v>
      </c>
      <c r="AC593" s="668">
        <f t="shared" si="191"/>
        <v>0</v>
      </c>
      <c r="AD593" s="668">
        <f t="shared" si="183"/>
        <v>0</v>
      </c>
      <c r="AE593" s="668">
        <f t="shared" si="184"/>
        <v>0</v>
      </c>
      <c r="AF593" s="668">
        <f t="shared" si="185"/>
        <v>0</v>
      </c>
      <c r="AG593" s="668">
        <f t="shared" si="186"/>
        <v>0</v>
      </c>
      <c r="AH593" s="668"/>
      <c r="AI593" s="668"/>
      <c r="AJ593" s="668"/>
      <c r="AK593" s="668"/>
      <c r="AL593" s="668"/>
      <c r="AM593" s="668">
        <f t="shared" ref="AM593:AM656" si="192">+I593</f>
        <v>0</v>
      </c>
      <c r="AN593" s="668">
        <f t="shared" si="187"/>
        <v>0</v>
      </c>
      <c r="AO593" s="668">
        <f t="shared" si="188"/>
        <v>0</v>
      </c>
      <c r="AP593" s="668">
        <f t="shared" si="174"/>
        <v>0</v>
      </c>
      <c r="AQ593" s="668">
        <f t="shared" si="189"/>
        <v>0</v>
      </c>
      <c r="AR593" s="668">
        <f t="shared" si="190"/>
        <v>0</v>
      </c>
      <c r="AS593" s="668"/>
      <c r="AT593" s="668"/>
      <c r="AU593" s="668"/>
      <c r="AV593" s="668"/>
      <c r="AW593" s="668"/>
      <c r="AX593" s="668"/>
      <c r="AY593" s="668"/>
      <c r="AZ593" s="668"/>
      <c r="BA593" s="668"/>
      <c r="BB593" s="668">
        <f t="shared" si="175"/>
        <v>0</v>
      </c>
      <c r="BC593" s="668"/>
      <c r="BD593" s="668"/>
      <c r="BE593" s="668"/>
      <c r="BF593" s="668"/>
      <c r="BG593" s="668"/>
      <c r="BH593" s="668"/>
      <c r="BI593" s="668"/>
    </row>
    <row r="594" spans="1:61" x14ac:dyDescent="0.2">
      <c r="A594" s="1020">
        <v>3115</v>
      </c>
      <c r="B594" s="1020" t="s">
        <v>682</v>
      </c>
      <c r="C594" s="1020"/>
      <c r="D594" s="667">
        <v>32</v>
      </c>
      <c r="E594" s="667"/>
      <c r="F594" s="667">
        <v>32</v>
      </c>
      <c r="G594" s="667"/>
      <c r="H594" s="667"/>
      <c r="I594" s="667"/>
      <c r="J594" s="667"/>
      <c r="K594" s="667"/>
      <c r="L594" s="667"/>
      <c r="M594" s="667"/>
      <c r="N594" s="667"/>
      <c r="O594" s="667"/>
      <c r="P594" s="667"/>
      <c r="Q594" s="667"/>
      <c r="R594" s="667"/>
      <c r="S594" s="667"/>
      <c r="T594" s="667"/>
      <c r="U594" s="1020">
        <v>10</v>
      </c>
      <c r="V594" s="668">
        <f t="shared" si="176"/>
        <v>320</v>
      </c>
      <c r="W594" s="668">
        <f t="shared" si="177"/>
        <v>0</v>
      </c>
      <c r="X594" s="668">
        <f t="shared" si="178"/>
        <v>0</v>
      </c>
      <c r="Y594" s="668">
        <f t="shared" si="179"/>
        <v>0</v>
      </c>
      <c r="Z594" s="668">
        <f t="shared" si="180"/>
        <v>0</v>
      </c>
      <c r="AA594" s="668">
        <f t="shared" si="181"/>
        <v>0</v>
      </c>
      <c r="AB594" s="668">
        <f t="shared" si="182"/>
        <v>0</v>
      </c>
      <c r="AC594" s="668">
        <f t="shared" si="191"/>
        <v>0</v>
      </c>
      <c r="AD594" s="668">
        <f t="shared" si="183"/>
        <v>0</v>
      </c>
      <c r="AE594" s="668">
        <f t="shared" si="184"/>
        <v>0</v>
      </c>
      <c r="AF594" s="668">
        <f t="shared" si="185"/>
        <v>0</v>
      </c>
      <c r="AG594" s="668">
        <f t="shared" si="186"/>
        <v>0</v>
      </c>
      <c r="AH594" s="668"/>
      <c r="AI594" s="668"/>
      <c r="AJ594" s="668"/>
      <c r="AK594" s="668"/>
      <c r="AL594" s="668"/>
      <c r="AM594" s="668">
        <f t="shared" si="192"/>
        <v>0</v>
      </c>
      <c r="AN594" s="668">
        <f t="shared" si="187"/>
        <v>0</v>
      </c>
      <c r="AO594" s="668">
        <f t="shared" si="188"/>
        <v>0</v>
      </c>
      <c r="AP594" s="668">
        <f t="shared" ref="AP594:AP657" si="193">+U594*F594</f>
        <v>320</v>
      </c>
      <c r="AQ594" s="668">
        <f t="shared" si="189"/>
        <v>0</v>
      </c>
      <c r="AR594" s="668">
        <f t="shared" si="190"/>
        <v>0</v>
      </c>
      <c r="AS594" s="668"/>
      <c r="AT594" s="668"/>
      <c r="AU594" s="668"/>
      <c r="AV594" s="668"/>
      <c r="AW594" s="668"/>
      <c r="AX594" s="668"/>
      <c r="AY594" s="668"/>
      <c r="AZ594" s="668"/>
      <c r="BA594" s="668"/>
      <c r="BB594" s="668">
        <f t="shared" ref="BB594:BB657" si="194">+AP594</f>
        <v>320</v>
      </c>
      <c r="BC594" s="668"/>
      <c r="BD594" s="668"/>
      <c r="BE594" s="668"/>
      <c r="BF594" s="668"/>
      <c r="BG594" s="668"/>
      <c r="BH594" s="668"/>
      <c r="BI594" s="668"/>
    </row>
    <row r="595" spans="1:61" x14ac:dyDescent="0.2">
      <c r="A595" s="1020">
        <v>3116</v>
      </c>
      <c r="B595" s="1020" t="s">
        <v>682</v>
      </c>
      <c r="C595" s="1020"/>
      <c r="D595" s="667">
        <v>32</v>
      </c>
      <c r="E595" s="667"/>
      <c r="F595" s="667">
        <v>32</v>
      </c>
      <c r="G595" s="667"/>
      <c r="H595" s="667"/>
      <c r="I595" s="667"/>
      <c r="J595" s="667"/>
      <c r="K595" s="667"/>
      <c r="L595" s="667"/>
      <c r="M595" s="667"/>
      <c r="N595" s="667"/>
      <c r="O595" s="667"/>
      <c r="P595" s="667"/>
      <c r="Q595" s="667"/>
      <c r="R595" s="667"/>
      <c r="S595" s="667"/>
      <c r="T595" s="667"/>
      <c r="U595" s="1020">
        <v>10</v>
      </c>
      <c r="V595" s="668">
        <f t="shared" si="176"/>
        <v>320</v>
      </c>
      <c r="W595" s="668">
        <f t="shared" si="177"/>
        <v>0</v>
      </c>
      <c r="X595" s="668">
        <f t="shared" si="178"/>
        <v>0</v>
      </c>
      <c r="Y595" s="668">
        <f t="shared" si="179"/>
        <v>0</v>
      </c>
      <c r="Z595" s="668">
        <f t="shared" si="180"/>
        <v>0</v>
      </c>
      <c r="AA595" s="668">
        <f t="shared" si="181"/>
        <v>0</v>
      </c>
      <c r="AB595" s="668">
        <f t="shared" si="182"/>
        <v>0</v>
      </c>
      <c r="AC595" s="668">
        <f t="shared" si="191"/>
        <v>0</v>
      </c>
      <c r="AD595" s="668">
        <f t="shared" si="183"/>
        <v>0</v>
      </c>
      <c r="AE595" s="668">
        <f t="shared" si="184"/>
        <v>0</v>
      </c>
      <c r="AF595" s="668">
        <f t="shared" si="185"/>
        <v>0</v>
      </c>
      <c r="AG595" s="668">
        <f t="shared" si="186"/>
        <v>0</v>
      </c>
      <c r="AH595" s="668"/>
      <c r="AI595" s="668"/>
      <c r="AJ595" s="668"/>
      <c r="AK595" s="668"/>
      <c r="AL595" s="668"/>
      <c r="AM595" s="668">
        <f t="shared" si="192"/>
        <v>0</v>
      </c>
      <c r="AN595" s="668">
        <f t="shared" si="187"/>
        <v>0</v>
      </c>
      <c r="AO595" s="668">
        <f t="shared" si="188"/>
        <v>0</v>
      </c>
      <c r="AP595" s="668">
        <f t="shared" si="193"/>
        <v>320</v>
      </c>
      <c r="AQ595" s="668">
        <f t="shared" si="189"/>
        <v>0</v>
      </c>
      <c r="AR595" s="668">
        <f t="shared" si="190"/>
        <v>0</v>
      </c>
      <c r="AS595" s="668"/>
      <c r="AT595" s="668"/>
      <c r="AU595" s="668"/>
      <c r="AV595" s="668"/>
      <c r="AW595" s="668"/>
      <c r="AX595" s="668"/>
      <c r="AY595" s="668"/>
      <c r="AZ595" s="668"/>
      <c r="BA595" s="668"/>
      <c r="BB595" s="668">
        <f t="shared" si="194"/>
        <v>320</v>
      </c>
      <c r="BC595" s="668"/>
      <c r="BD595" s="668"/>
      <c r="BE595" s="668"/>
      <c r="BF595" s="668"/>
      <c r="BG595" s="668"/>
      <c r="BH595" s="668"/>
      <c r="BI595" s="668"/>
    </row>
    <row r="596" spans="1:61" x14ac:dyDescent="0.2">
      <c r="A596" s="1020">
        <v>3117</v>
      </c>
      <c r="B596" s="1020" t="s">
        <v>685</v>
      </c>
      <c r="C596" s="1020"/>
      <c r="D596" s="667">
        <v>82</v>
      </c>
      <c r="E596" s="667"/>
      <c r="F596" s="667"/>
      <c r="G596" s="667"/>
      <c r="H596" s="667"/>
      <c r="I596" s="667"/>
      <c r="J596" s="667"/>
      <c r="K596" s="667"/>
      <c r="L596" s="667"/>
      <c r="M596" s="667"/>
      <c r="N596" s="667"/>
      <c r="O596" s="667"/>
      <c r="P596" s="667"/>
      <c r="Q596" s="667"/>
      <c r="R596" s="667"/>
      <c r="S596" s="667"/>
      <c r="T596" s="667"/>
      <c r="U596" s="1020">
        <v>10</v>
      </c>
      <c r="V596" s="668">
        <f t="shared" si="176"/>
        <v>820</v>
      </c>
      <c r="W596" s="668">
        <f t="shared" si="177"/>
        <v>0</v>
      </c>
      <c r="X596" s="668">
        <f t="shared" si="178"/>
        <v>0</v>
      </c>
      <c r="Y596" s="668">
        <f t="shared" si="179"/>
        <v>0</v>
      </c>
      <c r="Z596" s="668">
        <f t="shared" si="180"/>
        <v>0</v>
      </c>
      <c r="AA596" s="668">
        <f t="shared" si="181"/>
        <v>0</v>
      </c>
      <c r="AB596" s="668">
        <f t="shared" si="182"/>
        <v>0</v>
      </c>
      <c r="AC596" s="668">
        <f t="shared" si="191"/>
        <v>0</v>
      </c>
      <c r="AD596" s="668">
        <f t="shared" si="183"/>
        <v>0</v>
      </c>
      <c r="AE596" s="668">
        <f t="shared" si="184"/>
        <v>0</v>
      </c>
      <c r="AF596" s="668">
        <f t="shared" si="185"/>
        <v>0</v>
      </c>
      <c r="AG596" s="668">
        <f t="shared" si="186"/>
        <v>0</v>
      </c>
      <c r="AH596" s="668"/>
      <c r="AI596" s="668"/>
      <c r="AJ596" s="668"/>
      <c r="AK596" s="668"/>
      <c r="AL596" s="668"/>
      <c r="AM596" s="668">
        <f t="shared" si="192"/>
        <v>0</v>
      </c>
      <c r="AN596" s="668">
        <f t="shared" si="187"/>
        <v>0</v>
      </c>
      <c r="AO596" s="668">
        <f t="shared" si="188"/>
        <v>0</v>
      </c>
      <c r="AP596" s="668">
        <f t="shared" si="193"/>
        <v>0</v>
      </c>
      <c r="AQ596" s="668">
        <f t="shared" si="189"/>
        <v>0</v>
      </c>
      <c r="AR596" s="668">
        <f t="shared" si="190"/>
        <v>0</v>
      </c>
      <c r="AS596" s="668"/>
      <c r="AT596" s="668"/>
      <c r="AU596" s="668"/>
      <c r="AV596" s="668"/>
      <c r="AW596" s="668"/>
      <c r="AX596" s="668"/>
      <c r="AY596" s="668"/>
      <c r="AZ596" s="668"/>
      <c r="BA596" s="668"/>
      <c r="BB596" s="668">
        <f t="shared" si="194"/>
        <v>0</v>
      </c>
      <c r="BC596" s="668"/>
      <c r="BD596" s="668"/>
      <c r="BE596" s="668"/>
      <c r="BF596" s="668"/>
      <c r="BG596" s="668"/>
      <c r="BH596" s="668"/>
      <c r="BI596" s="668"/>
    </row>
    <row r="597" spans="1:61" x14ac:dyDescent="0.2">
      <c r="A597" s="1020">
        <v>3118</v>
      </c>
      <c r="B597" s="1020" t="s">
        <v>517</v>
      </c>
      <c r="C597" s="1020"/>
      <c r="D597" s="667">
        <v>81</v>
      </c>
      <c r="E597" s="667"/>
      <c r="F597" s="667"/>
      <c r="G597" s="667"/>
      <c r="H597" s="667"/>
      <c r="I597" s="667"/>
      <c r="J597" s="667"/>
      <c r="K597" s="667"/>
      <c r="L597" s="667"/>
      <c r="M597" s="667"/>
      <c r="N597" s="667"/>
      <c r="O597" s="667"/>
      <c r="P597" s="667"/>
      <c r="Q597" s="667"/>
      <c r="R597" s="667"/>
      <c r="S597" s="667"/>
      <c r="T597" s="667"/>
      <c r="U597" s="1020">
        <v>12</v>
      </c>
      <c r="V597" s="668">
        <f t="shared" si="176"/>
        <v>972</v>
      </c>
      <c r="W597" s="668">
        <f t="shared" si="177"/>
        <v>0</v>
      </c>
      <c r="X597" s="668">
        <f t="shared" si="178"/>
        <v>0</v>
      </c>
      <c r="Y597" s="668">
        <f t="shared" si="179"/>
        <v>0</v>
      </c>
      <c r="Z597" s="668">
        <f t="shared" si="180"/>
        <v>0</v>
      </c>
      <c r="AA597" s="668">
        <f t="shared" si="181"/>
        <v>0</v>
      </c>
      <c r="AB597" s="668">
        <f t="shared" si="182"/>
        <v>0</v>
      </c>
      <c r="AC597" s="668">
        <f t="shared" si="191"/>
        <v>0</v>
      </c>
      <c r="AD597" s="668">
        <f t="shared" si="183"/>
        <v>0</v>
      </c>
      <c r="AE597" s="668">
        <f t="shared" si="184"/>
        <v>0</v>
      </c>
      <c r="AF597" s="668">
        <f t="shared" si="185"/>
        <v>0</v>
      </c>
      <c r="AG597" s="668">
        <f t="shared" si="186"/>
        <v>0</v>
      </c>
      <c r="AH597" s="668"/>
      <c r="AI597" s="668"/>
      <c r="AJ597" s="668"/>
      <c r="AK597" s="668"/>
      <c r="AL597" s="668"/>
      <c r="AM597" s="668">
        <f t="shared" si="192"/>
        <v>0</v>
      </c>
      <c r="AN597" s="668">
        <f t="shared" si="187"/>
        <v>0</v>
      </c>
      <c r="AO597" s="668">
        <f t="shared" si="188"/>
        <v>0</v>
      </c>
      <c r="AP597" s="668">
        <f t="shared" si="193"/>
        <v>0</v>
      </c>
      <c r="AQ597" s="668">
        <f t="shared" si="189"/>
        <v>0</v>
      </c>
      <c r="AR597" s="668">
        <f t="shared" si="190"/>
        <v>0</v>
      </c>
      <c r="AS597" s="668"/>
      <c r="AT597" s="668"/>
      <c r="AU597" s="668"/>
      <c r="AV597" s="668"/>
      <c r="AW597" s="668"/>
      <c r="AX597" s="668"/>
      <c r="AY597" s="668"/>
      <c r="AZ597" s="668"/>
      <c r="BA597" s="668"/>
      <c r="BB597" s="668">
        <f t="shared" si="194"/>
        <v>0</v>
      </c>
      <c r="BC597" s="668"/>
      <c r="BD597" s="668"/>
      <c r="BE597" s="668"/>
      <c r="BF597" s="668"/>
      <c r="BG597" s="668"/>
      <c r="BH597" s="668"/>
      <c r="BI597" s="668"/>
    </row>
    <row r="598" spans="1:61" x14ac:dyDescent="0.2">
      <c r="A598" s="1020">
        <v>3119</v>
      </c>
      <c r="B598" s="1020" t="s">
        <v>519</v>
      </c>
      <c r="C598" s="1020"/>
      <c r="D598" s="667">
        <v>35</v>
      </c>
      <c r="E598" s="667"/>
      <c r="F598" s="667">
        <v>15</v>
      </c>
      <c r="G598" s="667"/>
      <c r="H598" s="667"/>
      <c r="I598" s="667"/>
      <c r="J598" s="667"/>
      <c r="K598" s="667"/>
      <c r="L598" s="667"/>
      <c r="M598" s="667"/>
      <c r="N598" s="667"/>
      <c r="O598" s="667"/>
      <c r="P598" s="667"/>
      <c r="Q598" s="667"/>
      <c r="R598" s="667"/>
      <c r="S598" s="667"/>
      <c r="T598" s="667">
        <v>150</v>
      </c>
      <c r="U598" s="1020">
        <v>12</v>
      </c>
      <c r="V598" s="668">
        <f t="shared" si="176"/>
        <v>420</v>
      </c>
      <c r="W598" s="668">
        <f t="shared" si="177"/>
        <v>0</v>
      </c>
      <c r="X598" s="668">
        <f t="shared" si="178"/>
        <v>0</v>
      </c>
      <c r="Y598" s="668">
        <f t="shared" si="179"/>
        <v>0</v>
      </c>
      <c r="Z598" s="668">
        <f t="shared" si="180"/>
        <v>0</v>
      </c>
      <c r="AA598" s="668">
        <f t="shared" si="181"/>
        <v>0</v>
      </c>
      <c r="AB598" s="668">
        <f t="shared" si="182"/>
        <v>150</v>
      </c>
      <c r="AC598" s="668">
        <f t="shared" si="191"/>
        <v>0</v>
      </c>
      <c r="AD598" s="668">
        <f t="shared" si="183"/>
        <v>0</v>
      </c>
      <c r="AE598" s="668">
        <f t="shared" si="184"/>
        <v>0</v>
      </c>
      <c r="AF598" s="668">
        <f t="shared" si="185"/>
        <v>0</v>
      </c>
      <c r="AG598" s="668">
        <f t="shared" si="186"/>
        <v>0</v>
      </c>
      <c r="AH598" s="668"/>
      <c r="AI598" s="668"/>
      <c r="AJ598" s="668"/>
      <c r="AK598" s="668"/>
      <c r="AL598" s="668"/>
      <c r="AM598" s="668">
        <f t="shared" si="192"/>
        <v>0</v>
      </c>
      <c r="AN598" s="668">
        <f t="shared" si="187"/>
        <v>0</v>
      </c>
      <c r="AO598" s="668">
        <f t="shared" si="188"/>
        <v>0</v>
      </c>
      <c r="AP598" s="668">
        <f t="shared" si="193"/>
        <v>180</v>
      </c>
      <c r="AQ598" s="668">
        <f t="shared" si="189"/>
        <v>0</v>
      </c>
      <c r="AR598" s="668">
        <f t="shared" si="190"/>
        <v>0</v>
      </c>
      <c r="AS598" s="668"/>
      <c r="AT598" s="668"/>
      <c r="AU598" s="668"/>
      <c r="AV598" s="668"/>
      <c r="AW598" s="668"/>
      <c r="AX598" s="668"/>
      <c r="AY598" s="668"/>
      <c r="AZ598" s="668"/>
      <c r="BA598" s="668"/>
      <c r="BB598" s="668">
        <f t="shared" si="194"/>
        <v>180</v>
      </c>
      <c r="BC598" s="668"/>
      <c r="BD598" s="668"/>
      <c r="BE598" s="668"/>
      <c r="BF598" s="668"/>
      <c r="BG598" s="668"/>
      <c r="BH598" s="668"/>
      <c r="BI598" s="668"/>
    </row>
    <row r="599" spans="1:61" x14ac:dyDescent="0.2">
      <c r="A599" s="1020">
        <v>3120</v>
      </c>
      <c r="B599" s="1020" t="s">
        <v>519</v>
      </c>
      <c r="C599" s="1020"/>
      <c r="D599" s="667">
        <v>35</v>
      </c>
      <c r="E599" s="667"/>
      <c r="F599" s="667">
        <v>15</v>
      </c>
      <c r="G599" s="667"/>
      <c r="H599" s="667"/>
      <c r="I599" s="667"/>
      <c r="J599" s="667"/>
      <c r="K599" s="667"/>
      <c r="L599" s="667"/>
      <c r="M599" s="667"/>
      <c r="N599" s="667"/>
      <c r="O599" s="667"/>
      <c r="P599" s="667"/>
      <c r="Q599" s="667"/>
      <c r="R599" s="667"/>
      <c r="S599" s="667"/>
      <c r="T599" s="667">
        <v>150</v>
      </c>
      <c r="U599" s="1020">
        <v>12</v>
      </c>
      <c r="V599" s="668">
        <f t="shared" si="176"/>
        <v>420</v>
      </c>
      <c r="W599" s="668">
        <f t="shared" si="177"/>
        <v>0</v>
      </c>
      <c r="X599" s="668">
        <f t="shared" si="178"/>
        <v>0</v>
      </c>
      <c r="Y599" s="668">
        <f t="shared" si="179"/>
        <v>0</v>
      </c>
      <c r="Z599" s="668">
        <f t="shared" si="180"/>
        <v>0</v>
      </c>
      <c r="AA599" s="668">
        <f t="shared" si="181"/>
        <v>0</v>
      </c>
      <c r="AB599" s="668">
        <f t="shared" si="182"/>
        <v>150</v>
      </c>
      <c r="AC599" s="668">
        <f t="shared" si="191"/>
        <v>0</v>
      </c>
      <c r="AD599" s="668">
        <f t="shared" si="183"/>
        <v>0</v>
      </c>
      <c r="AE599" s="668">
        <f t="shared" si="184"/>
        <v>0</v>
      </c>
      <c r="AF599" s="668">
        <f t="shared" si="185"/>
        <v>0</v>
      </c>
      <c r="AG599" s="668">
        <f t="shared" si="186"/>
        <v>0</v>
      </c>
      <c r="AH599" s="668"/>
      <c r="AI599" s="668"/>
      <c r="AJ599" s="668"/>
      <c r="AK599" s="668"/>
      <c r="AL599" s="668"/>
      <c r="AM599" s="668">
        <f t="shared" si="192"/>
        <v>0</v>
      </c>
      <c r="AN599" s="668">
        <f t="shared" si="187"/>
        <v>0</v>
      </c>
      <c r="AO599" s="668">
        <f t="shared" si="188"/>
        <v>0</v>
      </c>
      <c r="AP599" s="668">
        <f t="shared" si="193"/>
        <v>180</v>
      </c>
      <c r="AQ599" s="668">
        <f t="shared" si="189"/>
        <v>0</v>
      </c>
      <c r="AR599" s="668">
        <f t="shared" si="190"/>
        <v>0</v>
      </c>
      <c r="AS599" s="668"/>
      <c r="AT599" s="668"/>
      <c r="AU599" s="668"/>
      <c r="AV599" s="668"/>
      <c r="AW599" s="668"/>
      <c r="AX599" s="668"/>
      <c r="AY599" s="668"/>
      <c r="AZ599" s="668"/>
      <c r="BA599" s="668"/>
      <c r="BB599" s="668">
        <f t="shared" si="194"/>
        <v>180</v>
      </c>
      <c r="BC599" s="668"/>
      <c r="BD599" s="668"/>
      <c r="BE599" s="668"/>
      <c r="BF599" s="668"/>
      <c r="BG599" s="668"/>
      <c r="BH599" s="668"/>
      <c r="BI599" s="668"/>
    </row>
    <row r="600" spans="1:61" x14ac:dyDescent="0.2">
      <c r="A600" s="1020">
        <v>3121</v>
      </c>
      <c r="B600" s="1020" t="s">
        <v>515</v>
      </c>
      <c r="C600" s="1020"/>
      <c r="D600" s="667">
        <v>44</v>
      </c>
      <c r="E600" s="667"/>
      <c r="F600" s="667"/>
      <c r="G600" s="667"/>
      <c r="H600" s="667"/>
      <c r="I600" s="667"/>
      <c r="J600" s="667"/>
      <c r="K600" s="667"/>
      <c r="L600" s="667"/>
      <c r="M600" s="667"/>
      <c r="N600" s="667"/>
      <c r="O600" s="667"/>
      <c r="P600" s="667"/>
      <c r="Q600" s="667"/>
      <c r="R600" s="667"/>
      <c r="S600" s="667"/>
      <c r="T600" s="667">
        <v>1125</v>
      </c>
      <c r="U600" s="1020">
        <v>12</v>
      </c>
      <c r="V600" s="668">
        <f t="shared" si="176"/>
        <v>528</v>
      </c>
      <c r="W600" s="668">
        <f t="shared" si="177"/>
        <v>0</v>
      </c>
      <c r="X600" s="668">
        <f t="shared" si="178"/>
        <v>0</v>
      </c>
      <c r="Y600" s="668">
        <f t="shared" si="179"/>
        <v>0</v>
      </c>
      <c r="Z600" s="668">
        <f t="shared" si="180"/>
        <v>0</v>
      </c>
      <c r="AA600" s="668">
        <f t="shared" si="181"/>
        <v>0</v>
      </c>
      <c r="AB600" s="668">
        <f t="shared" si="182"/>
        <v>1125</v>
      </c>
      <c r="AC600" s="668">
        <f t="shared" si="191"/>
        <v>0</v>
      </c>
      <c r="AD600" s="668">
        <f t="shared" si="183"/>
        <v>0</v>
      </c>
      <c r="AE600" s="668">
        <f t="shared" si="184"/>
        <v>0</v>
      </c>
      <c r="AF600" s="668">
        <f t="shared" si="185"/>
        <v>0</v>
      </c>
      <c r="AG600" s="668">
        <f t="shared" si="186"/>
        <v>0</v>
      </c>
      <c r="AH600" s="668"/>
      <c r="AI600" s="668"/>
      <c r="AJ600" s="668"/>
      <c r="AK600" s="668"/>
      <c r="AL600" s="668"/>
      <c r="AM600" s="668">
        <f t="shared" si="192"/>
        <v>0</v>
      </c>
      <c r="AN600" s="668">
        <f t="shared" si="187"/>
        <v>0</v>
      </c>
      <c r="AO600" s="668">
        <f t="shared" si="188"/>
        <v>0</v>
      </c>
      <c r="AP600" s="668">
        <f t="shared" si="193"/>
        <v>0</v>
      </c>
      <c r="AQ600" s="668">
        <f t="shared" si="189"/>
        <v>0</v>
      </c>
      <c r="AR600" s="668">
        <f t="shared" si="190"/>
        <v>0</v>
      </c>
      <c r="AS600" s="668"/>
      <c r="AT600" s="668"/>
      <c r="AU600" s="668"/>
      <c r="AV600" s="668"/>
      <c r="AW600" s="668"/>
      <c r="AX600" s="668"/>
      <c r="AY600" s="668"/>
      <c r="AZ600" s="668"/>
      <c r="BA600" s="668"/>
      <c r="BB600" s="668">
        <f t="shared" si="194"/>
        <v>0</v>
      </c>
      <c r="BC600" s="668"/>
      <c r="BD600" s="668"/>
      <c r="BE600" s="668"/>
      <c r="BF600" s="668"/>
      <c r="BG600" s="668"/>
      <c r="BH600" s="668"/>
      <c r="BI600" s="668"/>
    </row>
    <row r="601" spans="1:61" x14ac:dyDescent="0.2">
      <c r="A601" s="1020">
        <v>3122</v>
      </c>
      <c r="B601" s="1020" t="s">
        <v>738</v>
      </c>
      <c r="C601" s="1020"/>
      <c r="D601" s="667"/>
      <c r="E601" s="667"/>
      <c r="F601" s="667"/>
      <c r="G601" s="667"/>
      <c r="H601" s="667"/>
      <c r="I601" s="667"/>
      <c r="J601" s="667"/>
      <c r="K601" s="667"/>
      <c r="L601" s="667"/>
      <c r="M601" s="667"/>
      <c r="N601" s="667"/>
      <c r="O601" s="667"/>
      <c r="P601" s="667"/>
      <c r="Q601" s="667"/>
      <c r="R601" s="667"/>
      <c r="S601" s="667"/>
      <c r="T601" s="667"/>
      <c r="U601" s="1020"/>
      <c r="V601" s="668">
        <f t="shared" si="176"/>
        <v>0</v>
      </c>
      <c r="W601" s="668">
        <f t="shared" si="177"/>
        <v>0</v>
      </c>
      <c r="X601" s="668">
        <f t="shared" si="178"/>
        <v>0</v>
      </c>
      <c r="Y601" s="668">
        <f t="shared" si="179"/>
        <v>0</v>
      </c>
      <c r="Z601" s="668">
        <f t="shared" si="180"/>
        <v>0</v>
      </c>
      <c r="AA601" s="668">
        <f t="shared" si="181"/>
        <v>0</v>
      </c>
      <c r="AB601" s="668">
        <f t="shared" si="182"/>
        <v>0</v>
      </c>
      <c r="AC601" s="668">
        <f t="shared" si="191"/>
        <v>0</v>
      </c>
      <c r="AD601" s="668">
        <f t="shared" si="183"/>
        <v>0</v>
      </c>
      <c r="AE601" s="668">
        <f t="shared" si="184"/>
        <v>0</v>
      </c>
      <c r="AF601" s="668">
        <f t="shared" si="185"/>
        <v>0</v>
      </c>
      <c r="AG601" s="668">
        <f t="shared" si="186"/>
        <v>0</v>
      </c>
      <c r="AH601" s="668"/>
      <c r="AI601" s="668"/>
      <c r="AJ601" s="668"/>
      <c r="AK601" s="668"/>
      <c r="AL601" s="668"/>
      <c r="AM601" s="668">
        <f t="shared" si="192"/>
        <v>0</v>
      </c>
      <c r="AN601" s="668">
        <f t="shared" si="187"/>
        <v>0</v>
      </c>
      <c r="AO601" s="668">
        <f t="shared" si="188"/>
        <v>0</v>
      </c>
      <c r="AP601" s="668">
        <f t="shared" si="193"/>
        <v>0</v>
      </c>
      <c r="AQ601" s="668">
        <f t="shared" si="189"/>
        <v>0</v>
      </c>
      <c r="AR601" s="668">
        <f t="shared" si="190"/>
        <v>0</v>
      </c>
      <c r="AS601" s="668"/>
      <c r="AT601" s="668"/>
      <c r="AU601" s="668"/>
      <c r="AV601" s="668"/>
      <c r="AW601" s="668"/>
      <c r="AX601" s="668"/>
      <c r="AY601" s="668"/>
      <c r="AZ601" s="668"/>
      <c r="BA601" s="668"/>
      <c r="BB601" s="668">
        <f t="shared" si="194"/>
        <v>0</v>
      </c>
      <c r="BC601" s="668"/>
      <c r="BD601" s="668"/>
      <c r="BE601" s="668"/>
      <c r="BF601" s="668"/>
      <c r="BG601" s="668"/>
      <c r="BH601" s="668"/>
      <c r="BI601" s="668"/>
    </row>
    <row r="602" spans="1:61" x14ac:dyDescent="0.2">
      <c r="A602" s="1020">
        <v>3123</v>
      </c>
      <c r="B602" s="1020" t="s">
        <v>739</v>
      </c>
      <c r="C602" s="1020"/>
      <c r="D602" s="667">
        <v>158</v>
      </c>
      <c r="E602" s="667"/>
      <c r="F602" s="667"/>
      <c r="G602" s="667"/>
      <c r="H602" s="667"/>
      <c r="I602" s="667"/>
      <c r="J602" s="667"/>
      <c r="K602" s="667"/>
      <c r="L602" s="667"/>
      <c r="M602" s="667"/>
      <c r="N602" s="667"/>
      <c r="O602" s="667"/>
      <c r="P602" s="667"/>
      <c r="Q602" s="667"/>
      <c r="R602" s="667"/>
      <c r="S602" s="667"/>
      <c r="T602" s="667"/>
      <c r="U602" s="1020">
        <v>10</v>
      </c>
      <c r="V602" s="668">
        <f t="shared" si="176"/>
        <v>1580</v>
      </c>
      <c r="W602" s="668">
        <f t="shared" si="177"/>
        <v>0</v>
      </c>
      <c r="X602" s="668">
        <f t="shared" si="178"/>
        <v>0</v>
      </c>
      <c r="Y602" s="668">
        <f t="shared" si="179"/>
        <v>0</v>
      </c>
      <c r="Z602" s="668">
        <f t="shared" si="180"/>
        <v>0</v>
      </c>
      <c r="AA602" s="668">
        <f t="shared" si="181"/>
        <v>0</v>
      </c>
      <c r="AB602" s="668">
        <f t="shared" si="182"/>
        <v>0</v>
      </c>
      <c r="AC602" s="668">
        <f t="shared" si="191"/>
        <v>0</v>
      </c>
      <c r="AD602" s="668">
        <f t="shared" si="183"/>
        <v>0</v>
      </c>
      <c r="AE602" s="668">
        <f t="shared" si="184"/>
        <v>0</v>
      </c>
      <c r="AF602" s="668">
        <f t="shared" si="185"/>
        <v>0</v>
      </c>
      <c r="AG602" s="668">
        <f t="shared" si="186"/>
        <v>0</v>
      </c>
      <c r="AH602" s="668"/>
      <c r="AI602" s="668"/>
      <c r="AJ602" s="668"/>
      <c r="AK602" s="668"/>
      <c r="AL602" s="668"/>
      <c r="AM602" s="668">
        <f t="shared" si="192"/>
        <v>0</v>
      </c>
      <c r="AN602" s="668">
        <f t="shared" si="187"/>
        <v>0</v>
      </c>
      <c r="AO602" s="668">
        <f t="shared" si="188"/>
        <v>0</v>
      </c>
      <c r="AP602" s="668">
        <f t="shared" si="193"/>
        <v>0</v>
      </c>
      <c r="AQ602" s="668">
        <f t="shared" si="189"/>
        <v>0</v>
      </c>
      <c r="AR602" s="668">
        <f t="shared" si="190"/>
        <v>0</v>
      </c>
      <c r="AS602" s="668"/>
      <c r="AT602" s="668"/>
      <c r="AU602" s="668"/>
      <c r="AV602" s="668"/>
      <c r="AW602" s="668"/>
      <c r="AX602" s="668"/>
      <c r="AY602" s="668"/>
      <c r="AZ602" s="668"/>
      <c r="BA602" s="668"/>
      <c r="BB602" s="668">
        <f t="shared" si="194"/>
        <v>0</v>
      </c>
      <c r="BC602" s="668"/>
      <c r="BD602" s="668"/>
      <c r="BE602" s="668"/>
      <c r="BF602" s="668"/>
      <c r="BG602" s="668"/>
      <c r="BH602" s="668"/>
      <c r="BI602" s="668"/>
    </row>
    <row r="603" spans="1:61" x14ac:dyDescent="0.2">
      <c r="A603" s="1020">
        <v>3124</v>
      </c>
      <c r="B603" s="1020" t="s">
        <v>515</v>
      </c>
      <c r="C603" s="1020"/>
      <c r="D603" s="667">
        <v>104</v>
      </c>
      <c r="E603" s="667"/>
      <c r="F603" s="667">
        <v>36</v>
      </c>
      <c r="G603" s="667"/>
      <c r="H603" s="667"/>
      <c r="I603" s="667"/>
      <c r="J603" s="667"/>
      <c r="K603" s="667"/>
      <c r="L603" s="667"/>
      <c r="M603" s="667"/>
      <c r="N603" s="667"/>
      <c r="O603" s="667"/>
      <c r="P603" s="667"/>
      <c r="Q603" s="667"/>
      <c r="R603" s="667"/>
      <c r="S603" s="667"/>
      <c r="T603" s="667">
        <v>2287</v>
      </c>
      <c r="U603" s="1020">
        <v>12</v>
      </c>
      <c r="V603" s="668">
        <f t="shared" si="176"/>
        <v>1248</v>
      </c>
      <c r="W603" s="668">
        <f t="shared" si="177"/>
        <v>0</v>
      </c>
      <c r="X603" s="668">
        <f t="shared" si="178"/>
        <v>0</v>
      </c>
      <c r="Y603" s="668">
        <f t="shared" si="179"/>
        <v>0</v>
      </c>
      <c r="Z603" s="668">
        <f t="shared" si="180"/>
        <v>0</v>
      </c>
      <c r="AA603" s="668">
        <f t="shared" si="181"/>
        <v>0</v>
      </c>
      <c r="AB603" s="668">
        <f t="shared" si="182"/>
        <v>2287</v>
      </c>
      <c r="AC603" s="668">
        <f t="shared" si="191"/>
        <v>0</v>
      </c>
      <c r="AD603" s="668">
        <f t="shared" si="183"/>
        <v>0</v>
      </c>
      <c r="AE603" s="668">
        <f t="shared" si="184"/>
        <v>0</v>
      </c>
      <c r="AF603" s="668">
        <f t="shared" si="185"/>
        <v>0</v>
      </c>
      <c r="AG603" s="668">
        <f t="shared" si="186"/>
        <v>0</v>
      </c>
      <c r="AH603" s="668"/>
      <c r="AI603" s="668"/>
      <c r="AJ603" s="668"/>
      <c r="AK603" s="668"/>
      <c r="AL603" s="668"/>
      <c r="AM603" s="668">
        <f t="shared" si="192"/>
        <v>0</v>
      </c>
      <c r="AN603" s="668">
        <f t="shared" si="187"/>
        <v>0</v>
      </c>
      <c r="AO603" s="668">
        <f t="shared" si="188"/>
        <v>0</v>
      </c>
      <c r="AP603" s="668">
        <f t="shared" si="193"/>
        <v>432</v>
      </c>
      <c r="AQ603" s="668">
        <f t="shared" si="189"/>
        <v>0</v>
      </c>
      <c r="AR603" s="668">
        <f t="shared" si="190"/>
        <v>0</v>
      </c>
      <c r="AS603" s="668"/>
      <c r="AT603" s="668"/>
      <c r="AU603" s="668"/>
      <c r="AV603" s="668"/>
      <c r="AW603" s="668"/>
      <c r="AX603" s="668"/>
      <c r="AY603" s="668"/>
      <c r="AZ603" s="668"/>
      <c r="BA603" s="668"/>
      <c r="BB603" s="668"/>
      <c r="BC603" s="668"/>
      <c r="BD603" s="668"/>
      <c r="BE603" s="668"/>
      <c r="BF603" s="668"/>
      <c r="BG603" s="668"/>
      <c r="BH603" s="668"/>
      <c r="BI603" s="668"/>
    </row>
    <row r="604" spans="1:61" x14ac:dyDescent="0.2">
      <c r="A604" s="1020">
        <v>3125</v>
      </c>
      <c r="B604" s="1020" t="s">
        <v>579</v>
      </c>
      <c r="C604" s="1020"/>
      <c r="D604" s="667">
        <v>48</v>
      </c>
      <c r="E604" s="667"/>
      <c r="F604" s="667"/>
      <c r="G604" s="667"/>
      <c r="H604" s="667"/>
      <c r="I604" s="667"/>
      <c r="J604" s="667"/>
      <c r="K604" s="667"/>
      <c r="L604" s="667"/>
      <c r="M604" s="667"/>
      <c r="N604" s="667"/>
      <c r="O604" s="667"/>
      <c r="P604" s="667"/>
      <c r="Q604" s="667"/>
      <c r="R604" s="667"/>
      <c r="S604" s="667"/>
      <c r="T604" s="667"/>
      <c r="U604" s="1020">
        <v>12</v>
      </c>
      <c r="V604" s="668">
        <f t="shared" si="176"/>
        <v>576</v>
      </c>
      <c r="W604" s="668">
        <f t="shared" si="177"/>
        <v>0</v>
      </c>
      <c r="X604" s="668">
        <f t="shared" si="178"/>
        <v>0</v>
      </c>
      <c r="Y604" s="668">
        <f t="shared" si="179"/>
        <v>0</v>
      </c>
      <c r="Z604" s="668">
        <f t="shared" si="180"/>
        <v>0</v>
      </c>
      <c r="AA604" s="668">
        <f t="shared" si="181"/>
        <v>0</v>
      </c>
      <c r="AB604" s="668">
        <f t="shared" si="182"/>
        <v>0</v>
      </c>
      <c r="AC604" s="668">
        <f t="shared" si="191"/>
        <v>0</v>
      </c>
      <c r="AD604" s="668">
        <f t="shared" si="183"/>
        <v>0</v>
      </c>
      <c r="AE604" s="668">
        <f t="shared" si="184"/>
        <v>0</v>
      </c>
      <c r="AF604" s="668">
        <f t="shared" si="185"/>
        <v>0</v>
      </c>
      <c r="AG604" s="668">
        <f t="shared" si="186"/>
        <v>0</v>
      </c>
      <c r="AH604" s="668"/>
      <c r="AI604" s="668"/>
      <c r="AJ604" s="668"/>
      <c r="AK604" s="668"/>
      <c r="AL604" s="668"/>
      <c r="AM604" s="668">
        <f t="shared" si="192"/>
        <v>0</v>
      </c>
      <c r="AN604" s="668">
        <f t="shared" si="187"/>
        <v>0</v>
      </c>
      <c r="AO604" s="668">
        <f t="shared" si="188"/>
        <v>0</v>
      </c>
      <c r="AP604" s="668">
        <f t="shared" si="193"/>
        <v>0</v>
      </c>
      <c r="AQ604" s="668">
        <f t="shared" si="189"/>
        <v>0</v>
      </c>
      <c r="AR604" s="668">
        <f t="shared" si="190"/>
        <v>0</v>
      </c>
      <c r="AS604" s="668"/>
      <c r="AT604" s="668"/>
      <c r="AU604" s="668"/>
      <c r="AV604" s="668"/>
      <c r="AW604" s="668"/>
      <c r="AX604" s="668"/>
      <c r="AY604" s="668"/>
      <c r="AZ604" s="668"/>
      <c r="BA604" s="668"/>
      <c r="BB604" s="668">
        <f t="shared" si="194"/>
        <v>0</v>
      </c>
      <c r="BC604" s="668"/>
      <c r="BD604" s="668"/>
      <c r="BE604" s="668"/>
      <c r="BF604" s="668"/>
      <c r="BG604" s="668"/>
      <c r="BH604" s="668"/>
      <c r="BI604" s="668"/>
    </row>
    <row r="605" spans="1:61" x14ac:dyDescent="0.2">
      <c r="A605" s="1020">
        <v>3126</v>
      </c>
      <c r="B605" s="1020" t="s">
        <v>476</v>
      </c>
      <c r="C605" s="1020"/>
      <c r="D605" s="667">
        <v>50</v>
      </c>
      <c r="E605" s="667"/>
      <c r="F605" s="667"/>
      <c r="G605" s="667"/>
      <c r="H605" s="667"/>
      <c r="I605" s="667"/>
      <c r="J605" s="667"/>
      <c r="K605" s="667"/>
      <c r="L605" s="667"/>
      <c r="M605" s="667"/>
      <c r="N605" s="667"/>
      <c r="O605" s="667"/>
      <c r="P605" s="667"/>
      <c r="Q605" s="667"/>
      <c r="R605" s="667"/>
      <c r="S605" s="667"/>
      <c r="T605" s="667"/>
      <c r="U605" s="1020">
        <v>12</v>
      </c>
      <c r="V605" s="668">
        <f t="shared" si="176"/>
        <v>600</v>
      </c>
      <c r="W605" s="668">
        <f t="shared" si="177"/>
        <v>0</v>
      </c>
      <c r="X605" s="668">
        <f t="shared" si="178"/>
        <v>0</v>
      </c>
      <c r="Y605" s="668">
        <f t="shared" si="179"/>
        <v>0</v>
      </c>
      <c r="Z605" s="668">
        <f t="shared" si="180"/>
        <v>0</v>
      </c>
      <c r="AA605" s="668">
        <f t="shared" si="181"/>
        <v>0</v>
      </c>
      <c r="AB605" s="668">
        <f t="shared" si="182"/>
        <v>0</v>
      </c>
      <c r="AC605" s="668">
        <f t="shared" si="191"/>
        <v>0</v>
      </c>
      <c r="AD605" s="668">
        <f t="shared" si="183"/>
        <v>0</v>
      </c>
      <c r="AE605" s="668">
        <f t="shared" si="184"/>
        <v>0</v>
      </c>
      <c r="AF605" s="668">
        <f t="shared" si="185"/>
        <v>0</v>
      </c>
      <c r="AG605" s="668">
        <f t="shared" si="186"/>
        <v>0</v>
      </c>
      <c r="AH605" s="668"/>
      <c r="AI605" s="668"/>
      <c r="AJ605" s="668"/>
      <c r="AK605" s="668"/>
      <c r="AL605" s="668"/>
      <c r="AM605" s="668">
        <f t="shared" si="192"/>
        <v>0</v>
      </c>
      <c r="AN605" s="668">
        <f t="shared" si="187"/>
        <v>0</v>
      </c>
      <c r="AO605" s="668">
        <f t="shared" si="188"/>
        <v>0</v>
      </c>
      <c r="AP605" s="668">
        <f t="shared" si="193"/>
        <v>0</v>
      </c>
      <c r="AQ605" s="668">
        <f t="shared" si="189"/>
        <v>0</v>
      </c>
      <c r="AR605" s="668">
        <f t="shared" si="190"/>
        <v>0</v>
      </c>
      <c r="AS605" s="668"/>
      <c r="AT605" s="668"/>
      <c r="AU605" s="668"/>
      <c r="AV605" s="668"/>
      <c r="AW605" s="668"/>
      <c r="AX605" s="668"/>
      <c r="AY605" s="668"/>
      <c r="AZ605" s="668"/>
      <c r="BA605" s="668"/>
      <c r="BB605" s="668">
        <f t="shared" si="194"/>
        <v>0</v>
      </c>
      <c r="BC605" s="668"/>
      <c r="BD605" s="668"/>
      <c r="BE605" s="668"/>
      <c r="BF605" s="668"/>
      <c r="BG605" s="668"/>
      <c r="BH605" s="668"/>
      <c r="BI605" s="668"/>
    </row>
    <row r="606" spans="1:61" x14ac:dyDescent="0.2">
      <c r="A606" s="1020">
        <v>3127</v>
      </c>
      <c r="B606" s="1020" t="s">
        <v>517</v>
      </c>
      <c r="C606" s="1020"/>
      <c r="D606" s="667">
        <v>53</v>
      </c>
      <c r="E606" s="667"/>
      <c r="F606" s="667"/>
      <c r="G606" s="667"/>
      <c r="H606" s="667"/>
      <c r="I606" s="667"/>
      <c r="J606" s="667"/>
      <c r="K606" s="667"/>
      <c r="L606" s="667"/>
      <c r="M606" s="667"/>
      <c r="N606" s="667"/>
      <c r="O606" s="667"/>
      <c r="P606" s="667"/>
      <c r="Q606" s="667"/>
      <c r="R606" s="667"/>
      <c r="S606" s="667"/>
      <c r="T606" s="667"/>
      <c r="U606" s="1020">
        <v>12</v>
      </c>
      <c r="V606" s="668">
        <f t="shared" si="176"/>
        <v>636</v>
      </c>
      <c r="W606" s="668">
        <f t="shared" si="177"/>
        <v>0</v>
      </c>
      <c r="X606" s="668">
        <f t="shared" si="178"/>
        <v>0</v>
      </c>
      <c r="Y606" s="668">
        <f t="shared" si="179"/>
        <v>0</v>
      </c>
      <c r="Z606" s="668">
        <f t="shared" si="180"/>
        <v>0</v>
      </c>
      <c r="AA606" s="668">
        <f t="shared" si="181"/>
        <v>0</v>
      </c>
      <c r="AB606" s="668">
        <f t="shared" si="182"/>
        <v>0</v>
      </c>
      <c r="AC606" s="668">
        <f t="shared" si="191"/>
        <v>0</v>
      </c>
      <c r="AD606" s="668">
        <f t="shared" si="183"/>
        <v>0</v>
      </c>
      <c r="AE606" s="668">
        <f t="shared" si="184"/>
        <v>0</v>
      </c>
      <c r="AF606" s="668">
        <f t="shared" si="185"/>
        <v>0</v>
      </c>
      <c r="AG606" s="668">
        <f t="shared" si="186"/>
        <v>0</v>
      </c>
      <c r="AH606" s="668"/>
      <c r="AI606" s="668"/>
      <c r="AJ606" s="668"/>
      <c r="AK606" s="668"/>
      <c r="AL606" s="668"/>
      <c r="AM606" s="668">
        <f t="shared" si="192"/>
        <v>0</v>
      </c>
      <c r="AN606" s="668">
        <f t="shared" si="187"/>
        <v>0</v>
      </c>
      <c r="AO606" s="668">
        <f t="shared" si="188"/>
        <v>0</v>
      </c>
      <c r="AP606" s="668">
        <f t="shared" si="193"/>
        <v>0</v>
      </c>
      <c r="AQ606" s="668">
        <f t="shared" si="189"/>
        <v>0</v>
      </c>
      <c r="AR606" s="668">
        <f t="shared" si="190"/>
        <v>0</v>
      </c>
      <c r="AS606" s="668"/>
      <c r="AT606" s="668"/>
      <c r="AU606" s="668"/>
      <c r="AV606" s="668"/>
      <c r="AW606" s="668"/>
      <c r="AX606" s="668"/>
      <c r="AY606" s="668"/>
      <c r="AZ606" s="668"/>
      <c r="BA606" s="668"/>
      <c r="BB606" s="668">
        <f t="shared" si="194"/>
        <v>0</v>
      </c>
      <c r="BC606" s="668"/>
      <c r="BD606" s="668"/>
      <c r="BE606" s="668"/>
      <c r="BF606" s="668"/>
      <c r="BG606" s="668"/>
      <c r="BH606" s="668"/>
      <c r="BI606" s="668"/>
    </row>
    <row r="607" spans="1:61" x14ac:dyDescent="0.2">
      <c r="A607" s="1020">
        <v>3128</v>
      </c>
      <c r="B607" s="1020" t="s">
        <v>684</v>
      </c>
      <c r="C607" s="1020"/>
      <c r="D607" s="667">
        <v>42</v>
      </c>
      <c r="E607" s="667"/>
      <c r="F607" s="667">
        <v>42</v>
      </c>
      <c r="G607" s="667"/>
      <c r="H607" s="667"/>
      <c r="I607" s="667"/>
      <c r="J607" s="667"/>
      <c r="K607" s="667"/>
      <c r="L607" s="667"/>
      <c r="M607" s="667"/>
      <c r="N607" s="667"/>
      <c r="O607" s="667"/>
      <c r="P607" s="667"/>
      <c r="Q607" s="667"/>
      <c r="R607" s="667"/>
      <c r="S607" s="667"/>
      <c r="T607" s="667"/>
      <c r="U607" s="1020">
        <v>10</v>
      </c>
      <c r="V607" s="668">
        <f t="shared" si="176"/>
        <v>420</v>
      </c>
      <c r="W607" s="668">
        <f t="shared" si="177"/>
        <v>0</v>
      </c>
      <c r="X607" s="668">
        <f t="shared" si="178"/>
        <v>0</v>
      </c>
      <c r="Y607" s="668">
        <f t="shared" si="179"/>
        <v>0</v>
      </c>
      <c r="Z607" s="668">
        <f t="shared" si="180"/>
        <v>0</v>
      </c>
      <c r="AA607" s="668">
        <f t="shared" si="181"/>
        <v>0</v>
      </c>
      <c r="AB607" s="668">
        <f t="shared" si="182"/>
        <v>0</v>
      </c>
      <c r="AC607" s="668">
        <f t="shared" si="191"/>
        <v>0</v>
      </c>
      <c r="AD607" s="668">
        <f t="shared" si="183"/>
        <v>0</v>
      </c>
      <c r="AE607" s="668">
        <f t="shared" si="184"/>
        <v>0</v>
      </c>
      <c r="AF607" s="668">
        <f t="shared" si="185"/>
        <v>0</v>
      </c>
      <c r="AG607" s="668">
        <f t="shared" si="186"/>
        <v>0</v>
      </c>
      <c r="AH607" s="668"/>
      <c r="AI607" s="668"/>
      <c r="AJ607" s="668"/>
      <c r="AK607" s="668"/>
      <c r="AL607" s="668"/>
      <c r="AM607" s="668">
        <f t="shared" si="192"/>
        <v>0</v>
      </c>
      <c r="AN607" s="668">
        <f t="shared" si="187"/>
        <v>0</v>
      </c>
      <c r="AO607" s="668">
        <f t="shared" si="188"/>
        <v>0</v>
      </c>
      <c r="AP607" s="668">
        <f t="shared" si="193"/>
        <v>420</v>
      </c>
      <c r="AQ607" s="668">
        <f t="shared" si="189"/>
        <v>0</v>
      </c>
      <c r="AR607" s="668">
        <f t="shared" si="190"/>
        <v>0</v>
      </c>
      <c r="AS607" s="668"/>
      <c r="AT607" s="668"/>
      <c r="AU607" s="668"/>
      <c r="AV607" s="668"/>
      <c r="AW607" s="668"/>
      <c r="AX607" s="668"/>
      <c r="AY607" s="668"/>
      <c r="AZ607" s="668"/>
      <c r="BA607" s="668"/>
      <c r="BB607" s="668"/>
      <c r="BC607" s="668"/>
      <c r="BD607" s="668"/>
      <c r="BE607" s="668"/>
      <c r="BF607" s="668"/>
      <c r="BG607" s="668"/>
      <c r="BH607" s="668"/>
      <c r="BI607" s="668"/>
    </row>
    <row r="608" spans="1:61" x14ac:dyDescent="0.2">
      <c r="A608" s="1020" t="s">
        <v>740</v>
      </c>
      <c r="B608" s="1020" t="s">
        <v>516</v>
      </c>
      <c r="C608" s="1020"/>
      <c r="D608" s="667">
        <v>32</v>
      </c>
      <c r="E608" s="667"/>
      <c r="F608" s="667">
        <v>32</v>
      </c>
      <c r="G608" s="667"/>
      <c r="H608" s="667"/>
      <c r="I608" s="667"/>
      <c r="J608" s="667"/>
      <c r="K608" s="667"/>
      <c r="L608" s="667"/>
      <c r="M608" s="667"/>
      <c r="N608" s="667"/>
      <c r="O608" s="667"/>
      <c r="P608" s="667"/>
      <c r="Q608" s="667"/>
      <c r="R608" s="667"/>
      <c r="S608" s="667"/>
      <c r="T608" s="667"/>
      <c r="U608" s="1020">
        <v>10</v>
      </c>
      <c r="V608" s="668">
        <f t="shared" si="176"/>
        <v>320</v>
      </c>
      <c r="W608" s="668">
        <f t="shared" si="177"/>
        <v>0</v>
      </c>
      <c r="X608" s="668">
        <f t="shared" si="178"/>
        <v>0</v>
      </c>
      <c r="Y608" s="668">
        <f t="shared" si="179"/>
        <v>0</v>
      </c>
      <c r="Z608" s="668">
        <f t="shared" si="180"/>
        <v>0</v>
      </c>
      <c r="AA608" s="668">
        <f t="shared" si="181"/>
        <v>0</v>
      </c>
      <c r="AB608" s="668">
        <f t="shared" si="182"/>
        <v>0</v>
      </c>
      <c r="AC608" s="668">
        <f t="shared" si="191"/>
        <v>0</v>
      </c>
      <c r="AD608" s="668">
        <f t="shared" si="183"/>
        <v>0</v>
      </c>
      <c r="AE608" s="668">
        <f t="shared" si="184"/>
        <v>0</v>
      </c>
      <c r="AF608" s="668">
        <f t="shared" si="185"/>
        <v>0</v>
      </c>
      <c r="AG608" s="668">
        <f t="shared" si="186"/>
        <v>0</v>
      </c>
      <c r="AH608" s="668"/>
      <c r="AI608" s="668"/>
      <c r="AJ608" s="668"/>
      <c r="AK608" s="668"/>
      <c r="AL608" s="668"/>
      <c r="AM608" s="668">
        <f t="shared" si="192"/>
        <v>0</v>
      </c>
      <c r="AN608" s="668">
        <f t="shared" si="187"/>
        <v>0</v>
      </c>
      <c r="AO608" s="668">
        <f t="shared" si="188"/>
        <v>0</v>
      </c>
      <c r="AP608" s="668">
        <f t="shared" si="193"/>
        <v>320</v>
      </c>
      <c r="AQ608" s="668">
        <f t="shared" si="189"/>
        <v>0</v>
      </c>
      <c r="AR608" s="668">
        <f t="shared" si="190"/>
        <v>0</v>
      </c>
      <c r="AS608" s="668"/>
      <c r="AT608" s="668"/>
      <c r="AU608" s="668"/>
      <c r="AV608" s="668"/>
      <c r="AW608" s="668"/>
      <c r="AX608" s="668"/>
      <c r="AY608" s="668"/>
      <c r="AZ608" s="668"/>
      <c r="BA608" s="668"/>
      <c r="BB608" s="668"/>
      <c r="BC608" s="668"/>
      <c r="BD608" s="668"/>
      <c r="BE608" s="668"/>
      <c r="BF608" s="668"/>
      <c r="BG608" s="668"/>
      <c r="BH608" s="668"/>
      <c r="BI608" s="668"/>
    </row>
    <row r="609" spans="1:61" x14ac:dyDescent="0.2">
      <c r="A609" s="1020" t="s">
        <v>741</v>
      </c>
      <c r="B609" s="1020" t="s">
        <v>517</v>
      </c>
      <c r="C609" s="1020"/>
      <c r="D609" s="667">
        <v>49</v>
      </c>
      <c r="E609" s="667"/>
      <c r="F609" s="667"/>
      <c r="G609" s="667"/>
      <c r="H609" s="667"/>
      <c r="I609" s="667"/>
      <c r="J609" s="667"/>
      <c r="K609" s="667"/>
      <c r="L609" s="667"/>
      <c r="M609" s="667"/>
      <c r="N609" s="667"/>
      <c r="O609" s="667"/>
      <c r="P609" s="667"/>
      <c r="Q609" s="667"/>
      <c r="R609" s="667"/>
      <c r="S609" s="667"/>
      <c r="T609" s="667"/>
      <c r="U609" s="1020">
        <v>12</v>
      </c>
      <c r="V609" s="668">
        <f t="shared" si="176"/>
        <v>588</v>
      </c>
      <c r="W609" s="668">
        <f t="shared" si="177"/>
        <v>0</v>
      </c>
      <c r="X609" s="668">
        <f t="shared" si="178"/>
        <v>0</v>
      </c>
      <c r="Y609" s="668">
        <f t="shared" si="179"/>
        <v>0</v>
      </c>
      <c r="Z609" s="668">
        <f t="shared" si="180"/>
        <v>0</v>
      </c>
      <c r="AA609" s="668">
        <f t="shared" si="181"/>
        <v>0</v>
      </c>
      <c r="AB609" s="668">
        <f t="shared" si="182"/>
        <v>0</v>
      </c>
      <c r="AC609" s="668">
        <f t="shared" si="191"/>
        <v>0</v>
      </c>
      <c r="AD609" s="668">
        <f t="shared" si="183"/>
        <v>0</v>
      </c>
      <c r="AE609" s="668">
        <f t="shared" si="184"/>
        <v>0</v>
      </c>
      <c r="AF609" s="668">
        <f t="shared" si="185"/>
        <v>0</v>
      </c>
      <c r="AG609" s="668">
        <f t="shared" si="186"/>
        <v>0</v>
      </c>
      <c r="AH609" s="668"/>
      <c r="AI609" s="668"/>
      <c r="AJ609" s="668"/>
      <c r="AK609" s="668"/>
      <c r="AL609" s="668"/>
      <c r="AM609" s="668">
        <f t="shared" si="192"/>
        <v>0</v>
      </c>
      <c r="AN609" s="668">
        <f t="shared" si="187"/>
        <v>0</v>
      </c>
      <c r="AO609" s="668">
        <f t="shared" si="188"/>
        <v>0</v>
      </c>
      <c r="AP609" s="668">
        <f t="shared" si="193"/>
        <v>0</v>
      </c>
      <c r="AQ609" s="668">
        <f t="shared" si="189"/>
        <v>0</v>
      </c>
      <c r="AR609" s="668">
        <f t="shared" si="190"/>
        <v>0</v>
      </c>
      <c r="AS609" s="668"/>
      <c r="AT609" s="668"/>
      <c r="AU609" s="668"/>
      <c r="AV609" s="668"/>
      <c r="AW609" s="668"/>
      <c r="AX609" s="668"/>
      <c r="AY609" s="668"/>
      <c r="AZ609" s="668"/>
      <c r="BA609" s="668"/>
      <c r="BB609" s="668">
        <f t="shared" si="194"/>
        <v>0</v>
      </c>
      <c r="BC609" s="668"/>
      <c r="BD609" s="668"/>
      <c r="BE609" s="668"/>
      <c r="BF609" s="668"/>
      <c r="BG609" s="668"/>
      <c r="BH609" s="668"/>
      <c r="BI609" s="668"/>
    </row>
    <row r="610" spans="1:61" x14ac:dyDescent="0.2">
      <c r="A610" s="1020">
        <v>3130</v>
      </c>
      <c r="B610" s="1020" t="s">
        <v>672</v>
      </c>
      <c r="C610" s="1020"/>
      <c r="D610" s="667">
        <v>40</v>
      </c>
      <c r="E610" s="667"/>
      <c r="F610" s="667">
        <v>15</v>
      </c>
      <c r="G610" s="667"/>
      <c r="H610" s="667"/>
      <c r="I610" s="667"/>
      <c r="J610" s="667"/>
      <c r="K610" s="667"/>
      <c r="L610" s="667"/>
      <c r="M610" s="667"/>
      <c r="N610" s="667"/>
      <c r="O610" s="667"/>
      <c r="P610" s="667"/>
      <c r="Q610" s="667"/>
      <c r="R610" s="667"/>
      <c r="S610" s="667"/>
      <c r="T610" s="667"/>
      <c r="U610" s="1020">
        <v>10</v>
      </c>
      <c r="V610" s="668">
        <f t="shared" si="176"/>
        <v>400</v>
      </c>
      <c r="W610" s="668">
        <f t="shared" si="177"/>
        <v>0</v>
      </c>
      <c r="X610" s="668">
        <f t="shared" si="178"/>
        <v>0</v>
      </c>
      <c r="Y610" s="668">
        <f t="shared" si="179"/>
        <v>0</v>
      </c>
      <c r="Z610" s="668">
        <f t="shared" si="180"/>
        <v>0</v>
      </c>
      <c r="AA610" s="668">
        <f t="shared" si="181"/>
        <v>0</v>
      </c>
      <c r="AB610" s="668">
        <f t="shared" si="182"/>
        <v>0</v>
      </c>
      <c r="AC610" s="668">
        <f t="shared" si="191"/>
        <v>0</v>
      </c>
      <c r="AD610" s="668">
        <f t="shared" si="183"/>
        <v>0</v>
      </c>
      <c r="AE610" s="668">
        <f t="shared" si="184"/>
        <v>0</v>
      </c>
      <c r="AF610" s="668">
        <f t="shared" si="185"/>
        <v>0</v>
      </c>
      <c r="AG610" s="668">
        <f t="shared" si="186"/>
        <v>0</v>
      </c>
      <c r="AH610" s="668"/>
      <c r="AI610" s="668"/>
      <c r="AJ610" s="668"/>
      <c r="AK610" s="668"/>
      <c r="AL610" s="668"/>
      <c r="AM610" s="668">
        <f t="shared" si="192"/>
        <v>0</v>
      </c>
      <c r="AN610" s="668">
        <f t="shared" si="187"/>
        <v>0</v>
      </c>
      <c r="AO610" s="668">
        <f t="shared" si="188"/>
        <v>0</v>
      </c>
      <c r="AP610" s="668">
        <f t="shared" si="193"/>
        <v>150</v>
      </c>
      <c r="AQ610" s="668">
        <f t="shared" si="189"/>
        <v>0</v>
      </c>
      <c r="AR610" s="668">
        <f t="shared" si="190"/>
        <v>0</v>
      </c>
      <c r="AS610" s="668"/>
      <c r="AT610" s="668"/>
      <c r="AU610" s="668"/>
      <c r="AV610" s="668"/>
      <c r="AW610" s="668"/>
      <c r="AX610" s="668"/>
      <c r="AY610" s="668"/>
      <c r="AZ610" s="668"/>
      <c r="BA610" s="668"/>
      <c r="BB610" s="668">
        <f t="shared" si="194"/>
        <v>150</v>
      </c>
      <c r="BC610" s="668"/>
      <c r="BD610" s="668"/>
      <c r="BE610" s="668"/>
      <c r="BF610" s="668"/>
      <c r="BG610" s="668"/>
      <c r="BH610" s="668"/>
      <c r="BI610" s="668"/>
    </row>
    <row r="611" spans="1:61" x14ac:dyDescent="0.2">
      <c r="A611" s="1020">
        <v>3131</v>
      </c>
      <c r="B611" s="1020" t="s">
        <v>672</v>
      </c>
      <c r="C611" s="1020"/>
      <c r="D611" s="667">
        <v>40</v>
      </c>
      <c r="E611" s="667"/>
      <c r="F611" s="667">
        <v>15</v>
      </c>
      <c r="G611" s="667"/>
      <c r="H611" s="667"/>
      <c r="I611" s="667"/>
      <c r="J611" s="667"/>
      <c r="K611" s="667"/>
      <c r="L611" s="667"/>
      <c r="M611" s="667"/>
      <c r="N611" s="667"/>
      <c r="O611" s="667"/>
      <c r="P611" s="667"/>
      <c r="Q611" s="667"/>
      <c r="R611" s="667"/>
      <c r="S611" s="667"/>
      <c r="T611" s="667"/>
      <c r="U611" s="1020">
        <v>10</v>
      </c>
      <c r="V611" s="668">
        <f t="shared" si="176"/>
        <v>400</v>
      </c>
      <c r="W611" s="668">
        <f t="shared" si="177"/>
        <v>0</v>
      </c>
      <c r="X611" s="668">
        <f t="shared" si="178"/>
        <v>0</v>
      </c>
      <c r="Y611" s="668">
        <f t="shared" si="179"/>
        <v>0</v>
      </c>
      <c r="Z611" s="668">
        <f t="shared" si="180"/>
        <v>0</v>
      </c>
      <c r="AA611" s="668">
        <f t="shared" si="181"/>
        <v>0</v>
      </c>
      <c r="AB611" s="668">
        <f t="shared" si="182"/>
        <v>0</v>
      </c>
      <c r="AC611" s="668">
        <f t="shared" si="191"/>
        <v>0</v>
      </c>
      <c r="AD611" s="668">
        <f t="shared" si="183"/>
        <v>0</v>
      </c>
      <c r="AE611" s="668">
        <f t="shared" si="184"/>
        <v>0</v>
      </c>
      <c r="AF611" s="668">
        <f t="shared" si="185"/>
        <v>0</v>
      </c>
      <c r="AG611" s="668">
        <f t="shared" si="186"/>
        <v>0</v>
      </c>
      <c r="AH611" s="668"/>
      <c r="AI611" s="668"/>
      <c r="AJ611" s="668"/>
      <c r="AK611" s="668"/>
      <c r="AL611" s="668"/>
      <c r="AM611" s="668">
        <f t="shared" si="192"/>
        <v>0</v>
      </c>
      <c r="AN611" s="668">
        <f t="shared" si="187"/>
        <v>0</v>
      </c>
      <c r="AO611" s="668">
        <f t="shared" si="188"/>
        <v>0</v>
      </c>
      <c r="AP611" s="668">
        <f t="shared" si="193"/>
        <v>150</v>
      </c>
      <c r="AQ611" s="668">
        <f t="shared" si="189"/>
        <v>0</v>
      </c>
      <c r="AR611" s="668">
        <f t="shared" si="190"/>
        <v>0</v>
      </c>
      <c r="AS611" s="668"/>
      <c r="AT611" s="668"/>
      <c r="AU611" s="668"/>
      <c r="AV611" s="668"/>
      <c r="AW611" s="668"/>
      <c r="AX611" s="668"/>
      <c r="AY611" s="668"/>
      <c r="AZ611" s="668"/>
      <c r="BA611" s="668"/>
      <c r="BB611" s="668">
        <f t="shared" si="194"/>
        <v>150</v>
      </c>
      <c r="BC611" s="668"/>
      <c r="BD611" s="668"/>
      <c r="BE611" s="668"/>
      <c r="BF611" s="668"/>
      <c r="BG611" s="668"/>
      <c r="BH611" s="668"/>
      <c r="BI611" s="668"/>
    </row>
    <row r="612" spans="1:61" x14ac:dyDescent="0.2">
      <c r="A612" s="1020" t="s">
        <v>742</v>
      </c>
      <c r="B612" s="1020" t="s">
        <v>519</v>
      </c>
      <c r="C612" s="1020"/>
      <c r="D612" s="667">
        <v>50</v>
      </c>
      <c r="E612" s="667"/>
      <c r="F612" s="667">
        <v>15</v>
      </c>
      <c r="G612" s="667"/>
      <c r="H612" s="667"/>
      <c r="I612" s="667"/>
      <c r="J612" s="667"/>
      <c r="K612" s="667"/>
      <c r="L612" s="667"/>
      <c r="M612" s="667"/>
      <c r="N612" s="667"/>
      <c r="O612" s="667"/>
      <c r="P612" s="667"/>
      <c r="Q612" s="667"/>
      <c r="R612" s="667"/>
      <c r="S612" s="667"/>
      <c r="T612" s="667">
        <v>254</v>
      </c>
      <c r="U612" s="1020">
        <v>12</v>
      </c>
      <c r="V612" s="668">
        <f t="shared" si="176"/>
        <v>600</v>
      </c>
      <c r="W612" s="668">
        <f t="shared" si="177"/>
        <v>0</v>
      </c>
      <c r="X612" s="668">
        <f t="shared" si="178"/>
        <v>0</v>
      </c>
      <c r="Y612" s="668">
        <f t="shared" si="179"/>
        <v>0</v>
      </c>
      <c r="Z612" s="668">
        <f t="shared" si="180"/>
        <v>0</v>
      </c>
      <c r="AA612" s="668">
        <f t="shared" si="181"/>
        <v>0</v>
      </c>
      <c r="AB612" s="668">
        <f t="shared" si="182"/>
        <v>254</v>
      </c>
      <c r="AC612" s="668">
        <f t="shared" si="191"/>
        <v>0</v>
      </c>
      <c r="AD612" s="668">
        <f t="shared" si="183"/>
        <v>0</v>
      </c>
      <c r="AE612" s="668">
        <f t="shared" si="184"/>
        <v>0</v>
      </c>
      <c r="AF612" s="668">
        <f t="shared" si="185"/>
        <v>0</v>
      </c>
      <c r="AG612" s="668">
        <f t="shared" si="186"/>
        <v>0</v>
      </c>
      <c r="AH612" s="668"/>
      <c r="AI612" s="668"/>
      <c r="AJ612" s="668"/>
      <c r="AK612" s="668"/>
      <c r="AL612" s="668"/>
      <c r="AM612" s="668">
        <f t="shared" si="192"/>
        <v>0</v>
      </c>
      <c r="AN612" s="668">
        <f t="shared" si="187"/>
        <v>0</v>
      </c>
      <c r="AO612" s="668">
        <f t="shared" si="188"/>
        <v>0</v>
      </c>
      <c r="AP612" s="668">
        <f t="shared" si="193"/>
        <v>180</v>
      </c>
      <c r="AQ612" s="668">
        <f t="shared" si="189"/>
        <v>0</v>
      </c>
      <c r="AR612" s="668">
        <f t="shared" si="190"/>
        <v>0</v>
      </c>
      <c r="AS612" s="668"/>
      <c r="AT612" s="668"/>
      <c r="AU612" s="668"/>
      <c r="AV612" s="668"/>
      <c r="AW612" s="668"/>
      <c r="AX612" s="668"/>
      <c r="AY612" s="668"/>
      <c r="AZ612" s="668"/>
      <c r="BA612" s="668"/>
      <c r="BB612" s="668">
        <f t="shared" si="194"/>
        <v>180</v>
      </c>
      <c r="BC612" s="668"/>
      <c r="BD612" s="668"/>
      <c r="BE612" s="668"/>
      <c r="BF612" s="668"/>
      <c r="BG612" s="668"/>
      <c r="BH612" s="668"/>
      <c r="BI612" s="668"/>
    </row>
    <row r="613" spans="1:61" x14ac:dyDescent="0.2">
      <c r="A613" s="1020" t="s">
        <v>743</v>
      </c>
      <c r="B613" s="1020" t="s">
        <v>486</v>
      </c>
      <c r="C613" s="1020"/>
      <c r="D613" s="667">
        <v>42</v>
      </c>
      <c r="E613" s="667"/>
      <c r="F613" s="667"/>
      <c r="G613" s="667"/>
      <c r="H613" s="667"/>
      <c r="I613" s="667"/>
      <c r="J613" s="667"/>
      <c r="K613" s="667"/>
      <c r="L613" s="667"/>
      <c r="M613" s="667"/>
      <c r="N613" s="667"/>
      <c r="O613" s="667"/>
      <c r="P613" s="667"/>
      <c r="Q613" s="667"/>
      <c r="R613" s="667"/>
      <c r="S613" s="667"/>
      <c r="T613" s="667"/>
      <c r="U613" s="1020">
        <v>12</v>
      </c>
      <c r="V613" s="668">
        <f t="shared" si="176"/>
        <v>504</v>
      </c>
      <c r="W613" s="668">
        <f t="shared" si="177"/>
        <v>0</v>
      </c>
      <c r="X613" s="668">
        <f t="shared" si="178"/>
        <v>0</v>
      </c>
      <c r="Y613" s="668">
        <f t="shared" si="179"/>
        <v>0</v>
      </c>
      <c r="Z613" s="668">
        <f t="shared" si="180"/>
        <v>0</v>
      </c>
      <c r="AA613" s="668">
        <f t="shared" si="181"/>
        <v>0</v>
      </c>
      <c r="AB613" s="668">
        <f t="shared" si="182"/>
        <v>0</v>
      </c>
      <c r="AC613" s="668">
        <f t="shared" si="191"/>
        <v>0</v>
      </c>
      <c r="AD613" s="668">
        <f t="shared" si="183"/>
        <v>0</v>
      </c>
      <c r="AE613" s="668">
        <f t="shared" si="184"/>
        <v>0</v>
      </c>
      <c r="AF613" s="668">
        <f t="shared" si="185"/>
        <v>0</v>
      </c>
      <c r="AG613" s="668">
        <f t="shared" si="186"/>
        <v>0</v>
      </c>
      <c r="AH613" s="668"/>
      <c r="AI613" s="668"/>
      <c r="AJ613" s="668"/>
      <c r="AK613" s="668"/>
      <c r="AL613" s="668"/>
      <c r="AM613" s="668">
        <f t="shared" si="192"/>
        <v>0</v>
      </c>
      <c r="AN613" s="668">
        <f t="shared" si="187"/>
        <v>0</v>
      </c>
      <c r="AO613" s="668">
        <f t="shared" si="188"/>
        <v>0</v>
      </c>
      <c r="AP613" s="668">
        <f t="shared" si="193"/>
        <v>0</v>
      </c>
      <c r="AQ613" s="668">
        <f t="shared" si="189"/>
        <v>0</v>
      </c>
      <c r="AR613" s="668">
        <f t="shared" si="190"/>
        <v>0</v>
      </c>
      <c r="AS613" s="668"/>
      <c r="AT613" s="668"/>
      <c r="AU613" s="668"/>
      <c r="AV613" s="668"/>
      <c r="AW613" s="668"/>
      <c r="AX613" s="668"/>
      <c r="AY613" s="668"/>
      <c r="AZ613" s="668"/>
      <c r="BA613" s="668"/>
      <c r="BB613" s="668">
        <f t="shared" si="194"/>
        <v>0</v>
      </c>
      <c r="BC613" s="668"/>
      <c r="BD613" s="668"/>
      <c r="BE613" s="668"/>
      <c r="BF613" s="668"/>
      <c r="BG613" s="668"/>
      <c r="BH613" s="668"/>
      <c r="BI613" s="668"/>
    </row>
    <row r="614" spans="1:61" x14ac:dyDescent="0.2">
      <c r="A614" s="1020">
        <v>3133</v>
      </c>
      <c r="B614" s="1020" t="s">
        <v>467</v>
      </c>
      <c r="C614" s="1020"/>
      <c r="D614" s="667">
        <v>80</v>
      </c>
      <c r="E614" s="667"/>
      <c r="F614" s="667"/>
      <c r="G614" s="667"/>
      <c r="H614" s="667"/>
      <c r="I614" s="667"/>
      <c r="J614" s="667"/>
      <c r="K614" s="667"/>
      <c r="L614" s="667"/>
      <c r="M614" s="667"/>
      <c r="N614" s="667"/>
      <c r="O614" s="667"/>
      <c r="P614" s="667"/>
      <c r="Q614" s="667"/>
      <c r="R614" s="667"/>
      <c r="S614" s="667"/>
      <c r="T614" s="667"/>
      <c r="U614" s="1020">
        <v>3</v>
      </c>
      <c r="V614" s="668">
        <f t="shared" si="176"/>
        <v>240</v>
      </c>
      <c r="W614" s="668">
        <f t="shared" si="177"/>
        <v>0</v>
      </c>
      <c r="X614" s="668">
        <f t="shared" si="178"/>
        <v>0</v>
      </c>
      <c r="Y614" s="668">
        <f t="shared" si="179"/>
        <v>0</v>
      </c>
      <c r="Z614" s="668">
        <f t="shared" si="180"/>
        <v>0</v>
      </c>
      <c r="AA614" s="668">
        <f t="shared" si="181"/>
        <v>0</v>
      </c>
      <c r="AB614" s="668">
        <f t="shared" si="182"/>
        <v>0</v>
      </c>
      <c r="AC614" s="668">
        <f t="shared" si="191"/>
        <v>0</v>
      </c>
      <c r="AD614" s="668">
        <f t="shared" si="183"/>
        <v>0</v>
      </c>
      <c r="AE614" s="668">
        <f t="shared" si="184"/>
        <v>0</v>
      </c>
      <c r="AF614" s="668">
        <f t="shared" si="185"/>
        <v>0</v>
      </c>
      <c r="AG614" s="668">
        <f t="shared" si="186"/>
        <v>0</v>
      </c>
      <c r="AH614" s="668"/>
      <c r="AI614" s="668"/>
      <c r="AJ614" s="668"/>
      <c r="AK614" s="668"/>
      <c r="AL614" s="668"/>
      <c r="AM614" s="668">
        <f t="shared" si="192"/>
        <v>0</v>
      </c>
      <c r="AN614" s="668">
        <f t="shared" si="187"/>
        <v>0</v>
      </c>
      <c r="AO614" s="668">
        <f t="shared" si="188"/>
        <v>0</v>
      </c>
      <c r="AP614" s="668">
        <f t="shared" si="193"/>
        <v>0</v>
      </c>
      <c r="AQ614" s="668">
        <f t="shared" si="189"/>
        <v>0</v>
      </c>
      <c r="AR614" s="668">
        <f t="shared" si="190"/>
        <v>0</v>
      </c>
      <c r="AS614" s="668"/>
      <c r="AT614" s="668"/>
      <c r="AU614" s="668"/>
      <c r="AV614" s="668"/>
      <c r="AW614" s="668"/>
      <c r="AX614" s="668"/>
      <c r="AY614" s="668"/>
      <c r="AZ614" s="668"/>
      <c r="BA614" s="668"/>
      <c r="BB614" s="668">
        <f t="shared" si="194"/>
        <v>0</v>
      </c>
      <c r="BC614" s="668"/>
      <c r="BD614" s="668"/>
      <c r="BE614" s="668"/>
      <c r="BF614" s="668"/>
      <c r="BG614" s="668"/>
      <c r="BH614" s="668"/>
      <c r="BI614" s="668"/>
    </row>
    <row r="615" spans="1:61" x14ac:dyDescent="0.2">
      <c r="A615" s="1020">
        <v>3134</v>
      </c>
      <c r="B615" s="1020" t="s">
        <v>466</v>
      </c>
      <c r="C615" s="1020"/>
      <c r="D615" s="667">
        <v>80</v>
      </c>
      <c r="E615" s="667"/>
      <c r="F615" s="667"/>
      <c r="G615" s="667"/>
      <c r="H615" s="667"/>
      <c r="I615" s="667"/>
      <c r="J615" s="667"/>
      <c r="K615" s="667"/>
      <c r="L615" s="667"/>
      <c r="M615" s="667"/>
      <c r="N615" s="667"/>
      <c r="O615" s="667"/>
      <c r="P615" s="667"/>
      <c r="Q615" s="667"/>
      <c r="R615" s="667"/>
      <c r="S615" s="667"/>
      <c r="T615" s="667"/>
      <c r="U615" s="1020">
        <v>3</v>
      </c>
      <c r="V615" s="668">
        <f t="shared" si="176"/>
        <v>240</v>
      </c>
      <c r="W615" s="668">
        <f t="shared" si="177"/>
        <v>0</v>
      </c>
      <c r="X615" s="668">
        <f t="shared" si="178"/>
        <v>0</v>
      </c>
      <c r="Y615" s="668">
        <f t="shared" si="179"/>
        <v>0</v>
      </c>
      <c r="Z615" s="668">
        <f t="shared" si="180"/>
        <v>0</v>
      </c>
      <c r="AA615" s="668">
        <f t="shared" si="181"/>
        <v>0</v>
      </c>
      <c r="AB615" s="668">
        <f t="shared" si="182"/>
        <v>0</v>
      </c>
      <c r="AC615" s="668">
        <f t="shared" si="191"/>
        <v>0</v>
      </c>
      <c r="AD615" s="668">
        <f t="shared" si="183"/>
        <v>0</v>
      </c>
      <c r="AE615" s="668">
        <f t="shared" si="184"/>
        <v>0</v>
      </c>
      <c r="AF615" s="668">
        <f t="shared" si="185"/>
        <v>0</v>
      </c>
      <c r="AG615" s="668">
        <f t="shared" si="186"/>
        <v>0</v>
      </c>
      <c r="AH615" s="668"/>
      <c r="AI615" s="668"/>
      <c r="AJ615" s="668"/>
      <c r="AK615" s="668"/>
      <c r="AL615" s="668"/>
      <c r="AM615" s="668">
        <f t="shared" si="192"/>
        <v>0</v>
      </c>
      <c r="AN615" s="668">
        <f t="shared" si="187"/>
        <v>0</v>
      </c>
      <c r="AO615" s="668">
        <f t="shared" si="188"/>
        <v>0</v>
      </c>
      <c r="AP615" s="668">
        <f t="shared" si="193"/>
        <v>0</v>
      </c>
      <c r="AQ615" s="668">
        <f t="shared" si="189"/>
        <v>0</v>
      </c>
      <c r="AR615" s="668">
        <f t="shared" si="190"/>
        <v>0</v>
      </c>
      <c r="AS615" s="668"/>
      <c r="AT615" s="668"/>
      <c r="AU615" s="668"/>
      <c r="AV615" s="668"/>
      <c r="AW615" s="668"/>
      <c r="AX615" s="668"/>
      <c r="AY615" s="668"/>
      <c r="AZ615" s="668"/>
      <c r="BA615" s="668"/>
      <c r="BB615" s="668">
        <f t="shared" si="194"/>
        <v>0</v>
      </c>
      <c r="BC615" s="668"/>
      <c r="BD615" s="668"/>
      <c r="BE615" s="668"/>
      <c r="BF615" s="668"/>
      <c r="BG615" s="668"/>
      <c r="BH615" s="668"/>
      <c r="BI615" s="668"/>
    </row>
    <row r="616" spans="1:61" x14ac:dyDescent="0.2">
      <c r="A616" s="1020">
        <v>3135</v>
      </c>
      <c r="B616" s="1020" t="s">
        <v>684</v>
      </c>
      <c r="C616" s="1020"/>
      <c r="D616" s="667">
        <v>42</v>
      </c>
      <c r="E616" s="667"/>
      <c r="F616" s="667">
        <v>42</v>
      </c>
      <c r="G616" s="667"/>
      <c r="H616" s="667"/>
      <c r="I616" s="667"/>
      <c r="J616" s="667"/>
      <c r="K616" s="667"/>
      <c r="L616" s="667"/>
      <c r="M616" s="667"/>
      <c r="N616" s="667"/>
      <c r="O616" s="667"/>
      <c r="P616" s="667"/>
      <c r="Q616" s="667"/>
      <c r="R616" s="667"/>
      <c r="S616" s="667"/>
      <c r="T616" s="667"/>
      <c r="U616" s="1020">
        <v>10</v>
      </c>
      <c r="V616" s="668">
        <f t="shared" si="176"/>
        <v>420</v>
      </c>
      <c r="W616" s="668">
        <f t="shared" si="177"/>
        <v>0</v>
      </c>
      <c r="X616" s="668">
        <f t="shared" si="178"/>
        <v>0</v>
      </c>
      <c r="Y616" s="668">
        <f t="shared" si="179"/>
        <v>0</v>
      </c>
      <c r="Z616" s="668">
        <f t="shared" si="180"/>
        <v>0</v>
      </c>
      <c r="AA616" s="668">
        <f t="shared" si="181"/>
        <v>0</v>
      </c>
      <c r="AB616" s="668">
        <f t="shared" si="182"/>
        <v>0</v>
      </c>
      <c r="AC616" s="668">
        <f t="shared" si="191"/>
        <v>0</v>
      </c>
      <c r="AD616" s="668">
        <f t="shared" si="183"/>
        <v>0</v>
      </c>
      <c r="AE616" s="668">
        <f t="shared" si="184"/>
        <v>0</v>
      </c>
      <c r="AF616" s="668">
        <f t="shared" si="185"/>
        <v>0</v>
      </c>
      <c r="AG616" s="668">
        <f t="shared" si="186"/>
        <v>0</v>
      </c>
      <c r="AH616" s="668"/>
      <c r="AI616" s="668"/>
      <c r="AJ616" s="668"/>
      <c r="AK616" s="668"/>
      <c r="AL616" s="668"/>
      <c r="AM616" s="668">
        <f t="shared" si="192"/>
        <v>0</v>
      </c>
      <c r="AN616" s="668">
        <f t="shared" si="187"/>
        <v>0</v>
      </c>
      <c r="AO616" s="668">
        <f t="shared" si="188"/>
        <v>0</v>
      </c>
      <c r="AP616" s="668">
        <f t="shared" si="193"/>
        <v>420</v>
      </c>
      <c r="AQ616" s="668">
        <f t="shared" si="189"/>
        <v>0</v>
      </c>
      <c r="AR616" s="668">
        <f t="shared" si="190"/>
        <v>0</v>
      </c>
      <c r="AS616" s="668"/>
      <c r="AT616" s="668"/>
      <c r="AU616" s="668"/>
      <c r="AV616" s="668"/>
      <c r="AW616" s="668"/>
      <c r="AX616" s="668"/>
      <c r="AY616" s="668"/>
      <c r="AZ616" s="668"/>
      <c r="BA616" s="668"/>
      <c r="BB616" s="668"/>
      <c r="BC616" s="668"/>
      <c r="BD616" s="668"/>
      <c r="BE616" s="668"/>
      <c r="BF616" s="668"/>
      <c r="BG616" s="668"/>
      <c r="BH616" s="668"/>
      <c r="BI616" s="668"/>
    </row>
    <row r="617" spans="1:61" x14ac:dyDescent="0.2">
      <c r="A617" s="1020">
        <v>3136</v>
      </c>
      <c r="B617" s="1020" t="s">
        <v>579</v>
      </c>
      <c r="C617" s="1020"/>
      <c r="D617" s="667">
        <v>71</v>
      </c>
      <c r="E617" s="667"/>
      <c r="F617" s="667"/>
      <c r="G617" s="667"/>
      <c r="H617" s="667"/>
      <c r="I617" s="667"/>
      <c r="J617" s="667"/>
      <c r="K617" s="667"/>
      <c r="L617" s="667"/>
      <c r="M617" s="667"/>
      <c r="N617" s="667"/>
      <c r="O617" s="667"/>
      <c r="P617" s="667"/>
      <c r="Q617" s="667"/>
      <c r="R617" s="667"/>
      <c r="S617" s="667"/>
      <c r="T617" s="667"/>
      <c r="U617" s="1020">
        <v>12</v>
      </c>
      <c r="V617" s="668">
        <f t="shared" si="176"/>
        <v>852</v>
      </c>
      <c r="W617" s="668">
        <f t="shared" si="177"/>
        <v>0</v>
      </c>
      <c r="X617" s="668">
        <f t="shared" si="178"/>
        <v>0</v>
      </c>
      <c r="Y617" s="668">
        <f t="shared" si="179"/>
        <v>0</v>
      </c>
      <c r="Z617" s="668">
        <f t="shared" si="180"/>
        <v>0</v>
      </c>
      <c r="AA617" s="668">
        <f t="shared" si="181"/>
        <v>0</v>
      </c>
      <c r="AB617" s="668">
        <f t="shared" si="182"/>
        <v>0</v>
      </c>
      <c r="AC617" s="668">
        <f t="shared" si="191"/>
        <v>0</v>
      </c>
      <c r="AD617" s="668">
        <f t="shared" si="183"/>
        <v>0</v>
      </c>
      <c r="AE617" s="668">
        <f t="shared" si="184"/>
        <v>0</v>
      </c>
      <c r="AF617" s="668">
        <f t="shared" si="185"/>
        <v>0</v>
      </c>
      <c r="AG617" s="668">
        <f t="shared" si="186"/>
        <v>0</v>
      </c>
      <c r="AH617" s="668"/>
      <c r="AI617" s="668"/>
      <c r="AJ617" s="668"/>
      <c r="AK617" s="668"/>
      <c r="AL617" s="668"/>
      <c r="AM617" s="668">
        <f t="shared" si="192"/>
        <v>0</v>
      </c>
      <c r="AN617" s="668">
        <f t="shared" si="187"/>
        <v>0</v>
      </c>
      <c r="AO617" s="668">
        <f t="shared" si="188"/>
        <v>0</v>
      </c>
      <c r="AP617" s="668">
        <f t="shared" si="193"/>
        <v>0</v>
      </c>
      <c r="AQ617" s="668">
        <f t="shared" si="189"/>
        <v>0</v>
      </c>
      <c r="AR617" s="668">
        <f t="shared" si="190"/>
        <v>0</v>
      </c>
      <c r="AS617" s="668"/>
      <c r="AT617" s="668"/>
      <c r="AU617" s="668"/>
      <c r="AV617" s="668"/>
      <c r="AW617" s="668"/>
      <c r="AX617" s="668"/>
      <c r="AY617" s="668"/>
      <c r="AZ617" s="668"/>
      <c r="BA617" s="668"/>
      <c r="BB617" s="668">
        <f t="shared" si="194"/>
        <v>0</v>
      </c>
      <c r="BC617" s="668"/>
      <c r="BD617" s="668"/>
      <c r="BE617" s="668"/>
      <c r="BF617" s="668"/>
      <c r="BG617" s="668"/>
      <c r="BH617" s="668"/>
      <c r="BI617" s="668"/>
    </row>
    <row r="618" spans="1:61" x14ac:dyDescent="0.2">
      <c r="A618" s="1020">
        <v>3137</v>
      </c>
      <c r="B618" s="1020" t="s">
        <v>476</v>
      </c>
      <c r="C618" s="1020"/>
      <c r="D618" s="667">
        <v>50</v>
      </c>
      <c r="E618" s="667"/>
      <c r="F618" s="667"/>
      <c r="G618" s="667"/>
      <c r="H618" s="667"/>
      <c r="I618" s="667"/>
      <c r="J618" s="667"/>
      <c r="K618" s="667"/>
      <c r="L618" s="667"/>
      <c r="M618" s="667"/>
      <c r="N618" s="667"/>
      <c r="O618" s="667"/>
      <c r="P618" s="667"/>
      <c r="Q618" s="667"/>
      <c r="R618" s="667"/>
      <c r="S618" s="667"/>
      <c r="T618" s="667"/>
      <c r="U618" s="1020">
        <v>12</v>
      </c>
      <c r="V618" s="668">
        <f t="shared" si="176"/>
        <v>600</v>
      </c>
      <c r="W618" s="668">
        <f t="shared" si="177"/>
        <v>0</v>
      </c>
      <c r="X618" s="668">
        <f t="shared" si="178"/>
        <v>0</v>
      </c>
      <c r="Y618" s="668">
        <f t="shared" si="179"/>
        <v>0</v>
      </c>
      <c r="Z618" s="668">
        <f t="shared" si="180"/>
        <v>0</v>
      </c>
      <c r="AA618" s="668">
        <f t="shared" si="181"/>
        <v>0</v>
      </c>
      <c r="AB618" s="668">
        <f t="shared" si="182"/>
        <v>0</v>
      </c>
      <c r="AC618" s="668">
        <f t="shared" si="191"/>
        <v>0</v>
      </c>
      <c r="AD618" s="668">
        <f t="shared" si="183"/>
        <v>0</v>
      </c>
      <c r="AE618" s="668">
        <f t="shared" si="184"/>
        <v>0</v>
      </c>
      <c r="AF618" s="668">
        <f t="shared" si="185"/>
        <v>0</v>
      </c>
      <c r="AG618" s="668">
        <f t="shared" si="186"/>
        <v>0</v>
      </c>
      <c r="AH618" s="668"/>
      <c r="AI618" s="668"/>
      <c r="AJ618" s="668"/>
      <c r="AK618" s="668"/>
      <c r="AL618" s="668"/>
      <c r="AM618" s="668">
        <f t="shared" si="192"/>
        <v>0</v>
      </c>
      <c r="AN618" s="668">
        <f t="shared" si="187"/>
        <v>0</v>
      </c>
      <c r="AO618" s="668">
        <f t="shared" si="188"/>
        <v>0</v>
      </c>
      <c r="AP618" s="668">
        <f t="shared" si="193"/>
        <v>0</v>
      </c>
      <c r="AQ618" s="668">
        <f t="shared" si="189"/>
        <v>0</v>
      </c>
      <c r="AR618" s="668">
        <f t="shared" si="190"/>
        <v>0</v>
      </c>
      <c r="AS618" s="668"/>
      <c r="AT618" s="668"/>
      <c r="AU618" s="668"/>
      <c r="AV618" s="668"/>
      <c r="AW618" s="668"/>
      <c r="AX618" s="668"/>
      <c r="AY618" s="668"/>
      <c r="AZ618" s="668"/>
      <c r="BA618" s="668"/>
      <c r="BB618" s="668">
        <f t="shared" si="194"/>
        <v>0</v>
      </c>
      <c r="BC618" s="668"/>
      <c r="BD618" s="668"/>
      <c r="BE618" s="668"/>
      <c r="BF618" s="668"/>
      <c r="BG618" s="668"/>
      <c r="BH618" s="668"/>
      <c r="BI618" s="668"/>
    </row>
    <row r="619" spans="1:61" x14ac:dyDescent="0.2">
      <c r="A619" s="1020">
        <v>3138</v>
      </c>
      <c r="B619" s="1020" t="s">
        <v>672</v>
      </c>
      <c r="C619" s="1020"/>
      <c r="D619" s="667">
        <v>35</v>
      </c>
      <c r="E619" s="667"/>
      <c r="F619" s="667">
        <v>15</v>
      </c>
      <c r="G619" s="667"/>
      <c r="H619" s="667"/>
      <c r="I619" s="667"/>
      <c r="J619" s="667"/>
      <c r="K619" s="667"/>
      <c r="L619" s="667"/>
      <c r="M619" s="667"/>
      <c r="N619" s="667"/>
      <c r="O619" s="667"/>
      <c r="P619" s="667"/>
      <c r="Q619" s="667"/>
      <c r="R619" s="667"/>
      <c r="S619" s="667"/>
      <c r="T619" s="667">
        <v>150</v>
      </c>
      <c r="U619" s="1020">
        <v>12</v>
      </c>
      <c r="V619" s="668">
        <f t="shared" si="176"/>
        <v>420</v>
      </c>
      <c r="W619" s="668">
        <f t="shared" si="177"/>
        <v>0</v>
      </c>
      <c r="X619" s="668">
        <f t="shared" si="178"/>
        <v>0</v>
      </c>
      <c r="Y619" s="668">
        <f t="shared" si="179"/>
        <v>0</v>
      </c>
      <c r="Z619" s="668">
        <f t="shared" si="180"/>
        <v>0</v>
      </c>
      <c r="AA619" s="668">
        <f t="shared" si="181"/>
        <v>0</v>
      </c>
      <c r="AB619" s="668">
        <f t="shared" si="182"/>
        <v>150</v>
      </c>
      <c r="AC619" s="668">
        <f t="shared" si="191"/>
        <v>0</v>
      </c>
      <c r="AD619" s="668">
        <f t="shared" si="183"/>
        <v>0</v>
      </c>
      <c r="AE619" s="668">
        <f t="shared" si="184"/>
        <v>0</v>
      </c>
      <c r="AF619" s="668">
        <f t="shared" si="185"/>
        <v>0</v>
      </c>
      <c r="AG619" s="668">
        <f t="shared" si="186"/>
        <v>0</v>
      </c>
      <c r="AH619" s="668"/>
      <c r="AI619" s="668"/>
      <c r="AJ619" s="668"/>
      <c r="AK619" s="668"/>
      <c r="AL619" s="668"/>
      <c r="AM619" s="668">
        <f t="shared" si="192"/>
        <v>0</v>
      </c>
      <c r="AN619" s="668">
        <f t="shared" si="187"/>
        <v>0</v>
      </c>
      <c r="AO619" s="668">
        <f t="shared" si="188"/>
        <v>0</v>
      </c>
      <c r="AP619" s="668">
        <f t="shared" si="193"/>
        <v>180</v>
      </c>
      <c r="AQ619" s="668">
        <f t="shared" si="189"/>
        <v>0</v>
      </c>
      <c r="AR619" s="668">
        <f t="shared" si="190"/>
        <v>0</v>
      </c>
      <c r="AS619" s="668"/>
      <c r="AT619" s="668"/>
      <c r="AU619" s="668"/>
      <c r="AV619" s="668"/>
      <c r="AW619" s="668"/>
      <c r="AX619" s="668"/>
      <c r="AY619" s="668"/>
      <c r="AZ619" s="668"/>
      <c r="BA619" s="668"/>
      <c r="BB619" s="668">
        <f t="shared" si="194"/>
        <v>180</v>
      </c>
      <c r="BC619" s="668"/>
      <c r="BD619" s="668"/>
      <c r="BE619" s="668"/>
      <c r="BF619" s="668"/>
      <c r="BG619" s="668"/>
      <c r="BH619" s="668"/>
      <c r="BI619" s="668"/>
    </row>
    <row r="620" spans="1:61" x14ac:dyDescent="0.2">
      <c r="A620" s="1020">
        <v>3139</v>
      </c>
      <c r="B620" s="1020" t="s">
        <v>519</v>
      </c>
      <c r="C620" s="1020"/>
      <c r="D620" s="667">
        <v>35</v>
      </c>
      <c r="E620" s="667"/>
      <c r="F620" s="667">
        <v>15</v>
      </c>
      <c r="G620" s="667"/>
      <c r="H620" s="667"/>
      <c r="I620" s="667"/>
      <c r="J620" s="667"/>
      <c r="K620" s="667"/>
      <c r="L620" s="667"/>
      <c r="M620" s="667"/>
      <c r="N620" s="667"/>
      <c r="O620" s="667"/>
      <c r="P620" s="667"/>
      <c r="Q620" s="667"/>
      <c r="R620" s="667"/>
      <c r="S620" s="667"/>
      <c r="T620" s="667">
        <v>150</v>
      </c>
      <c r="U620" s="1020">
        <v>12</v>
      </c>
      <c r="V620" s="668">
        <f t="shared" si="176"/>
        <v>420</v>
      </c>
      <c r="W620" s="668">
        <f t="shared" si="177"/>
        <v>0</v>
      </c>
      <c r="X620" s="668">
        <f t="shared" si="178"/>
        <v>0</v>
      </c>
      <c r="Y620" s="668">
        <f t="shared" si="179"/>
        <v>0</v>
      </c>
      <c r="Z620" s="668">
        <f t="shared" si="180"/>
        <v>0</v>
      </c>
      <c r="AA620" s="668">
        <f t="shared" si="181"/>
        <v>0</v>
      </c>
      <c r="AB620" s="668">
        <f t="shared" si="182"/>
        <v>150</v>
      </c>
      <c r="AC620" s="668">
        <f t="shared" si="191"/>
        <v>0</v>
      </c>
      <c r="AD620" s="668">
        <f t="shared" si="183"/>
        <v>0</v>
      </c>
      <c r="AE620" s="668">
        <f t="shared" si="184"/>
        <v>0</v>
      </c>
      <c r="AF620" s="668">
        <f t="shared" si="185"/>
        <v>0</v>
      </c>
      <c r="AG620" s="668">
        <f t="shared" si="186"/>
        <v>0</v>
      </c>
      <c r="AH620" s="668"/>
      <c r="AI620" s="668"/>
      <c r="AJ620" s="668"/>
      <c r="AK620" s="668"/>
      <c r="AL620" s="668"/>
      <c r="AM620" s="668">
        <f t="shared" si="192"/>
        <v>0</v>
      </c>
      <c r="AN620" s="668">
        <f t="shared" si="187"/>
        <v>0</v>
      </c>
      <c r="AO620" s="668">
        <f t="shared" si="188"/>
        <v>0</v>
      </c>
      <c r="AP620" s="668">
        <f t="shared" si="193"/>
        <v>180</v>
      </c>
      <c r="AQ620" s="668">
        <f t="shared" si="189"/>
        <v>0</v>
      </c>
      <c r="AR620" s="668">
        <f t="shared" si="190"/>
        <v>0</v>
      </c>
      <c r="AS620" s="668"/>
      <c r="AT620" s="668"/>
      <c r="AU620" s="668"/>
      <c r="AV620" s="668"/>
      <c r="AW620" s="668"/>
      <c r="AX620" s="668"/>
      <c r="AY620" s="668"/>
      <c r="AZ620" s="668"/>
      <c r="BA620" s="668"/>
      <c r="BB620" s="668">
        <f t="shared" si="194"/>
        <v>180</v>
      </c>
      <c r="BC620" s="668"/>
      <c r="BD620" s="668"/>
      <c r="BE620" s="668"/>
      <c r="BF620" s="668"/>
      <c r="BG620" s="668"/>
      <c r="BH620" s="668"/>
      <c r="BI620" s="668"/>
    </row>
    <row r="621" spans="1:61" x14ac:dyDescent="0.2">
      <c r="A621" s="1020">
        <v>3140</v>
      </c>
      <c r="B621" s="1020" t="s">
        <v>515</v>
      </c>
      <c r="C621" s="1020"/>
      <c r="D621" s="667">
        <v>60</v>
      </c>
      <c r="E621" s="667"/>
      <c r="F621" s="667"/>
      <c r="G621" s="667"/>
      <c r="H621" s="667"/>
      <c r="I621" s="667"/>
      <c r="J621" s="667"/>
      <c r="K621" s="667"/>
      <c r="L621" s="667"/>
      <c r="M621" s="667"/>
      <c r="N621" s="667"/>
      <c r="O621" s="667"/>
      <c r="P621" s="667"/>
      <c r="Q621" s="667"/>
      <c r="R621" s="667"/>
      <c r="S621" s="667"/>
      <c r="T621" s="667">
        <v>1500</v>
      </c>
      <c r="U621" s="1031">
        <v>12</v>
      </c>
      <c r="V621" s="668">
        <f t="shared" si="176"/>
        <v>720</v>
      </c>
      <c r="W621" s="668">
        <f t="shared" si="177"/>
        <v>0</v>
      </c>
      <c r="X621" s="668">
        <f t="shared" si="178"/>
        <v>0</v>
      </c>
      <c r="Y621" s="668">
        <f t="shared" si="179"/>
        <v>0</v>
      </c>
      <c r="Z621" s="668">
        <f t="shared" si="180"/>
        <v>0</v>
      </c>
      <c r="AA621" s="668">
        <f t="shared" si="181"/>
        <v>0</v>
      </c>
      <c r="AB621" s="668">
        <f t="shared" si="182"/>
        <v>1500</v>
      </c>
      <c r="AC621" s="668">
        <f t="shared" si="191"/>
        <v>0</v>
      </c>
      <c r="AD621" s="668">
        <f t="shared" si="183"/>
        <v>0</v>
      </c>
      <c r="AE621" s="668">
        <f t="shared" si="184"/>
        <v>0</v>
      </c>
      <c r="AF621" s="668">
        <f t="shared" si="185"/>
        <v>0</v>
      </c>
      <c r="AG621" s="668">
        <f t="shared" si="186"/>
        <v>0</v>
      </c>
      <c r="AH621" s="668"/>
      <c r="AI621" s="668"/>
      <c r="AJ621" s="668"/>
      <c r="AK621" s="668"/>
      <c r="AL621" s="668"/>
      <c r="AM621" s="668">
        <f t="shared" si="192"/>
        <v>0</v>
      </c>
      <c r="AN621" s="668">
        <f t="shared" si="187"/>
        <v>0</v>
      </c>
      <c r="AO621" s="668">
        <f t="shared" si="188"/>
        <v>0</v>
      </c>
      <c r="AP621" s="668">
        <f t="shared" si="193"/>
        <v>0</v>
      </c>
      <c r="AQ621" s="668">
        <f t="shared" si="189"/>
        <v>0</v>
      </c>
      <c r="AR621" s="668">
        <f t="shared" si="190"/>
        <v>0</v>
      </c>
      <c r="AS621" s="668"/>
      <c r="AT621" s="668"/>
      <c r="AU621" s="668"/>
      <c r="AV621" s="668"/>
      <c r="AW621" s="668"/>
      <c r="AX621" s="668"/>
      <c r="AY621" s="668"/>
      <c r="AZ621" s="668"/>
      <c r="BA621" s="668"/>
      <c r="BB621" s="668">
        <f t="shared" si="194"/>
        <v>0</v>
      </c>
      <c r="BC621" s="668"/>
      <c r="BD621" s="668"/>
      <c r="BE621" s="668"/>
      <c r="BF621" s="668"/>
      <c r="BG621" s="668"/>
      <c r="BH621" s="668"/>
      <c r="BI621" s="668"/>
    </row>
    <row r="622" spans="1:61" x14ac:dyDescent="0.2">
      <c r="A622" s="1020">
        <v>3141</v>
      </c>
      <c r="B622" s="1020" t="s">
        <v>515</v>
      </c>
      <c r="C622" s="1020"/>
      <c r="D622" s="667">
        <v>100</v>
      </c>
      <c r="E622" s="667"/>
      <c r="F622" s="667"/>
      <c r="G622" s="667"/>
      <c r="H622" s="667"/>
      <c r="I622" s="667"/>
      <c r="J622" s="667"/>
      <c r="K622" s="667"/>
      <c r="L622" s="667"/>
      <c r="M622" s="667"/>
      <c r="N622" s="667"/>
      <c r="O622" s="667"/>
      <c r="P622" s="667"/>
      <c r="Q622" s="667"/>
      <c r="R622" s="667"/>
      <c r="S622" s="667"/>
      <c r="T622" s="667">
        <v>2400</v>
      </c>
      <c r="U622" s="1031">
        <v>12</v>
      </c>
      <c r="V622" s="668">
        <f t="shared" si="176"/>
        <v>1200</v>
      </c>
      <c r="W622" s="668">
        <f t="shared" si="177"/>
        <v>0</v>
      </c>
      <c r="X622" s="668">
        <f t="shared" si="178"/>
        <v>0</v>
      </c>
      <c r="Y622" s="668">
        <f t="shared" si="179"/>
        <v>0</v>
      </c>
      <c r="Z622" s="668">
        <f t="shared" si="180"/>
        <v>0</v>
      </c>
      <c r="AA622" s="668">
        <f t="shared" si="181"/>
        <v>0</v>
      </c>
      <c r="AB622" s="668">
        <f t="shared" si="182"/>
        <v>2400</v>
      </c>
      <c r="AC622" s="668">
        <f t="shared" si="191"/>
        <v>0</v>
      </c>
      <c r="AD622" s="668">
        <f t="shared" si="183"/>
        <v>0</v>
      </c>
      <c r="AE622" s="668">
        <f t="shared" si="184"/>
        <v>0</v>
      </c>
      <c r="AF622" s="668">
        <f t="shared" si="185"/>
        <v>0</v>
      </c>
      <c r="AG622" s="668">
        <f t="shared" si="186"/>
        <v>0</v>
      </c>
      <c r="AH622" s="668"/>
      <c r="AI622" s="668"/>
      <c r="AJ622" s="668"/>
      <c r="AK622" s="668"/>
      <c r="AL622" s="668"/>
      <c r="AM622" s="668">
        <f t="shared" si="192"/>
        <v>0</v>
      </c>
      <c r="AN622" s="668">
        <f t="shared" si="187"/>
        <v>0</v>
      </c>
      <c r="AO622" s="668">
        <f t="shared" si="188"/>
        <v>0</v>
      </c>
      <c r="AP622" s="668">
        <f t="shared" si="193"/>
        <v>0</v>
      </c>
      <c r="AQ622" s="668">
        <f t="shared" si="189"/>
        <v>0</v>
      </c>
      <c r="AR622" s="668">
        <f t="shared" si="190"/>
        <v>0</v>
      </c>
      <c r="AS622" s="668"/>
      <c r="AT622" s="668"/>
      <c r="AU622" s="668"/>
      <c r="AV622" s="668"/>
      <c r="AW622" s="668"/>
      <c r="AX622" s="668"/>
      <c r="AY622" s="668"/>
      <c r="AZ622" s="668"/>
      <c r="BA622" s="668"/>
      <c r="BB622" s="668">
        <f t="shared" si="194"/>
        <v>0</v>
      </c>
      <c r="BC622" s="668"/>
      <c r="BD622" s="668"/>
      <c r="BE622" s="668"/>
      <c r="BF622" s="668"/>
      <c r="BG622" s="668"/>
      <c r="BH622" s="668"/>
      <c r="BI622" s="668"/>
    </row>
    <row r="623" spans="1:61" x14ac:dyDescent="0.2">
      <c r="A623" s="1020">
        <v>3142</v>
      </c>
      <c r="B623" s="1020" t="s">
        <v>682</v>
      </c>
      <c r="C623" s="1020"/>
      <c r="D623" s="667">
        <v>32</v>
      </c>
      <c r="E623" s="667"/>
      <c r="F623" s="667">
        <v>32</v>
      </c>
      <c r="G623" s="667"/>
      <c r="H623" s="667"/>
      <c r="I623" s="667"/>
      <c r="J623" s="667"/>
      <c r="K623" s="667"/>
      <c r="L623" s="667"/>
      <c r="M623" s="667"/>
      <c r="N623" s="667"/>
      <c r="O623" s="667"/>
      <c r="P623" s="667"/>
      <c r="Q623" s="667"/>
      <c r="R623" s="667"/>
      <c r="S623" s="667"/>
      <c r="T623" s="667">
        <v>245</v>
      </c>
      <c r="U623" s="1031">
        <v>12</v>
      </c>
      <c r="V623" s="668">
        <f t="shared" si="176"/>
        <v>384</v>
      </c>
      <c r="W623" s="668">
        <f t="shared" si="177"/>
        <v>0</v>
      </c>
      <c r="X623" s="668">
        <f t="shared" si="178"/>
        <v>0</v>
      </c>
      <c r="Y623" s="668">
        <f t="shared" si="179"/>
        <v>0</v>
      </c>
      <c r="Z623" s="668">
        <f t="shared" si="180"/>
        <v>0</v>
      </c>
      <c r="AA623" s="668">
        <f t="shared" si="181"/>
        <v>0</v>
      </c>
      <c r="AB623" s="668">
        <f t="shared" si="182"/>
        <v>245</v>
      </c>
      <c r="AC623" s="668">
        <f t="shared" si="191"/>
        <v>0</v>
      </c>
      <c r="AD623" s="668">
        <f t="shared" si="183"/>
        <v>0</v>
      </c>
      <c r="AE623" s="668">
        <f t="shared" si="184"/>
        <v>0</v>
      </c>
      <c r="AF623" s="668">
        <f t="shared" si="185"/>
        <v>0</v>
      </c>
      <c r="AG623" s="668">
        <f t="shared" si="186"/>
        <v>0</v>
      </c>
      <c r="AH623" s="668"/>
      <c r="AI623" s="668"/>
      <c r="AJ623" s="668"/>
      <c r="AK623" s="668"/>
      <c r="AL623" s="668"/>
      <c r="AM623" s="668">
        <f t="shared" si="192"/>
        <v>0</v>
      </c>
      <c r="AN623" s="668">
        <f t="shared" si="187"/>
        <v>0</v>
      </c>
      <c r="AO623" s="668">
        <f t="shared" si="188"/>
        <v>0</v>
      </c>
      <c r="AP623" s="668">
        <f t="shared" si="193"/>
        <v>384</v>
      </c>
      <c r="AQ623" s="668">
        <f t="shared" si="189"/>
        <v>0</v>
      </c>
      <c r="AR623" s="668">
        <f t="shared" si="190"/>
        <v>0</v>
      </c>
      <c r="AS623" s="668"/>
      <c r="AT623" s="668"/>
      <c r="AU623" s="668"/>
      <c r="AV623" s="668"/>
      <c r="AW623" s="668"/>
      <c r="AX623" s="668"/>
      <c r="AY623" s="668"/>
      <c r="AZ623" s="668"/>
      <c r="BA623" s="668"/>
      <c r="BB623" s="668">
        <f t="shared" si="194"/>
        <v>384</v>
      </c>
      <c r="BC623" s="668"/>
      <c r="BD623" s="668"/>
      <c r="BE623" s="668"/>
      <c r="BF623" s="668"/>
      <c r="BG623" s="668"/>
      <c r="BH623" s="668"/>
      <c r="BI623" s="668"/>
    </row>
    <row r="624" spans="1:61" x14ac:dyDescent="0.2">
      <c r="A624" s="1020">
        <v>3143</v>
      </c>
      <c r="B624" s="1020" t="s">
        <v>744</v>
      </c>
      <c r="C624" s="1020"/>
      <c r="D624" s="667">
        <v>36</v>
      </c>
      <c r="E624" s="667"/>
      <c r="F624" s="667"/>
      <c r="G624" s="667"/>
      <c r="H624" s="667"/>
      <c r="I624" s="667"/>
      <c r="J624" s="667"/>
      <c r="K624" s="667"/>
      <c r="L624" s="667"/>
      <c r="M624" s="667"/>
      <c r="N624" s="667"/>
      <c r="O624" s="667"/>
      <c r="P624" s="667"/>
      <c r="Q624" s="667"/>
      <c r="R624" s="667"/>
      <c r="S624" s="667"/>
      <c r="T624" s="667"/>
      <c r="U624" s="1031">
        <v>10</v>
      </c>
      <c r="V624" s="668">
        <f t="shared" si="176"/>
        <v>360</v>
      </c>
      <c r="W624" s="668">
        <f t="shared" si="177"/>
        <v>0</v>
      </c>
      <c r="X624" s="668">
        <f t="shared" si="178"/>
        <v>0</v>
      </c>
      <c r="Y624" s="668">
        <f t="shared" si="179"/>
        <v>0</v>
      </c>
      <c r="Z624" s="668">
        <f t="shared" si="180"/>
        <v>0</v>
      </c>
      <c r="AA624" s="668">
        <f t="shared" si="181"/>
        <v>0</v>
      </c>
      <c r="AB624" s="668">
        <f t="shared" si="182"/>
        <v>0</v>
      </c>
      <c r="AC624" s="668">
        <f t="shared" si="191"/>
        <v>0</v>
      </c>
      <c r="AD624" s="668">
        <f t="shared" si="183"/>
        <v>0</v>
      </c>
      <c r="AE624" s="668">
        <f t="shared" si="184"/>
        <v>0</v>
      </c>
      <c r="AF624" s="668">
        <f t="shared" si="185"/>
        <v>0</v>
      </c>
      <c r="AG624" s="668">
        <f t="shared" si="186"/>
        <v>0</v>
      </c>
      <c r="AH624" s="668"/>
      <c r="AI624" s="668"/>
      <c r="AJ624" s="668"/>
      <c r="AK624" s="668"/>
      <c r="AL624" s="668"/>
      <c r="AM624" s="668">
        <f t="shared" si="192"/>
        <v>0</v>
      </c>
      <c r="AN624" s="668">
        <f t="shared" si="187"/>
        <v>0</v>
      </c>
      <c r="AO624" s="668">
        <f t="shared" si="188"/>
        <v>0</v>
      </c>
      <c r="AP624" s="668">
        <f t="shared" si="193"/>
        <v>0</v>
      </c>
      <c r="AQ624" s="668">
        <f t="shared" si="189"/>
        <v>0</v>
      </c>
      <c r="AR624" s="668">
        <f t="shared" si="190"/>
        <v>0</v>
      </c>
      <c r="AS624" s="668"/>
      <c r="AT624" s="668"/>
      <c r="AU624" s="668"/>
      <c r="AV624" s="668"/>
      <c r="AW624" s="668"/>
      <c r="AX624" s="668"/>
      <c r="AY624" s="668"/>
      <c r="AZ624" s="668"/>
      <c r="BA624" s="668"/>
      <c r="BB624" s="668">
        <f t="shared" si="194"/>
        <v>0</v>
      </c>
      <c r="BC624" s="668"/>
      <c r="BD624" s="668"/>
      <c r="BE624" s="668"/>
      <c r="BF624" s="668"/>
      <c r="BG624" s="668"/>
      <c r="BH624" s="668"/>
      <c r="BI624" s="668"/>
    </row>
    <row r="625" spans="1:61" x14ac:dyDescent="0.2">
      <c r="A625" s="1020">
        <v>3144</v>
      </c>
      <c r="B625" s="1020" t="s">
        <v>519</v>
      </c>
      <c r="C625" s="1020"/>
      <c r="D625" s="667">
        <v>50</v>
      </c>
      <c r="E625" s="667"/>
      <c r="F625" s="667">
        <v>15</v>
      </c>
      <c r="G625" s="667"/>
      <c r="H625" s="667"/>
      <c r="I625" s="667"/>
      <c r="J625" s="667"/>
      <c r="K625" s="667"/>
      <c r="L625" s="667"/>
      <c r="M625" s="667"/>
      <c r="N625" s="667"/>
      <c r="O625" s="667"/>
      <c r="P625" s="667"/>
      <c r="Q625" s="667"/>
      <c r="R625" s="667"/>
      <c r="S625" s="667"/>
      <c r="T625" s="667">
        <v>170</v>
      </c>
      <c r="U625" s="1031">
        <v>12</v>
      </c>
      <c r="V625" s="668">
        <f t="shared" si="176"/>
        <v>600</v>
      </c>
      <c r="W625" s="668">
        <f t="shared" si="177"/>
        <v>0</v>
      </c>
      <c r="X625" s="668">
        <f t="shared" si="178"/>
        <v>0</v>
      </c>
      <c r="Y625" s="668">
        <f t="shared" si="179"/>
        <v>0</v>
      </c>
      <c r="Z625" s="668">
        <f t="shared" si="180"/>
        <v>0</v>
      </c>
      <c r="AA625" s="668">
        <f t="shared" si="181"/>
        <v>0</v>
      </c>
      <c r="AB625" s="668">
        <f t="shared" si="182"/>
        <v>170</v>
      </c>
      <c r="AC625" s="668">
        <f t="shared" si="191"/>
        <v>0</v>
      </c>
      <c r="AD625" s="668">
        <f t="shared" si="183"/>
        <v>0</v>
      </c>
      <c r="AE625" s="668">
        <f t="shared" si="184"/>
        <v>0</v>
      </c>
      <c r="AF625" s="668">
        <f t="shared" si="185"/>
        <v>0</v>
      </c>
      <c r="AG625" s="668">
        <f t="shared" si="186"/>
        <v>0</v>
      </c>
      <c r="AH625" s="668"/>
      <c r="AI625" s="668"/>
      <c r="AJ625" s="668"/>
      <c r="AK625" s="668"/>
      <c r="AL625" s="668"/>
      <c r="AM625" s="668">
        <f t="shared" si="192"/>
        <v>0</v>
      </c>
      <c r="AN625" s="668">
        <f t="shared" si="187"/>
        <v>0</v>
      </c>
      <c r="AO625" s="668">
        <f t="shared" si="188"/>
        <v>0</v>
      </c>
      <c r="AP625" s="668">
        <f t="shared" si="193"/>
        <v>180</v>
      </c>
      <c r="AQ625" s="668">
        <f t="shared" si="189"/>
        <v>0</v>
      </c>
      <c r="AR625" s="668">
        <f t="shared" si="190"/>
        <v>0</v>
      </c>
      <c r="AS625" s="668"/>
      <c r="AT625" s="668"/>
      <c r="AU625" s="668"/>
      <c r="AV625" s="668"/>
      <c r="AW625" s="668"/>
      <c r="AX625" s="668"/>
      <c r="AY625" s="668"/>
      <c r="AZ625" s="668"/>
      <c r="BA625" s="668"/>
      <c r="BB625" s="668">
        <f t="shared" si="194"/>
        <v>180</v>
      </c>
      <c r="BC625" s="668"/>
      <c r="BD625" s="668"/>
      <c r="BE625" s="668"/>
      <c r="BF625" s="668"/>
      <c r="BG625" s="668"/>
      <c r="BH625" s="668"/>
      <c r="BI625" s="668"/>
    </row>
    <row r="626" spans="1:61" x14ac:dyDescent="0.2">
      <c r="A626" s="1020">
        <v>3145</v>
      </c>
      <c r="B626" s="1020" t="s">
        <v>515</v>
      </c>
      <c r="C626" s="1020"/>
      <c r="D626" s="667">
        <v>68</v>
      </c>
      <c r="E626" s="667"/>
      <c r="F626" s="667">
        <v>60</v>
      </c>
      <c r="G626" s="667"/>
      <c r="H626" s="667"/>
      <c r="I626" s="667"/>
      <c r="J626" s="667"/>
      <c r="K626" s="667"/>
      <c r="L626" s="667"/>
      <c r="M626" s="667"/>
      <c r="N626" s="667"/>
      <c r="O626" s="667"/>
      <c r="P626" s="667"/>
      <c r="Q626" s="667"/>
      <c r="R626" s="667"/>
      <c r="S626" s="667"/>
      <c r="T626" s="667">
        <v>2000</v>
      </c>
      <c r="U626" s="1020">
        <v>12</v>
      </c>
      <c r="V626" s="668">
        <f t="shared" si="176"/>
        <v>816</v>
      </c>
      <c r="W626" s="668">
        <f t="shared" si="177"/>
        <v>0</v>
      </c>
      <c r="X626" s="668">
        <f t="shared" si="178"/>
        <v>0</v>
      </c>
      <c r="Y626" s="668">
        <f t="shared" si="179"/>
        <v>0</v>
      </c>
      <c r="Z626" s="668">
        <f t="shared" si="180"/>
        <v>0</v>
      </c>
      <c r="AA626" s="668">
        <f t="shared" si="181"/>
        <v>0</v>
      </c>
      <c r="AB626" s="668">
        <f t="shared" si="182"/>
        <v>2000</v>
      </c>
      <c r="AC626" s="668">
        <f t="shared" si="191"/>
        <v>0</v>
      </c>
      <c r="AD626" s="668">
        <f t="shared" si="183"/>
        <v>0</v>
      </c>
      <c r="AE626" s="668">
        <f t="shared" si="184"/>
        <v>0</v>
      </c>
      <c r="AF626" s="668">
        <f t="shared" si="185"/>
        <v>0</v>
      </c>
      <c r="AG626" s="668">
        <f t="shared" si="186"/>
        <v>0</v>
      </c>
      <c r="AH626" s="668"/>
      <c r="AI626" s="668"/>
      <c r="AJ626" s="668"/>
      <c r="AK626" s="668"/>
      <c r="AL626" s="668"/>
      <c r="AM626" s="668">
        <f t="shared" si="192"/>
        <v>0</v>
      </c>
      <c r="AN626" s="668">
        <f t="shared" si="187"/>
        <v>0</v>
      </c>
      <c r="AO626" s="668">
        <f t="shared" si="188"/>
        <v>0</v>
      </c>
      <c r="AP626" s="668">
        <f t="shared" si="193"/>
        <v>720</v>
      </c>
      <c r="AQ626" s="668">
        <f t="shared" si="189"/>
        <v>0</v>
      </c>
      <c r="AR626" s="668">
        <f t="shared" si="190"/>
        <v>0</v>
      </c>
      <c r="AS626" s="668"/>
      <c r="AT626" s="668"/>
      <c r="AU626" s="668"/>
      <c r="AV626" s="668"/>
      <c r="AW626" s="668"/>
      <c r="AX626" s="668"/>
      <c r="AY626" s="668"/>
      <c r="AZ626" s="668"/>
      <c r="BA626" s="668"/>
      <c r="BB626" s="668"/>
      <c r="BC626" s="668"/>
      <c r="BD626" s="668"/>
      <c r="BE626" s="668"/>
      <c r="BF626" s="668"/>
      <c r="BG626" s="668"/>
      <c r="BH626" s="668"/>
      <c r="BI626" s="668"/>
    </row>
    <row r="627" spans="1:61" x14ac:dyDescent="0.2">
      <c r="A627" s="1020">
        <v>3146</v>
      </c>
      <c r="B627" s="1020" t="s">
        <v>515</v>
      </c>
      <c r="C627" s="1020"/>
      <c r="D627" s="667">
        <v>100</v>
      </c>
      <c r="E627" s="667"/>
      <c r="F627" s="667">
        <v>60</v>
      </c>
      <c r="G627" s="667"/>
      <c r="H627" s="667"/>
      <c r="I627" s="667"/>
      <c r="J627" s="667"/>
      <c r="K627" s="667"/>
      <c r="L627" s="667"/>
      <c r="M627" s="667"/>
      <c r="N627" s="667"/>
      <c r="O627" s="667"/>
      <c r="P627" s="667"/>
      <c r="Q627" s="667"/>
      <c r="R627" s="667"/>
      <c r="S627" s="667"/>
      <c r="T627" s="667">
        <v>3000</v>
      </c>
      <c r="U627" s="1020">
        <v>12</v>
      </c>
      <c r="V627" s="668">
        <f t="shared" ref="V627:V690" si="195">+U627*D627</f>
        <v>1200</v>
      </c>
      <c r="W627" s="668">
        <f t="shared" ref="W627:W690" si="196">+U627*G627</f>
        <v>0</v>
      </c>
      <c r="X627" s="668">
        <f t="shared" ref="X627:X690" si="197">+U627*H627</f>
        <v>0</v>
      </c>
      <c r="Y627" s="668">
        <f t="shared" ref="Y627:Y690" si="198">+U627*J627</f>
        <v>0</v>
      </c>
      <c r="Z627" s="668">
        <f t="shared" ref="Z627:Z690" si="199">IF(C627="y",V627+W627+X627+Y627,0)</f>
        <v>0</v>
      </c>
      <c r="AA627" s="668">
        <f t="shared" ref="AA627:AA690" si="200">+S627</f>
        <v>0</v>
      </c>
      <c r="AB627" s="668">
        <f t="shared" ref="AB627:AB690" si="201">+T627</f>
        <v>3000</v>
      </c>
      <c r="AC627" s="668">
        <f t="shared" si="191"/>
        <v>0</v>
      </c>
      <c r="AD627" s="668">
        <f t="shared" ref="AD627:AD690" si="202">+Q627</f>
        <v>0</v>
      </c>
      <c r="AE627" s="668">
        <f t="shared" ref="AE627:AE690" si="203">+U627*M627</f>
        <v>0</v>
      </c>
      <c r="AF627" s="668">
        <f t="shared" ref="AF627:AF690" si="204">+L627*U627</f>
        <v>0</v>
      </c>
      <c r="AG627" s="668">
        <f t="shared" ref="AG627:AG690" si="205">+$AG$4*N627</f>
        <v>0</v>
      </c>
      <c r="AH627" s="668"/>
      <c r="AI627" s="668"/>
      <c r="AJ627" s="668"/>
      <c r="AK627" s="668"/>
      <c r="AL627" s="668"/>
      <c r="AM627" s="668">
        <f t="shared" si="192"/>
        <v>0</v>
      </c>
      <c r="AN627" s="668">
        <f t="shared" si="187"/>
        <v>0</v>
      </c>
      <c r="AO627" s="668">
        <f t="shared" si="188"/>
        <v>0</v>
      </c>
      <c r="AP627" s="668">
        <f t="shared" si="193"/>
        <v>720</v>
      </c>
      <c r="AQ627" s="668">
        <f t="shared" si="189"/>
        <v>0</v>
      </c>
      <c r="AR627" s="668">
        <f t="shared" si="190"/>
        <v>0</v>
      </c>
      <c r="AS627" s="668"/>
      <c r="AT627" s="668"/>
      <c r="AU627" s="668"/>
      <c r="AV627" s="668"/>
      <c r="AW627" s="668"/>
      <c r="AX627" s="668"/>
      <c r="AY627" s="668"/>
      <c r="AZ627" s="668"/>
      <c r="BA627" s="668"/>
      <c r="BB627" s="668"/>
      <c r="BC627" s="668"/>
      <c r="BD627" s="668"/>
      <c r="BE627" s="668"/>
      <c r="BF627" s="668"/>
      <c r="BG627" s="668"/>
      <c r="BH627" s="668"/>
      <c r="BI627" s="668"/>
    </row>
    <row r="628" spans="1:61" x14ac:dyDescent="0.2">
      <c r="A628" s="1020">
        <v>3147</v>
      </c>
      <c r="B628" s="1020" t="s">
        <v>519</v>
      </c>
      <c r="C628" s="1020"/>
      <c r="D628" s="667">
        <v>35</v>
      </c>
      <c r="E628" s="667"/>
      <c r="F628" s="667">
        <v>15</v>
      </c>
      <c r="G628" s="667"/>
      <c r="H628" s="667"/>
      <c r="I628" s="667"/>
      <c r="J628" s="667"/>
      <c r="K628" s="667"/>
      <c r="L628" s="667"/>
      <c r="M628" s="667"/>
      <c r="N628" s="667"/>
      <c r="O628" s="667"/>
      <c r="P628" s="667"/>
      <c r="Q628" s="667"/>
      <c r="R628" s="667"/>
      <c r="S628" s="667"/>
      <c r="T628" s="667">
        <v>150</v>
      </c>
      <c r="U628" s="1020">
        <v>12</v>
      </c>
      <c r="V628" s="668">
        <f t="shared" si="195"/>
        <v>420</v>
      </c>
      <c r="W628" s="668">
        <f t="shared" si="196"/>
        <v>0</v>
      </c>
      <c r="X628" s="668">
        <f t="shared" si="197"/>
        <v>0</v>
      </c>
      <c r="Y628" s="668">
        <f t="shared" si="198"/>
        <v>0</v>
      </c>
      <c r="Z628" s="668">
        <f t="shared" si="199"/>
        <v>0</v>
      </c>
      <c r="AA628" s="668">
        <f t="shared" si="200"/>
        <v>0</v>
      </c>
      <c r="AB628" s="668">
        <f t="shared" si="201"/>
        <v>150</v>
      </c>
      <c r="AC628" s="668">
        <f t="shared" si="191"/>
        <v>0</v>
      </c>
      <c r="AD628" s="668">
        <f t="shared" si="202"/>
        <v>0</v>
      </c>
      <c r="AE628" s="668">
        <f t="shared" si="203"/>
        <v>0</v>
      </c>
      <c r="AF628" s="668">
        <f t="shared" si="204"/>
        <v>0</v>
      </c>
      <c r="AG628" s="668">
        <f t="shared" si="205"/>
        <v>0</v>
      </c>
      <c r="AH628" s="668"/>
      <c r="AI628" s="668"/>
      <c r="AJ628" s="668"/>
      <c r="AK628" s="668"/>
      <c r="AL628" s="668"/>
      <c r="AM628" s="668">
        <f t="shared" si="192"/>
        <v>0</v>
      </c>
      <c r="AN628" s="668">
        <f t="shared" si="187"/>
        <v>0</v>
      </c>
      <c r="AO628" s="668">
        <f t="shared" si="188"/>
        <v>0</v>
      </c>
      <c r="AP628" s="668">
        <f t="shared" si="193"/>
        <v>180</v>
      </c>
      <c r="AQ628" s="668">
        <f t="shared" si="189"/>
        <v>0</v>
      </c>
      <c r="AR628" s="668">
        <f t="shared" si="190"/>
        <v>0</v>
      </c>
      <c r="AS628" s="668"/>
      <c r="AT628" s="668"/>
      <c r="AU628" s="668"/>
      <c r="AV628" s="668"/>
      <c r="AW628" s="668"/>
      <c r="AX628" s="668"/>
      <c r="AY628" s="668"/>
      <c r="AZ628" s="668"/>
      <c r="BA628" s="668"/>
      <c r="BB628" s="668">
        <f t="shared" si="194"/>
        <v>180</v>
      </c>
      <c r="BC628" s="668"/>
      <c r="BD628" s="668"/>
      <c r="BE628" s="668"/>
      <c r="BF628" s="668"/>
      <c r="BG628" s="668"/>
      <c r="BH628" s="668"/>
      <c r="BI628" s="668"/>
    </row>
    <row r="629" spans="1:61" x14ac:dyDescent="0.2">
      <c r="A629" s="1020" t="s">
        <v>745</v>
      </c>
      <c r="B629" s="1020" t="s">
        <v>747</v>
      </c>
      <c r="C629" s="1020"/>
      <c r="D629" s="667">
        <v>85</v>
      </c>
      <c r="E629" s="667"/>
      <c r="F629" s="667"/>
      <c r="G629" s="667"/>
      <c r="H629" s="667"/>
      <c r="I629" s="667"/>
      <c r="J629" s="667"/>
      <c r="K629" s="667"/>
      <c r="L629" s="667"/>
      <c r="M629" s="667"/>
      <c r="N629" s="667"/>
      <c r="O629" s="667">
        <v>1</v>
      </c>
      <c r="P629" s="667"/>
      <c r="Q629" s="667"/>
      <c r="R629" s="667"/>
      <c r="S629" s="667"/>
      <c r="T629" s="667"/>
      <c r="U629" s="1020">
        <v>10</v>
      </c>
      <c r="V629" s="668">
        <f t="shared" si="195"/>
        <v>850</v>
      </c>
      <c r="W629" s="668">
        <f t="shared" si="196"/>
        <v>0</v>
      </c>
      <c r="X629" s="668">
        <f t="shared" si="197"/>
        <v>0</v>
      </c>
      <c r="Y629" s="668">
        <f t="shared" si="198"/>
        <v>0</v>
      </c>
      <c r="Z629" s="668">
        <f t="shared" si="199"/>
        <v>0</v>
      </c>
      <c r="AA629" s="668">
        <f t="shared" si="200"/>
        <v>0</v>
      </c>
      <c r="AB629" s="668">
        <f t="shared" si="201"/>
        <v>0</v>
      </c>
      <c r="AC629" s="668">
        <f t="shared" si="191"/>
        <v>0</v>
      </c>
      <c r="AD629" s="668">
        <f t="shared" si="202"/>
        <v>0</v>
      </c>
      <c r="AE629" s="668">
        <f t="shared" si="203"/>
        <v>0</v>
      </c>
      <c r="AF629" s="668">
        <f t="shared" si="204"/>
        <v>0</v>
      </c>
      <c r="AG629" s="668">
        <f t="shared" si="205"/>
        <v>0</v>
      </c>
      <c r="AH629" s="668"/>
      <c r="AI629" s="668"/>
      <c r="AJ629" s="668"/>
      <c r="AK629" s="668"/>
      <c r="AL629" s="668"/>
      <c r="AM629" s="668">
        <f t="shared" si="192"/>
        <v>0</v>
      </c>
      <c r="AN629" s="668">
        <f t="shared" si="187"/>
        <v>0</v>
      </c>
      <c r="AO629" s="668">
        <f t="shared" si="188"/>
        <v>10</v>
      </c>
      <c r="AP629" s="668">
        <f t="shared" si="193"/>
        <v>0</v>
      </c>
      <c r="AQ629" s="668">
        <f t="shared" si="189"/>
        <v>0</v>
      </c>
      <c r="AR629" s="668">
        <f t="shared" si="190"/>
        <v>0</v>
      </c>
      <c r="AS629" s="668"/>
      <c r="AT629" s="668"/>
      <c r="AU629" s="668"/>
      <c r="AV629" s="668"/>
      <c r="AW629" s="668"/>
      <c r="AX629" s="668"/>
      <c r="AY629" s="668"/>
      <c r="AZ629" s="668"/>
      <c r="BA629" s="668"/>
      <c r="BB629" s="668">
        <f t="shared" si="194"/>
        <v>0</v>
      </c>
      <c r="BC629" s="668"/>
      <c r="BD629" s="668"/>
      <c r="BE629" s="668"/>
      <c r="BF629" s="668"/>
      <c r="BG629" s="668"/>
      <c r="BH629" s="668"/>
      <c r="BI629" s="668"/>
    </row>
    <row r="630" spans="1:61" x14ac:dyDescent="0.2">
      <c r="A630" s="1020" t="s">
        <v>746</v>
      </c>
      <c r="B630" s="1020" t="s">
        <v>696</v>
      </c>
      <c r="C630" s="1020"/>
      <c r="D630" s="667">
        <v>53</v>
      </c>
      <c r="E630" s="667"/>
      <c r="F630" s="667"/>
      <c r="G630" s="667"/>
      <c r="H630" s="667"/>
      <c r="I630" s="667"/>
      <c r="J630" s="667"/>
      <c r="K630" s="667"/>
      <c r="L630" s="667"/>
      <c r="M630" s="667"/>
      <c r="N630" s="667"/>
      <c r="O630" s="667"/>
      <c r="P630" s="667"/>
      <c r="Q630" s="667"/>
      <c r="R630" s="667"/>
      <c r="S630" s="667"/>
      <c r="T630" s="667"/>
      <c r="U630" s="1020">
        <v>10</v>
      </c>
      <c r="V630" s="668">
        <f t="shared" si="195"/>
        <v>530</v>
      </c>
      <c r="W630" s="668">
        <f t="shared" si="196"/>
        <v>0</v>
      </c>
      <c r="X630" s="668">
        <f t="shared" si="197"/>
        <v>0</v>
      </c>
      <c r="Y630" s="668">
        <f t="shared" si="198"/>
        <v>0</v>
      </c>
      <c r="Z630" s="668">
        <f t="shared" si="199"/>
        <v>0</v>
      </c>
      <c r="AA630" s="668">
        <f t="shared" si="200"/>
        <v>0</v>
      </c>
      <c r="AB630" s="668">
        <f t="shared" si="201"/>
        <v>0</v>
      </c>
      <c r="AC630" s="668">
        <f t="shared" si="191"/>
        <v>0</v>
      </c>
      <c r="AD630" s="668">
        <f t="shared" si="202"/>
        <v>0</v>
      </c>
      <c r="AE630" s="668">
        <f t="shared" si="203"/>
        <v>0</v>
      </c>
      <c r="AF630" s="668">
        <f t="shared" si="204"/>
        <v>0</v>
      </c>
      <c r="AG630" s="668">
        <f t="shared" si="205"/>
        <v>0</v>
      </c>
      <c r="AH630" s="668"/>
      <c r="AI630" s="668"/>
      <c r="AJ630" s="668"/>
      <c r="AK630" s="668"/>
      <c r="AL630" s="668"/>
      <c r="AM630" s="668">
        <f t="shared" si="192"/>
        <v>0</v>
      </c>
      <c r="AN630" s="668">
        <f t="shared" si="187"/>
        <v>0</v>
      </c>
      <c r="AO630" s="668">
        <f t="shared" si="188"/>
        <v>0</v>
      </c>
      <c r="AP630" s="668">
        <f t="shared" si="193"/>
        <v>0</v>
      </c>
      <c r="AQ630" s="668">
        <f t="shared" si="189"/>
        <v>0</v>
      </c>
      <c r="AR630" s="668">
        <f t="shared" si="190"/>
        <v>0</v>
      </c>
      <c r="AS630" s="668"/>
      <c r="AT630" s="668"/>
      <c r="AU630" s="668"/>
      <c r="AV630" s="668"/>
      <c r="AW630" s="668"/>
      <c r="AX630" s="668"/>
      <c r="AY630" s="668"/>
      <c r="AZ630" s="668"/>
      <c r="BA630" s="668"/>
      <c r="BB630" s="668">
        <f t="shared" si="194"/>
        <v>0</v>
      </c>
      <c r="BC630" s="668"/>
      <c r="BD630" s="668"/>
      <c r="BE630" s="668"/>
      <c r="BF630" s="668"/>
      <c r="BG630" s="668"/>
      <c r="BH630" s="668"/>
      <c r="BI630" s="668"/>
    </row>
    <row r="631" spans="1:61" x14ac:dyDescent="0.2">
      <c r="A631" s="1020">
        <v>3149</v>
      </c>
      <c r="B631" s="1020" t="s">
        <v>733</v>
      </c>
      <c r="C631" s="1020"/>
      <c r="D631" s="667">
        <v>80</v>
      </c>
      <c r="E631" s="667"/>
      <c r="F631" s="667"/>
      <c r="G631" s="667"/>
      <c r="H631" s="667"/>
      <c r="I631" s="667"/>
      <c r="J631" s="667"/>
      <c r="K631" s="667"/>
      <c r="L631" s="667"/>
      <c r="M631" s="667"/>
      <c r="N631" s="667"/>
      <c r="O631" s="667"/>
      <c r="P631" s="667"/>
      <c r="Q631" s="667"/>
      <c r="R631" s="667"/>
      <c r="S631" s="667"/>
      <c r="T631" s="667"/>
      <c r="U631" s="1020">
        <v>10</v>
      </c>
      <c r="V631" s="668">
        <f t="shared" si="195"/>
        <v>800</v>
      </c>
      <c r="W631" s="668">
        <f t="shared" si="196"/>
        <v>0</v>
      </c>
      <c r="X631" s="668">
        <f t="shared" si="197"/>
        <v>0</v>
      </c>
      <c r="Y631" s="668">
        <f t="shared" si="198"/>
        <v>0</v>
      </c>
      <c r="Z631" s="668">
        <f t="shared" si="199"/>
        <v>0</v>
      </c>
      <c r="AA631" s="668">
        <f t="shared" si="200"/>
        <v>0</v>
      </c>
      <c r="AB631" s="668">
        <f t="shared" si="201"/>
        <v>0</v>
      </c>
      <c r="AC631" s="668">
        <f t="shared" si="191"/>
        <v>0</v>
      </c>
      <c r="AD631" s="668">
        <f t="shared" si="202"/>
        <v>0</v>
      </c>
      <c r="AE631" s="668">
        <f t="shared" si="203"/>
        <v>0</v>
      </c>
      <c r="AF631" s="668">
        <f t="shared" si="204"/>
        <v>0</v>
      </c>
      <c r="AG631" s="668">
        <f t="shared" si="205"/>
        <v>0</v>
      </c>
      <c r="AH631" s="668"/>
      <c r="AI631" s="668"/>
      <c r="AJ631" s="668"/>
      <c r="AK631" s="668"/>
      <c r="AL631" s="668"/>
      <c r="AM631" s="668">
        <f t="shared" si="192"/>
        <v>0</v>
      </c>
      <c r="AN631" s="668">
        <f t="shared" si="187"/>
        <v>0</v>
      </c>
      <c r="AO631" s="668">
        <f t="shared" si="188"/>
        <v>0</v>
      </c>
      <c r="AP631" s="668">
        <f t="shared" si="193"/>
        <v>0</v>
      </c>
      <c r="AQ631" s="668">
        <f t="shared" si="189"/>
        <v>0</v>
      </c>
      <c r="AR631" s="668">
        <f t="shared" si="190"/>
        <v>0</v>
      </c>
      <c r="AS631" s="668"/>
      <c r="AT631" s="668"/>
      <c r="AU631" s="668"/>
      <c r="AV631" s="668"/>
      <c r="AW631" s="668"/>
      <c r="AX631" s="668"/>
      <c r="AY631" s="668"/>
      <c r="AZ631" s="668"/>
      <c r="BA631" s="668"/>
      <c r="BB631" s="668">
        <f t="shared" si="194"/>
        <v>0</v>
      </c>
      <c r="BC631" s="668"/>
      <c r="BD631" s="668"/>
      <c r="BE631" s="668"/>
      <c r="BF631" s="668"/>
      <c r="BG631" s="668"/>
      <c r="BH631" s="668"/>
      <c r="BI631" s="668"/>
    </row>
    <row r="632" spans="1:61" x14ac:dyDescent="0.2">
      <c r="A632" s="1020">
        <v>3150</v>
      </c>
      <c r="B632" s="1020" t="s">
        <v>517</v>
      </c>
      <c r="C632" s="1020"/>
      <c r="D632" s="667">
        <v>50</v>
      </c>
      <c r="E632" s="667"/>
      <c r="F632" s="667"/>
      <c r="G632" s="667"/>
      <c r="H632" s="667"/>
      <c r="I632" s="667"/>
      <c r="J632" s="667"/>
      <c r="K632" s="667"/>
      <c r="L632" s="667"/>
      <c r="M632" s="667"/>
      <c r="N632" s="667"/>
      <c r="O632" s="667"/>
      <c r="P632" s="667"/>
      <c r="Q632" s="667"/>
      <c r="R632" s="667"/>
      <c r="S632" s="667"/>
      <c r="T632" s="667"/>
      <c r="U632" s="1020">
        <v>12</v>
      </c>
      <c r="V632" s="668">
        <f t="shared" si="195"/>
        <v>600</v>
      </c>
      <c r="W632" s="668">
        <f t="shared" si="196"/>
        <v>0</v>
      </c>
      <c r="X632" s="668">
        <f t="shared" si="197"/>
        <v>0</v>
      </c>
      <c r="Y632" s="668">
        <f t="shared" si="198"/>
        <v>0</v>
      </c>
      <c r="Z632" s="668">
        <f t="shared" si="199"/>
        <v>0</v>
      </c>
      <c r="AA632" s="668">
        <f t="shared" si="200"/>
        <v>0</v>
      </c>
      <c r="AB632" s="668">
        <f t="shared" si="201"/>
        <v>0</v>
      </c>
      <c r="AC632" s="668">
        <f t="shared" si="191"/>
        <v>0</v>
      </c>
      <c r="AD632" s="668">
        <f t="shared" si="202"/>
        <v>0</v>
      </c>
      <c r="AE632" s="668">
        <f t="shared" si="203"/>
        <v>0</v>
      </c>
      <c r="AF632" s="668">
        <f t="shared" si="204"/>
        <v>0</v>
      </c>
      <c r="AG632" s="668">
        <f t="shared" si="205"/>
        <v>0</v>
      </c>
      <c r="AH632" s="668"/>
      <c r="AI632" s="668"/>
      <c r="AJ632" s="668"/>
      <c r="AK632" s="668"/>
      <c r="AL632" s="668"/>
      <c r="AM632" s="668">
        <f t="shared" si="192"/>
        <v>0</v>
      </c>
      <c r="AN632" s="668">
        <f t="shared" si="187"/>
        <v>0</v>
      </c>
      <c r="AO632" s="668">
        <f t="shared" si="188"/>
        <v>0</v>
      </c>
      <c r="AP632" s="668">
        <f t="shared" si="193"/>
        <v>0</v>
      </c>
      <c r="AQ632" s="668">
        <f t="shared" si="189"/>
        <v>0</v>
      </c>
      <c r="AR632" s="668">
        <f t="shared" si="190"/>
        <v>0</v>
      </c>
      <c r="AS632" s="668"/>
      <c r="AT632" s="668"/>
      <c r="AU632" s="668"/>
      <c r="AV632" s="668"/>
      <c r="AW632" s="668"/>
      <c r="AX632" s="668"/>
      <c r="AY632" s="668"/>
      <c r="AZ632" s="668"/>
      <c r="BA632" s="668"/>
      <c r="BB632" s="668">
        <f t="shared" si="194"/>
        <v>0</v>
      </c>
      <c r="BC632" s="668"/>
      <c r="BD632" s="668"/>
      <c r="BE632" s="668"/>
      <c r="BF632" s="668"/>
      <c r="BG632" s="668"/>
      <c r="BH632" s="668"/>
      <c r="BI632" s="668"/>
    </row>
    <row r="633" spans="1:61" x14ac:dyDescent="0.2">
      <c r="A633" s="1020">
        <v>3151</v>
      </c>
      <c r="B633" s="1020" t="s">
        <v>519</v>
      </c>
      <c r="C633" s="1020"/>
      <c r="D633" s="667">
        <v>35</v>
      </c>
      <c r="E633" s="667"/>
      <c r="F633" s="667">
        <v>15</v>
      </c>
      <c r="G633" s="667"/>
      <c r="H633" s="667"/>
      <c r="I633" s="667"/>
      <c r="J633" s="667"/>
      <c r="K633" s="667"/>
      <c r="L633" s="667"/>
      <c r="M633" s="667"/>
      <c r="N633" s="667"/>
      <c r="O633" s="667"/>
      <c r="P633" s="667"/>
      <c r="Q633" s="667"/>
      <c r="R633" s="667"/>
      <c r="S633" s="667"/>
      <c r="T633" s="667">
        <v>150</v>
      </c>
      <c r="U633" s="1020">
        <v>12</v>
      </c>
      <c r="V633" s="668">
        <f t="shared" si="195"/>
        <v>420</v>
      </c>
      <c r="W633" s="668">
        <f t="shared" si="196"/>
        <v>0</v>
      </c>
      <c r="X633" s="668">
        <f t="shared" si="197"/>
        <v>0</v>
      </c>
      <c r="Y633" s="668">
        <f t="shared" si="198"/>
        <v>0</v>
      </c>
      <c r="Z633" s="668">
        <f t="shared" si="199"/>
        <v>0</v>
      </c>
      <c r="AA633" s="668">
        <f t="shared" si="200"/>
        <v>0</v>
      </c>
      <c r="AB633" s="668">
        <f t="shared" si="201"/>
        <v>150</v>
      </c>
      <c r="AC633" s="668">
        <f t="shared" si="191"/>
        <v>0</v>
      </c>
      <c r="AD633" s="668">
        <f t="shared" si="202"/>
        <v>0</v>
      </c>
      <c r="AE633" s="668">
        <f t="shared" si="203"/>
        <v>0</v>
      </c>
      <c r="AF633" s="668">
        <f t="shared" si="204"/>
        <v>0</v>
      </c>
      <c r="AG633" s="668">
        <f t="shared" si="205"/>
        <v>0</v>
      </c>
      <c r="AH633" s="668"/>
      <c r="AI633" s="668"/>
      <c r="AJ633" s="668"/>
      <c r="AK633" s="668"/>
      <c r="AL633" s="668"/>
      <c r="AM633" s="668">
        <f t="shared" si="192"/>
        <v>0</v>
      </c>
      <c r="AN633" s="668">
        <f t="shared" si="187"/>
        <v>0</v>
      </c>
      <c r="AO633" s="668">
        <f t="shared" si="188"/>
        <v>0</v>
      </c>
      <c r="AP633" s="668">
        <f t="shared" si="193"/>
        <v>180</v>
      </c>
      <c r="AQ633" s="668">
        <f t="shared" si="189"/>
        <v>0</v>
      </c>
      <c r="AR633" s="668">
        <f t="shared" si="190"/>
        <v>0</v>
      </c>
      <c r="AS633" s="668"/>
      <c r="AT633" s="668"/>
      <c r="AU633" s="668"/>
      <c r="AV633" s="668"/>
      <c r="AW633" s="668"/>
      <c r="AX633" s="668"/>
      <c r="AY633" s="668"/>
      <c r="AZ633" s="668"/>
      <c r="BA633" s="668"/>
      <c r="BB633" s="668">
        <f t="shared" si="194"/>
        <v>180</v>
      </c>
      <c r="BC633" s="668"/>
      <c r="BD633" s="668"/>
      <c r="BE633" s="668"/>
      <c r="BF633" s="668"/>
      <c r="BG633" s="668"/>
      <c r="BH633" s="668"/>
      <c r="BI633" s="668"/>
    </row>
    <row r="634" spans="1:61" x14ac:dyDescent="0.2">
      <c r="A634" s="1020">
        <v>3152</v>
      </c>
      <c r="B634" s="1020" t="s">
        <v>730</v>
      </c>
      <c r="C634" s="1020"/>
      <c r="D634" s="667">
        <v>80</v>
      </c>
      <c r="E634" s="667"/>
      <c r="F634" s="667">
        <v>40</v>
      </c>
      <c r="G634" s="667"/>
      <c r="H634" s="667"/>
      <c r="I634" s="667"/>
      <c r="J634" s="667"/>
      <c r="K634" s="667"/>
      <c r="L634" s="667"/>
      <c r="M634" s="667"/>
      <c r="N634" s="667"/>
      <c r="O634" s="667">
        <v>2</v>
      </c>
      <c r="P634" s="667"/>
      <c r="Q634" s="667"/>
      <c r="R634" s="667"/>
      <c r="S634" s="667"/>
      <c r="T634" s="667"/>
      <c r="U634" s="1020">
        <v>10</v>
      </c>
      <c r="V634" s="668">
        <f t="shared" si="195"/>
        <v>800</v>
      </c>
      <c r="W634" s="668">
        <f t="shared" si="196"/>
        <v>0</v>
      </c>
      <c r="X634" s="668">
        <f t="shared" si="197"/>
        <v>0</v>
      </c>
      <c r="Y634" s="668">
        <f t="shared" si="198"/>
        <v>0</v>
      </c>
      <c r="Z634" s="668">
        <f t="shared" si="199"/>
        <v>0</v>
      </c>
      <c r="AA634" s="668">
        <f t="shared" si="200"/>
        <v>0</v>
      </c>
      <c r="AB634" s="668">
        <f t="shared" si="201"/>
        <v>0</v>
      </c>
      <c r="AC634" s="668">
        <f t="shared" si="191"/>
        <v>0</v>
      </c>
      <c r="AD634" s="668">
        <f t="shared" si="202"/>
        <v>0</v>
      </c>
      <c r="AE634" s="668">
        <f t="shared" si="203"/>
        <v>0</v>
      </c>
      <c r="AF634" s="668">
        <f t="shared" si="204"/>
        <v>0</v>
      </c>
      <c r="AG634" s="668">
        <f t="shared" si="205"/>
        <v>0</v>
      </c>
      <c r="AH634" s="668"/>
      <c r="AI634" s="668"/>
      <c r="AJ634" s="668"/>
      <c r="AK634" s="668"/>
      <c r="AL634" s="668"/>
      <c r="AM634" s="668">
        <f t="shared" si="192"/>
        <v>0</v>
      </c>
      <c r="AN634" s="668">
        <f t="shared" si="187"/>
        <v>0</v>
      </c>
      <c r="AO634" s="668">
        <f t="shared" si="188"/>
        <v>20</v>
      </c>
      <c r="AP634" s="668">
        <f t="shared" si="193"/>
        <v>400</v>
      </c>
      <c r="AQ634" s="668">
        <f t="shared" si="189"/>
        <v>0</v>
      </c>
      <c r="AR634" s="668">
        <f t="shared" si="190"/>
        <v>0</v>
      </c>
      <c r="AS634" s="668"/>
      <c r="AT634" s="668"/>
      <c r="AU634" s="668"/>
      <c r="AV634" s="668"/>
      <c r="AW634" s="668"/>
      <c r="AX634" s="668"/>
      <c r="AY634" s="668"/>
      <c r="AZ634" s="668"/>
      <c r="BA634" s="668"/>
      <c r="BB634" s="668">
        <f t="shared" si="194"/>
        <v>400</v>
      </c>
      <c r="BC634" s="668"/>
      <c r="BD634" s="668"/>
      <c r="BE634" s="668"/>
      <c r="BF634" s="668"/>
      <c r="BG634" s="668"/>
      <c r="BH634" s="668"/>
      <c r="BI634" s="668"/>
    </row>
    <row r="635" spans="1:61" x14ac:dyDescent="0.2">
      <c r="A635" s="1020">
        <v>3160</v>
      </c>
      <c r="B635" s="1020" t="s">
        <v>519</v>
      </c>
      <c r="C635" s="1020"/>
      <c r="D635" s="667">
        <v>35</v>
      </c>
      <c r="E635" s="667"/>
      <c r="F635" s="667">
        <v>15</v>
      </c>
      <c r="G635" s="667"/>
      <c r="H635" s="667"/>
      <c r="I635" s="667"/>
      <c r="J635" s="667"/>
      <c r="K635" s="667"/>
      <c r="L635" s="667"/>
      <c r="M635" s="667"/>
      <c r="N635" s="667"/>
      <c r="O635" s="667">
        <v>1</v>
      </c>
      <c r="P635" s="667"/>
      <c r="Q635" s="667"/>
      <c r="R635" s="667"/>
      <c r="S635" s="667"/>
      <c r="T635" s="667">
        <v>150</v>
      </c>
      <c r="U635" s="1020">
        <v>12</v>
      </c>
      <c r="V635" s="668">
        <f t="shared" si="195"/>
        <v>420</v>
      </c>
      <c r="W635" s="668">
        <f t="shared" si="196"/>
        <v>0</v>
      </c>
      <c r="X635" s="668">
        <f t="shared" si="197"/>
        <v>0</v>
      </c>
      <c r="Y635" s="668">
        <f t="shared" si="198"/>
        <v>0</v>
      </c>
      <c r="Z635" s="668">
        <f t="shared" si="199"/>
        <v>0</v>
      </c>
      <c r="AA635" s="668">
        <f t="shared" si="200"/>
        <v>0</v>
      </c>
      <c r="AB635" s="668">
        <f t="shared" si="201"/>
        <v>150</v>
      </c>
      <c r="AC635" s="668">
        <f t="shared" si="191"/>
        <v>0</v>
      </c>
      <c r="AD635" s="668">
        <f t="shared" si="202"/>
        <v>0</v>
      </c>
      <c r="AE635" s="668">
        <f t="shared" si="203"/>
        <v>0</v>
      </c>
      <c r="AF635" s="668">
        <f t="shared" si="204"/>
        <v>0</v>
      </c>
      <c r="AG635" s="668">
        <f t="shared" si="205"/>
        <v>0</v>
      </c>
      <c r="AH635" s="668"/>
      <c r="AI635" s="668"/>
      <c r="AJ635" s="668"/>
      <c r="AK635" s="668"/>
      <c r="AL635" s="668"/>
      <c r="AM635" s="668">
        <f t="shared" si="192"/>
        <v>0</v>
      </c>
      <c r="AN635" s="668">
        <f t="shared" si="187"/>
        <v>0</v>
      </c>
      <c r="AO635" s="668">
        <f t="shared" si="188"/>
        <v>12</v>
      </c>
      <c r="AP635" s="668">
        <f t="shared" si="193"/>
        <v>180</v>
      </c>
      <c r="AQ635" s="668">
        <f t="shared" si="189"/>
        <v>0</v>
      </c>
      <c r="AR635" s="668">
        <f t="shared" si="190"/>
        <v>0</v>
      </c>
      <c r="AS635" s="668"/>
      <c r="AT635" s="668"/>
      <c r="AU635" s="668"/>
      <c r="AV635" s="668"/>
      <c r="AW635" s="668"/>
      <c r="AX635" s="668"/>
      <c r="AY635" s="668"/>
      <c r="AZ635" s="668"/>
      <c r="BA635" s="668"/>
      <c r="BB635" s="668">
        <f t="shared" si="194"/>
        <v>180</v>
      </c>
      <c r="BC635" s="668"/>
      <c r="BD635" s="668"/>
      <c r="BE635" s="668"/>
      <c r="BF635" s="668"/>
      <c r="BG635" s="668"/>
      <c r="BH635" s="668"/>
      <c r="BI635" s="668"/>
    </row>
    <row r="636" spans="1:61" x14ac:dyDescent="0.2">
      <c r="A636" s="1020">
        <v>3161</v>
      </c>
      <c r="B636" s="1020" t="s">
        <v>515</v>
      </c>
      <c r="C636" s="1020"/>
      <c r="D636" s="667">
        <v>180</v>
      </c>
      <c r="E636" s="667"/>
      <c r="F636" s="667"/>
      <c r="G636" s="667"/>
      <c r="H636" s="667"/>
      <c r="I636" s="667"/>
      <c r="J636" s="667"/>
      <c r="K636" s="667"/>
      <c r="L636" s="667"/>
      <c r="M636" s="667"/>
      <c r="N636" s="667"/>
      <c r="O636" s="667"/>
      <c r="P636" s="667"/>
      <c r="Q636" s="667"/>
      <c r="R636" s="667"/>
      <c r="S636" s="667"/>
      <c r="T636" s="667">
        <v>2780</v>
      </c>
      <c r="U636" s="1020">
        <v>12</v>
      </c>
      <c r="V636" s="668">
        <f t="shared" si="195"/>
        <v>2160</v>
      </c>
      <c r="W636" s="668">
        <f t="shared" si="196"/>
        <v>0</v>
      </c>
      <c r="X636" s="668">
        <f t="shared" si="197"/>
        <v>0</v>
      </c>
      <c r="Y636" s="668">
        <f t="shared" si="198"/>
        <v>0</v>
      </c>
      <c r="Z636" s="668">
        <f t="shared" si="199"/>
        <v>0</v>
      </c>
      <c r="AA636" s="668">
        <f t="shared" si="200"/>
        <v>0</v>
      </c>
      <c r="AB636" s="668">
        <f t="shared" si="201"/>
        <v>2780</v>
      </c>
      <c r="AC636" s="668">
        <f t="shared" si="191"/>
        <v>0</v>
      </c>
      <c r="AD636" s="668">
        <f t="shared" si="202"/>
        <v>0</v>
      </c>
      <c r="AE636" s="668">
        <f t="shared" si="203"/>
        <v>0</v>
      </c>
      <c r="AF636" s="668">
        <f t="shared" si="204"/>
        <v>0</v>
      </c>
      <c r="AG636" s="668">
        <f t="shared" si="205"/>
        <v>0</v>
      </c>
      <c r="AH636" s="668"/>
      <c r="AI636" s="668"/>
      <c r="AJ636" s="668"/>
      <c r="AK636" s="668"/>
      <c r="AL636" s="668"/>
      <c r="AM636" s="668">
        <f t="shared" si="192"/>
        <v>0</v>
      </c>
      <c r="AN636" s="668">
        <f t="shared" si="187"/>
        <v>0</v>
      </c>
      <c r="AO636" s="668">
        <f t="shared" si="188"/>
        <v>0</v>
      </c>
      <c r="AP636" s="668">
        <f t="shared" si="193"/>
        <v>0</v>
      </c>
      <c r="AQ636" s="668">
        <f t="shared" si="189"/>
        <v>0</v>
      </c>
      <c r="AR636" s="668">
        <f t="shared" si="190"/>
        <v>0</v>
      </c>
      <c r="AS636" s="668"/>
      <c r="AT636" s="668"/>
      <c r="AU636" s="668"/>
      <c r="AV636" s="668"/>
      <c r="AW636" s="668"/>
      <c r="AX636" s="668"/>
      <c r="AY636" s="668"/>
      <c r="AZ636" s="668"/>
      <c r="BA636" s="668"/>
      <c r="BB636" s="668">
        <f t="shared" si="194"/>
        <v>0</v>
      </c>
      <c r="BC636" s="668"/>
      <c r="BD636" s="668"/>
      <c r="BE636" s="668"/>
      <c r="BF636" s="668"/>
      <c r="BG636" s="668"/>
      <c r="BH636" s="668"/>
      <c r="BI636" s="668"/>
    </row>
    <row r="637" spans="1:61" x14ac:dyDescent="0.2">
      <c r="A637" s="1020">
        <v>3162</v>
      </c>
      <c r="B637" s="1020" t="s">
        <v>684</v>
      </c>
      <c r="C637" s="1020"/>
      <c r="D637" s="667">
        <v>42</v>
      </c>
      <c r="E637" s="667"/>
      <c r="F637" s="667">
        <v>42</v>
      </c>
      <c r="G637" s="667"/>
      <c r="H637" s="667"/>
      <c r="I637" s="667"/>
      <c r="J637" s="667"/>
      <c r="K637" s="667"/>
      <c r="L637" s="667"/>
      <c r="M637" s="667"/>
      <c r="N637" s="667"/>
      <c r="O637" s="667"/>
      <c r="P637" s="667"/>
      <c r="Q637" s="667"/>
      <c r="R637" s="667"/>
      <c r="S637" s="667"/>
      <c r="T637" s="667"/>
      <c r="U637" s="1020">
        <v>10</v>
      </c>
      <c r="V637" s="668">
        <f t="shared" si="195"/>
        <v>420</v>
      </c>
      <c r="W637" s="668">
        <f t="shared" si="196"/>
        <v>0</v>
      </c>
      <c r="X637" s="668">
        <f t="shared" si="197"/>
        <v>0</v>
      </c>
      <c r="Y637" s="668">
        <f t="shared" si="198"/>
        <v>0</v>
      </c>
      <c r="Z637" s="668">
        <f t="shared" si="199"/>
        <v>0</v>
      </c>
      <c r="AA637" s="668">
        <f t="shared" si="200"/>
        <v>0</v>
      </c>
      <c r="AB637" s="668">
        <f t="shared" si="201"/>
        <v>0</v>
      </c>
      <c r="AC637" s="668">
        <f t="shared" si="191"/>
        <v>0</v>
      </c>
      <c r="AD637" s="668">
        <f t="shared" si="202"/>
        <v>0</v>
      </c>
      <c r="AE637" s="668">
        <f t="shared" si="203"/>
        <v>0</v>
      </c>
      <c r="AF637" s="668">
        <f t="shared" si="204"/>
        <v>0</v>
      </c>
      <c r="AG637" s="668">
        <f t="shared" si="205"/>
        <v>0</v>
      </c>
      <c r="AH637" s="668"/>
      <c r="AI637" s="668"/>
      <c r="AJ637" s="668"/>
      <c r="AK637" s="668"/>
      <c r="AL637" s="668"/>
      <c r="AM637" s="668">
        <f t="shared" si="192"/>
        <v>0</v>
      </c>
      <c r="AN637" s="668">
        <f t="shared" si="187"/>
        <v>0</v>
      </c>
      <c r="AO637" s="668">
        <f t="shared" si="188"/>
        <v>0</v>
      </c>
      <c r="AP637" s="668">
        <f t="shared" si="193"/>
        <v>420</v>
      </c>
      <c r="AQ637" s="668">
        <f t="shared" si="189"/>
        <v>0</v>
      </c>
      <c r="AR637" s="668">
        <f t="shared" si="190"/>
        <v>0</v>
      </c>
      <c r="AS637" s="668"/>
      <c r="AT637" s="668"/>
      <c r="AU637" s="668"/>
      <c r="AV637" s="668"/>
      <c r="AW637" s="668"/>
      <c r="AX637" s="668"/>
      <c r="AY637" s="668"/>
      <c r="AZ637" s="668"/>
      <c r="BA637" s="668"/>
      <c r="BB637" s="668"/>
      <c r="BC637" s="668"/>
      <c r="BD637" s="668"/>
      <c r="BE637" s="668"/>
      <c r="BF637" s="668"/>
      <c r="BG637" s="668"/>
      <c r="BH637" s="668"/>
      <c r="BI637" s="668"/>
    </row>
    <row r="638" spans="1:61" x14ac:dyDescent="0.2">
      <c r="A638" s="1020">
        <v>3163</v>
      </c>
      <c r="B638" s="1020" t="s">
        <v>519</v>
      </c>
      <c r="C638" s="1020"/>
      <c r="D638" s="667">
        <v>35</v>
      </c>
      <c r="E638" s="667"/>
      <c r="F638" s="667">
        <v>15</v>
      </c>
      <c r="G638" s="667"/>
      <c r="H638" s="667"/>
      <c r="I638" s="667"/>
      <c r="J638" s="667"/>
      <c r="K638" s="667"/>
      <c r="L638" s="667"/>
      <c r="M638" s="667"/>
      <c r="N638" s="667"/>
      <c r="O638" s="667"/>
      <c r="P638" s="667"/>
      <c r="Q638" s="667"/>
      <c r="R638" s="667"/>
      <c r="S638" s="667"/>
      <c r="T638" s="667">
        <v>150</v>
      </c>
      <c r="U638" s="1020">
        <v>12</v>
      </c>
      <c r="V638" s="668">
        <f t="shared" si="195"/>
        <v>420</v>
      </c>
      <c r="W638" s="668">
        <f t="shared" si="196"/>
        <v>0</v>
      </c>
      <c r="X638" s="668">
        <f t="shared" si="197"/>
        <v>0</v>
      </c>
      <c r="Y638" s="668">
        <f t="shared" si="198"/>
        <v>0</v>
      </c>
      <c r="Z638" s="668">
        <f t="shared" si="199"/>
        <v>0</v>
      </c>
      <c r="AA638" s="668">
        <f t="shared" si="200"/>
        <v>0</v>
      </c>
      <c r="AB638" s="668">
        <f t="shared" si="201"/>
        <v>150</v>
      </c>
      <c r="AC638" s="668">
        <f t="shared" si="191"/>
        <v>0</v>
      </c>
      <c r="AD638" s="668">
        <f t="shared" si="202"/>
        <v>0</v>
      </c>
      <c r="AE638" s="668">
        <f t="shared" si="203"/>
        <v>0</v>
      </c>
      <c r="AF638" s="668">
        <f t="shared" si="204"/>
        <v>0</v>
      </c>
      <c r="AG638" s="668">
        <f t="shared" si="205"/>
        <v>0</v>
      </c>
      <c r="AH638" s="668"/>
      <c r="AI638" s="668"/>
      <c r="AJ638" s="668"/>
      <c r="AK638" s="668"/>
      <c r="AL638" s="668"/>
      <c r="AM638" s="668">
        <f t="shared" si="192"/>
        <v>0</v>
      </c>
      <c r="AN638" s="668">
        <f t="shared" si="187"/>
        <v>0</v>
      </c>
      <c r="AO638" s="668">
        <f t="shared" si="188"/>
        <v>0</v>
      </c>
      <c r="AP638" s="668">
        <f t="shared" si="193"/>
        <v>180</v>
      </c>
      <c r="AQ638" s="668">
        <f t="shared" si="189"/>
        <v>0</v>
      </c>
      <c r="AR638" s="668">
        <f t="shared" si="190"/>
        <v>0</v>
      </c>
      <c r="AS638" s="668"/>
      <c r="AT638" s="668"/>
      <c r="AU638" s="668"/>
      <c r="AV638" s="668"/>
      <c r="AW638" s="668"/>
      <c r="AX638" s="668"/>
      <c r="AY638" s="668"/>
      <c r="AZ638" s="668"/>
      <c r="BA638" s="668"/>
      <c r="BB638" s="668">
        <f t="shared" si="194"/>
        <v>180</v>
      </c>
      <c r="BC638" s="668"/>
      <c r="BD638" s="668"/>
      <c r="BE638" s="668"/>
      <c r="BF638" s="668"/>
      <c r="BG638" s="668"/>
      <c r="BH638" s="668"/>
      <c r="BI638" s="668"/>
    </row>
    <row r="639" spans="1:61" x14ac:dyDescent="0.2">
      <c r="A639" s="1020">
        <v>3164</v>
      </c>
      <c r="B639" s="1020" t="s">
        <v>519</v>
      </c>
      <c r="C639" s="1020"/>
      <c r="D639" s="667">
        <v>35</v>
      </c>
      <c r="E639" s="667"/>
      <c r="F639" s="667">
        <v>15</v>
      </c>
      <c r="G639" s="667"/>
      <c r="H639" s="667"/>
      <c r="I639" s="667"/>
      <c r="J639" s="667"/>
      <c r="K639" s="667"/>
      <c r="L639" s="667"/>
      <c r="M639" s="667"/>
      <c r="N639" s="667"/>
      <c r="O639" s="667"/>
      <c r="P639" s="667"/>
      <c r="Q639" s="667"/>
      <c r="R639" s="667"/>
      <c r="S639" s="667"/>
      <c r="T639" s="667">
        <v>150</v>
      </c>
      <c r="U639" s="1020">
        <v>12</v>
      </c>
      <c r="V639" s="668">
        <f t="shared" si="195"/>
        <v>420</v>
      </c>
      <c r="W639" s="668">
        <f t="shared" si="196"/>
        <v>0</v>
      </c>
      <c r="X639" s="668">
        <f t="shared" si="197"/>
        <v>0</v>
      </c>
      <c r="Y639" s="668">
        <f t="shared" si="198"/>
        <v>0</v>
      </c>
      <c r="Z639" s="668">
        <f t="shared" si="199"/>
        <v>0</v>
      </c>
      <c r="AA639" s="668">
        <f t="shared" si="200"/>
        <v>0</v>
      </c>
      <c r="AB639" s="668">
        <f t="shared" si="201"/>
        <v>150</v>
      </c>
      <c r="AC639" s="668">
        <f t="shared" si="191"/>
        <v>0</v>
      </c>
      <c r="AD639" s="668">
        <f t="shared" si="202"/>
        <v>0</v>
      </c>
      <c r="AE639" s="668">
        <f t="shared" si="203"/>
        <v>0</v>
      </c>
      <c r="AF639" s="668">
        <f t="shared" si="204"/>
        <v>0</v>
      </c>
      <c r="AG639" s="668">
        <f t="shared" si="205"/>
        <v>0</v>
      </c>
      <c r="AH639" s="668"/>
      <c r="AI639" s="668"/>
      <c r="AJ639" s="668"/>
      <c r="AK639" s="668"/>
      <c r="AL639" s="668"/>
      <c r="AM639" s="668">
        <f t="shared" si="192"/>
        <v>0</v>
      </c>
      <c r="AN639" s="668">
        <f t="shared" si="187"/>
        <v>0</v>
      </c>
      <c r="AO639" s="668">
        <f t="shared" si="188"/>
        <v>0</v>
      </c>
      <c r="AP639" s="668">
        <f t="shared" si="193"/>
        <v>180</v>
      </c>
      <c r="AQ639" s="668">
        <f t="shared" si="189"/>
        <v>0</v>
      </c>
      <c r="AR639" s="668">
        <f t="shared" si="190"/>
        <v>0</v>
      </c>
      <c r="AS639" s="668"/>
      <c r="AT639" s="668"/>
      <c r="AU639" s="668"/>
      <c r="AV639" s="668"/>
      <c r="AW639" s="668"/>
      <c r="AX639" s="668"/>
      <c r="AY639" s="668"/>
      <c r="AZ639" s="668"/>
      <c r="BA639" s="668"/>
      <c r="BB639" s="668">
        <f t="shared" si="194"/>
        <v>180</v>
      </c>
      <c r="BC639" s="668"/>
      <c r="BD639" s="668"/>
      <c r="BE639" s="668"/>
      <c r="BF639" s="668"/>
      <c r="BG639" s="668"/>
      <c r="BH639" s="668"/>
      <c r="BI639" s="668"/>
    </row>
    <row r="640" spans="1:61" x14ac:dyDescent="0.2">
      <c r="A640" s="1020">
        <v>3165</v>
      </c>
      <c r="B640" s="1020" t="s">
        <v>579</v>
      </c>
      <c r="C640" s="1020"/>
      <c r="D640" s="667">
        <v>47</v>
      </c>
      <c r="E640" s="667"/>
      <c r="F640" s="667"/>
      <c r="G640" s="667"/>
      <c r="H640" s="667"/>
      <c r="I640" s="667"/>
      <c r="J640" s="667"/>
      <c r="K640" s="667"/>
      <c r="L640" s="667"/>
      <c r="M640" s="667"/>
      <c r="N640" s="667"/>
      <c r="O640" s="667"/>
      <c r="P640" s="667"/>
      <c r="Q640" s="667"/>
      <c r="R640" s="667"/>
      <c r="S640" s="667"/>
      <c r="T640" s="667"/>
      <c r="U640" s="1020">
        <v>12</v>
      </c>
      <c r="V640" s="668">
        <f t="shared" si="195"/>
        <v>564</v>
      </c>
      <c r="W640" s="668">
        <f t="shared" si="196"/>
        <v>0</v>
      </c>
      <c r="X640" s="668">
        <f t="shared" si="197"/>
        <v>0</v>
      </c>
      <c r="Y640" s="668">
        <f t="shared" si="198"/>
        <v>0</v>
      </c>
      <c r="Z640" s="668">
        <f t="shared" si="199"/>
        <v>0</v>
      </c>
      <c r="AA640" s="668">
        <f t="shared" si="200"/>
        <v>0</v>
      </c>
      <c r="AB640" s="668">
        <f t="shared" si="201"/>
        <v>0</v>
      </c>
      <c r="AC640" s="668">
        <f t="shared" si="191"/>
        <v>0</v>
      </c>
      <c r="AD640" s="668">
        <f t="shared" si="202"/>
        <v>0</v>
      </c>
      <c r="AE640" s="668">
        <f t="shared" si="203"/>
        <v>0</v>
      </c>
      <c r="AF640" s="668">
        <f t="shared" si="204"/>
        <v>0</v>
      </c>
      <c r="AG640" s="668">
        <f t="shared" si="205"/>
        <v>0</v>
      </c>
      <c r="AH640" s="668"/>
      <c r="AI640" s="668"/>
      <c r="AJ640" s="668"/>
      <c r="AK640" s="668"/>
      <c r="AL640" s="668"/>
      <c r="AM640" s="668">
        <f t="shared" si="192"/>
        <v>0</v>
      </c>
      <c r="AN640" s="668">
        <f t="shared" si="187"/>
        <v>0</v>
      </c>
      <c r="AO640" s="668">
        <f t="shared" si="188"/>
        <v>0</v>
      </c>
      <c r="AP640" s="668">
        <f t="shared" si="193"/>
        <v>0</v>
      </c>
      <c r="AQ640" s="668">
        <f t="shared" si="189"/>
        <v>0</v>
      </c>
      <c r="AR640" s="668">
        <f t="shared" si="190"/>
        <v>0</v>
      </c>
      <c r="AS640" s="668"/>
      <c r="AT640" s="668"/>
      <c r="AU640" s="668"/>
      <c r="AV640" s="668"/>
      <c r="AW640" s="668"/>
      <c r="AX640" s="668"/>
      <c r="AY640" s="668"/>
      <c r="AZ640" s="668"/>
      <c r="BA640" s="668"/>
      <c r="BB640" s="668">
        <f t="shared" si="194"/>
        <v>0</v>
      </c>
      <c r="BC640" s="668"/>
      <c r="BD640" s="668"/>
      <c r="BE640" s="668"/>
      <c r="BF640" s="668"/>
      <c r="BG640" s="668"/>
      <c r="BH640" s="668"/>
      <c r="BI640" s="668"/>
    </row>
    <row r="641" spans="1:61" x14ac:dyDescent="0.2">
      <c r="A641" s="1020">
        <v>3166</v>
      </c>
      <c r="B641" s="1020" t="s">
        <v>476</v>
      </c>
      <c r="C641" s="1020"/>
      <c r="D641" s="667">
        <v>48</v>
      </c>
      <c r="E641" s="667"/>
      <c r="F641" s="667"/>
      <c r="G641" s="667"/>
      <c r="H641" s="667"/>
      <c r="I641" s="667"/>
      <c r="J641" s="667"/>
      <c r="K641" s="667"/>
      <c r="L641" s="667"/>
      <c r="M641" s="667"/>
      <c r="N641" s="667"/>
      <c r="O641" s="667"/>
      <c r="P641" s="667"/>
      <c r="Q641" s="667"/>
      <c r="R641" s="667"/>
      <c r="S641" s="667"/>
      <c r="T641" s="667"/>
      <c r="U641" s="1020">
        <v>12</v>
      </c>
      <c r="V641" s="668">
        <f t="shared" si="195"/>
        <v>576</v>
      </c>
      <c r="W641" s="668">
        <f t="shared" si="196"/>
        <v>0</v>
      </c>
      <c r="X641" s="668">
        <f t="shared" si="197"/>
        <v>0</v>
      </c>
      <c r="Y641" s="668">
        <f t="shared" si="198"/>
        <v>0</v>
      </c>
      <c r="Z641" s="668">
        <f t="shared" si="199"/>
        <v>0</v>
      </c>
      <c r="AA641" s="668">
        <f t="shared" si="200"/>
        <v>0</v>
      </c>
      <c r="AB641" s="668">
        <f t="shared" si="201"/>
        <v>0</v>
      </c>
      <c r="AC641" s="668">
        <f t="shared" si="191"/>
        <v>0</v>
      </c>
      <c r="AD641" s="668">
        <f t="shared" si="202"/>
        <v>0</v>
      </c>
      <c r="AE641" s="668">
        <f t="shared" si="203"/>
        <v>0</v>
      </c>
      <c r="AF641" s="668">
        <f t="shared" si="204"/>
        <v>0</v>
      </c>
      <c r="AG641" s="668">
        <f t="shared" si="205"/>
        <v>0</v>
      </c>
      <c r="AH641" s="668"/>
      <c r="AI641" s="668"/>
      <c r="AJ641" s="668"/>
      <c r="AK641" s="668"/>
      <c r="AL641" s="668"/>
      <c r="AM641" s="668">
        <f t="shared" si="192"/>
        <v>0</v>
      </c>
      <c r="AN641" s="668">
        <f t="shared" si="187"/>
        <v>0</v>
      </c>
      <c r="AO641" s="668">
        <f t="shared" si="188"/>
        <v>0</v>
      </c>
      <c r="AP641" s="668">
        <f t="shared" si="193"/>
        <v>0</v>
      </c>
      <c r="AQ641" s="668">
        <f t="shared" si="189"/>
        <v>0</v>
      </c>
      <c r="AR641" s="668">
        <f t="shared" si="190"/>
        <v>0</v>
      </c>
      <c r="AS641" s="668"/>
      <c r="AT641" s="668"/>
      <c r="AU641" s="668"/>
      <c r="AV641" s="668"/>
      <c r="AW641" s="668"/>
      <c r="AX641" s="668"/>
      <c r="AY641" s="668"/>
      <c r="AZ641" s="668"/>
      <c r="BA641" s="668"/>
      <c r="BB641" s="668">
        <f t="shared" si="194"/>
        <v>0</v>
      </c>
      <c r="BC641" s="668"/>
      <c r="BD641" s="668"/>
      <c r="BE641" s="668"/>
      <c r="BF641" s="668"/>
      <c r="BG641" s="668"/>
      <c r="BH641" s="668"/>
      <c r="BI641" s="668"/>
    </row>
    <row r="642" spans="1:61" x14ac:dyDescent="0.2">
      <c r="A642" s="1020">
        <v>3167</v>
      </c>
      <c r="B642" s="1020" t="s">
        <v>517</v>
      </c>
      <c r="C642" s="1020"/>
      <c r="D642" s="667">
        <v>50</v>
      </c>
      <c r="E642" s="667"/>
      <c r="F642" s="667"/>
      <c r="G642" s="667"/>
      <c r="H642" s="667"/>
      <c r="I642" s="667"/>
      <c r="J642" s="667"/>
      <c r="K642" s="667"/>
      <c r="L642" s="667"/>
      <c r="M642" s="667"/>
      <c r="N642" s="667"/>
      <c r="O642" s="667"/>
      <c r="P642" s="667"/>
      <c r="Q642" s="667"/>
      <c r="R642" s="667"/>
      <c r="S642" s="667"/>
      <c r="T642" s="667"/>
      <c r="U642" s="1020">
        <v>12</v>
      </c>
      <c r="V642" s="668">
        <f t="shared" si="195"/>
        <v>600</v>
      </c>
      <c r="W642" s="668">
        <f t="shared" si="196"/>
        <v>0</v>
      </c>
      <c r="X642" s="668">
        <f t="shared" si="197"/>
        <v>0</v>
      </c>
      <c r="Y642" s="668">
        <f t="shared" si="198"/>
        <v>0</v>
      </c>
      <c r="Z642" s="668">
        <f t="shared" si="199"/>
        <v>0</v>
      </c>
      <c r="AA642" s="668">
        <f t="shared" si="200"/>
        <v>0</v>
      </c>
      <c r="AB642" s="668">
        <f t="shared" si="201"/>
        <v>0</v>
      </c>
      <c r="AC642" s="668">
        <f t="shared" si="191"/>
        <v>0</v>
      </c>
      <c r="AD642" s="668">
        <f t="shared" si="202"/>
        <v>0</v>
      </c>
      <c r="AE642" s="668">
        <f t="shared" si="203"/>
        <v>0</v>
      </c>
      <c r="AF642" s="668">
        <f t="shared" si="204"/>
        <v>0</v>
      </c>
      <c r="AG642" s="668">
        <f t="shared" si="205"/>
        <v>0</v>
      </c>
      <c r="AH642" s="668"/>
      <c r="AI642" s="668"/>
      <c r="AJ642" s="668"/>
      <c r="AK642" s="668"/>
      <c r="AL642" s="668"/>
      <c r="AM642" s="668">
        <f t="shared" si="192"/>
        <v>0</v>
      </c>
      <c r="AN642" s="668">
        <f t="shared" si="187"/>
        <v>0</v>
      </c>
      <c r="AO642" s="668">
        <f t="shared" si="188"/>
        <v>0</v>
      </c>
      <c r="AP642" s="668">
        <f t="shared" si="193"/>
        <v>0</v>
      </c>
      <c r="AQ642" s="668">
        <f t="shared" si="189"/>
        <v>0</v>
      </c>
      <c r="AR642" s="668">
        <f t="shared" si="190"/>
        <v>0</v>
      </c>
      <c r="AS642" s="668"/>
      <c r="AT642" s="668"/>
      <c r="AU642" s="668"/>
      <c r="AV642" s="668"/>
      <c r="AW642" s="668"/>
      <c r="AX642" s="668"/>
      <c r="AY642" s="668"/>
      <c r="AZ642" s="668"/>
      <c r="BA642" s="668"/>
      <c r="BB642" s="668">
        <f t="shared" si="194"/>
        <v>0</v>
      </c>
      <c r="BC642" s="668"/>
      <c r="BD642" s="668"/>
      <c r="BE642" s="668"/>
      <c r="BF642" s="668"/>
      <c r="BG642" s="668"/>
      <c r="BH642" s="668"/>
      <c r="BI642" s="668"/>
    </row>
    <row r="643" spans="1:61" x14ac:dyDescent="0.2">
      <c r="A643" s="1020">
        <v>3168</v>
      </c>
      <c r="B643" s="1020" t="s">
        <v>682</v>
      </c>
      <c r="C643" s="1020"/>
      <c r="D643" s="667">
        <v>32</v>
      </c>
      <c r="E643" s="667"/>
      <c r="F643" s="667">
        <v>32</v>
      </c>
      <c r="G643" s="667"/>
      <c r="H643" s="667"/>
      <c r="I643" s="667"/>
      <c r="J643" s="667"/>
      <c r="K643" s="667"/>
      <c r="L643" s="667"/>
      <c r="M643" s="667"/>
      <c r="N643" s="667"/>
      <c r="O643" s="667"/>
      <c r="P643" s="667"/>
      <c r="Q643" s="667"/>
      <c r="R643" s="667"/>
      <c r="S643" s="667"/>
      <c r="T643" s="667"/>
      <c r="U643" s="1020">
        <v>10</v>
      </c>
      <c r="V643" s="668">
        <f t="shared" si="195"/>
        <v>320</v>
      </c>
      <c r="W643" s="668">
        <f t="shared" si="196"/>
        <v>0</v>
      </c>
      <c r="X643" s="668">
        <f t="shared" si="197"/>
        <v>0</v>
      </c>
      <c r="Y643" s="668">
        <f t="shared" si="198"/>
        <v>0</v>
      </c>
      <c r="Z643" s="668">
        <f t="shared" si="199"/>
        <v>0</v>
      </c>
      <c r="AA643" s="668">
        <f t="shared" si="200"/>
        <v>0</v>
      </c>
      <c r="AB643" s="668">
        <f t="shared" si="201"/>
        <v>0</v>
      </c>
      <c r="AC643" s="668">
        <f t="shared" si="191"/>
        <v>0</v>
      </c>
      <c r="AD643" s="668">
        <f t="shared" si="202"/>
        <v>0</v>
      </c>
      <c r="AE643" s="668">
        <f t="shared" si="203"/>
        <v>0</v>
      </c>
      <c r="AF643" s="668">
        <f t="shared" si="204"/>
        <v>0</v>
      </c>
      <c r="AG643" s="668">
        <f t="shared" si="205"/>
        <v>0</v>
      </c>
      <c r="AH643" s="668"/>
      <c r="AI643" s="668"/>
      <c r="AJ643" s="668"/>
      <c r="AK643" s="668"/>
      <c r="AL643" s="668"/>
      <c r="AM643" s="668">
        <f t="shared" si="192"/>
        <v>0</v>
      </c>
      <c r="AN643" s="668">
        <f t="shared" si="187"/>
        <v>0</v>
      </c>
      <c r="AO643" s="668">
        <f t="shared" si="188"/>
        <v>0</v>
      </c>
      <c r="AP643" s="668">
        <f t="shared" si="193"/>
        <v>320</v>
      </c>
      <c r="AQ643" s="668">
        <f t="shared" si="189"/>
        <v>0</v>
      </c>
      <c r="AR643" s="668">
        <f t="shared" si="190"/>
        <v>0</v>
      </c>
      <c r="AS643" s="668"/>
      <c r="AT643" s="668"/>
      <c r="AU643" s="668"/>
      <c r="AV643" s="668"/>
      <c r="AW643" s="668"/>
      <c r="AX643" s="668"/>
      <c r="AY643" s="668"/>
      <c r="AZ643" s="668"/>
      <c r="BA643" s="668"/>
      <c r="BB643" s="668">
        <f t="shared" si="194"/>
        <v>320</v>
      </c>
      <c r="BC643" s="668"/>
      <c r="BD643" s="668"/>
      <c r="BE643" s="668"/>
      <c r="BF643" s="668"/>
      <c r="BG643" s="668"/>
      <c r="BH643" s="668"/>
      <c r="BI643" s="668"/>
    </row>
    <row r="644" spans="1:61" x14ac:dyDescent="0.2">
      <c r="A644" s="1020">
        <v>3169</v>
      </c>
      <c r="B644" s="1020" t="s">
        <v>682</v>
      </c>
      <c r="C644" s="1020"/>
      <c r="D644" s="667">
        <v>32</v>
      </c>
      <c r="E644" s="667"/>
      <c r="F644" s="667">
        <v>32</v>
      </c>
      <c r="G644" s="667"/>
      <c r="H644" s="667"/>
      <c r="I644" s="667"/>
      <c r="J644" s="667"/>
      <c r="K644" s="667"/>
      <c r="L644" s="667"/>
      <c r="M644" s="667"/>
      <c r="N644" s="667"/>
      <c r="O644" s="667"/>
      <c r="P644" s="667"/>
      <c r="Q644" s="667"/>
      <c r="R644" s="667"/>
      <c r="S644" s="667"/>
      <c r="T644" s="667"/>
      <c r="U644" s="1020">
        <v>10</v>
      </c>
      <c r="V644" s="668">
        <f t="shared" si="195"/>
        <v>320</v>
      </c>
      <c r="W644" s="668">
        <f t="shared" si="196"/>
        <v>0</v>
      </c>
      <c r="X644" s="668">
        <f t="shared" si="197"/>
        <v>0</v>
      </c>
      <c r="Y644" s="668">
        <f t="shared" si="198"/>
        <v>0</v>
      </c>
      <c r="Z644" s="668">
        <f t="shared" si="199"/>
        <v>0</v>
      </c>
      <c r="AA644" s="668">
        <f t="shared" si="200"/>
        <v>0</v>
      </c>
      <c r="AB644" s="668">
        <f t="shared" si="201"/>
        <v>0</v>
      </c>
      <c r="AC644" s="668">
        <f t="shared" si="191"/>
        <v>0</v>
      </c>
      <c r="AD644" s="668">
        <f t="shared" si="202"/>
        <v>0</v>
      </c>
      <c r="AE644" s="668">
        <f t="shared" si="203"/>
        <v>0</v>
      </c>
      <c r="AF644" s="668">
        <f t="shared" si="204"/>
        <v>0</v>
      </c>
      <c r="AG644" s="668">
        <f t="shared" si="205"/>
        <v>0</v>
      </c>
      <c r="AH644" s="668"/>
      <c r="AI644" s="668"/>
      <c r="AJ644" s="668"/>
      <c r="AK644" s="668"/>
      <c r="AL644" s="668"/>
      <c r="AM644" s="668">
        <f t="shared" si="192"/>
        <v>0</v>
      </c>
      <c r="AN644" s="668">
        <f t="shared" si="187"/>
        <v>0</v>
      </c>
      <c r="AO644" s="668">
        <f t="shared" si="188"/>
        <v>0</v>
      </c>
      <c r="AP644" s="668">
        <f t="shared" si="193"/>
        <v>320</v>
      </c>
      <c r="AQ644" s="668">
        <f t="shared" si="189"/>
        <v>0</v>
      </c>
      <c r="AR644" s="668">
        <f t="shared" si="190"/>
        <v>0</v>
      </c>
      <c r="AS644" s="668"/>
      <c r="AT644" s="668"/>
      <c r="AU644" s="668"/>
      <c r="AV644" s="668"/>
      <c r="AW644" s="668"/>
      <c r="AX644" s="668"/>
      <c r="AY644" s="668"/>
      <c r="AZ644" s="668"/>
      <c r="BA644" s="668"/>
      <c r="BB644" s="668">
        <f t="shared" si="194"/>
        <v>320</v>
      </c>
      <c r="BC644" s="668"/>
      <c r="BD644" s="668"/>
      <c r="BE644" s="668"/>
      <c r="BF644" s="668"/>
      <c r="BG644" s="668"/>
      <c r="BH644" s="668"/>
      <c r="BI644" s="668"/>
    </row>
    <row r="645" spans="1:61" x14ac:dyDescent="0.2">
      <c r="A645" s="1020">
        <v>3170</v>
      </c>
      <c r="B645" s="1020" t="s">
        <v>685</v>
      </c>
      <c r="C645" s="1020"/>
      <c r="D645" s="667">
        <v>80</v>
      </c>
      <c r="E645" s="667"/>
      <c r="F645" s="667"/>
      <c r="G645" s="667"/>
      <c r="H645" s="667"/>
      <c r="I645" s="667"/>
      <c r="J645" s="667"/>
      <c r="K645" s="667"/>
      <c r="L645" s="667"/>
      <c r="M645" s="667"/>
      <c r="N645" s="667"/>
      <c r="O645" s="667"/>
      <c r="P645" s="667"/>
      <c r="Q645" s="667"/>
      <c r="R645" s="667"/>
      <c r="S645" s="667"/>
      <c r="T645" s="667"/>
      <c r="U645" s="1020">
        <v>10</v>
      </c>
      <c r="V645" s="668">
        <f t="shared" si="195"/>
        <v>800</v>
      </c>
      <c r="W645" s="668">
        <f t="shared" si="196"/>
        <v>0</v>
      </c>
      <c r="X645" s="668">
        <f t="shared" si="197"/>
        <v>0</v>
      </c>
      <c r="Y645" s="668">
        <f t="shared" si="198"/>
        <v>0</v>
      </c>
      <c r="Z645" s="668">
        <f t="shared" si="199"/>
        <v>0</v>
      </c>
      <c r="AA645" s="668">
        <f t="shared" si="200"/>
        <v>0</v>
      </c>
      <c r="AB645" s="668">
        <f t="shared" si="201"/>
        <v>0</v>
      </c>
      <c r="AC645" s="668">
        <f t="shared" si="191"/>
        <v>0</v>
      </c>
      <c r="AD645" s="668">
        <f t="shared" si="202"/>
        <v>0</v>
      </c>
      <c r="AE645" s="668">
        <f t="shared" si="203"/>
        <v>0</v>
      </c>
      <c r="AF645" s="668">
        <f t="shared" si="204"/>
        <v>0</v>
      </c>
      <c r="AG645" s="668">
        <f t="shared" si="205"/>
        <v>0</v>
      </c>
      <c r="AH645" s="668"/>
      <c r="AI645" s="668"/>
      <c r="AJ645" s="668"/>
      <c r="AK645" s="668"/>
      <c r="AL645" s="668"/>
      <c r="AM645" s="668">
        <f t="shared" si="192"/>
        <v>0</v>
      </c>
      <c r="AN645" s="668">
        <f t="shared" si="187"/>
        <v>0</v>
      </c>
      <c r="AO645" s="668">
        <f t="shared" si="188"/>
        <v>0</v>
      </c>
      <c r="AP645" s="668">
        <f t="shared" si="193"/>
        <v>0</v>
      </c>
      <c r="AQ645" s="668">
        <f t="shared" si="189"/>
        <v>0</v>
      </c>
      <c r="AR645" s="668">
        <f t="shared" si="190"/>
        <v>0</v>
      </c>
      <c r="AS645" s="668"/>
      <c r="AT645" s="668"/>
      <c r="AU645" s="668"/>
      <c r="AV645" s="668"/>
      <c r="AW645" s="668"/>
      <c r="AX645" s="668"/>
      <c r="AY645" s="668"/>
      <c r="AZ645" s="668"/>
      <c r="BA645" s="668"/>
      <c r="BB645" s="668">
        <f t="shared" si="194"/>
        <v>0</v>
      </c>
      <c r="BC645" s="668"/>
      <c r="BD645" s="668"/>
      <c r="BE645" s="668"/>
      <c r="BF645" s="668"/>
      <c r="BG645" s="668"/>
      <c r="BH645" s="668"/>
      <c r="BI645" s="668"/>
    </row>
    <row r="646" spans="1:61" x14ac:dyDescent="0.2">
      <c r="A646" s="1020">
        <v>3171</v>
      </c>
      <c r="B646" s="1020" t="s">
        <v>748</v>
      </c>
      <c r="C646" s="1020"/>
      <c r="D646" s="667">
        <v>55</v>
      </c>
      <c r="E646" s="667"/>
      <c r="F646" s="667"/>
      <c r="G646" s="667"/>
      <c r="H646" s="667"/>
      <c r="I646" s="667"/>
      <c r="J646" s="667"/>
      <c r="K646" s="667"/>
      <c r="L646" s="667"/>
      <c r="M646" s="667"/>
      <c r="N646" s="667"/>
      <c r="O646" s="667"/>
      <c r="P646" s="667"/>
      <c r="Q646" s="667"/>
      <c r="R646" s="667"/>
      <c r="S646" s="667"/>
      <c r="T646" s="667">
        <v>187</v>
      </c>
      <c r="U646" s="1020">
        <v>12</v>
      </c>
      <c r="V646" s="668">
        <f t="shared" si="195"/>
        <v>660</v>
      </c>
      <c r="W646" s="668">
        <f t="shared" si="196"/>
        <v>0</v>
      </c>
      <c r="X646" s="668">
        <f t="shared" si="197"/>
        <v>0</v>
      </c>
      <c r="Y646" s="668">
        <f t="shared" si="198"/>
        <v>0</v>
      </c>
      <c r="Z646" s="668">
        <f t="shared" si="199"/>
        <v>0</v>
      </c>
      <c r="AA646" s="668">
        <f t="shared" si="200"/>
        <v>0</v>
      </c>
      <c r="AB646" s="668">
        <f t="shared" si="201"/>
        <v>187</v>
      </c>
      <c r="AC646" s="668">
        <f t="shared" si="191"/>
        <v>0</v>
      </c>
      <c r="AD646" s="668">
        <f t="shared" si="202"/>
        <v>0</v>
      </c>
      <c r="AE646" s="668">
        <f t="shared" si="203"/>
        <v>0</v>
      </c>
      <c r="AF646" s="668">
        <f t="shared" si="204"/>
        <v>0</v>
      </c>
      <c r="AG646" s="668">
        <f t="shared" si="205"/>
        <v>0</v>
      </c>
      <c r="AH646" s="668"/>
      <c r="AI646" s="668"/>
      <c r="AJ646" s="668"/>
      <c r="AK646" s="668"/>
      <c r="AL646" s="668"/>
      <c r="AM646" s="668">
        <f t="shared" si="192"/>
        <v>0</v>
      </c>
      <c r="AN646" s="668">
        <f t="shared" si="187"/>
        <v>0</v>
      </c>
      <c r="AO646" s="668">
        <f t="shared" si="188"/>
        <v>0</v>
      </c>
      <c r="AP646" s="668">
        <f t="shared" si="193"/>
        <v>0</v>
      </c>
      <c r="AQ646" s="668">
        <f t="shared" si="189"/>
        <v>0</v>
      </c>
      <c r="AR646" s="668">
        <f t="shared" si="190"/>
        <v>0</v>
      </c>
      <c r="AS646" s="668"/>
      <c r="AT646" s="668"/>
      <c r="AU646" s="668"/>
      <c r="AV646" s="668"/>
      <c r="AW646" s="668"/>
      <c r="AX646" s="668"/>
      <c r="AY646" s="668"/>
      <c r="AZ646" s="668"/>
      <c r="BA646" s="668"/>
      <c r="BB646" s="668">
        <f t="shared" si="194"/>
        <v>0</v>
      </c>
      <c r="BC646" s="668"/>
      <c r="BD646" s="668"/>
      <c r="BE646" s="668"/>
      <c r="BF646" s="668"/>
      <c r="BG646" s="668"/>
      <c r="BH646" s="668"/>
      <c r="BI646" s="668"/>
    </row>
    <row r="647" spans="1:61" x14ac:dyDescent="0.2">
      <c r="A647" s="1020">
        <v>3172</v>
      </c>
      <c r="B647" s="1020" t="s">
        <v>519</v>
      </c>
      <c r="C647" s="1020"/>
      <c r="D647" s="667">
        <v>35</v>
      </c>
      <c r="E647" s="667"/>
      <c r="F647" s="667">
        <v>15</v>
      </c>
      <c r="G647" s="667"/>
      <c r="H647" s="667"/>
      <c r="I647" s="667"/>
      <c r="J647" s="667"/>
      <c r="K647" s="667"/>
      <c r="L647" s="667"/>
      <c r="M647" s="667"/>
      <c r="N647" s="667"/>
      <c r="O647" s="667"/>
      <c r="P647" s="667"/>
      <c r="Q647" s="667"/>
      <c r="R647" s="667"/>
      <c r="S647" s="667"/>
      <c r="T647" s="667">
        <v>150</v>
      </c>
      <c r="U647" s="1020">
        <v>12</v>
      </c>
      <c r="V647" s="668">
        <f t="shared" si="195"/>
        <v>420</v>
      </c>
      <c r="W647" s="668">
        <f t="shared" si="196"/>
        <v>0</v>
      </c>
      <c r="X647" s="668">
        <f t="shared" si="197"/>
        <v>0</v>
      </c>
      <c r="Y647" s="668">
        <f t="shared" si="198"/>
        <v>0</v>
      </c>
      <c r="Z647" s="668">
        <f t="shared" si="199"/>
        <v>0</v>
      </c>
      <c r="AA647" s="668">
        <f t="shared" si="200"/>
        <v>0</v>
      </c>
      <c r="AB647" s="668">
        <f t="shared" si="201"/>
        <v>150</v>
      </c>
      <c r="AC647" s="668">
        <f t="shared" si="191"/>
        <v>0</v>
      </c>
      <c r="AD647" s="668">
        <f t="shared" si="202"/>
        <v>0</v>
      </c>
      <c r="AE647" s="668">
        <f t="shared" si="203"/>
        <v>0</v>
      </c>
      <c r="AF647" s="668">
        <f t="shared" si="204"/>
        <v>0</v>
      </c>
      <c r="AG647" s="668">
        <f t="shared" si="205"/>
        <v>0</v>
      </c>
      <c r="AH647" s="668"/>
      <c r="AI647" s="668"/>
      <c r="AJ647" s="668"/>
      <c r="AK647" s="668"/>
      <c r="AL647" s="668"/>
      <c r="AM647" s="668">
        <f t="shared" si="192"/>
        <v>0</v>
      </c>
      <c r="AN647" s="668">
        <f t="shared" si="187"/>
        <v>0</v>
      </c>
      <c r="AO647" s="668">
        <f t="shared" si="188"/>
        <v>0</v>
      </c>
      <c r="AP647" s="668">
        <f t="shared" si="193"/>
        <v>180</v>
      </c>
      <c r="AQ647" s="668">
        <f t="shared" si="189"/>
        <v>0</v>
      </c>
      <c r="AR647" s="668">
        <f t="shared" si="190"/>
        <v>0</v>
      </c>
      <c r="AS647" s="668"/>
      <c r="AT647" s="668"/>
      <c r="AU647" s="668"/>
      <c r="AV647" s="668"/>
      <c r="AW647" s="668"/>
      <c r="AX647" s="668"/>
      <c r="AY647" s="668"/>
      <c r="AZ647" s="668"/>
      <c r="BA647" s="668"/>
      <c r="BB647" s="668">
        <f t="shared" si="194"/>
        <v>180</v>
      </c>
      <c r="BC647" s="668"/>
      <c r="BD647" s="668"/>
      <c r="BE647" s="668"/>
      <c r="BF647" s="668"/>
      <c r="BG647" s="668"/>
      <c r="BH647" s="668"/>
      <c r="BI647" s="668"/>
    </row>
    <row r="648" spans="1:61" x14ac:dyDescent="0.2">
      <c r="A648" s="1020">
        <v>3173</v>
      </c>
      <c r="B648" s="1020" t="s">
        <v>515</v>
      </c>
      <c r="C648" s="1020"/>
      <c r="D648" s="667">
        <v>63</v>
      </c>
      <c r="E648" s="667"/>
      <c r="F648" s="667">
        <v>88</v>
      </c>
      <c r="G648" s="667"/>
      <c r="H648" s="667"/>
      <c r="I648" s="667"/>
      <c r="J648" s="667"/>
      <c r="K648" s="667"/>
      <c r="L648" s="667"/>
      <c r="M648" s="667"/>
      <c r="N648" s="667"/>
      <c r="O648" s="667"/>
      <c r="P648" s="667"/>
      <c r="Q648" s="667"/>
      <c r="R648" s="667"/>
      <c r="S648" s="667"/>
      <c r="T648" s="667">
        <v>2900</v>
      </c>
      <c r="U648" s="1020">
        <v>12</v>
      </c>
      <c r="V648" s="668">
        <f t="shared" si="195"/>
        <v>756</v>
      </c>
      <c r="W648" s="668">
        <f t="shared" si="196"/>
        <v>0</v>
      </c>
      <c r="X648" s="668">
        <f t="shared" si="197"/>
        <v>0</v>
      </c>
      <c r="Y648" s="668">
        <f t="shared" si="198"/>
        <v>0</v>
      </c>
      <c r="Z648" s="668">
        <f t="shared" si="199"/>
        <v>0</v>
      </c>
      <c r="AA648" s="668">
        <f t="shared" si="200"/>
        <v>0</v>
      </c>
      <c r="AB648" s="668">
        <f t="shared" si="201"/>
        <v>2900</v>
      </c>
      <c r="AC648" s="668">
        <f t="shared" si="191"/>
        <v>0</v>
      </c>
      <c r="AD648" s="668">
        <f t="shared" si="202"/>
        <v>0</v>
      </c>
      <c r="AE648" s="668">
        <f t="shared" si="203"/>
        <v>0</v>
      </c>
      <c r="AF648" s="668">
        <f t="shared" si="204"/>
        <v>0</v>
      </c>
      <c r="AG648" s="668">
        <f t="shared" si="205"/>
        <v>0</v>
      </c>
      <c r="AH648" s="668"/>
      <c r="AI648" s="668"/>
      <c r="AJ648" s="668"/>
      <c r="AK648" s="668"/>
      <c r="AL648" s="668"/>
      <c r="AM648" s="668">
        <f t="shared" si="192"/>
        <v>0</v>
      </c>
      <c r="AN648" s="668">
        <f t="shared" ref="AN648:AN711" si="206">+U648*E648</f>
        <v>0</v>
      </c>
      <c r="AO648" s="668">
        <f t="shared" ref="AO648:AO711" si="207">+U648*O648</f>
        <v>0</v>
      </c>
      <c r="AP648" s="668">
        <f t="shared" si="193"/>
        <v>1056</v>
      </c>
      <c r="AQ648" s="668">
        <f t="shared" ref="AQ648:AQ711" si="208">+$AQ$4*K648</f>
        <v>0</v>
      </c>
      <c r="AR648" s="668">
        <f t="shared" ref="AR648:AR711" si="209">+$AR$4*K648</f>
        <v>0</v>
      </c>
      <c r="AS648" s="668"/>
      <c r="AT648" s="668"/>
      <c r="AU648" s="668"/>
      <c r="AV648" s="668"/>
      <c r="AW648" s="668"/>
      <c r="AX648" s="668"/>
      <c r="AY648" s="668"/>
      <c r="AZ648" s="668"/>
      <c r="BA648" s="668"/>
      <c r="BB648" s="668"/>
      <c r="BC648" s="668"/>
      <c r="BD648" s="668"/>
      <c r="BE648" s="668"/>
      <c r="BF648" s="668"/>
      <c r="BG648" s="668"/>
      <c r="BH648" s="668"/>
      <c r="BI648" s="668"/>
    </row>
    <row r="649" spans="1:61" x14ac:dyDescent="0.2">
      <c r="A649" s="1020">
        <v>3174</v>
      </c>
      <c r="B649" s="1020" t="s">
        <v>515</v>
      </c>
      <c r="C649" s="1020"/>
      <c r="D649" s="667">
        <v>115</v>
      </c>
      <c r="E649" s="667"/>
      <c r="F649" s="667"/>
      <c r="G649" s="667"/>
      <c r="H649" s="667"/>
      <c r="I649" s="667"/>
      <c r="J649" s="667"/>
      <c r="K649" s="667"/>
      <c r="L649" s="667"/>
      <c r="M649" s="667"/>
      <c r="N649" s="667"/>
      <c r="O649" s="667"/>
      <c r="P649" s="667"/>
      <c r="Q649" s="667"/>
      <c r="R649" s="667"/>
      <c r="S649" s="667"/>
      <c r="T649" s="667">
        <v>3600</v>
      </c>
      <c r="U649" s="1020">
        <v>12</v>
      </c>
      <c r="V649" s="668">
        <f t="shared" si="195"/>
        <v>1380</v>
      </c>
      <c r="W649" s="668">
        <f t="shared" si="196"/>
        <v>0</v>
      </c>
      <c r="X649" s="668">
        <f t="shared" si="197"/>
        <v>0</v>
      </c>
      <c r="Y649" s="668">
        <f t="shared" si="198"/>
        <v>0</v>
      </c>
      <c r="Z649" s="668">
        <f t="shared" si="199"/>
        <v>0</v>
      </c>
      <c r="AA649" s="668">
        <f t="shared" si="200"/>
        <v>0</v>
      </c>
      <c r="AB649" s="668">
        <f t="shared" si="201"/>
        <v>3600</v>
      </c>
      <c r="AC649" s="668">
        <f t="shared" si="191"/>
        <v>0</v>
      </c>
      <c r="AD649" s="668">
        <f t="shared" si="202"/>
        <v>0</v>
      </c>
      <c r="AE649" s="668">
        <f t="shared" si="203"/>
        <v>0</v>
      </c>
      <c r="AF649" s="668">
        <f t="shared" si="204"/>
        <v>0</v>
      </c>
      <c r="AG649" s="668">
        <f t="shared" si="205"/>
        <v>0</v>
      </c>
      <c r="AH649" s="668"/>
      <c r="AI649" s="668"/>
      <c r="AJ649" s="668"/>
      <c r="AK649" s="668"/>
      <c r="AL649" s="668"/>
      <c r="AM649" s="668">
        <f t="shared" si="192"/>
        <v>0</v>
      </c>
      <c r="AN649" s="668">
        <f t="shared" si="206"/>
        <v>0</v>
      </c>
      <c r="AO649" s="668">
        <f t="shared" si="207"/>
        <v>0</v>
      </c>
      <c r="AP649" s="668">
        <f t="shared" si="193"/>
        <v>0</v>
      </c>
      <c r="AQ649" s="668">
        <f t="shared" si="208"/>
        <v>0</v>
      </c>
      <c r="AR649" s="668">
        <f t="shared" si="209"/>
        <v>0</v>
      </c>
      <c r="AS649" s="668"/>
      <c r="AT649" s="668"/>
      <c r="AU649" s="668"/>
      <c r="AV649" s="668"/>
      <c r="AW649" s="668"/>
      <c r="AX649" s="668"/>
      <c r="AY649" s="668"/>
      <c r="AZ649" s="668"/>
      <c r="BA649" s="668"/>
      <c r="BB649" s="668">
        <f t="shared" si="194"/>
        <v>0</v>
      </c>
      <c r="BC649" s="668"/>
      <c r="BD649" s="668"/>
      <c r="BE649" s="668"/>
      <c r="BF649" s="668"/>
      <c r="BG649" s="668"/>
      <c r="BH649" s="668"/>
      <c r="BI649" s="668"/>
    </row>
    <row r="650" spans="1:61" x14ac:dyDescent="0.2">
      <c r="A650" s="1020">
        <v>3175</v>
      </c>
      <c r="B650" s="1020" t="s">
        <v>467</v>
      </c>
      <c r="C650" s="1020"/>
      <c r="D650" s="667">
        <v>80</v>
      </c>
      <c r="E650" s="667"/>
      <c r="F650" s="667"/>
      <c r="G650" s="667"/>
      <c r="H650" s="667"/>
      <c r="I650" s="667"/>
      <c r="J650" s="667"/>
      <c r="K650" s="667"/>
      <c r="L650" s="667"/>
      <c r="M650" s="667"/>
      <c r="N650" s="667"/>
      <c r="O650" s="667"/>
      <c r="P650" s="667"/>
      <c r="Q650" s="667"/>
      <c r="R650" s="667"/>
      <c r="S650" s="667"/>
      <c r="T650" s="667"/>
      <c r="U650" s="1020">
        <v>3</v>
      </c>
      <c r="V650" s="668">
        <f t="shared" si="195"/>
        <v>240</v>
      </c>
      <c r="W650" s="668">
        <f t="shared" si="196"/>
        <v>0</v>
      </c>
      <c r="X650" s="668">
        <f t="shared" si="197"/>
        <v>0</v>
      </c>
      <c r="Y650" s="668">
        <f t="shared" si="198"/>
        <v>0</v>
      </c>
      <c r="Z650" s="668">
        <f t="shared" si="199"/>
        <v>0</v>
      </c>
      <c r="AA650" s="668">
        <f t="shared" si="200"/>
        <v>0</v>
      </c>
      <c r="AB650" s="668">
        <f t="shared" si="201"/>
        <v>0</v>
      </c>
      <c r="AC650" s="668">
        <f t="shared" ref="AC650:AC713" si="210">+U650*P650</f>
        <v>0</v>
      </c>
      <c r="AD650" s="668">
        <f t="shared" si="202"/>
        <v>0</v>
      </c>
      <c r="AE650" s="668">
        <f t="shared" si="203"/>
        <v>0</v>
      </c>
      <c r="AF650" s="668">
        <f t="shared" si="204"/>
        <v>0</v>
      </c>
      <c r="AG650" s="668">
        <f t="shared" si="205"/>
        <v>0</v>
      </c>
      <c r="AH650" s="668"/>
      <c r="AI650" s="668"/>
      <c r="AJ650" s="668"/>
      <c r="AK650" s="668"/>
      <c r="AL650" s="668"/>
      <c r="AM650" s="668">
        <f t="shared" si="192"/>
        <v>0</v>
      </c>
      <c r="AN650" s="668">
        <f t="shared" si="206"/>
        <v>0</v>
      </c>
      <c r="AO650" s="668">
        <f t="shared" si="207"/>
        <v>0</v>
      </c>
      <c r="AP650" s="668">
        <f t="shared" si="193"/>
        <v>0</v>
      </c>
      <c r="AQ650" s="668">
        <f t="shared" si="208"/>
        <v>0</v>
      </c>
      <c r="AR650" s="668">
        <f t="shared" si="209"/>
        <v>0</v>
      </c>
      <c r="AS650" s="668"/>
      <c r="AT650" s="668"/>
      <c r="AU650" s="668"/>
      <c r="AV650" s="668"/>
      <c r="AW650" s="668"/>
      <c r="AX650" s="668"/>
      <c r="AY650" s="668"/>
      <c r="AZ650" s="668"/>
      <c r="BA650" s="668"/>
      <c r="BB650" s="668">
        <f t="shared" si="194"/>
        <v>0</v>
      </c>
      <c r="BC650" s="668"/>
      <c r="BD650" s="668"/>
      <c r="BE650" s="668"/>
      <c r="BF650" s="668"/>
      <c r="BG650" s="668"/>
      <c r="BH650" s="668"/>
      <c r="BI650" s="668"/>
    </row>
    <row r="651" spans="1:61" x14ac:dyDescent="0.2">
      <c r="A651" s="1020">
        <v>3176</v>
      </c>
      <c r="B651" s="1020" t="s">
        <v>466</v>
      </c>
      <c r="C651" s="1020"/>
      <c r="D651" s="667">
        <v>80</v>
      </c>
      <c r="E651" s="667"/>
      <c r="F651" s="667"/>
      <c r="G651" s="667"/>
      <c r="H651" s="667"/>
      <c r="I651" s="667"/>
      <c r="J651" s="667"/>
      <c r="K651" s="667"/>
      <c r="L651" s="667"/>
      <c r="M651" s="667"/>
      <c r="N651" s="667"/>
      <c r="O651" s="667"/>
      <c r="P651" s="667"/>
      <c r="Q651" s="667"/>
      <c r="R651" s="667"/>
      <c r="S651" s="667"/>
      <c r="T651" s="667"/>
      <c r="U651" s="1020">
        <v>3</v>
      </c>
      <c r="V651" s="668">
        <f t="shared" si="195"/>
        <v>240</v>
      </c>
      <c r="W651" s="668">
        <f t="shared" si="196"/>
        <v>0</v>
      </c>
      <c r="X651" s="668">
        <f t="shared" si="197"/>
        <v>0</v>
      </c>
      <c r="Y651" s="668">
        <f t="shared" si="198"/>
        <v>0</v>
      </c>
      <c r="Z651" s="668">
        <f t="shared" si="199"/>
        <v>0</v>
      </c>
      <c r="AA651" s="668">
        <f t="shared" si="200"/>
        <v>0</v>
      </c>
      <c r="AB651" s="668">
        <f t="shared" si="201"/>
        <v>0</v>
      </c>
      <c r="AC651" s="668">
        <f t="shared" si="210"/>
        <v>0</v>
      </c>
      <c r="AD651" s="668">
        <f t="shared" si="202"/>
        <v>0</v>
      </c>
      <c r="AE651" s="668">
        <f t="shared" si="203"/>
        <v>0</v>
      </c>
      <c r="AF651" s="668">
        <f t="shared" si="204"/>
        <v>0</v>
      </c>
      <c r="AG651" s="668">
        <f t="shared" si="205"/>
        <v>0</v>
      </c>
      <c r="AH651" s="668"/>
      <c r="AI651" s="668"/>
      <c r="AJ651" s="668"/>
      <c r="AK651" s="668"/>
      <c r="AL651" s="668"/>
      <c r="AM651" s="668">
        <f t="shared" si="192"/>
        <v>0</v>
      </c>
      <c r="AN651" s="668">
        <f t="shared" si="206"/>
        <v>0</v>
      </c>
      <c r="AO651" s="668">
        <f t="shared" si="207"/>
        <v>0</v>
      </c>
      <c r="AP651" s="668">
        <f t="shared" si="193"/>
        <v>0</v>
      </c>
      <c r="AQ651" s="668">
        <f t="shared" si="208"/>
        <v>0</v>
      </c>
      <c r="AR651" s="668">
        <f t="shared" si="209"/>
        <v>0</v>
      </c>
      <c r="AS651" s="668"/>
      <c r="AT651" s="668"/>
      <c r="AU651" s="668"/>
      <c r="AV651" s="668"/>
      <c r="AW651" s="668"/>
      <c r="AX651" s="668"/>
      <c r="AY651" s="668"/>
      <c r="AZ651" s="668"/>
      <c r="BA651" s="668"/>
      <c r="BB651" s="668">
        <f t="shared" si="194"/>
        <v>0</v>
      </c>
      <c r="BC651" s="668"/>
      <c r="BD651" s="668"/>
      <c r="BE651" s="668"/>
      <c r="BF651" s="668"/>
      <c r="BG651" s="668"/>
      <c r="BH651" s="668"/>
      <c r="BI651" s="668"/>
    </row>
    <row r="652" spans="1:61" x14ac:dyDescent="0.2">
      <c r="A652" s="1020">
        <v>3177</v>
      </c>
      <c r="B652" s="1020" t="s">
        <v>625</v>
      </c>
      <c r="C652" s="1020"/>
      <c r="D652" s="667">
        <v>46</v>
      </c>
      <c r="E652" s="667"/>
      <c r="F652" s="667"/>
      <c r="G652" s="667"/>
      <c r="H652" s="667"/>
      <c r="I652" s="667"/>
      <c r="J652" s="667"/>
      <c r="K652" s="667"/>
      <c r="L652" s="667"/>
      <c r="M652" s="667"/>
      <c r="N652" s="667"/>
      <c r="O652" s="667"/>
      <c r="P652" s="667"/>
      <c r="Q652" s="667"/>
      <c r="R652" s="667"/>
      <c r="S652" s="667"/>
      <c r="T652" s="667"/>
      <c r="U652" s="1020">
        <v>10</v>
      </c>
      <c r="V652" s="668">
        <f t="shared" si="195"/>
        <v>460</v>
      </c>
      <c r="W652" s="668">
        <f t="shared" si="196"/>
        <v>0</v>
      </c>
      <c r="X652" s="668">
        <f t="shared" si="197"/>
        <v>0</v>
      </c>
      <c r="Y652" s="668">
        <f t="shared" si="198"/>
        <v>0</v>
      </c>
      <c r="Z652" s="668">
        <f t="shared" si="199"/>
        <v>0</v>
      </c>
      <c r="AA652" s="668">
        <f t="shared" si="200"/>
        <v>0</v>
      </c>
      <c r="AB652" s="668">
        <f t="shared" si="201"/>
        <v>0</v>
      </c>
      <c r="AC652" s="668">
        <f t="shared" si="210"/>
        <v>0</v>
      </c>
      <c r="AD652" s="668">
        <f t="shared" si="202"/>
        <v>0</v>
      </c>
      <c r="AE652" s="668">
        <f t="shared" si="203"/>
        <v>0</v>
      </c>
      <c r="AF652" s="668">
        <f t="shared" si="204"/>
        <v>0</v>
      </c>
      <c r="AG652" s="668">
        <f t="shared" si="205"/>
        <v>0</v>
      </c>
      <c r="AH652" s="668"/>
      <c r="AI652" s="668"/>
      <c r="AJ652" s="668"/>
      <c r="AK652" s="668"/>
      <c r="AL652" s="668"/>
      <c r="AM652" s="668">
        <f t="shared" si="192"/>
        <v>0</v>
      </c>
      <c r="AN652" s="668">
        <f t="shared" si="206"/>
        <v>0</v>
      </c>
      <c r="AO652" s="668">
        <f t="shared" si="207"/>
        <v>0</v>
      </c>
      <c r="AP652" s="668">
        <f t="shared" si="193"/>
        <v>0</v>
      </c>
      <c r="AQ652" s="668">
        <f t="shared" si="208"/>
        <v>0</v>
      </c>
      <c r="AR652" s="668">
        <f t="shared" si="209"/>
        <v>0</v>
      </c>
      <c r="AS652" s="668"/>
      <c r="AT652" s="668"/>
      <c r="AU652" s="668"/>
      <c r="AV652" s="668"/>
      <c r="AW652" s="668"/>
      <c r="AX652" s="668"/>
      <c r="AY652" s="668"/>
      <c r="AZ652" s="668"/>
      <c r="BA652" s="668"/>
      <c r="BB652" s="668">
        <f t="shared" si="194"/>
        <v>0</v>
      </c>
      <c r="BC652" s="668"/>
      <c r="BD652" s="668"/>
      <c r="BE652" s="668"/>
      <c r="BF652" s="668"/>
      <c r="BG652" s="668"/>
      <c r="BH652" s="668"/>
      <c r="BI652" s="668"/>
    </row>
    <row r="653" spans="1:61" x14ac:dyDescent="0.2">
      <c r="A653" s="1020">
        <v>3178</v>
      </c>
      <c r="B653" s="1020" t="s">
        <v>686</v>
      </c>
      <c r="C653" s="1020"/>
      <c r="D653" s="667">
        <v>108</v>
      </c>
      <c r="E653" s="667"/>
      <c r="F653" s="667"/>
      <c r="G653" s="667"/>
      <c r="H653" s="667"/>
      <c r="I653" s="667"/>
      <c r="J653" s="667"/>
      <c r="K653" s="667"/>
      <c r="L653" s="667"/>
      <c r="M653" s="667"/>
      <c r="N653" s="667"/>
      <c r="O653" s="667"/>
      <c r="P653" s="667"/>
      <c r="Q653" s="667"/>
      <c r="R653" s="667"/>
      <c r="S653" s="667"/>
      <c r="T653" s="667"/>
      <c r="U653" s="1020">
        <v>12</v>
      </c>
      <c r="V653" s="668">
        <f t="shared" si="195"/>
        <v>1296</v>
      </c>
      <c r="W653" s="668">
        <f t="shared" si="196"/>
        <v>0</v>
      </c>
      <c r="X653" s="668">
        <f t="shared" si="197"/>
        <v>0</v>
      </c>
      <c r="Y653" s="668">
        <f t="shared" si="198"/>
        <v>0</v>
      </c>
      <c r="Z653" s="668">
        <f t="shared" si="199"/>
        <v>0</v>
      </c>
      <c r="AA653" s="668">
        <f t="shared" si="200"/>
        <v>0</v>
      </c>
      <c r="AB653" s="668">
        <f t="shared" si="201"/>
        <v>0</v>
      </c>
      <c r="AC653" s="668">
        <f t="shared" si="210"/>
        <v>0</v>
      </c>
      <c r="AD653" s="668">
        <f t="shared" si="202"/>
        <v>0</v>
      </c>
      <c r="AE653" s="668">
        <f t="shared" si="203"/>
        <v>0</v>
      </c>
      <c r="AF653" s="668">
        <f t="shared" si="204"/>
        <v>0</v>
      </c>
      <c r="AG653" s="668">
        <f t="shared" si="205"/>
        <v>0</v>
      </c>
      <c r="AH653" s="668"/>
      <c r="AI653" s="668"/>
      <c r="AJ653" s="668"/>
      <c r="AK653" s="668"/>
      <c r="AL653" s="668"/>
      <c r="AM653" s="668">
        <f t="shared" si="192"/>
        <v>0</v>
      </c>
      <c r="AN653" s="668">
        <f t="shared" si="206"/>
        <v>0</v>
      </c>
      <c r="AO653" s="668">
        <f t="shared" si="207"/>
        <v>0</v>
      </c>
      <c r="AP653" s="668">
        <f t="shared" si="193"/>
        <v>0</v>
      </c>
      <c r="AQ653" s="668">
        <f t="shared" si="208"/>
        <v>0</v>
      </c>
      <c r="AR653" s="668">
        <f t="shared" si="209"/>
        <v>0</v>
      </c>
      <c r="AS653" s="668"/>
      <c r="AT653" s="668"/>
      <c r="AU653" s="668"/>
      <c r="AV653" s="668"/>
      <c r="AW653" s="668"/>
      <c r="AX653" s="668"/>
      <c r="AY653" s="668"/>
      <c r="AZ653" s="668"/>
      <c r="BA653" s="668"/>
      <c r="BB653" s="668">
        <f t="shared" si="194"/>
        <v>0</v>
      </c>
      <c r="BC653" s="668"/>
      <c r="BD653" s="668"/>
      <c r="BE653" s="668"/>
      <c r="BF653" s="668"/>
      <c r="BG653" s="668"/>
      <c r="BH653" s="668"/>
      <c r="BI653" s="668"/>
    </row>
    <row r="654" spans="1:61" x14ac:dyDescent="0.2">
      <c r="A654" s="1020">
        <v>3179</v>
      </c>
      <c r="B654" s="1020" t="s">
        <v>684</v>
      </c>
      <c r="C654" s="1020"/>
      <c r="D654" s="667">
        <v>42</v>
      </c>
      <c r="E654" s="667"/>
      <c r="F654" s="667">
        <v>42</v>
      </c>
      <c r="G654" s="667"/>
      <c r="H654" s="667"/>
      <c r="I654" s="667"/>
      <c r="J654" s="667"/>
      <c r="K654" s="667"/>
      <c r="L654" s="667"/>
      <c r="M654" s="667"/>
      <c r="N654" s="667"/>
      <c r="O654" s="667"/>
      <c r="P654" s="667"/>
      <c r="Q654" s="667"/>
      <c r="R654" s="667"/>
      <c r="S654" s="667"/>
      <c r="T654" s="667"/>
      <c r="U654" s="1020">
        <v>10</v>
      </c>
      <c r="V654" s="668">
        <f t="shared" si="195"/>
        <v>420</v>
      </c>
      <c r="W654" s="668">
        <f t="shared" si="196"/>
        <v>0</v>
      </c>
      <c r="X654" s="668">
        <f t="shared" si="197"/>
        <v>0</v>
      </c>
      <c r="Y654" s="668">
        <f t="shared" si="198"/>
        <v>0</v>
      </c>
      <c r="Z654" s="668">
        <f t="shared" si="199"/>
        <v>0</v>
      </c>
      <c r="AA654" s="668">
        <f t="shared" si="200"/>
        <v>0</v>
      </c>
      <c r="AB654" s="668">
        <f t="shared" si="201"/>
        <v>0</v>
      </c>
      <c r="AC654" s="668">
        <f t="shared" si="210"/>
        <v>0</v>
      </c>
      <c r="AD654" s="668">
        <f t="shared" si="202"/>
        <v>0</v>
      </c>
      <c r="AE654" s="668">
        <f t="shared" si="203"/>
        <v>0</v>
      </c>
      <c r="AF654" s="668">
        <f t="shared" si="204"/>
        <v>0</v>
      </c>
      <c r="AG654" s="668">
        <f t="shared" si="205"/>
        <v>0</v>
      </c>
      <c r="AH654" s="668"/>
      <c r="AI654" s="668"/>
      <c r="AJ654" s="668"/>
      <c r="AK654" s="668"/>
      <c r="AL654" s="668"/>
      <c r="AM654" s="668">
        <f t="shared" si="192"/>
        <v>0</v>
      </c>
      <c r="AN654" s="668">
        <f t="shared" si="206"/>
        <v>0</v>
      </c>
      <c r="AO654" s="668">
        <f t="shared" si="207"/>
        <v>0</v>
      </c>
      <c r="AP654" s="668">
        <f t="shared" si="193"/>
        <v>420</v>
      </c>
      <c r="AQ654" s="668">
        <f t="shared" si="208"/>
        <v>0</v>
      </c>
      <c r="AR654" s="668">
        <f t="shared" si="209"/>
        <v>0</v>
      </c>
      <c r="AS654" s="668"/>
      <c r="AT654" s="668"/>
      <c r="AU654" s="668"/>
      <c r="AV654" s="668"/>
      <c r="AW654" s="668"/>
      <c r="AX654" s="668"/>
      <c r="AY654" s="668"/>
      <c r="AZ654" s="668"/>
      <c r="BA654" s="668"/>
      <c r="BB654" s="668"/>
      <c r="BC654" s="668"/>
      <c r="BD654" s="668"/>
      <c r="BE654" s="668"/>
      <c r="BF654" s="668"/>
      <c r="BG654" s="668"/>
      <c r="BH654" s="668"/>
      <c r="BI654" s="668"/>
    </row>
    <row r="655" spans="1:61" x14ac:dyDescent="0.2">
      <c r="A655" s="1020" t="s">
        <v>749</v>
      </c>
      <c r="B655" s="1020" t="s">
        <v>516</v>
      </c>
      <c r="C655" s="1020"/>
      <c r="D655" s="667">
        <v>65</v>
      </c>
      <c r="E655" s="667"/>
      <c r="F655" s="667"/>
      <c r="G655" s="667"/>
      <c r="H655" s="667"/>
      <c r="I655" s="667"/>
      <c r="J655" s="667"/>
      <c r="K655" s="667"/>
      <c r="L655" s="667"/>
      <c r="M655" s="667"/>
      <c r="N655" s="667"/>
      <c r="O655" s="667"/>
      <c r="P655" s="667"/>
      <c r="Q655" s="667"/>
      <c r="R655" s="667"/>
      <c r="S655" s="667"/>
      <c r="T655" s="667"/>
      <c r="U655" s="1020">
        <v>10</v>
      </c>
      <c r="V655" s="668">
        <f t="shared" si="195"/>
        <v>650</v>
      </c>
      <c r="W655" s="668">
        <f t="shared" si="196"/>
        <v>0</v>
      </c>
      <c r="X655" s="668">
        <f t="shared" si="197"/>
        <v>0</v>
      </c>
      <c r="Y655" s="668">
        <f t="shared" si="198"/>
        <v>0</v>
      </c>
      <c r="Z655" s="668">
        <f t="shared" si="199"/>
        <v>0</v>
      </c>
      <c r="AA655" s="668">
        <f t="shared" si="200"/>
        <v>0</v>
      </c>
      <c r="AB655" s="668">
        <f t="shared" si="201"/>
        <v>0</v>
      </c>
      <c r="AC655" s="668">
        <f t="shared" si="210"/>
        <v>0</v>
      </c>
      <c r="AD655" s="668">
        <f t="shared" si="202"/>
        <v>0</v>
      </c>
      <c r="AE655" s="668">
        <f t="shared" si="203"/>
        <v>0</v>
      </c>
      <c r="AF655" s="668">
        <f t="shared" si="204"/>
        <v>0</v>
      </c>
      <c r="AG655" s="668">
        <f t="shared" si="205"/>
        <v>0</v>
      </c>
      <c r="AH655" s="668"/>
      <c r="AI655" s="668"/>
      <c r="AJ655" s="668"/>
      <c r="AK655" s="668"/>
      <c r="AL655" s="668"/>
      <c r="AM655" s="668">
        <f t="shared" si="192"/>
        <v>0</v>
      </c>
      <c r="AN655" s="668">
        <f t="shared" si="206"/>
        <v>0</v>
      </c>
      <c r="AO655" s="668">
        <f t="shared" si="207"/>
        <v>0</v>
      </c>
      <c r="AP655" s="668">
        <f t="shared" si="193"/>
        <v>0</v>
      </c>
      <c r="AQ655" s="668">
        <f t="shared" si="208"/>
        <v>0</v>
      </c>
      <c r="AR655" s="668">
        <f t="shared" si="209"/>
        <v>0</v>
      </c>
      <c r="AS655" s="668"/>
      <c r="AT655" s="668"/>
      <c r="AU655" s="668"/>
      <c r="AV655" s="668"/>
      <c r="AW655" s="668"/>
      <c r="AX655" s="668"/>
      <c r="AY655" s="668"/>
      <c r="AZ655" s="668"/>
      <c r="BA655" s="668"/>
      <c r="BB655" s="668">
        <f t="shared" si="194"/>
        <v>0</v>
      </c>
      <c r="BC655" s="668"/>
      <c r="BD655" s="668"/>
      <c r="BE655" s="668"/>
      <c r="BF655" s="668"/>
      <c r="BG655" s="668"/>
      <c r="BH655" s="668"/>
      <c r="BI655" s="668"/>
    </row>
    <row r="656" spans="1:61" x14ac:dyDescent="0.2">
      <c r="A656" s="1020" t="s">
        <v>750</v>
      </c>
      <c r="B656" s="1020" t="s">
        <v>517</v>
      </c>
      <c r="C656" s="1020"/>
      <c r="D656" s="667">
        <v>50</v>
      </c>
      <c r="E656" s="667"/>
      <c r="F656" s="667"/>
      <c r="G656" s="667"/>
      <c r="H656" s="667"/>
      <c r="I656" s="667"/>
      <c r="J656" s="667"/>
      <c r="K656" s="667"/>
      <c r="L656" s="667"/>
      <c r="M656" s="667"/>
      <c r="N656" s="667"/>
      <c r="O656" s="667"/>
      <c r="P656" s="667"/>
      <c r="Q656" s="667"/>
      <c r="R656" s="667"/>
      <c r="S656" s="667"/>
      <c r="T656" s="667"/>
      <c r="U656" s="1020">
        <v>12</v>
      </c>
      <c r="V656" s="668">
        <f t="shared" si="195"/>
        <v>600</v>
      </c>
      <c r="W656" s="668">
        <f t="shared" si="196"/>
        <v>0</v>
      </c>
      <c r="X656" s="668">
        <f t="shared" si="197"/>
        <v>0</v>
      </c>
      <c r="Y656" s="668">
        <f t="shared" si="198"/>
        <v>0</v>
      </c>
      <c r="Z656" s="668">
        <f t="shared" si="199"/>
        <v>0</v>
      </c>
      <c r="AA656" s="668">
        <f t="shared" si="200"/>
        <v>0</v>
      </c>
      <c r="AB656" s="668">
        <f t="shared" si="201"/>
        <v>0</v>
      </c>
      <c r="AC656" s="668">
        <f t="shared" si="210"/>
        <v>0</v>
      </c>
      <c r="AD656" s="668">
        <f t="shared" si="202"/>
        <v>0</v>
      </c>
      <c r="AE656" s="668">
        <f t="shared" si="203"/>
        <v>0</v>
      </c>
      <c r="AF656" s="668">
        <f t="shared" si="204"/>
        <v>0</v>
      </c>
      <c r="AG656" s="668">
        <f t="shared" si="205"/>
        <v>0</v>
      </c>
      <c r="AH656" s="668"/>
      <c r="AI656" s="668"/>
      <c r="AJ656" s="668"/>
      <c r="AK656" s="668"/>
      <c r="AL656" s="668"/>
      <c r="AM656" s="668">
        <f t="shared" si="192"/>
        <v>0</v>
      </c>
      <c r="AN656" s="668">
        <f t="shared" si="206"/>
        <v>0</v>
      </c>
      <c r="AO656" s="668">
        <f t="shared" si="207"/>
        <v>0</v>
      </c>
      <c r="AP656" s="668">
        <f t="shared" si="193"/>
        <v>0</v>
      </c>
      <c r="AQ656" s="668">
        <f t="shared" si="208"/>
        <v>0</v>
      </c>
      <c r="AR656" s="668">
        <f t="shared" si="209"/>
        <v>0</v>
      </c>
      <c r="AS656" s="668"/>
      <c r="AT656" s="668"/>
      <c r="AU656" s="668"/>
      <c r="AV656" s="668"/>
      <c r="AW656" s="668"/>
      <c r="AX656" s="668"/>
      <c r="AY656" s="668"/>
      <c r="AZ656" s="668"/>
      <c r="BA656" s="668"/>
      <c r="BB656" s="668">
        <f t="shared" si="194"/>
        <v>0</v>
      </c>
      <c r="BC656" s="668"/>
      <c r="BD656" s="668"/>
      <c r="BE656" s="668"/>
      <c r="BF656" s="668"/>
      <c r="BG656" s="668"/>
      <c r="BH656" s="668"/>
      <c r="BI656" s="668"/>
    </row>
    <row r="657" spans="1:61" x14ac:dyDescent="0.2">
      <c r="A657" s="1020">
        <v>3181</v>
      </c>
      <c r="B657" s="1020" t="s">
        <v>519</v>
      </c>
      <c r="C657" s="1020"/>
      <c r="D657" s="667">
        <v>40</v>
      </c>
      <c r="E657" s="667"/>
      <c r="F657" s="667">
        <v>15</v>
      </c>
      <c r="G657" s="667"/>
      <c r="H657" s="667"/>
      <c r="I657" s="667"/>
      <c r="J657" s="667"/>
      <c r="K657" s="667"/>
      <c r="L657" s="667"/>
      <c r="M657" s="667"/>
      <c r="N657" s="667"/>
      <c r="O657" s="667"/>
      <c r="P657" s="667"/>
      <c r="Q657" s="667"/>
      <c r="R657" s="667"/>
      <c r="S657" s="667"/>
      <c r="T657" s="667">
        <v>154</v>
      </c>
      <c r="U657" s="1031">
        <v>12</v>
      </c>
      <c r="V657" s="668">
        <f t="shared" si="195"/>
        <v>480</v>
      </c>
      <c r="W657" s="668">
        <f t="shared" si="196"/>
        <v>0</v>
      </c>
      <c r="X657" s="668">
        <f t="shared" si="197"/>
        <v>0</v>
      </c>
      <c r="Y657" s="668">
        <f t="shared" si="198"/>
        <v>0</v>
      </c>
      <c r="Z657" s="668">
        <f t="shared" si="199"/>
        <v>0</v>
      </c>
      <c r="AA657" s="668">
        <f t="shared" si="200"/>
        <v>0</v>
      </c>
      <c r="AB657" s="668">
        <f t="shared" si="201"/>
        <v>154</v>
      </c>
      <c r="AC657" s="668">
        <f t="shared" si="210"/>
        <v>0</v>
      </c>
      <c r="AD657" s="668">
        <f t="shared" si="202"/>
        <v>0</v>
      </c>
      <c r="AE657" s="668">
        <f t="shared" si="203"/>
        <v>0</v>
      </c>
      <c r="AF657" s="668">
        <f t="shared" si="204"/>
        <v>0</v>
      </c>
      <c r="AG657" s="668">
        <f t="shared" si="205"/>
        <v>0</v>
      </c>
      <c r="AH657" s="668"/>
      <c r="AI657" s="668"/>
      <c r="AJ657" s="668"/>
      <c r="AK657" s="668"/>
      <c r="AL657" s="668"/>
      <c r="AM657" s="668">
        <f t="shared" ref="AM657:AM720" si="211">+I657</f>
        <v>0</v>
      </c>
      <c r="AN657" s="668">
        <f t="shared" si="206"/>
        <v>0</v>
      </c>
      <c r="AO657" s="668">
        <f t="shared" si="207"/>
        <v>0</v>
      </c>
      <c r="AP657" s="668">
        <f t="shared" si="193"/>
        <v>180</v>
      </c>
      <c r="AQ657" s="668">
        <f t="shared" si="208"/>
        <v>0</v>
      </c>
      <c r="AR657" s="668">
        <f t="shared" si="209"/>
        <v>0</v>
      </c>
      <c r="AS657" s="668"/>
      <c r="AT657" s="668"/>
      <c r="AU657" s="668"/>
      <c r="AV657" s="668"/>
      <c r="AW657" s="668"/>
      <c r="AX657" s="668"/>
      <c r="AY657" s="668"/>
      <c r="AZ657" s="668"/>
      <c r="BA657" s="668"/>
      <c r="BB657" s="668">
        <f t="shared" si="194"/>
        <v>180</v>
      </c>
      <c r="BC657" s="668"/>
      <c r="BD657" s="668"/>
      <c r="BE657" s="668"/>
      <c r="BF657" s="668"/>
      <c r="BG657" s="668"/>
      <c r="BH657" s="668"/>
      <c r="BI657" s="668"/>
    </row>
    <row r="658" spans="1:61" x14ac:dyDescent="0.2">
      <c r="A658" s="1020">
        <v>3182</v>
      </c>
      <c r="B658" s="1020" t="s">
        <v>519</v>
      </c>
      <c r="C658" s="1020"/>
      <c r="D658" s="667">
        <v>50</v>
      </c>
      <c r="E658" s="667"/>
      <c r="F658" s="667">
        <v>15</v>
      </c>
      <c r="G658" s="667"/>
      <c r="H658" s="667"/>
      <c r="I658" s="667"/>
      <c r="J658" s="667"/>
      <c r="K658" s="667"/>
      <c r="L658" s="667"/>
      <c r="M658" s="667"/>
      <c r="N658" s="667"/>
      <c r="O658" s="667"/>
      <c r="P658" s="667"/>
      <c r="Q658" s="667"/>
      <c r="R658" s="667"/>
      <c r="S658" s="667"/>
      <c r="T658" s="667">
        <v>200</v>
      </c>
      <c r="U658" s="1031">
        <v>12</v>
      </c>
      <c r="V658" s="668">
        <f t="shared" si="195"/>
        <v>600</v>
      </c>
      <c r="W658" s="668">
        <f t="shared" si="196"/>
        <v>0</v>
      </c>
      <c r="X658" s="668">
        <f t="shared" si="197"/>
        <v>0</v>
      </c>
      <c r="Y658" s="668">
        <f t="shared" si="198"/>
        <v>0</v>
      </c>
      <c r="Z658" s="668">
        <f t="shared" si="199"/>
        <v>0</v>
      </c>
      <c r="AA658" s="668">
        <f t="shared" si="200"/>
        <v>0</v>
      </c>
      <c r="AB658" s="668">
        <f t="shared" si="201"/>
        <v>200</v>
      </c>
      <c r="AC658" s="668">
        <f t="shared" si="210"/>
        <v>0</v>
      </c>
      <c r="AD658" s="668">
        <f t="shared" si="202"/>
        <v>0</v>
      </c>
      <c r="AE658" s="668">
        <f t="shared" si="203"/>
        <v>0</v>
      </c>
      <c r="AF658" s="668">
        <f t="shared" si="204"/>
        <v>0</v>
      </c>
      <c r="AG658" s="668">
        <f t="shared" si="205"/>
        <v>0</v>
      </c>
      <c r="AH658" s="668"/>
      <c r="AI658" s="668"/>
      <c r="AJ658" s="668"/>
      <c r="AK658" s="668"/>
      <c r="AL658" s="668"/>
      <c r="AM658" s="668">
        <f t="shared" si="211"/>
        <v>0</v>
      </c>
      <c r="AN658" s="668">
        <f t="shared" si="206"/>
        <v>0</v>
      </c>
      <c r="AO658" s="668">
        <f t="shared" si="207"/>
        <v>0</v>
      </c>
      <c r="AP658" s="668">
        <f t="shared" ref="AP658:AP721" si="212">+U658*F658</f>
        <v>180</v>
      </c>
      <c r="AQ658" s="668">
        <f t="shared" si="208"/>
        <v>0</v>
      </c>
      <c r="AR658" s="668">
        <f t="shared" si="209"/>
        <v>0</v>
      </c>
      <c r="AS658" s="668"/>
      <c r="AT658" s="668"/>
      <c r="AU658" s="668"/>
      <c r="AV658" s="668"/>
      <c r="AW658" s="668"/>
      <c r="AX658" s="668"/>
      <c r="AY658" s="668"/>
      <c r="AZ658" s="668"/>
      <c r="BA658" s="668"/>
      <c r="BB658" s="668">
        <f t="shared" ref="BB658:BB721" si="213">+AP658</f>
        <v>180</v>
      </c>
      <c r="BC658" s="668"/>
      <c r="BD658" s="668"/>
      <c r="BE658" s="668"/>
      <c r="BF658" s="668"/>
      <c r="BG658" s="668"/>
      <c r="BH658" s="668"/>
      <c r="BI658" s="668"/>
    </row>
    <row r="659" spans="1:61" x14ac:dyDescent="0.2">
      <c r="A659" s="1020">
        <v>3183</v>
      </c>
      <c r="B659" s="1020" t="s">
        <v>515</v>
      </c>
      <c r="C659" s="1020"/>
      <c r="D659" s="667">
        <v>59</v>
      </c>
      <c r="E659" s="667"/>
      <c r="F659" s="667"/>
      <c r="G659" s="667"/>
      <c r="H659" s="667"/>
      <c r="I659" s="667"/>
      <c r="J659" s="667"/>
      <c r="K659" s="667"/>
      <c r="L659" s="667"/>
      <c r="M659" s="667"/>
      <c r="N659" s="667"/>
      <c r="O659" s="667"/>
      <c r="P659" s="667"/>
      <c r="Q659" s="667"/>
      <c r="R659" s="667"/>
      <c r="S659" s="667"/>
      <c r="T659" s="667">
        <v>1519</v>
      </c>
      <c r="U659" s="1020">
        <v>12</v>
      </c>
      <c r="V659" s="668">
        <f t="shared" si="195"/>
        <v>708</v>
      </c>
      <c r="W659" s="668">
        <f t="shared" si="196"/>
        <v>0</v>
      </c>
      <c r="X659" s="668">
        <f t="shared" si="197"/>
        <v>0</v>
      </c>
      <c r="Y659" s="668">
        <f t="shared" si="198"/>
        <v>0</v>
      </c>
      <c r="Z659" s="668">
        <f t="shared" si="199"/>
        <v>0</v>
      </c>
      <c r="AA659" s="668">
        <f t="shared" si="200"/>
        <v>0</v>
      </c>
      <c r="AB659" s="668">
        <f t="shared" si="201"/>
        <v>1519</v>
      </c>
      <c r="AC659" s="668">
        <f t="shared" si="210"/>
        <v>0</v>
      </c>
      <c r="AD659" s="668">
        <f t="shared" si="202"/>
        <v>0</v>
      </c>
      <c r="AE659" s="668">
        <f t="shared" si="203"/>
        <v>0</v>
      </c>
      <c r="AF659" s="668">
        <f t="shared" si="204"/>
        <v>0</v>
      </c>
      <c r="AG659" s="668">
        <f t="shared" si="205"/>
        <v>0</v>
      </c>
      <c r="AH659" s="668"/>
      <c r="AI659" s="668"/>
      <c r="AJ659" s="668"/>
      <c r="AK659" s="668"/>
      <c r="AL659" s="668"/>
      <c r="AM659" s="668">
        <f t="shared" si="211"/>
        <v>0</v>
      </c>
      <c r="AN659" s="668">
        <f t="shared" si="206"/>
        <v>0</v>
      </c>
      <c r="AO659" s="668">
        <f t="shared" si="207"/>
        <v>0</v>
      </c>
      <c r="AP659" s="668">
        <f t="shared" si="212"/>
        <v>0</v>
      </c>
      <c r="AQ659" s="668">
        <f t="shared" si="208"/>
        <v>0</v>
      </c>
      <c r="AR659" s="668">
        <f t="shared" si="209"/>
        <v>0</v>
      </c>
      <c r="AS659" s="668"/>
      <c r="AT659" s="668"/>
      <c r="AU659" s="668"/>
      <c r="AV659" s="668"/>
      <c r="AW659" s="668"/>
      <c r="AX659" s="668"/>
      <c r="AY659" s="668"/>
      <c r="AZ659" s="668"/>
      <c r="BA659" s="668"/>
      <c r="BB659" s="668">
        <f t="shared" si="213"/>
        <v>0</v>
      </c>
      <c r="BC659" s="668"/>
      <c r="BD659" s="668"/>
      <c r="BE659" s="668"/>
      <c r="BF659" s="668"/>
      <c r="BG659" s="668"/>
      <c r="BH659" s="668"/>
      <c r="BI659" s="668"/>
    </row>
    <row r="660" spans="1:61" x14ac:dyDescent="0.2">
      <c r="A660" s="1020">
        <v>3184</v>
      </c>
      <c r="B660" s="1020" t="s">
        <v>534</v>
      </c>
      <c r="C660" s="1020"/>
      <c r="D660" s="667">
        <v>33</v>
      </c>
      <c r="E660" s="667"/>
      <c r="F660" s="667"/>
      <c r="G660" s="667"/>
      <c r="H660" s="667"/>
      <c r="I660" s="667"/>
      <c r="J660" s="667"/>
      <c r="K660" s="667"/>
      <c r="L660" s="667"/>
      <c r="M660" s="667"/>
      <c r="N660" s="667"/>
      <c r="O660" s="667"/>
      <c r="P660" s="667"/>
      <c r="Q660" s="667"/>
      <c r="R660" s="667"/>
      <c r="S660" s="667"/>
      <c r="T660" s="667"/>
      <c r="U660" s="1020">
        <v>12</v>
      </c>
      <c r="V660" s="668">
        <f t="shared" si="195"/>
        <v>396</v>
      </c>
      <c r="W660" s="668">
        <f t="shared" si="196"/>
        <v>0</v>
      </c>
      <c r="X660" s="668">
        <f t="shared" si="197"/>
        <v>0</v>
      </c>
      <c r="Y660" s="668">
        <f t="shared" si="198"/>
        <v>0</v>
      </c>
      <c r="Z660" s="668">
        <f t="shared" si="199"/>
        <v>0</v>
      </c>
      <c r="AA660" s="668">
        <f t="shared" si="200"/>
        <v>0</v>
      </c>
      <c r="AB660" s="668">
        <f t="shared" si="201"/>
        <v>0</v>
      </c>
      <c r="AC660" s="668">
        <f t="shared" si="210"/>
        <v>0</v>
      </c>
      <c r="AD660" s="668">
        <f t="shared" si="202"/>
        <v>0</v>
      </c>
      <c r="AE660" s="668">
        <f t="shared" si="203"/>
        <v>0</v>
      </c>
      <c r="AF660" s="668">
        <f t="shared" si="204"/>
        <v>0</v>
      </c>
      <c r="AG660" s="668">
        <f t="shared" si="205"/>
        <v>0</v>
      </c>
      <c r="AH660" s="668"/>
      <c r="AI660" s="668"/>
      <c r="AJ660" s="668"/>
      <c r="AK660" s="668"/>
      <c r="AL660" s="668"/>
      <c r="AM660" s="668">
        <f t="shared" si="211"/>
        <v>0</v>
      </c>
      <c r="AN660" s="668">
        <f t="shared" si="206"/>
        <v>0</v>
      </c>
      <c r="AO660" s="668">
        <f t="shared" si="207"/>
        <v>0</v>
      </c>
      <c r="AP660" s="668">
        <f t="shared" si="212"/>
        <v>0</v>
      </c>
      <c r="AQ660" s="668">
        <f t="shared" si="208"/>
        <v>0</v>
      </c>
      <c r="AR660" s="668">
        <f t="shared" si="209"/>
        <v>0</v>
      </c>
      <c r="AS660" s="668"/>
      <c r="AT660" s="668"/>
      <c r="AU660" s="668"/>
      <c r="AV660" s="668"/>
      <c r="AW660" s="668"/>
      <c r="AX660" s="668"/>
      <c r="AY660" s="668"/>
      <c r="AZ660" s="668"/>
      <c r="BA660" s="668"/>
      <c r="BB660" s="668">
        <f t="shared" si="213"/>
        <v>0</v>
      </c>
      <c r="BC660" s="668"/>
      <c r="BD660" s="668"/>
      <c r="BE660" s="668"/>
      <c r="BF660" s="668"/>
      <c r="BG660" s="668"/>
      <c r="BH660" s="668"/>
      <c r="BI660" s="668"/>
    </row>
    <row r="661" spans="1:61" x14ac:dyDescent="0.2">
      <c r="A661" s="1020">
        <v>3185</v>
      </c>
      <c r="B661" s="1020" t="s">
        <v>515</v>
      </c>
      <c r="C661" s="1020"/>
      <c r="D661" s="667">
        <v>90</v>
      </c>
      <c r="E661" s="667"/>
      <c r="F661" s="667"/>
      <c r="G661" s="667"/>
      <c r="H661" s="667"/>
      <c r="I661" s="667"/>
      <c r="J661" s="667"/>
      <c r="K661" s="667"/>
      <c r="L661" s="667"/>
      <c r="M661" s="667"/>
      <c r="N661" s="667"/>
      <c r="O661" s="667"/>
      <c r="P661" s="667"/>
      <c r="Q661" s="667"/>
      <c r="R661" s="667"/>
      <c r="S661" s="667"/>
      <c r="T661" s="667">
        <v>2070</v>
      </c>
      <c r="U661" s="1020">
        <v>12</v>
      </c>
      <c r="V661" s="668">
        <f t="shared" si="195"/>
        <v>1080</v>
      </c>
      <c r="W661" s="668">
        <f t="shared" si="196"/>
        <v>0</v>
      </c>
      <c r="X661" s="668">
        <f t="shared" si="197"/>
        <v>0</v>
      </c>
      <c r="Y661" s="668">
        <f t="shared" si="198"/>
        <v>0</v>
      </c>
      <c r="Z661" s="668">
        <f t="shared" si="199"/>
        <v>0</v>
      </c>
      <c r="AA661" s="668">
        <f t="shared" si="200"/>
        <v>0</v>
      </c>
      <c r="AB661" s="668">
        <f t="shared" si="201"/>
        <v>2070</v>
      </c>
      <c r="AC661" s="668">
        <f t="shared" si="210"/>
        <v>0</v>
      </c>
      <c r="AD661" s="668">
        <f t="shared" si="202"/>
        <v>0</v>
      </c>
      <c r="AE661" s="668">
        <f t="shared" si="203"/>
        <v>0</v>
      </c>
      <c r="AF661" s="668">
        <f t="shared" si="204"/>
        <v>0</v>
      </c>
      <c r="AG661" s="668">
        <f t="shared" si="205"/>
        <v>0</v>
      </c>
      <c r="AH661" s="668"/>
      <c r="AI661" s="668"/>
      <c r="AJ661" s="668"/>
      <c r="AK661" s="668"/>
      <c r="AL661" s="668"/>
      <c r="AM661" s="668">
        <f t="shared" si="211"/>
        <v>0</v>
      </c>
      <c r="AN661" s="668">
        <f t="shared" si="206"/>
        <v>0</v>
      </c>
      <c r="AO661" s="668">
        <f t="shared" si="207"/>
        <v>0</v>
      </c>
      <c r="AP661" s="668">
        <f t="shared" si="212"/>
        <v>0</v>
      </c>
      <c r="AQ661" s="668">
        <f t="shared" si="208"/>
        <v>0</v>
      </c>
      <c r="AR661" s="668">
        <f t="shared" si="209"/>
        <v>0</v>
      </c>
      <c r="AS661" s="668"/>
      <c r="AT661" s="668"/>
      <c r="AU661" s="668"/>
      <c r="AV661" s="668"/>
      <c r="AW661" s="668"/>
      <c r="AX661" s="668"/>
      <c r="AY661" s="668"/>
      <c r="AZ661" s="668"/>
      <c r="BA661" s="668"/>
      <c r="BB661" s="668">
        <f t="shared" si="213"/>
        <v>0</v>
      </c>
      <c r="BC661" s="668"/>
      <c r="BD661" s="668"/>
      <c r="BE661" s="668"/>
      <c r="BF661" s="668"/>
      <c r="BG661" s="668"/>
      <c r="BH661" s="668"/>
      <c r="BI661" s="668"/>
    </row>
    <row r="662" spans="1:61" x14ac:dyDescent="0.2">
      <c r="A662" s="1020">
        <v>3186</v>
      </c>
      <c r="B662" s="1020" t="s">
        <v>519</v>
      </c>
      <c r="C662" s="1020"/>
      <c r="D662" s="667">
        <v>40</v>
      </c>
      <c r="E662" s="667"/>
      <c r="F662" s="667">
        <v>15</v>
      </c>
      <c r="G662" s="667"/>
      <c r="H662" s="667"/>
      <c r="I662" s="667"/>
      <c r="J662" s="667"/>
      <c r="K662" s="667"/>
      <c r="L662" s="667"/>
      <c r="M662" s="667"/>
      <c r="N662" s="667"/>
      <c r="O662" s="667"/>
      <c r="P662" s="667"/>
      <c r="Q662" s="667"/>
      <c r="R662" s="667"/>
      <c r="S662" s="667"/>
      <c r="T662" s="667">
        <v>168</v>
      </c>
      <c r="U662" s="1020">
        <v>12</v>
      </c>
      <c r="V662" s="668">
        <f t="shared" si="195"/>
        <v>480</v>
      </c>
      <c r="W662" s="668">
        <f t="shared" si="196"/>
        <v>0</v>
      </c>
      <c r="X662" s="668">
        <f t="shared" si="197"/>
        <v>0</v>
      </c>
      <c r="Y662" s="668">
        <f t="shared" si="198"/>
        <v>0</v>
      </c>
      <c r="Z662" s="668">
        <f t="shared" si="199"/>
        <v>0</v>
      </c>
      <c r="AA662" s="668">
        <f t="shared" si="200"/>
        <v>0</v>
      </c>
      <c r="AB662" s="668">
        <f t="shared" si="201"/>
        <v>168</v>
      </c>
      <c r="AC662" s="668">
        <f t="shared" si="210"/>
        <v>0</v>
      </c>
      <c r="AD662" s="668">
        <f t="shared" si="202"/>
        <v>0</v>
      </c>
      <c r="AE662" s="668">
        <f t="shared" si="203"/>
        <v>0</v>
      </c>
      <c r="AF662" s="668">
        <f t="shared" si="204"/>
        <v>0</v>
      </c>
      <c r="AG662" s="668">
        <f t="shared" si="205"/>
        <v>0</v>
      </c>
      <c r="AH662" s="668"/>
      <c r="AI662" s="668"/>
      <c r="AJ662" s="668"/>
      <c r="AK662" s="668"/>
      <c r="AL662" s="668"/>
      <c r="AM662" s="668">
        <f t="shared" si="211"/>
        <v>0</v>
      </c>
      <c r="AN662" s="668">
        <f t="shared" si="206"/>
        <v>0</v>
      </c>
      <c r="AO662" s="668">
        <f t="shared" si="207"/>
        <v>0</v>
      </c>
      <c r="AP662" s="668">
        <f t="shared" si="212"/>
        <v>180</v>
      </c>
      <c r="AQ662" s="668">
        <f t="shared" si="208"/>
        <v>0</v>
      </c>
      <c r="AR662" s="668">
        <f t="shared" si="209"/>
        <v>0</v>
      </c>
      <c r="AS662" s="668"/>
      <c r="AT662" s="668"/>
      <c r="AU662" s="668"/>
      <c r="AV662" s="668"/>
      <c r="AW662" s="668"/>
      <c r="AX662" s="668"/>
      <c r="AY662" s="668"/>
      <c r="AZ662" s="668"/>
      <c r="BA662" s="668"/>
      <c r="BB662" s="668">
        <f t="shared" si="213"/>
        <v>180</v>
      </c>
      <c r="BC662" s="668"/>
      <c r="BD662" s="668"/>
      <c r="BE662" s="668"/>
      <c r="BF662" s="668"/>
      <c r="BG662" s="668"/>
      <c r="BH662" s="668"/>
      <c r="BI662" s="668"/>
    </row>
    <row r="663" spans="1:61" x14ac:dyDescent="0.2">
      <c r="A663" s="1020">
        <v>3187</v>
      </c>
      <c r="B663" s="1020" t="s">
        <v>546</v>
      </c>
      <c r="C663" s="1020"/>
      <c r="D663" s="667"/>
      <c r="E663" s="667"/>
      <c r="F663" s="667"/>
      <c r="G663" s="667"/>
      <c r="H663" s="667"/>
      <c r="I663" s="667"/>
      <c r="J663" s="667"/>
      <c r="K663" s="667"/>
      <c r="L663" s="667"/>
      <c r="M663" s="667"/>
      <c r="N663" s="667"/>
      <c r="O663" s="667"/>
      <c r="P663" s="667"/>
      <c r="Q663" s="667"/>
      <c r="R663" s="667"/>
      <c r="S663" s="667"/>
      <c r="T663" s="667"/>
      <c r="U663" s="1020"/>
      <c r="V663" s="668">
        <f t="shared" si="195"/>
        <v>0</v>
      </c>
      <c r="W663" s="668">
        <f t="shared" si="196"/>
        <v>0</v>
      </c>
      <c r="X663" s="668">
        <f t="shared" si="197"/>
        <v>0</v>
      </c>
      <c r="Y663" s="668">
        <f t="shared" si="198"/>
        <v>0</v>
      </c>
      <c r="Z663" s="668">
        <f t="shared" si="199"/>
        <v>0</v>
      </c>
      <c r="AA663" s="668">
        <f t="shared" si="200"/>
        <v>0</v>
      </c>
      <c r="AB663" s="668">
        <f t="shared" si="201"/>
        <v>0</v>
      </c>
      <c r="AC663" s="668">
        <f t="shared" si="210"/>
        <v>0</v>
      </c>
      <c r="AD663" s="668">
        <f t="shared" si="202"/>
        <v>0</v>
      </c>
      <c r="AE663" s="668">
        <f t="shared" si="203"/>
        <v>0</v>
      </c>
      <c r="AF663" s="668">
        <f t="shared" si="204"/>
        <v>0</v>
      </c>
      <c r="AG663" s="668">
        <f t="shared" si="205"/>
        <v>0</v>
      </c>
      <c r="AH663" s="668"/>
      <c r="AI663" s="668"/>
      <c r="AJ663" s="668"/>
      <c r="AK663" s="668"/>
      <c r="AL663" s="668"/>
      <c r="AM663" s="668">
        <f t="shared" si="211"/>
        <v>0</v>
      </c>
      <c r="AN663" s="668">
        <f t="shared" si="206"/>
        <v>0</v>
      </c>
      <c r="AO663" s="668">
        <f t="shared" si="207"/>
        <v>0</v>
      </c>
      <c r="AP663" s="668">
        <f t="shared" si="212"/>
        <v>0</v>
      </c>
      <c r="AQ663" s="668">
        <f t="shared" si="208"/>
        <v>0</v>
      </c>
      <c r="AR663" s="668">
        <f t="shared" si="209"/>
        <v>0</v>
      </c>
      <c r="AS663" s="668"/>
      <c r="AT663" s="668"/>
      <c r="AU663" s="668"/>
      <c r="AV663" s="668"/>
      <c r="AW663" s="668"/>
      <c r="AX663" s="668"/>
      <c r="AY663" s="668"/>
      <c r="AZ663" s="668"/>
      <c r="BA663" s="668"/>
      <c r="BB663" s="668">
        <f t="shared" si="213"/>
        <v>0</v>
      </c>
      <c r="BC663" s="668"/>
      <c r="BD663" s="668"/>
      <c r="BE663" s="668"/>
      <c r="BF663" s="668"/>
      <c r="BG663" s="668"/>
      <c r="BH663" s="668"/>
      <c r="BI663" s="668"/>
    </row>
    <row r="664" spans="1:61" x14ac:dyDescent="0.2">
      <c r="A664" s="1020">
        <v>3191</v>
      </c>
      <c r="B664" s="1020" t="s">
        <v>467</v>
      </c>
      <c r="C664" s="1020"/>
      <c r="D664" s="667">
        <v>80</v>
      </c>
      <c r="E664" s="667"/>
      <c r="F664" s="667"/>
      <c r="G664" s="667"/>
      <c r="H664" s="667"/>
      <c r="I664" s="667"/>
      <c r="J664" s="667"/>
      <c r="K664" s="667"/>
      <c r="L664" s="667"/>
      <c r="M664" s="667"/>
      <c r="N664" s="667"/>
      <c r="O664" s="667"/>
      <c r="P664" s="667"/>
      <c r="Q664" s="667"/>
      <c r="R664" s="667"/>
      <c r="S664" s="667"/>
      <c r="T664" s="667"/>
      <c r="U664" s="1020">
        <v>3</v>
      </c>
      <c r="V664" s="668">
        <f t="shared" si="195"/>
        <v>240</v>
      </c>
      <c r="W664" s="668">
        <f t="shared" si="196"/>
        <v>0</v>
      </c>
      <c r="X664" s="668">
        <f t="shared" si="197"/>
        <v>0</v>
      </c>
      <c r="Y664" s="668">
        <f t="shared" si="198"/>
        <v>0</v>
      </c>
      <c r="Z664" s="668">
        <f t="shared" si="199"/>
        <v>0</v>
      </c>
      <c r="AA664" s="668">
        <f t="shared" si="200"/>
        <v>0</v>
      </c>
      <c r="AB664" s="668">
        <f t="shared" si="201"/>
        <v>0</v>
      </c>
      <c r="AC664" s="668">
        <f t="shared" si="210"/>
        <v>0</v>
      </c>
      <c r="AD664" s="668">
        <f t="shared" si="202"/>
        <v>0</v>
      </c>
      <c r="AE664" s="668">
        <f t="shared" si="203"/>
        <v>0</v>
      </c>
      <c r="AF664" s="668">
        <f t="shared" si="204"/>
        <v>0</v>
      </c>
      <c r="AG664" s="668">
        <f t="shared" si="205"/>
        <v>0</v>
      </c>
      <c r="AH664" s="668"/>
      <c r="AI664" s="668"/>
      <c r="AJ664" s="668"/>
      <c r="AK664" s="668"/>
      <c r="AL664" s="668"/>
      <c r="AM664" s="668">
        <f t="shared" si="211"/>
        <v>0</v>
      </c>
      <c r="AN664" s="668">
        <f t="shared" si="206"/>
        <v>0</v>
      </c>
      <c r="AO664" s="668">
        <f t="shared" si="207"/>
        <v>0</v>
      </c>
      <c r="AP664" s="668">
        <f t="shared" si="212"/>
        <v>0</v>
      </c>
      <c r="AQ664" s="668">
        <f t="shared" si="208"/>
        <v>0</v>
      </c>
      <c r="AR664" s="668">
        <f t="shared" si="209"/>
        <v>0</v>
      </c>
      <c r="AS664" s="668"/>
      <c r="AT664" s="668"/>
      <c r="AU664" s="668"/>
      <c r="AV664" s="668"/>
      <c r="AW664" s="668"/>
      <c r="AX664" s="668"/>
      <c r="AY664" s="668"/>
      <c r="AZ664" s="668"/>
      <c r="BA664" s="668"/>
      <c r="BB664" s="668">
        <f t="shared" si="213"/>
        <v>0</v>
      </c>
      <c r="BC664" s="668"/>
      <c r="BD664" s="668"/>
      <c r="BE664" s="668"/>
      <c r="BF664" s="668"/>
      <c r="BG664" s="668"/>
      <c r="BH664" s="668"/>
      <c r="BI664" s="668"/>
    </row>
    <row r="665" spans="1:61" x14ac:dyDescent="0.2">
      <c r="A665" s="1020">
        <v>3192</v>
      </c>
      <c r="B665" s="1020" t="s">
        <v>466</v>
      </c>
      <c r="C665" s="1020"/>
      <c r="D665" s="667">
        <v>80</v>
      </c>
      <c r="E665" s="667"/>
      <c r="F665" s="667"/>
      <c r="G665" s="667"/>
      <c r="H665" s="667"/>
      <c r="I665" s="667"/>
      <c r="J665" s="667"/>
      <c r="K665" s="667"/>
      <c r="L665" s="667"/>
      <c r="M665" s="667"/>
      <c r="N665" s="667"/>
      <c r="O665" s="667"/>
      <c r="P665" s="667"/>
      <c r="Q665" s="667"/>
      <c r="R665" s="667"/>
      <c r="S665" s="667"/>
      <c r="T665" s="667"/>
      <c r="U665" s="1020">
        <v>3</v>
      </c>
      <c r="V665" s="668">
        <f t="shared" si="195"/>
        <v>240</v>
      </c>
      <c r="W665" s="668">
        <f t="shared" si="196"/>
        <v>0</v>
      </c>
      <c r="X665" s="668">
        <f t="shared" si="197"/>
        <v>0</v>
      </c>
      <c r="Y665" s="668">
        <f t="shared" si="198"/>
        <v>0</v>
      </c>
      <c r="Z665" s="668">
        <f t="shared" si="199"/>
        <v>0</v>
      </c>
      <c r="AA665" s="668">
        <f t="shared" si="200"/>
        <v>0</v>
      </c>
      <c r="AB665" s="668">
        <f t="shared" si="201"/>
        <v>0</v>
      </c>
      <c r="AC665" s="668">
        <f t="shared" si="210"/>
        <v>0</v>
      </c>
      <c r="AD665" s="668">
        <f t="shared" si="202"/>
        <v>0</v>
      </c>
      <c r="AE665" s="668">
        <f t="shared" si="203"/>
        <v>0</v>
      </c>
      <c r="AF665" s="668">
        <f t="shared" si="204"/>
        <v>0</v>
      </c>
      <c r="AG665" s="668">
        <f t="shared" si="205"/>
        <v>0</v>
      </c>
      <c r="AH665" s="668"/>
      <c r="AI665" s="668"/>
      <c r="AJ665" s="668"/>
      <c r="AK665" s="668"/>
      <c r="AL665" s="668"/>
      <c r="AM665" s="668">
        <f t="shared" si="211"/>
        <v>0</v>
      </c>
      <c r="AN665" s="668">
        <f t="shared" si="206"/>
        <v>0</v>
      </c>
      <c r="AO665" s="668">
        <f t="shared" si="207"/>
        <v>0</v>
      </c>
      <c r="AP665" s="668">
        <f t="shared" si="212"/>
        <v>0</v>
      </c>
      <c r="AQ665" s="668">
        <f t="shared" si="208"/>
        <v>0</v>
      </c>
      <c r="AR665" s="668">
        <f t="shared" si="209"/>
        <v>0</v>
      </c>
      <c r="AS665" s="668"/>
      <c r="AT665" s="668"/>
      <c r="AU665" s="668"/>
      <c r="AV665" s="668"/>
      <c r="AW665" s="668"/>
      <c r="AX665" s="668"/>
      <c r="AY665" s="668"/>
      <c r="AZ665" s="668"/>
      <c r="BA665" s="668"/>
      <c r="BB665" s="668">
        <f t="shared" si="213"/>
        <v>0</v>
      </c>
      <c r="BC665" s="668"/>
      <c r="BD665" s="668"/>
      <c r="BE665" s="668"/>
      <c r="BF665" s="668"/>
      <c r="BG665" s="668"/>
      <c r="BH665" s="668"/>
      <c r="BI665" s="668"/>
    </row>
    <row r="666" spans="1:61" x14ac:dyDescent="0.2">
      <c r="A666" s="1020">
        <v>3193</v>
      </c>
      <c r="B666" s="1020" t="s">
        <v>682</v>
      </c>
      <c r="C666" s="1020"/>
      <c r="D666" s="667">
        <v>32</v>
      </c>
      <c r="E666" s="667"/>
      <c r="F666" s="667">
        <v>32</v>
      </c>
      <c r="G666" s="667"/>
      <c r="H666" s="667"/>
      <c r="I666" s="667"/>
      <c r="J666" s="667"/>
      <c r="K666" s="667"/>
      <c r="L666" s="667"/>
      <c r="M666" s="667"/>
      <c r="N666" s="667"/>
      <c r="O666" s="667"/>
      <c r="P666" s="667"/>
      <c r="Q666" s="667"/>
      <c r="R666" s="667"/>
      <c r="S666" s="667"/>
      <c r="T666" s="667"/>
      <c r="U666" s="1020">
        <v>10</v>
      </c>
      <c r="V666" s="668">
        <f t="shared" si="195"/>
        <v>320</v>
      </c>
      <c r="W666" s="668">
        <f t="shared" si="196"/>
        <v>0</v>
      </c>
      <c r="X666" s="668">
        <f t="shared" si="197"/>
        <v>0</v>
      </c>
      <c r="Y666" s="668">
        <f t="shared" si="198"/>
        <v>0</v>
      </c>
      <c r="Z666" s="668">
        <f t="shared" si="199"/>
        <v>0</v>
      </c>
      <c r="AA666" s="668">
        <f t="shared" si="200"/>
        <v>0</v>
      </c>
      <c r="AB666" s="668">
        <f t="shared" si="201"/>
        <v>0</v>
      </c>
      <c r="AC666" s="668">
        <f t="shared" si="210"/>
        <v>0</v>
      </c>
      <c r="AD666" s="668">
        <f t="shared" si="202"/>
        <v>0</v>
      </c>
      <c r="AE666" s="668">
        <f t="shared" si="203"/>
        <v>0</v>
      </c>
      <c r="AF666" s="668">
        <f t="shared" si="204"/>
        <v>0</v>
      </c>
      <c r="AG666" s="668">
        <f t="shared" si="205"/>
        <v>0</v>
      </c>
      <c r="AH666" s="668"/>
      <c r="AI666" s="668"/>
      <c r="AJ666" s="668"/>
      <c r="AK666" s="668"/>
      <c r="AL666" s="668"/>
      <c r="AM666" s="668">
        <f t="shared" si="211"/>
        <v>0</v>
      </c>
      <c r="AN666" s="668">
        <f t="shared" si="206"/>
        <v>0</v>
      </c>
      <c r="AO666" s="668">
        <f t="shared" si="207"/>
        <v>0</v>
      </c>
      <c r="AP666" s="668">
        <f t="shared" si="212"/>
        <v>320</v>
      </c>
      <c r="AQ666" s="668">
        <f t="shared" si="208"/>
        <v>0</v>
      </c>
      <c r="AR666" s="668">
        <f t="shared" si="209"/>
        <v>0</v>
      </c>
      <c r="AS666" s="668"/>
      <c r="AT666" s="668"/>
      <c r="AU666" s="668"/>
      <c r="AV666" s="668"/>
      <c r="AW666" s="668"/>
      <c r="AX666" s="668"/>
      <c r="AY666" s="668"/>
      <c r="AZ666" s="668"/>
      <c r="BA666" s="668"/>
      <c r="BB666" s="668">
        <f t="shared" si="213"/>
        <v>320</v>
      </c>
      <c r="BC666" s="668"/>
      <c r="BD666" s="668"/>
      <c r="BE666" s="668"/>
      <c r="BF666" s="668"/>
      <c r="BG666" s="668"/>
      <c r="BH666" s="668"/>
      <c r="BI666" s="668"/>
    </row>
    <row r="667" spans="1:61" x14ac:dyDescent="0.2">
      <c r="A667" s="1020">
        <v>3194</v>
      </c>
      <c r="B667" s="1020" t="s">
        <v>682</v>
      </c>
      <c r="C667" s="1020"/>
      <c r="D667" s="667">
        <v>32</v>
      </c>
      <c r="E667" s="667"/>
      <c r="F667" s="667">
        <v>32</v>
      </c>
      <c r="G667" s="667"/>
      <c r="H667" s="667"/>
      <c r="I667" s="667"/>
      <c r="J667" s="667"/>
      <c r="K667" s="667"/>
      <c r="L667" s="667"/>
      <c r="M667" s="667"/>
      <c r="N667" s="667"/>
      <c r="O667" s="667"/>
      <c r="P667" s="667"/>
      <c r="Q667" s="667"/>
      <c r="R667" s="667"/>
      <c r="S667" s="667"/>
      <c r="T667" s="667"/>
      <c r="U667" s="1020">
        <v>10</v>
      </c>
      <c r="V667" s="668">
        <f t="shared" si="195"/>
        <v>320</v>
      </c>
      <c r="W667" s="668">
        <f t="shared" si="196"/>
        <v>0</v>
      </c>
      <c r="X667" s="668">
        <f t="shared" si="197"/>
        <v>0</v>
      </c>
      <c r="Y667" s="668">
        <f t="shared" si="198"/>
        <v>0</v>
      </c>
      <c r="Z667" s="668">
        <f t="shared" si="199"/>
        <v>0</v>
      </c>
      <c r="AA667" s="668">
        <f t="shared" si="200"/>
        <v>0</v>
      </c>
      <c r="AB667" s="668">
        <f t="shared" si="201"/>
        <v>0</v>
      </c>
      <c r="AC667" s="668">
        <f t="shared" si="210"/>
        <v>0</v>
      </c>
      <c r="AD667" s="668">
        <f t="shared" si="202"/>
        <v>0</v>
      </c>
      <c r="AE667" s="668">
        <f t="shared" si="203"/>
        <v>0</v>
      </c>
      <c r="AF667" s="668">
        <f t="shared" si="204"/>
        <v>0</v>
      </c>
      <c r="AG667" s="668">
        <f t="shared" si="205"/>
        <v>0</v>
      </c>
      <c r="AH667" s="668"/>
      <c r="AI667" s="668"/>
      <c r="AJ667" s="668"/>
      <c r="AK667" s="668"/>
      <c r="AL667" s="668"/>
      <c r="AM667" s="668">
        <f t="shared" si="211"/>
        <v>0</v>
      </c>
      <c r="AN667" s="668">
        <f t="shared" si="206"/>
        <v>0</v>
      </c>
      <c r="AO667" s="668">
        <f t="shared" si="207"/>
        <v>0</v>
      </c>
      <c r="AP667" s="668">
        <f t="shared" si="212"/>
        <v>320</v>
      </c>
      <c r="AQ667" s="668">
        <f t="shared" si="208"/>
        <v>0</v>
      </c>
      <c r="AR667" s="668">
        <f t="shared" si="209"/>
        <v>0</v>
      </c>
      <c r="AS667" s="668"/>
      <c r="AT667" s="668"/>
      <c r="AU667" s="668"/>
      <c r="AV667" s="668"/>
      <c r="AW667" s="668"/>
      <c r="AX667" s="668"/>
      <c r="AY667" s="668"/>
      <c r="AZ667" s="668"/>
      <c r="BA667" s="668"/>
      <c r="BB667" s="668">
        <f t="shared" si="213"/>
        <v>320</v>
      </c>
      <c r="BC667" s="668"/>
      <c r="BD667" s="668"/>
      <c r="BE667" s="668"/>
      <c r="BF667" s="668"/>
      <c r="BG667" s="668"/>
      <c r="BH667" s="668"/>
      <c r="BI667" s="668"/>
    </row>
    <row r="668" spans="1:61" x14ac:dyDescent="0.2">
      <c r="A668" s="1020">
        <v>3195</v>
      </c>
      <c r="B668" s="1020" t="s">
        <v>476</v>
      </c>
      <c r="C668" s="1020"/>
      <c r="D668" s="667">
        <v>51</v>
      </c>
      <c r="E668" s="667"/>
      <c r="F668" s="667"/>
      <c r="G668" s="667"/>
      <c r="H668" s="667"/>
      <c r="I668" s="667"/>
      <c r="J668" s="667"/>
      <c r="K668" s="667"/>
      <c r="L668" s="667"/>
      <c r="M668" s="667"/>
      <c r="N668" s="667"/>
      <c r="O668" s="667"/>
      <c r="P668" s="667"/>
      <c r="Q668" s="667"/>
      <c r="R668" s="667"/>
      <c r="S668" s="667"/>
      <c r="T668" s="667"/>
      <c r="U668" s="1020">
        <v>14</v>
      </c>
      <c r="V668" s="668">
        <f t="shared" si="195"/>
        <v>714</v>
      </c>
      <c r="W668" s="668">
        <f t="shared" si="196"/>
        <v>0</v>
      </c>
      <c r="X668" s="668">
        <f t="shared" si="197"/>
        <v>0</v>
      </c>
      <c r="Y668" s="668">
        <f t="shared" si="198"/>
        <v>0</v>
      </c>
      <c r="Z668" s="668">
        <f t="shared" si="199"/>
        <v>0</v>
      </c>
      <c r="AA668" s="668">
        <f t="shared" si="200"/>
        <v>0</v>
      </c>
      <c r="AB668" s="668">
        <f t="shared" si="201"/>
        <v>0</v>
      </c>
      <c r="AC668" s="668">
        <f t="shared" si="210"/>
        <v>0</v>
      </c>
      <c r="AD668" s="668">
        <f t="shared" si="202"/>
        <v>0</v>
      </c>
      <c r="AE668" s="668">
        <f t="shared" si="203"/>
        <v>0</v>
      </c>
      <c r="AF668" s="668">
        <f t="shared" si="204"/>
        <v>0</v>
      </c>
      <c r="AG668" s="668">
        <f t="shared" si="205"/>
        <v>0</v>
      </c>
      <c r="AH668" s="668"/>
      <c r="AI668" s="668"/>
      <c r="AJ668" s="668"/>
      <c r="AK668" s="668"/>
      <c r="AL668" s="668"/>
      <c r="AM668" s="668">
        <f t="shared" si="211"/>
        <v>0</v>
      </c>
      <c r="AN668" s="668">
        <f t="shared" si="206"/>
        <v>0</v>
      </c>
      <c r="AO668" s="668">
        <f t="shared" si="207"/>
        <v>0</v>
      </c>
      <c r="AP668" s="668">
        <f t="shared" si="212"/>
        <v>0</v>
      </c>
      <c r="AQ668" s="668">
        <f t="shared" si="208"/>
        <v>0</v>
      </c>
      <c r="AR668" s="668">
        <f t="shared" si="209"/>
        <v>0</v>
      </c>
      <c r="AS668" s="668"/>
      <c r="AT668" s="668"/>
      <c r="AU668" s="668"/>
      <c r="AV668" s="668"/>
      <c r="AW668" s="668"/>
      <c r="AX668" s="668"/>
      <c r="AY668" s="668"/>
      <c r="AZ668" s="668"/>
      <c r="BA668" s="668"/>
      <c r="BB668" s="668">
        <f t="shared" si="213"/>
        <v>0</v>
      </c>
      <c r="BC668" s="668"/>
      <c r="BD668" s="668"/>
      <c r="BE668" s="668"/>
      <c r="BF668" s="668"/>
      <c r="BG668" s="668"/>
      <c r="BH668" s="668"/>
      <c r="BI668" s="668"/>
    </row>
    <row r="669" spans="1:61" x14ac:dyDescent="0.2">
      <c r="A669" s="1020">
        <v>3196</v>
      </c>
      <c r="B669" s="1020" t="s">
        <v>685</v>
      </c>
      <c r="C669" s="1020"/>
      <c r="D669" s="667">
        <v>53</v>
      </c>
      <c r="E669" s="667"/>
      <c r="F669" s="667"/>
      <c r="G669" s="667"/>
      <c r="H669" s="667"/>
      <c r="I669" s="667"/>
      <c r="J669" s="667"/>
      <c r="K669" s="667"/>
      <c r="L669" s="667"/>
      <c r="M669" s="667"/>
      <c r="N669" s="667"/>
      <c r="O669" s="667"/>
      <c r="P669" s="667"/>
      <c r="Q669" s="667"/>
      <c r="R669" s="667"/>
      <c r="S669" s="667"/>
      <c r="T669" s="667"/>
      <c r="U669" s="1020">
        <v>10</v>
      </c>
      <c r="V669" s="668">
        <f t="shared" si="195"/>
        <v>530</v>
      </c>
      <c r="W669" s="668">
        <f t="shared" si="196"/>
        <v>0</v>
      </c>
      <c r="X669" s="668">
        <f t="shared" si="197"/>
        <v>0</v>
      </c>
      <c r="Y669" s="668">
        <f t="shared" si="198"/>
        <v>0</v>
      </c>
      <c r="Z669" s="668">
        <f t="shared" si="199"/>
        <v>0</v>
      </c>
      <c r="AA669" s="668">
        <f t="shared" si="200"/>
        <v>0</v>
      </c>
      <c r="AB669" s="668">
        <f t="shared" si="201"/>
        <v>0</v>
      </c>
      <c r="AC669" s="668">
        <f t="shared" si="210"/>
        <v>0</v>
      </c>
      <c r="AD669" s="668">
        <f t="shared" si="202"/>
        <v>0</v>
      </c>
      <c r="AE669" s="668">
        <f t="shared" si="203"/>
        <v>0</v>
      </c>
      <c r="AF669" s="668">
        <f t="shared" si="204"/>
        <v>0</v>
      </c>
      <c r="AG669" s="668">
        <f t="shared" si="205"/>
        <v>0</v>
      </c>
      <c r="AH669" s="668"/>
      <c r="AI669" s="668"/>
      <c r="AJ669" s="668"/>
      <c r="AK669" s="668"/>
      <c r="AL669" s="668"/>
      <c r="AM669" s="668">
        <f t="shared" si="211"/>
        <v>0</v>
      </c>
      <c r="AN669" s="668">
        <f t="shared" si="206"/>
        <v>0</v>
      </c>
      <c r="AO669" s="668">
        <f t="shared" si="207"/>
        <v>0</v>
      </c>
      <c r="AP669" s="668">
        <f t="shared" si="212"/>
        <v>0</v>
      </c>
      <c r="AQ669" s="668">
        <f t="shared" si="208"/>
        <v>0</v>
      </c>
      <c r="AR669" s="668">
        <f t="shared" si="209"/>
        <v>0</v>
      </c>
      <c r="AS669" s="668"/>
      <c r="AT669" s="668"/>
      <c r="AU669" s="668"/>
      <c r="AV669" s="668"/>
      <c r="AW669" s="668"/>
      <c r="AX669" s="668"/>
      <c r="AY669" s="668"/>
      <c r="AZ669" s="668"/>
      <c r="BA669" s="668"/>
      <c r="BB669" s="668">
        <f t="shared" si="213"/>
        <v>0</v>
      </c>
      <c r="BC669" s="668"/>
      <c r="BD669" s="668"/>
      <c r="BE669" s="668"/>
      <c r="BF669" s="668"/>
      <c r="BG669" s="668"/>
      <c r="BH669" s="668"/>
      <c r="BI669" s="668"/>
    </row>
    <row r="670" spans="1:61" x14ac:dyDescent="0.2">
      <c r="A670" s="1020">
        <v>3197</v>
      </c>
      <c r="B670" s="1020" t="s">
        <v>672</v>
      </c>
      <c r="C670" s="1020"/>
      <c r="D670" s="667">
        <v>35</v>
      </c>
      <c r="E670" s="667"/>
      <c r="F670" s="667">
        <v>15</v>
      </c>
      <c r="G670" s="667"/>
      <c r="H670" s="667"/>
      <c r="I670" s="667"/>
      <c r="J670" s="667"/>
      <c r="K670" s="667"/>
      <c r="L670" s="667"/>
      <c r="M670" s="667"/>
      <c r="N670" s="667"/>
      <c r="O670" s="667"/>
      <c r="P670" s="667"/>
      <c r="Q670" s="667"/>
      <c r="R670" s="667"/>
      <c r="S670" s="667"/>
      <c r="T670" s="667">
        <v>154</v>
      </c>
      <c r="U670" s="1020">
        <v>12</v>
      </c>
      <c r="V670" s="668">
        <f t="shared" si="195"/>
        <v>420</v>
      </c>
      <c r="W670" s="668">
        <f t="shared" si="196"/>
        <v>0</v>
      </c>
      <c r="X670" s="668">
        <f t="shared" si="197"/>
        <v>0</v>
      </c>
      <c r="Y670" s="668">
        <f t="shared" si="198"/>
        <v>0</v>
      </c>
      <c r="Z670" s="668">
        <f t="shared" si="199"/>
        <v>0</v>
      </c>
      <c r="AA670" s="668">
        <f t="shared" si="200"/>
        <v>0</v>
      </c>
      <c r="AB670" s="668">
        <f t="shared" si="201"/>
        <v>154</v>
      </c>
      <c r="AC670" s="668">
        <f t="shared" si="210"/>
        <v>0</v>
      </c>
      <c r="AD670" s="668">
        <f t="shared" si="202"/>
        <v>0</v>
      </c>
      <c r="AE670" s="668">
        <f t="shared" si="203"/>
        <v>0</v>
      </c>
      <c r="AF670" s="668">
        <f t="shared" si="204"/>
        <v>0</v>
      </c>
      <c r="AG670" s="668">
        <f t="shared" si="205"/>
        <v>0</v>
      </c>
      <c r="AH670" s="668"/>
      <c r="AI670" s="668"/>
      <c r="AJ670" s="668"/>
      <c r="AK670" s="668"/>
      <c r="AL670" s="668"/>
      <c r="AM670" s="668">
        <f t="shared" si="211"/>
        <v>0</v>
      </c>
      <c r="AN670" s="668">
        <f t="shared" si="206"/>
        <v>0</v>
      </c>
      <c r="AO670" s="668">
        <f t="shared" si="207"/>
        <v>0</v>
      </c>
      <c r="AP670" s="668">
        <f t="shared" si="212"/>
        <v>180</v>
      </c>
      <c r="AQ670" s="668">
        <f t="shared" si="208"/>
        <v>0</v>
      </c>
      <c r="AR670" s="668">
        <f t="shared" si="209"/>
        <v>0</v>
      </c>
      <c r="AS670" s="668"/>
      <c r="AT670" s="668"/>
      <c r="AU670" s="668"/>
      <c r="AV670" s="668"/>
      <c r="AW670" s="668"/>
      <c r="AX670" s="668"/>
      <c r="AY670" s="668"/>
      <c r="AZ670" s="668"/>
      <c r="BA670" s="668"/>
      <c r="BB670" s="668">
        <f t="shared" si="213"/>
        <v>180</v>
      </c>
      <c r="BC670" s="668"/>
      <c r="BD670" s="668"/>
      <c r="BE670" s="668"/>
      <c r="BF670" s="668"/>
      <c r="BG670" s="668"/>
      <c r="BH670" s="668"/>
      <c r="BI670" s="668"/>
    </row>
    <row r="671" spans="1:61" x14ac:dyDescent="0.2">
      <c r="A671" s="1020">
        <v>3198</v>
      </c>
      <c r="B671" s="1020" t="s">
        <v>519</v>
      </c>
      <c r="C671" s="1020"/>
      <c r="D671" s="667">
        <v>50</v>
      </c>
      <c r="E671" s="667"/>
      <c r="F671" s="667">
        <v>15</v>
      </c>
      <c r="G671" s="667"/>
      <c r="H671" s="667"/>
      <c r="I671" s="667"/>
      <c r="J671" s="667"/>
      <c r="K671" s="667"/>
      <c r="L671" s="667"/>
      <c r="M671" s="667"/>
      <c r="N671" s="667"/>
      <c r="O671" s="667"/>
      <c r="P671" s="667"/>
      <c r="Q671" s="667"/>
      <c r="R671" s="667"/>
      <c r="S671" s="667"/>
      <c r="T671" s="667">
        <v>200</v>
      </c>
      <c r="U671" s="1020">
        <v>12</v>
      </c>
      <c r="V671" s="668">
        <f t="shared" si="195"/>
        <v>600</v>
      </c>
      <c r="W671" s="668">
        <f t="shared" si="196"/>
        <v>0</v>
      </c>
      <c r="X671" s="668">
        <f t="shared" si="197"/>
        <v>0</v>
      </c>
      <c r="Y671" s="668">
        <f t="shared" si="198"/>
        <v>0</v>
      </c>
      <c r="Z671" s="668">
        <f t="shared" si="199"/>
        <v>0</v>
      </c>
      <c r="AA671" s="668">
        <f t="shared" si="200"/>
        <v>0</v>
      </c>
      <c r="AB671" s="668">
        <f t="shared" si="201"/>
        <v>200</v>
      </c>
      <c r="AC671" s="668">
        <f t="shared" si="210"/>
        <v>0</v>
      </c>
      <c r="AD671" s="668">
        <f t="shared" si="202"/>
        <v>0</v>
      </c>
      <c r="AE671" s="668">
        <f t="shared" si="203"/>
        <v>0</v>
      </c>
      <c r="AF671" s="668">
        <f t="shared" si="204"/>
        <v>0</v>
      </c>
      <c r="AG671" s="668">
        <f t="shared" si="205"/>
        <v>0</v>
      </c>
      <c r="AH671" s="668"/>
      <c r="AI671" s="668"/>
      <c r="AJ671" s="668"/>
      <c r="AK671" s="668"/>
      <c r="AL671" s="668"/>
      <c r="AM671" s="668">
        <f t="shared" si="211"/>
        <v>0</v>
      </c>
      <c r="AN671" s="668">
        <f t="shared" si="206"/>
        <v>0</v>
      </c>
      <c r="AO671" s="668">
        <f t="shared" si="207"/>
        <v>0</v>
      </c>
      <c r="AP671" s="668">
        <f t="shared" si="212"/>
        <v>180</v>
      </c>
      <c r="AQ671" s="668">
        <f t="shared" si="208"/>
        <v>0</v>
      </c>
      <c r="AR671" s="668">
        <f t="shared" si="209"/>
        <v>0</v>
      </c>
      <c r="AS671" s="668"/>
      <c r="AT671" s="668"/>
      <c r="AU671" s="668"/>
      <c r="AV671" s="668"/>
      <c r="AW671" s="668"/>
      <c r="AX671" s="668"/>
      <c r="AY671" s="668"/>
      <c r="AZ671" s="668"/>
      <c r="BA671" s="668"/>
      <c r="BB671" s="668">
        <f t="shared" si="213"/>
        <v>180</v>
      </c>
      <c r="BC671" s="668"/>
      <c r="BD671" s="668"/>
      <c r="BE671" s="668"/>
      <c r="BF671" s="668"/>
      <c r="BG671" s="668"/>
      <c r="BH671" s="668"/>
      <c r="BI671" s="668"/>
    </row>
    <row r="672" spans="1:61" x14ac:dyDescent="0.2">
      <c r="A672" s="1020">
        <v>3199</v>
      </c>
      <c r="B672" s="1020" t="s">
        <v>515</v>
      </c>
      <c r="C672" s="1020"/>
      <c r="D672" s="667">
        <v>60</v>
      </c>
      <c r="E672" s="667"/>
      <c r="F672" s="667"/>
      <c r="G672" s="667"/>
      <c r="H672" s="667"/>
      <c r="I672" s="667"/>
      <c r="J672" s="667"/>
      <c r="K672" s="667"/>
      <c r="L672" s="667"/>
      <c r="M672" s="667"/>
      <c r="N672" s="667"/>
      <c r="O672" s="667"/>
      <c r="P672" s="667"/>
      <c r="Q672" s="667"/>
      <c r="R672" s="667"/>
      <c r="S672" s="667"/>
      <c r="T672" s="667">
        <v>1500</v>
      </c>
      <c r="U672" s="1020">
        <v>12</v>
      </c>
      <c r="V672" s="668">
        <f t="shared" si="195"/>
        <v>720</v>
      </c>
      <c r="W672" s="668">
        <f t="shared" si="196"/>
        <v>0</v>
      </c>
      <c r="X672" s="668">
        <f t="shared" si="197"/>
        <v>0</v>
      </c>
      <c r="Y672" s="668">
        <f t="shared" si="198"/>
        <v>0</v>
      </c>
      <c r="Z672" s="668">
        <f t="shared" si="199"/>
        <v>0</v>
      </c>
      <c r="AA672" s="668">
        <f t="shared" si="200"/>
        <v>0</v>
      </c>
      <c r="AB672" s="668">
        <f t="shared" si="201"/>
        <v>1500</v>
      </c>
      <c r="AC672" s="668">
        <f t="shared" si="210"/>
        <v>0</v>
      </c>
      <c r="AD672" s="668">
        <f t="shared" si="202"/>
        <v>0</v>
      </c>
      <c r="AE672" s="668">
        <f t="shared" si="203"/>
        <v>0</v>
      </c>
      <c r="AF672" s="668">
        <f t="shared" si="204"/>
        <v>0</v>
      </c>
      <c r="AG672" s="668">
        <f t="shared" si="205"/>
        <v>0</v>
      </c>
      <c r="AH672" s="668"/>
      <c r="AI672" s="668"/>
      <c r="AJ672" s="668"/>
      <c r="AK672" s="668"/>
      <c r="AL672" s="668"/>
      <c r="AM672" s="668">
        <f t="shared" si="211"/>
        <v>0</v>
      </c>
      <c r="AN672" s="668">
        <f t="shared" si="206"/>
        <v>0</v>
      </c>
      <c r="AO672" s="668">
        <f t="shared" si="207"/>
        <v>0</v>
      </c>
      <c r="AP672" s="668">
        <f t="shared" si="212"/>
        <v>0</v>
      </c>
      <c r="AQ672" s="668">
        <f t="shared" si="208"/>
        <v>0</v>
      </c>
      <c r="AR672" s="668">
        <f t="shared" si="209"/>
        <v>0</v>
      </c>
      <c r="AS672" s="668"/>
      <c r="AT672" s="668"/>
      <c r="AU672" s="668"/>
      <c r="AV672" s="668"/>
      <c r="AW672" s="668"/>
      <c r="AX672" s="668"/>
      <c r="AY672" s="668"/>
      <c r="AZ672" s="668"/>
      <c r="BA672" s="668"/>
      <c r="BB672" s="668">
        <f t="shared" si="213"/>
        <v>0</v>
      </c>
      <c r="BC672" s="668"/>
      <c r="BD672" s="668"/>
      <c r="BE672" s="668"/>
      <c r="BF672" s="668"/>
      <c r="BG672" s="668"/>
      <c r="BH672" s="668"/>
      <c r="BI672" s="668"/>
    </row>
    <row r="673" spans="1:61" x14ac:dyDescent="0.2">
      <c r="A673" s="1020">
        <v>3200</v>
      </c>
      <c r="B673" s="1020" t="s">
        <v>515</v>
      </c>
      <c r="C673" s="1020"/>
      <c r="D673" s="667">
        <v>100</v>
      </c>
      <c r="E673" s="667"/>
      <c r="F673" s="667"/>
      <c r="G673" s="667"/>
      <c r="H673" s="667"/>
      <c r="I673" s="667"/>
      <c r="J673" s="667"/>
      <c r="K673" s="667"/>
      <c r="L673" s="667"/>
      <c r="M673" s="667"/>
      <c r="N673" s="667"/>
      <c r="O673" s="667"/>
      <c r="P673" s="667"/>
      <c r="Q673" s="667"/>
      <c r="R673" s="667"/>
      <c r="S673" s="667"/>
      <c r="T673" s="667">
        <v>2400</v>
      </c>
      <c r="U673" s="1020">
        <v>12</v>
      </c>
      <c r="V673" s="668">
        <f t="shared" si="195"/>
        <v>1200</v>
      </c>
      <c r="W673" s="668">
        <f t="shared" si="196"/>
        <v>0</v>
      </c>
      <c r="X673" s="668">
        <f t="shared" si="197"/>
        <v>0</v>
      </c>
      <c r="Y673" s="668">
        <f t="shared" si="198"/>
        <v>0</v>
      </c>
      <c r="Z673" s="668">
        <f t="shared" si="199"/>
        <v>0</v>
      </c>
      <c r="AA673" s="668">
        <f t="shared" si="200"/>
        <v>0</v>
      </c>
      <c r="AB673" s="668">
        <f t="shared" si="201"/>
        <v>2400</v>
      </c>
      <c r="AC673" s="668">
        <f t="shared" si="210"/>
        <v>0</v>
      </c>
      <c r="AD673" s="668">
        <f t="shared" si="202"/>
        <v>0</v>
      </c>
      <c r="AE673" s="668">
        <f t="shared" si="203"/>
        <v>0</v>
      </c>
      <c r="AF673" s="668">
        <f t="shared" si="204"/>
        <v>0</v>
      </c>
      <c r="AG673" s="668">
        <f t="shared" si="205"/>
        <v>0</v>
      </c>
      <c r="AH673" s="668"/>
      <c r="AI673" s="668"/>
      <c r="AJ673" s="668"/>
      <c r="AK673" s="668"/>
      <c r="AL673" s="668"/>
      <c r="AM673" s="668">
        <f t="shared" si="211"/>
        <v>0</v>
      </c>
      <c r="AN673" s="668">
        <f t="shared" si="206"/>
        <v>0</v>
      </c>
      <c r="AO673" s="668">
        <f t="shared" si="207"/>
        <v>0</v>
      </c>
      <c r="AP673" s="668">
        <f t="shared" si="212"/>
        <v>0</v>
      </c>
      <c r="AQ673" s="668">
        <f t="shared" si="208"/>
        <v>0</v>
      </c>
      <c r="AR673" s="668">
        <f t="shared" si="209"/>
        <v>0</v>
      </c>
      <c r="AS673" s="668"/>
      <c r="AT673" s="668"/>
      <c r="AU673" s="668"/>
      <c r="AV673" s="668"/>
      <c r="AW673" s="668"/>
      <c r="AX673" s="668"/>
      <c r="AY673" s="668"/>
      <c r="AZ673" s="668"/>
      <c r="BA673" s="668"/>
      <c r="BB673" s="668">
        <f t="shared" si="213"/>
        <v>0</v>
      </c>
      <c r="BC673" s="668"/>
      <c r="BD673" s="668"/>
      <c r="BE673" s="668"/>
      <c r="BF673" s="668"/>
      <c r="BG673" s="668"/>
      <c r="BH673" s="668"/>
      <c r="BI673" s="668"/>
    </row>
    <row r="674" spans="1:61" x14ac:dyDescent="0.2">
      <c r="A674" s="1020">
        <v>3201</v>
      </c>
      <c r="B674" s="1020" t="s">
        <v>682</v>
      </c>
      <c r="C674" s="1020"/>
      <c r="D674" s="667">
        <v>66</v>
      </c>
      <c r="E674" s="667"/>
      <c r="F674" s="667"/>
      <c r="G674" s="667"/>
      <c r="H674" s="667"/>
      <c r="I674" s="667"/>
      <c r="J674" s="667"/>
      <c r="K674" s="667"/>
      <c r="L674" s="667"/>
      <c r="M674" s="667"/>
      <c r="N674" s="667"/>
      <c r="O674" s="667"/>
      <c r="P674" s="667"/>
      <c r="Q674" s="667"/>
      <c r="R674" s="667"/>
      <c r="S674" s="667"/>
      <c r="T674" s="667">
        <v>245</v>
      </c>
      <c r="U674" s="1020">
        <v>12</v>
      </c>
      <c r="V674" s="668">
        <f t="shared" si="195"/>
        <v>792</v>
      </c>
      <c r="W674" s="668">
        <f t="shared" si="196"/>
        <v>0</v>
      </c>
      <c r="X674" s="668">
        <f t="shared" si="197"/>
        <v>0</v>
      </c>
      <c r="Y674" s="668">
        <f t="shared" si="198"/>
        <v>0</v>
      </c>
      <c r="Z674" s="668">
        <f t="shared" si="199"/>
        <v>0</v>
      </c>
      <c r="AA674" s="668">
        <f t="shared" si="200"/>
        <v>0</v>
      </c>
      <c r="AB674" s="668">
        <f t="shared" si="201"/>
        <v>245</v>
      </c>
      <c r="AC674" s="668">
        <f t="shared" si="210"/>
        <v>0</v>
      </c>
      <c r="AD674" s="668">
        <f t="shared" si="202"/>
        <v>0</v>
      </c>
      <c r="AE674" s="668">
        <f t="shared" si="203"/>
        <v>0</v>
      </c>
      <c r="AF674" s="668">
        <f t="shared" si="204"/>
        <v>0</v>
      </c>
      <c r="AG674" s="668">
        <f t="shared" si="205"/>
        <v>0</v>
      </c>
      <c r="AH674" s="668"/>
      <c r="AI674" s="668"/>
      <c r="AJ674" s="668"/>
      <c r="AK674" s="668"/>
      <c r="AL674" s="668"/>
      <c r="AM674" s="668">
        <f t="shared" si="211"/>
        <v>0</v>
      </c>
      <c r="AN674" s="668">
        <f t="shared" si="206"/>
        <v>0</v>
      </c>
      <c r="AO674" s="668">
        <f t="shared" si="207"/>
        <v>0</v>
      </c>
      <c r="AP674" s="668">
        <f t="shared" si="212"/>
        <v>0</v>
      </c>
      <c r="AQ674" s="668">
        <f t="shared" si="208"/>
        <v>0</v>
      </c>
      <c r="AR674" s="668">
        <f t="shared" si="209"/>
        <v>0</v>
      </c>
      <c r="AS674" s="668"/>
      <c r="AT674" s="668"/>
      <c r="AU674" s="668"/>
      <c r="AV674" s="668"/>
      <c r="AW674" s="668"/>
      <c r="AX674" s="668"/>
      <c r="AY674" s="668"/>
      <c r="AZ674" s="668"/>
      <c r="BA674" s="668"/>
      <c r="BB674" s="668">
        <f t="shared" si="213"/>
        <v>0</v>
      </c>
      <c r="BC674" s="668"/>
      <c r="BD674" s="668"/>
      <c r="BE674" s="668"/>
      <c r="BF674" s="668"/>
      <c r="BG674" s="668"/>
      <c r="BH674" s="668"/>
      <c r="BI674" s="668"/>
    </row>
    <row r="675" spans="1:61" x14ac:dyDescent="0.2">
      <c r="A675" s="1020">
        <v>3202</v>
      </c>
      <c r="B675" s="1020" t="s">
        <v>744</v>
      </c>
      <c r="C675" s="1020"/>
      <c r="D675" s="667">
        <v>36</v>
      </c>
      <c r="E675" s="667"/>
      <c r="F675" s="667"/>
      <c r="G675" s="667"/>
      <c r="H675" s="667"/>
      <c r="I675" s="667"/>
      <c r="J675" s="667"/>
      <c r="K675" s="667"/>
      <c r="L675" s="667"/>
      <c r="M675" s="667"/>
      <c r="N675" s="667"/>
      <c r="O675" s="667"/>
      <c r="P675" s="667"/>
      <c r="Q675" s="667"/>
      <c r="R675" s="667"/>
      <c r="S675" s="667"/>
      <c r="T675" s="667"/>
      <c r="U675" s="1020">
        <v>10</v>
      </c>
      <c r="V675" s="668">
        <f t="shared" si="195"/>
        <v>360</v>
      </c>
      <c r="W675" s="668">
        <f t="shared" si="196"/>
        <v>0</v>
      </c>
      <c r="X675" s="668">
        <f t="shared" si="197"/>
        <v>0</v>
      </c>
      <c r="Y675" s="668">
        <f t="shared" si="198"/>
        <v>0</v>
      </c>
      <c r="Z675" s="668">
        <f t="shared" si="199"/>
        <v>0</v>
      </c>
      <c r="AA675" s="668">
        <f t="shared" si="200"/>
        <v>0</v>
      </c>
      <c r="AB675" s="668">
        <f t="shared" si="201"/>
        <v>0</v>
      </c>
      <c r="AC675" s="668">
        <f t="shared" si="210"/>
        <v>0</v>
      </c>
      <c r="AD675" s="668">
        <f t="shared" si="202"/>
        <v>0</v>
      </c>
      <c r="AE675" s="668">
        <f t="shared" si="203"/>
        <v>0</v>
      </c>
      <c r="AF675" s="668">
        <f t="shared" si="204"/>
        <v>0</v>
      </c>
      <c r="AG675" s="668">
        <f t="shared" si="205"/>
        <v>0</v>
      </c>
      <c r="AH675" s="668"/>
      <c r="AI675" s="668"/>
      <c r="AJ675" s="668"/>
      <c r="AK675" s="668"/>
      <c r="AL675" s="668"/>
      <c r="AM675" s="668">
        <f t="shared" si="211"/>
        <v>0</v>
      </c>
      <c r="AN675" s="668">
        <f t="shared" si="206"/>
        <v>0</v>
      </c>
      <c r="AO675" s="668">
        <f t="shared" si="207"/>
        <v>0</v>
      </c>
      <c r="AP675" s="668">
        <f t="shared" si="212"/>
        <v>0</v>
      </c>
      <c r="AQ675" s="668">
        <f t="shared" si="208"/>
        <v>0</v>
      </c>
      <c r="AR675" s="668">
        <f t="shared" si="209"/>
        <v>0</v>
      </c>
      <c r="AS675" s="668"/>
      <c r="AT675" s="668"/>
      <c r="AU675" s="668"/>
      <c r="AV675" s="668"/>
      <c r="AW675" s="668"/>
      <c r="AX675" s="668"/>
      <c r="AY675" s="668"/>
      <c r="AZ675" s="668"/>
      <c r="BA675" s="668"/>
      <c r="BB675" s="668">
        <f t="shared" si="213"/>
        <v>0</v>
      </c>
      <c r="BC675" s="668"/>
      <c r="BD675" s="668"/>
      <c r="BE675" s="668"/>
      <c r="BF675" s="668"/>
      <c r="BG675" s="668"/>
      <c r="BH675" s="668"/>
      <c r="BI675" s="668"/>
    </row>
    <row r="676" spans="1:61" x14ac:dyDescent="0.2">
      <c r="A676" s="1020">
        <v>3203</v>
      </c>
      <c r="B676" s="1020" t="s">
        <v>519</v>
      </c>
      <c r="C676" s="1020"/>
      <c r="D676" s="667">
        <v>50</v>
      </c>
      <c r="E676" s="667"/>
      <c r="F676" s="667">
        <v>15</v>
      </c>
      <c r="G676" s="667"/>
      <c r="H676" s="667"/>
      <c r="I676" s="667"/>
      <c r="J676" s="667"/>
      <c r="K676" s="667"/>
      <c r="L676" s="667"/>
      <c r="M676" s="667"/>
      <c r="N676" s="667"/>
      <c r="O676" s="667"/>
      <c r="P676" s="667"/>
      <c r="Q676" s="667"/>
      <c r="R676" s="667"/>
      <c r="S676" s="667"/>
      <c r="T676" s="667">
        <v>170</v>
      </c>
      <c r="U676" s="1020">
        <v>12</v>
      </c>
      <c r="V676" s="668">
        <f t="shared" si="195"/>
        <v>600</v>
      </c>
      <c r="W676" s="668">
        <f t="shared" si="196"/>
        <v>0</v>
      </c>
      <c r="X676" s="668">
        <f t="shared" si="197"/>
        <v>0</v>
      </c>
      <c r="Y676" s="668">
        <f t="shared" si="198"/>
        <v>0</v>
      </c>
      <c r="Z676" s="668">
        <f t="shared" si="199"/>
        <v>0</v>
      </c>
      <c r="AA676" s="668">
        <f t="shared" si="200"/>
        <v>0</v>
      </c>
      <c r="AB676" s="668">
        <f t="shared" si="201"/>
        <v>170</v>
      </c>
      <c r="AC676" s="668">
        <f t="shared" si="210"/>
        <v>0</v>
      </c>
      <c r="AD676" s="668">
        <f t="shared" si="202"/>
        <v>0</v>
      </c>
      <c r="AE676" s="668">
        <f t="shared" si="203"/>
        <v>0</v>
      </c>
      <c r="AF676" s="668">
        <f t="shared" si="204"/>
        <v>0</v>
      </c>
      <c r="AG676" s="668">
        <f t="shared" si="205"/>
        <v>0</v>
      </c>
      <c r="AH676" s="668"/>
      <c r="AI676" s="668"/>
      <c r="AJ676" s="668"/>
      <c r="AK676" s="668"/>
      <c r="AL676" s="668"/>
      <c r="AM676" s="668">
        <f t="shared" si="211"/>
        <v>0</v>
      </c>
      <c r="AN676" s="668">
        <f t="shared" si="206"/>
        <v>0</v>
      </c>
      <c r="AO676" s="668">
        <f t="shared" si="207"/>
        <v>0</v>
      </c>
      <c r="AP676" s="668">
        <f t="shared" si="212"/>
        <v>180</v>
      </c>
      <c r="AQ676" s="668">
        <f t="shared" si="208"/>
        <v>0</v>
      </c>
      <c r="AR676" s="668">
        <f t="shared" si="209"/>
        <v>0</v>
      </c>
      <c r="AS676" s="668"/>
      <c r="AT676" s="668"/>
      <c r="AU676" s="668"/>
      <c r="AV676" s="668"/>
      <c r="AW676" s="668"/>
      <c r="AX676" s="668"/>
      <c r="AY676" s="668"/>
      <c r="AZ676" s="668"/>
      <c r="BA676" s="668"/>
      <c r="BB676" s="668">
        <f t="shared" si="213"/>
        <v>180</v>
      </c>
      <c r="BC676" s="668"/>
      <c r="BD676" s="668"/>
      <c r="BE676" s="668"/>
      <c r="BF676" s="668"/>
      <c r="BG676" s="668"/>
      <c r="BH676" s="668"/>
      <c r="BI676" s="668"/>
    </row>
    <row r="677" spans="1:61" x14ac:dyDescent="0.2">
      <c r="A677" s="1020">
        <v>3210</v>
      </c>
      <c r="B677" s="1020" t="s">
        <v>513</v>
      </c>
      <c r="C677" s="1020"/>
      <c r="D677" s="667"/>
      <c r="E677" s="667"/>
      <c r="F677" s="667"/>
      <c r="G677" s="667"/>
      <c r="H677" s="667"/>
      <c r="I677" s="667"/>
      <c r="J677" s="667"/>
      <c r="K677" s="667"/>
      <c r="L677" s="667"/>
      <c r="M677" s="667"/>
      <c r="N677" s="667"/>
      <c r="O677" s="667">
        <v>4</v>
      </c>
      <c r="P677" s="667"/>
      <c r="Q677" s="667"/>
      <c r="R677" s="667"/>
      <c r="S677" s="667"/>
      <c r="T677" s="667"/>
      <c r="U677" s="1020">
        <v>25</v>
      </c>
      <c r="V677" s="668">
        <f t="shared" si="195"/>
        <v>0</v>
      </c>
      <c r="W677" s="668">
        <f t="shared" si="196"/>
        <v>0</v>
      </c>
      <c r="X677" s="668">
        <f t="shared" si="197"/>
        <v>0</v>
      </c>
      <c r="Y677" s="668">
        <f t="shared" si="198"/>
        <v>0</v>
      </c>
      <c r="Z677" s="668">
        <f t="shared" si="199"/>
        <v>0</v>
      </c>
      <c r="AA677" s="668">
        <f t="shared" si="200"/>
        <v>0</v>
      </c>
      <c r="AB677" s="668">
        <f t="shared" si="201"/>
        <v>0</v>
      </c>
      <c r="AC677" s="668">
        <f t="shared" si="210"/>
        <v>0</v>
      </c>
      <c r="AD677" s="668">
        <f t="shared" si="202"/>
        <v>0</v>
      </c>
      <c r="AE677" s="668">
        <f t="shared" si="203"/>
        <v>0</v>
      </c>
      <c r="AF677" s="668">
        <f t="shared" si="204"/>
        <v>0</v>
      </c>
      <c r="AG677" s="668">
        <f t="shared" si="205"/>
        <v>0</v>
      </c>
      <c r="AH677" s="668"/>
      <c r="AI677" s="668"/>
      <c r="AJ677" s="668"/>
      <c r="AK677" s="668"/>
      <c r="AL677" s="668"/>
      <c r="AM677" s="668">
        <f t="shared" si="211"/>
        <v>0</v>
      </c>
      <c r="AN677" s="668">
        <f t="shared" si="206"/>
        <v>0</v>
      </c>
      <c r="AO677" s="668">
        <f t="shared" si="207"/>
        <v>100</v>
      </c>
      <c r="AP677" s="668">
        <f t="shared" si="212"/>
        <v>0</v>
      </c>
      <c r="AQ677" s="668">
        <f t="shared" si="208"/>
        <v>0</v>
      </c>
      <c r="AR677" s="668">
        <f t="shared" si="209"/>
        <v>0</v>
      </c>
      <c r="AS677" s="668"/>
      <c r="AT677" s="668"/>
      <c r="AU677" s="668"/>
      <c r="AV677" s="668"/>
      <c r="AW677" s="668"/>
      <c r="AX677" s="668"/>
      <c r="AY677" s="668"/>
      <c r="AZ677" s="668"/>
      <c r="BA677" s="668"/>
      <c r="BB677" s="668">
        <f t="shared" si="213"/>
        <v>0</v>
      </c>
      <c r="BC677" s="668"/>
      <c r="BD677" s="668"/>
      <c r="BE677" s="668"/>
      <c r="BF677" s="668"/>
      <c r="BG677" s="668"/>
      <c r="BH677" s="668"/>
      <c r="BI677" s="668"/>
    </row>
    <row r="678" spans="1:61" x14ac:dyDescent="0.2">
      <c r="A678" s="1020">
        <v>3211</v>
      </c>
      <c r="B678" s="1020" t="s">
        <v>751</v>
      </c>
      <c r="C678" s="1020"/>
      <c r="D678" s="667">
        <v>43</v>
      </c>
      <c r="E678" s="667"/>
      <c r="F678" s="667"/>
      <c r="G678" s="667"/>
      <c r="H678" s="667"/>
      <c r="I678" s="667">
        <f>+D678</f>
        <v>43</v>
      </c>
      <c r="J678" s="667"/>
      <c r="K678" s="667"/>
      <c r="L678" s="667"/>
      <c r="M678" s="667"/>
      <c r="N678" s="667"/>
      <c r="O678" s="667">
        <v>3</v>
      </c>
      <c r="P678" s="667"/>
      <c r="Q678" s="667"/>
      <c r="R678" s="667"/>
      <c r="S678" s="667"/>
      <c r="T678" s="667"/>
      <c r="U678" s="1020">
        <v>25</v>
      </c>
      <c r="V678" s="668">
        <f t="shared" si="195"/>
        <v>1075</v>
      </c>
      <c r="W678" s="668">
        <f t="shared" si="196"/>
        <v>0</v>
      </c>
      <c r="X678" s="668">
        <f t="shared" si="197"/>
        <v>0</v>
      </c>
      <c r="Y678" s="668">
        <f t="shared" si="198"/>
        <v>0</v>
      </c>
      <c r="Z678" s="668">
        <f t="shared" si="199"/>
        <v>0</v>
      </c>
      <c r="AA678" s="668">
        <f t="shared" si="200"/>
        <v>0</v>
      </c>
      <c r="AB678" s="668">
        <f t="shared" si="201"/>
        <v>0</v>
      </c>
      <c r="AC678" s="668">
        <f t="shared" si="210"/>
        <v>0</v>
      </c>
      <c r="AD678" s="668">
        <f t="shared" si="202"/>
        <v>0</v>
      </c>
      <c r="AE678" s="668">
        <f t="shared" si="203"/>
        <v>0</v>
      </c>
      <c r="AF678" s="668">
        <f t="shared" si="204"/>
        <v>0</v>
      </c>
      <c r="AG678" s="668">
        <f t="shared" si="205"/>
        <v>0</v>
      </c>
      <c r="AH678" s="668"/>
      <c r="AI678" s="668"/>
      <c r="AJ678" s="668"/>
      <c r="AK678" s="668"/>
      <c r="AL678" s="668"/>
      <c r="AM678" s="668">
        <f t="shared" si="211"/>
        <v>43</v>
      </c>
      <c r="AN678" s="668">
        <f t="shared" si="206"/>
        <v>0</v>
      </c>
      <c r="AO678" s="668">
        <f t="shared" si="207"/>
        <v>75</v>
      </c>
      <c r="AP678" s="668">
        <f t="shared" si="212"/>
        <v>0</v>
      </c>
      <c r="AQ678" s="668">
        <f t="shared" si="208"/>
        <v>0</v>
      </c>
      <c r="AR678" s="668">
        <f t="shared" si="209"/>
        <v>0</v>
      </c>
      <c r="AS678" s="668"/>
      <c r="AT678" s="668"/>
      <c r="AU678" s="668"/>
      <c r="AV678" s="668"/>
      <c r="AW678" s="668"/>
      <c r="AX678" s="668"/>
      <c r="AY678" s="668"/>
      <c r="AZ678" s="668"/>
      <c r="BA678" s="668"/>
      <c r="BB678" s="668">
        <f t="shared" si="213"/>
        <v>0</v>
      </c>
      <c r="BC678" s="668"/>
      <c r="BD678" s="668"/>
      <c r="BE678" s="668"/>
      <c r="BF678" s="668"/>
      <c r="BG678" s="668"/>
      <c r="BH678" s="668"/>
      <c r="BI678" s="668"/>
    </row>
    <row r="679" spans="1:61" x14ac:dyDescent="0.2">
      <c r="A679" s="1020">
        <v>3212</v>
      </c>
      <c r="B679" s="1020" t="s">
        <v>593</v>
      </c>
      <c r="C679" s="1020"/>
      <c r="D679" s="667"/>
      <c r="E679" s="667"/>
      <c r="F679" s="667"/>
      <c r="G679" s="667"/>
      <c r="H679" s="667"/>
      <c r="I679" s="667"/>
      <c r="J679" s="667"/>
      <c r="K679" s="667"/>
      <c r="L679" s="667">
        <v>2</v>
      </c>
      <c r="M679" s="667"/>
      <c r="N679" s="667"/>
      <c r="O679" s="667"/>
      <c r="P679" s="667"/>
      <c r="Q679" s="667"/>
      <c r="R679" s="667"/>
      <c r="S679" s="667"/>
      <c r="T679" s="667"/>
      <c r="U679" s="1020"/>
      <c r="V679" s="668">
        <f t="shared" si="195"/>
        <v>0</v>
      </c>
      <c r="W679" s="668">
        <f t="shared" si="196"/>
        <v>0</v>
      </c>
      <c r="X679" s="668">
        <f t="shared" si="197"/>
        <v>0</v>
      </c>
      <c r="Y679" s="668">
        <f t="shared" si="198"/>
        <v>0</v>
      </c>
      <c r="Z679" s="668">
        <f t="shared" si="199"/>
        <v>0</v>
      </c>
      <c r="AA679" s="668">
        <f t="shared" si="200"/>
        <v>0</v>
      </c>
      <c r="AB679" s="668">
        <f t="shared" si="201"/>
        <v>0</v>
      </c>
      <c r="AC679" s="668">
        <f t="shared" si="210"/>
        <v>0</v>
      </c>
      <c r="AD679" s="668">
        <f t="shared" si="202"/>
        <v>0</v>
      </c>
      <c r="AE679" s="668">
        <f t="shared" si="203"/>
        <v>0</v>
      </c>
      <c r="AF679" s="668">
        <f t="shared" si="204"/>
        <v>0</v>
      </c>
      <c r="AG679" s="668">
        <f t="shared" si="205"/>
        <v>0</v>
      </c>
      <c r="AH679" s="668"/>
      <c r="AI679" s="668"/>
      <c r="AJ679" s="668"/>
      <c r="AK679" s="668"/>
      <c r="AL679" s="668"/>
      <c r="AM679" s="668">
        <f t="shared" si="211"/>
        <v>0</v>
      </c>
      <c r="AN679" s="668">
        <f t="shared" si="206"/>
        <v>0</v>
      </c>
      <c r="AO679" s="668">
        <f t="shared" si="207"/>
        <v>0</v>
      </c>
      <c r="AP679" s="668">
        <f t="shared" si="212"/>
        <v>0</v>
      </c>
      <c r="AQ679" s="668">
        <f t="shared" si="208"/>
        <v>0</v>
      </c>
      <c r="AR679" s="668">
        <f t="shared" si="209"/>
        <v>0</v>
      </c>
      <c r="AS679" s="668"/>
      <c r="AT679" s="668"/>
      <c r="AU679" s="668"/>
      <c r="AV679" s="668"/>
      <c r="AW679" s="668"/>
      <c r="AX679" s="668"/>
      <c r="AY679" s="668"/>
      <c r="AZ679" s="668"/>
      <c r="BA679" s="668"/>
      <c r="BB679" s="668">
        <f t="shared" si="213"/>
        <v>0</v>
      </c>
      <c r="BC679" s="668"/>
      <c r="BD679" s="668"/>
      <c r="BE679" s="668"/>
      <c r="BF679" s="668"/>
      <c r="BG679" s="668"/>
      <c r="BH679" s="668"/>
      <c r="BI679" s="668"/>
    </row>
    <row r="680" spans="1:61" x14ac:dyDescent="0.2">
      <c r="A680" s="1020">
        <v>3213</v>
      </c>
      <c r="B680" s="1020" t="s">
        <v>738</v>
      </c>
      <c r="C680" s="1020"/>
      <c r="D680" s="667"/>
      <c r="E680" s="667"/>
      <c r="F680" s="667"/>
      <c r="G680" s="667"/>
      <c r="H680" s="667"/>
      <c r="I680" s="667"/>
      <c r="J680" s="667"/>
      <c r="K680" s="667"/>
      <c r="L680" s="667"/>
      <c r="M680" s="667"/>
      <c r="N680" s="667"/>
      <c r="O680" s="667"/>
      <c r="P680" s="667"/>
      <c r="Q680" s="667"/>
      <c r="R680" s="667"/>
      <c r="S680" s="667"/>
      <c r="T680" s="667"/>
      <c r="U680" s="1020"/>
      <c r="V680" s="668">
        <f t="shared" si="195"/>
        <v>0</v>
      </c>
      <c r="W680" s="668">
        <f t="shared" si="196"/>
        <v>0</v>
      </c>
      <c r="X680" s="668">
        <f t="shared" si="197"/>
        <v>0</v>
      </c>
      <c r="Y680" s="668">
        <f t="shared" si="198"/>
        <v>0</v>
      </c>
      <c r="Z680" s="668">
        <f t="shared" si="199"/>
        <v>0</v>
      </c>
      <c r="AA680" s="668">
        <f t="shared" si="200"/>
        <v>0</v>
      </c>
      <c r="AB680" s="668">
        <f t="shared" si="201"/>
        <v>0</v>
      </c>
      <c r="AC680" s="668">
        <f t="shared" si="210"/>
        <v>0</v>
      </c>
      <c r="AD680" s="668">
        <f t="shared" si="202"/>
        <v>0</v>
      </c>
      <c r="AE680" s="668">
        <f t="shared" si="203"/>
        <v>0</v>
      </c>
      <c r="AF680" s="668">
        <f t="shared" si="204"/>
        <v>0</v>
      </c>
      <c r="AG680" s="668">
        <f t="shared" si="205"/>
        <v>0</v>
      </c>
      <c r="AH680" s="668"/>
      <c r="AI680" s="668"/>
      <c r="AJ680" s="668"/>
      <c r="AK680" s="668"/>
      <c r="AL680" s="668"/>
      <c r="AM680" s="668">
        <f t="shared" si="211"/>
        <v>0</v>
      </c>
      <c r="AN680" s="668">
        <f t="shared" si="206"/>
        <v>0</v>
      </c>
      <c r="AO680" s="668">
        <f t="shared" si="207"/>
        <v>0</v>
      </c>
      <c r="AP680" s="668">
        <f t="shared" si="212"/>
        <v>0</v>
      </c>
      <c r="AQ680" s="668">
        <f t="shared" si="208"/>
        <v>0</v>
      </c>
      <c r="AR680" s="668">
        <f t="shared" si="209"/>
        <v>0</v>
      </c>
      <c r="AS680" s="668"/>
      <c r="AT680" s="668"/>
      <c r="AU680" s="668"/>
      <c r="AV680" s="668"/>
      <c r="AW680" s="668"/>
      <c r="AX680" s="668"/>
      <c r="AY680" s="668"/>
      <c r="AZ680" s="668"/>
      <c r="BA680" s="668"/>
      <c r="BB680" s="668">
        <f t="shared" si="213"/>
        <v>0</v>
      </c>
      <c r="BC680" s="668"/>
      <c r="BD680" s="668"/>
      <c r="BE680" s="668"/>
      <c r="BF680" s="668"/>
      <c r="BG680" s="668"/>
      <c r="BH680" s="668"/>
      <c r="BI680" s="668"/>
    </row>
    <row r="681" spans="1:61" x14ac:dyDescent="0.2">
      <c r="A681" s="1020">
        <v>3214</v>
      </c>
      <c r="B681" s="1020" t="s">
        <v>579</v>
      </c>
      <c r="C681" s="1020"/>
      <c r="D681" s="667">
        <v>51</v>
      </c>
      <c r="E681" s="667"/>
      <c r="F681" s="667"/>
      <c r="G681" s="667"/>
      <c r="H681" s="667"/>
      <c r="I681" s="667"/>
      <c r="J681" s="667"/>
      <c r="K681" s="667"/>
      <c r="L681" s="667"/>
      <c r="M681" s="667"/>
      <c r="N681" s="667"/>
      <c r="O681" s="667"/>
      <c r="P681" s="667"/>
      <c r="Q681" s="667"/>
      <c r="R681" s="667"/>
      <c r="S681" s="667"/>
      <c r="T681" s="667"/>
      <c r="U681" s="1020">
        <v>14</v>
      </c>
      <c r="V681" s="668">
        <f t="shared" si="195"/>
        <v>714</v>
      </c>
      <c r="W681" s="668">
        <f t="shared" si="196"/>
        <v>0</v>
      </c>
      <c r="X681" s="668">
        <f t="shared" si="197"/>
        <v>0</v>
      </c>
      <c r="Y681" s="668">
        <f t="shared" si="198"/>
        <v>0</v>
      </c>
      <c r="Z681" s="668">
        <f t="shared" si="199"/>
        <v>0</v>
      </c>
      <c r="AA681" s="668">
        <f t="shared" si="200"/>
        <v>0</v>
      </c>
      <c r="AB681" s="668">
        <f t="shared" si="201"/>
        <v>0</v>
      </c>
      <c r="AC681" s="668">
        <f t="shared" si="210"/>
        <v>0</v>
      </c>
      <c r="AD681" s="668">
        <f t="shared" si="202"/>
        <v>0</v>
      </c>
      <c r="AE681" s="668">
        <f t="shared" si="203"/>
        <v>0</v>
      </c>
      <c r="AF681" s="668">
        <f t="shared" si="204"/>
        <v>0</v>
      </c>
      <c r="AG681" s="668">
        <f t="shared" si="205"/>
        <v>0</v>
      </c>
      <c r="AH681" s="668"/>
      <c r="AI681" s="668"/>
      <c r="AJ681" s="668"/>
      <c r="AK681" s="668"/>
      <c r="AL681" s="668"/>
      <c r="AM681" s="668">
        <f t="shared" si="211"/>
        <v>0</v>
      </c>
      <c r="AN681" s="668">
        <f t="shared" si="206"/>
        <v>0</v>
      </c>
      <c r="AO681" s="668">
        <f t="shared" si="207"/>
        <v>0</v>
      </c>
      <c r="AP681" s="668">
        <f t="shared" si="212"/>
        <v>0</v>
      </c>
      <c r="AQ681" s="668">
        <f t="shared" si="208"/>
        <v>0</v>
      </c>
      <c r="AR681" s="668">
        <f t="shared" si="209"/>
        <v>0</v>
      </c>
      <c r="AS681" s="668"/>
      <c r="AT681" s="668"/>
      <c r="AU681" s="668"/>
      <c r="AV681" s="668"/>
      <c r="AW681" s="668"/>
      <c r="AX681" s="668"/>
      <c r="AY681" s="668"/>
      <c r="AZ681" s="668"/>
      <c r="BA681" s="668"/>
      <c r="BB681" s="668">
        <f t="shared" si="213"/>
        <v>0</v>
      </c>
      <c r="BC681" s="668"/>
      <c r="BD681" s="668"/>
      <c r="BE681" s="668"/>
      <c r="BF681" s="668"/>
      <c r="BG681" s="668"/>
      <c r="BH681" s="668"/>
      <c r="BI681" s="668"/>
    </row>
    <row r="682" spans="1:61" x14ac:dyDescent="0.2">
      <c r="A682" s="1020">
        <v>3215</v>
      </c>
      <c r="B682" s="1020" t="s">
        <v>476</v>
      </c>
      <c r="C682" s="1020"/>
      <c r="D682" s="667">
        <v>48</v>
      </c>
      <c r="E682" s="667"/>
      <c r="F682" s="667"/>
      <c r="G682" s="667"/>
      <c r="H682" s="667"/>
      <c r="I682" s="667"/>
      <c r="J682" s="667"/>
      <c r="K682" s="667"/>
      <c r="L682" s="667"/>
      <c r="M682" s="667"/>
      <c r="N682" s="667"/>
      <c r="O682" s="667"/>
      <c r="P682" s="667"/>
      <c r="Q682" s="667"/>
      <c r="R682" s="667"/>
      <c r="S682" s="667"/>
      <c r="T682" s="667"/>
      <c r="U682" s="1020">
        <v>14</v>
      </c>
      <c r="V682" s="668">
        <f t="shared" si="195"/>
        <v>672</v>
      </c>
      <c r="W682" s="668">
        <f t="shared" si="196"/>
        <v>0</v>
      </c>
      <c r="X682" s="668">
        <f t="shared" si="197"/>
        <v>0</v>
      </c>
      <c r="Y682" s="668">
        <f t="shared" si="198"/>
        <v>0</v>
      </c>
      <c r="Z682" s="668">
        <f t="shared" si="199"/>
        <v>0</v>
      </c>
      <c r="AA682" s="668">
        <f t="shared" si="200"/>
        <v>0</v>
      </c>
      <c r="AB682" s="668">
        <f t="shared" si="201"/>
        <v>0</v>
      </c>
      <c r="AC682" s="668">
        <f t="shared" si="210"/>
        <v>0</v>
      </c>
      <c r="AD682" s="668">
        <f t="shared" si="202"/>
        <v>0</v>
      </c>
      <c r="AE682" s="668">
        <f t="shared" si="203"/>
        <v>0</v>
      </c>
      <c r="AF682" s="668">
        <f t="shared" si="204"/>
        <v>0</v>
      </c>
      <c r="AG682" s="668">
        <f t="shared" si="205"/>
        <v>0</v>
      </c>
      <c r="AH682" s="668"/>
      <c r="AI682" s="668"/>
      <c r="AJ682" s="668"/>
      <c r="AK682" s="668"/>
      <c r="AL682" s="668"/>
      <c r="AM682" s="668">
        <f t="shared" si="211"/>
        <v>0</v>
      </c>
      <c r="AN682" s="668">
        <f t="shared" si="206"/>
        <v>0</v>
      </c>
      <c r="AO682" s="668">
        <f t="shared" si="207"/>
        <v>0</v>
      </c>
      <c r="AP682" s="668">
        <f t="shared" si="212"/>
        <v>0</v>
      </c>
      <c r="AQ682" s="668">
        <f t="shared" si="208"/>
        <v>0</v>
      </c>
      <c r="AR682" s="668">
        <f t="shared" si="209"/>
        <v>0</v>
      </c>
      <c r="AS682" s="668"/>
      <c r="AT682" s="668"/>
      <c r="AU682" s="668"/>
      <c r="AV682" s="668"/>
      <c r="AW682" s="668"/>
      <c r="AX682" s="668"/>
      <c r="AY682" s="668"/>
      <c r="AZ682" s="668"/>
      <c r="BA682" s="668"/>
      <c r="BB682" s="668">
        <f t="shared" si="213"/>
        <v>0</v>
      </c>
      <c r="BC682" s="668"/>
      <c r="BD682" s="668"/>
      <c r="BE682" s="668"/>
      <c r="BF682" s="668"/>
      <c r="BG682" s="668"/>
      <c r="BH682" s="668"/>
      <c r="BI682" s="668"/>
    </row>
    <row r="683" spans="1:61" x14ac:dyDescent="0.2">
      <c r="A683" s="1020">
        <v>3216</v>
      </c>
      <c r="B683" s="1020" t="s">
        <v>486</v>
      </c>
      <c r="C683" s="1020"/>
      <c r="D683" s="667">
        <v>57</v>
      </c>
      <c r="E683" s="667"/>
      <c r="F683" s="667"/>
      <c r="G683" s="667"/>
      <c r="H683" s="667"/>
      <c r="I683" s="667"/>
      <c r="J683" s="667"/>
      <c r="K683" s="667"/>
      <c r="L683" s="667"/>
      <c r="M683" s="667"/>
      <c r="N683" s="667"/>
      <c r="O683" s="667"/>
      <c r="P683" s="667"/>
      <c r="Q683" s="667"/>
      <c r="R683" s="667"/>
      <c r="S683" s="667"/>
      <c r="T683" s="667"/>
      <c r="U683" s="1020">
        <v>14</v>
      </c>
      <c r="V683" s="668">
        <f t="shared" si="195"/>
        <v>798</v>
      </c>
      <c r="W683" s="668">
        <f t="shared" si="196"/>
        <v>0</v>
      </c>
      <c r="X683" s="668">
        <f t="shared" si="197"/>
        <v>0</v>
      </c>
      <c r="Y683" s="668">
        <f t="shared" si="198"/>
        <v>0</v>
      </c>
      <c r="Z683" s="668">
        <f t="shared" si="199"/>
        <v>0</v>
      </c>
      <c r="AA683" s="668">
        <f t="shared" si="200"/>
        <v>0</v>
      </c>
      <c r="AB683" s="668">
        <f t="shared" si="201"/>
        <v>0</v>
      </c>
      <c r="AC683" s="668">
        <f t="shared" si="210"/>
        <v>0</v>
      </c>
      <c r="AD683" s="668">
        <f t="shared" si="202"/>
        <v>0</v>
      </c>
      <c r="AE683" s="668">
        <f t="shared" si="203"/>
        <v>0</v>
      </c>
      <c r="AF683" s="668">
        <f t="shared" si="204"/>
        <v>0</v>
      </c>
      <c r="AG683" s="668">
        <f t="shared" si="205"/>
        <v>0</v>
      </c>
      <c r="AH683" s="668"/>
      <c r="AI683" s="668"/>
      <c r="AJ683" s="668"/>
      <c r="AK683" s="668"/>
      <c r="AL683" s="668"/>
      <c r="AM683" s="668">
        <f t="shared" si="211"/>
        <v>0</v>
      </c>
      <c r="AN683" s="668">
        <f t="shared" si="206"/>
        <v>0</v>
      </c>
      <c r="AO683" s="668">
        <f t="shared" si="207"/>
        <v>0</v>
      </c>
      <c r="AP683" s="668">
        <f t="shared" si="212"/>
        <v>0</v>
      </c>
      <c r="AQ683" s="668">
        <f t="shared" si="208"/>
        <v>0</v>
      </c>
      <c r="AR683" s="668">
        <f t="shared" si="209"/>
        <v>0</v>
      </c>
      <c r="AS683" s="668"/>
      <c r="AT683" s="668"/>
      <c r="AU683" s="668"/>
      <c r="AV683" s="668"/>
      <c r="AW683" s="668"/>
      <c r="AX683" s="668"/>
      <c r="AY683" s="668"/>
      <c r="AZ683" s="668"/>
      <c r="BA683" s="668"/>
      <c r="BB683" s="668">
        <f t="shared" si="213"/>
        <v>0</v>
      </c>
      <c r="BC683" s="668"/>
      <c r="BD683" s="668"/>
      <c r="BE683" s="668"/>
      <c r="BF683" s="668"/>
      <c r="BG683" s="668"/>
      <c r="BH683" s="668"/>
      <c r="BI683" s="668"/>
    </row>
    <row r="684" spans="1:61" x14ac:dyDescent="0.2">
      <c r="A684" s="1020">
        <v>3230</v>
      </c>
      <c r="B684" s="1020" t="s">
        <v>465</v>
      </c>
      <c r="C684" s="1020" t="s">
        <v>984</v>
      </c>
      <c r="D684" s="667">
        <v>237</v>
      </c>
      <c r="E684" s="667"/>
      <c r="F684" s="667"/>
      <c r="G684" s="667"/>
      <c r="H684" s="667"/>
      <c r="I684" s="667"/>
      <c r="J684" s="667"/>
      <c r="K684" s="667"/>
      <c r="L684" s="667">
        <v>1</v>
      </c>
      <c r="M684" s="667"/>
      <c r="N684" s="667"/>
      <c r="O684" s="667"/>
      <c r="P684" s="667"/>
      <c r="Q684" s="667"/>
      <c r="R684" s="667"/>
      <c r="S684" s="667"/>
      <c r="T684" s="667"/>
      <c r="U684" s="1020">
        <v>12</v>
      </c>
      <c r="V684" s="668">
        <f t="shared" si="195"/>
        <v>2844</v>
      </c>
      <c r="W684" s="668">
        <f t="shared" si="196"/>
        <v>0</v>
      </c>
      <c r="X684" s="668">
        <f t="shared" si="197"/>
        <v>0</v>
      </c>
      <c r="Y684" s="668">
        <f t="shared" si="198"/>
        <v>0</v>
      </c>
      <c r="Z684" s="668">
        <f t="shared" si="199"/>
        <v>2844</v>
      </c>
      <c r="AA684" s="668">
        <f t="shared" si="200"/>
        <v>0</v>
      </c>
      <c r="AB684" s="668">
        <f t="shared" si="201"/>
        <v>0</v>
      </c>
      <c r="AC684" s="668">
        <f t="shared" si="210"/>
        <v>0</v>
      </c>
      <c r="AD684" s="668">
        <f t="shared" si="202"/>
        <v>0</v>
      </c>
      <c r="AE684" s="668">
        <f t="shared" si="203"/>
        <v>0</v>
      </c>
      <c r="AF684" s="668">
        <f t="shared" si="204"/>
        <v>12</v>
      </c>
      <c r="AG684" s="668">
        <f t="shared" si="205"/>
        <v>0</v>
      </c>
      <c r="AH684" s="668"/>
      <c r="AI684" s="668"/>
      <c r="AJ684" s="668"/>
      <c r="AK684" s="668"/>
      <c r="AL684" s="668"/>
      <c r="AM684" s="668">
        <f t="shared" si="211"/>
        <v>0</v>
      </c>
      <c r="AN684" s="668">
        <f t="shared" si="206"/>
        <v>0</v>
      </c>
      <c r="AO684" s="668">
        <f t="shared" si="207"/>
        <v>0</v>
      </c>
      <c r="AP684" s="668">
        <f t="shared" si="212"/>
        <v>0</v>
      </c>
      <c r="AQ684" s="668">
        <f t="shared" si="208"/>
        <v>0</v>
      </c>
      <c r="AR684" s="668">
        <f t="shared" si="209"/>
        <v>0</v>
      </c>
      <c r="AS684" s="668"/>
      <c r="AT684" s="668"/>
      <c r="AU684" s="668"/>
      <c r="AV684" s="668"/>
      <c r="AW684" s="668"/>
      <c r="AX684" s="668"/>
      <c r="AY684" s="668"/>
      <c r="AZ684" s="668"/>
      <c r="BA684" s="668"/>
      <c r="BB684" s="668">
        <f t="shared" si="213"/>
        <v>0</v>
      </c>
      <c r="BC684" s="668"/>
      <c r="BD684" s="668"/>
      <c r="BE684" s="668"/>
      <c r="BF684" s="668"/>
      <c r="BG684" s="668"/>
      <c r="BH684" s="668"/>
      <c r="BI684" s="668"/>
    </row>
    <row r="685" spans="1:61" x14ac:dyDescent="0.2">
      <c r="A685" s="1020">
        <v>3231</v>
      </c>
      <c r="B685" s="1020" t="s">
        <v>465</v>
      </c>
      <c r="C685" s="1020" t="s">
        <v>984</v>
      </c>
      <c r="D685" s="667">
        <v>208</v>
      </c>
      <c r="E685" s="667"/>
      <c r="F685" s="667"/>
      <c r="G685" s="667"/>
      <c r="H685" s="667"/>
      <c r="I685" s="667"/>
      <c r="J685" s="667"/>
      <c r="K685" s="667"/>
      <c r="L685" s="667"/>
      <c r="M685" s="667"/>
      <c r="N685" s="667"/>
      <c r="O685" s="667"/>
      <c r="P685" s="667"/>
      <c r="Q685" s="667"/>
      <c r="R685" s="667"/>
      <c r="S685" s="667"/>
      <c r="T685" s="667"/>
      <c r="U685" s="1020">
        <v>12</v>
      </c>
      <c r="V685" s="668">
        <f t="shared" si="195"/>
        <v>2496</v>
      </c>
      <c r="W685" s="668">
        <f t="shared" si="196"/>
        <v>0</v>
      </c>
      <c r="X685" s="668">
        <f t="shared" si="197"/>
        <v>0</v>
      </c>
      <c r="Y685" s="668">
        <f t="shared" si="198"/>
        <v>0</v>
      </c>
      <c r="Z685" s="668">
        <f t="shared" si="199"/>
        <v>2496</v>
      </c>
      <c r="AA685" s="668">
        <f t="shared" si="200"/>
        <v>0</v>
      </c>
      <c r="AB685" s="668">
        <f t="shared" si="201"/>
        <v>0</v>
      </c>
      <c r="AC685" s="668">
        <f t="shared" si="210"/>
        <v>0</v>
      </c>
      <c r="AD685" s="668">
        <f t="shared" si="202"/>
        <v>0</v>
      </c>
      <c r="AE685" s="668">
        <f t="shared" si="203"/>
        <v>0</v>
      </c>
      <c r="AF685" s="668">
        <f t="shared" si="204"/>
        <v>0</v>
      </c>
      <c r="AG685" s="668">
        <f t="shared" si="205"/>
        <v>0</v>
      </c>
      <c r="AH685" s="668"/>
      <c r="AI685" s="668"/>
      <c r="AJ685" s="668"/>
      <c r="AK685" s="668"/>
      <c r="AL685" s="668"/>
      <c r="AM685" s="668">
        <f t="shared" si="211"/>
        <v>0</v>
      </c>
      <c r="AN685" s="668">
        <f t="shared" si="206"/>
        <v>0</v>
      </c>
      <c r="AO685" s="668">
        <f t="shared" si="207"/>
        <v>0</v>
      </c>
      <c r="AP685" s="668">
        <f t="shared" si="212"/>
        <v>0</v>
      </c>
      <c r="AQ685" s="668">
        <f t="shared" si="208"/>
        <v>0</v>
      </c>
      <c r="AR685" s="668">
        <f t="shared" si="209"/>
        <v>0</v>
      </c>
      <c r="AS685" s="668"/>
      <c r="AT685" s="668"/>
      <c r="AU685" s="668"/>
      <c r="AV685" s="668"/>
      <c r="AW685" s="668"/>
      <c r="AX685" s="668"/>
      <c r="AY685" s="668"/>
      <c r="AZ685" s="668"/>
      <c r="BA685" s="668"/>
      <c r="BB685" s="668">
        <f t="shared" si="213"/>
        <v>0</v>
      </c>
      <c r="BC685" s="668"/>
      <c r="BD685" s="668"/>
      <c r="BE685" s="668"/>
      <c r="BF685" s="668"/>
      <c r="BG685" s="668"/>
      <c r="BH685" s="668"/>
      <c r="BI685" s="668"/>
    </row>
    <row r="686" spans="1:61" x14ac:dyDescent="0.2">
      <c r="A686" s="1020">
        <v>3232</v>
      </c>
      <c r="B686" s="1020" t="s">
        <v>465</v>
      </c>
      <c r="C686" s="1020" t="s">
        <v>984</v>
      </c>
      <c r="D686" s="667">
        <v>166</v>
      </c>
      <c r="E686" s="667"/>
      <c r="F686" s="667"/>
      <c r="G686" s="667"/>
      <c r="H686" s="667"/>
      <c r="I686" s="667"/>
      <c r="J686" s="667"/>
      <c r="K686" s="667"/>
      <c r="L686" s="667"/>
      <c r="M686" s="667"/>
      <c r="N686" s="667"/>
      <c r="O686" s="667"/>
      <c r="P686" s="667"/>
      <c r="Q686" s="667"/>
      <c r="R686" s="667"/>
      <c r="S686" s="667"/>
      <c r="T686" s="667"/>
      <c r="U686" s="1020">
        <v>12</v>
      </c>
      <c r="V686" s="668">
        <f t="shared" si="195"/>
        <v>1992</v>
      </c>
      <c r="W686" s="668">
        <f t="shared" si="196"/>
        <v>0</v>
      </c>
      <c r="X686" s="668">
        <f t="shared" si="197"/>
        <v>0</v>
      </c>
      <c r="Y686" s="668">
        <f t="shared" si="198"/>
        <v>0</v>
      </c>
      <c r="Z686" s="668">
        <f t="shared" si="199"/>
        <v>1992</v>
      </c>
      <c r="AA686" s="668">
        <f t="shared" si="200"/>
        <v>0</v>
      </c>
      <c r="AB686" s="668">
        <f t="shared" si="201"/>
        <v>0</v>
      </c>
      <c r="AC686" s="668">
        <f t="shared" si="210"/>
        <v>0</v>
      </c>
      <c r="AD686" s="668">
        <f t="shared" si="202"/>
        <v>0</v>
      </c>
      <c r="AE686" s="668">
        <f t="shared" si="203"/>
        <v>0</v>
      </c>
      <c r="AF686" s="668">
        <f t="shared" si="204"/>
        <v>0</v>
      </c>
      <c r="AG686" s="668">
        <f t="shared" si="205"/>
        <v>0</v>
      </c>
      <c r="AH686" s="668"/>
      <c r="AI686" s="668"/>
      <c r="AJ686" s="668"/>
      <c r="AK686" s="668"/>
      <c r="AL686" s="668"/>
      <c r="AM686" s="668">
        <f t="shared" si="211"/>
        <v>0</v>
      </c>
      <c r="AN686" s="668">
        <f t="shared" si="206"/>
        <v>0</v>
      </c>
      <c r="AO686" s="668">
        <f t="shared" si="207"/>
        <v>0</v>
      </c>
      <c r="AP686" s="668">
        <f t="shared" si="212"/>
        <v>0</v>
      </c>
      <c r="AQ686" s="668">
        <f t="shared" si="208"/>
        <v>0</v>
      </c>
      <c r="AR686" s="668">
        <f t="shared" si="209"/>
        <v>0</v>
      </c>
      <c r="AS686" s="668"/>
      <c r="AT686" s="668"/>
      <c r="AU686" s="668"/>
      <c r="AV686" s="668"/>
      <c r="AW686" s="668"/>
      <c r="AX686" s="668"/>
      <c r="AY686" s="668"/>
      <c r="AZ686" s="668"/>
      <c r="BA686" s="668"/>
      <c r="BB686" s="668">
        <f t="shared" si="213"/>
        <v>0</v>
      </c>
      <c r="BC686" s="668"/>
      <c r="BD686" s="668"/>
      <c r="BE686" s="668"/>
      <c r="BF686" s="668"/>
      <c r="BG686" s="668"/>
      <c r="BH686" s="668"/>
      <c r="BI686" s="668"/>
    </row>
    <row r="687" spans="1:61" x14ac:dyDescent="0.2">
      <c r="A687" s="1020">
        <v>3233</v>
      </c>
      <c r="B687" s="1020" t="s">
        <v>465</v>
      </c>
      <c r="C687" s="1020"/>
      <c r="D687" s="667"/>
      <c r="E687" s="667"/>
      <c r="F687" s="667"/>
      <c r="G687" s="667"/>
      <c r="H687" s="667"/>
      <c r="I687" s="667"/>
      <c r="J687" s="667"/>
      <c r="K687" s="667"/>
      <c r="L687" s="667"/>
      <c r="M687" s="667"/>
      <c r="N687" s="667"/>
      <c r="O687" s="667"/>
      <c r="P687" s="667"/>
      <c r="Q687" s="667"/>
      <c r="R687" s="667"/>
      <c r="S687" s="667"/>
      <c r="T687" s="667"/>
      <c r="U687" s="1020"/>
      <c r="V687" s="668">
        <f t="shared" si="195"/>
        <v>0</v>
      </c>
      <c r="W687" s="668">
        <f t="shared" si="196"/>
        <v>0</v>
      </c>
      <c r="X687" s="668">
        <f t="shared" si="197"/>
        <v>0</v>
      </c>
      <c r="Y687" s="668">
        <f t="shared" si="198"/>
        <v>0</v>
      </c>
      <c r="Z687" s="668">
        <f t="shared" si="199"/>
        <v>0</v>
      </c>
      <c r="AA687" s="668">
        <f t="shared" si="200"/>
        <v>0</v>
      </c>
      <c r="AB687" s="668">
        <f t="shared" si="201"/>
        <v>0</v>
      </c>
      <c r="AC687" s="668">
        <f t="shared" si="210"/>
        <v>0</v>
      </c>
      <c r="AD687" s="668">
        <f t="shared" si="202"/>
        <v>0</v>
      </c>
      <c r="AE687" s="668">
        <f t="shared" si="203"/>
        <v>0</v>
      </c>
      <c r="AF687" s="668">
        <f t="shared" si="204"/>
        <v>0</v>
      </c>
      <c r="AG687" s="668">
        <f t="shared" si="205"/>
        <v>0</v>
      </c>
      <c r="AH687" s="668"/>
      <c r="AI687" s="668"/>
      <c r="AJ687" s="668"/>
      <c r="AK687" s="668"/>
      <c r="AL687" s="668"/>
      <c r="AM687" s="668">
        <f t="shared" si="211"/>
        <v>0</v>
      </c>
      <c r="AN687" s="668">
        <f t="shared" si="206"/>
        <v>0</v>
      </c>
      <c r="AO687" s="668">
        <f t="shared" si="207"/>
        <v>0</v>
      </c>
      <c r="AP687" s="668">
        <f t="shared" si="212"/>
        <v>0</v>
      </c>
      <c r="AQ687" s="668">
        <f t="shared" si="208"/>
        <v>0</v>
      </c>
      <c r="AR687" s="668">
        <f t="shared" si="209"/>
        <v>0</v>
      </c>
      <c r="AS687" s="668"/>
      <c r="AT687" s="668"/>
      <c r="AU687" s="668"/>
      <c r="AV687" s="668"/>
      <c r="AW687" s="668"/>
      <c r="AX687" s="668"/>
      <c r="AY687" s="668"/>
      <c r="AZ687" s="668"/>
      <c r="BA687" s="668"/>
      <c r="BB687" s="668">
        <f t="shared" si="213"/>
        <v>0</v>
      </c>
      <c r="BC687" s="668"/>
      <c r="BD687" s="668"/>
      <c r="BE687" s="668"/>
      <c r="BF687" s="668"/>
      <c r="BG687" s="668"/>
      <c r="BH687" s="668"/>
      <c r="BI687" s="668"/>
    </row>
    <row r="688" spans="1:61" x14ac:dyDescent="0.2">
      <c r="A688" s="1020">
        <v>3234</v>
      </c>
      <c r="B688" s="1020" t="s">
        <v>465</v>
      </c>
      <c r="C688" s="1020" t="s">
        <v>984</v>
      </c>
      <c r="D688" s="667">
        <v>186</v>
      </c>
      <c r="E688" s="667"/>
      <c r="F688" s="667"/>
      <c r="G688" s="667"/>
      <c r="H688" s="667"/>
      <c r="I688" s="667"/>
      <c r="J688" s="667"/>
      <c r="K688" s="667"/>
      <c r="L688" s="667"/>
      <c r="M688" s="667"/>
      <c r="N688" s="667"/>
      <c r="O688" s="667"/>
      <c r="P688" s="667"/>
      <c r="Q688" s="667"/>
      <c r="R688" s="667"/>
      <c r="S688" s="667"/>
      <c r="T688" s="667"/>
      <c r="U688" s="1020">
        <v>12</v>
      </c>
      <c r="V688" s="668">
        <f t="shared" si="195"/>
        <v>2232</v>
      </c>
      <c r="W688" s="668">
        <f t="shared" si="196"/>
        <v>0</v>
      </c>
      <c r="X688" s="668">
        <f t="shared" si="197"/>
        <v>0</v>
      </c>
      <c r="Y688" s="668">
        <f t="shared" si="198"/>
        <v>0</v>
      </c>
      <c r="Z688" s="668">
        <f t="shared" si="199"/>
        <v>2232</v>
      </c>
      <c r="AA688" s="668">
        <f t="shared" si="200"/>
        <v>0</v>
      </c>
      <c r="AB688" s="668">
        <f t="shared" si="201"/>
        <v>0</v>
      </c>
      <c r="AC688" s="668">
        <f t="shared" si="210"/>
        <v>0</v>
      </c>
      <c r="AD688" s="668">
        <f t="shared" si="202"/>
        <v>0</v>
      </c>
      <c r="AE688" s="668">
        <f t="shared" si="203"/>
        <v>0</v>
      </c>
      <c r="AF688" s="668">
        <f t="shared" si="204"/>
        <v>0</v>
      </c>
      <c r="AG688" s="668">
        <f t="shared" si="205"/>
        <v>0</v>
      </c>
      <c r="AH688" s="668"/>
      <c r="AI688" s="668"/>
      <c r="AJ688" s="668"/>
      <c r="AK688" s="668"/>
      <c r="AL688" s="668"/>
      <c r="AM688" s="668">
        <f t="shared" si="211"/>
        <v>0</v>
      </c>
      <c r="AN688" s="668">
        <f t="shared" si="206"/>
        <v>0</v>
      </c>
      <c r="AO688" s="668">
        <f t="shared" si="207"/>
        <v>0</v>
      </c>
      <c r="AP688" s="668">
        <f t="shared" si="212"/>
        <v>0</v>
      </c>
      <c r="AQ688" s="668">
        <f t="shared" si="208"/>
        <v>0</v>
      </c>
      <c r="AR688" s="668">
        <f t="shared" si="209"/>
        <v>0</v>
      </c>
      <c r="AS688" s="668"/>
      <c r="AT688" s="668"/>
      <c r="AU688" s="668"/>
      <c r="AV688" s="668"/>
      <c r="AW688" s="668"/>
      <c r="AX688" s="668"/>
      <c r="AY688" s="668"/>
      <c r="AZ688" s="668"/>
      <c r="BA688" s="668"/>
      <c r="BB688" s="668">
        <f t="shared" si="213"/>
        <v>0</v>
      </c>
      <c r="BC688" s="668"/>
      <c r="BD688" s="668"/>
      <c r="BE688" s="668"/>
      <c r="BF688" s="668"/>
      <c r="BG688" s="668"/>
      <c r="BH688" s="668"/>
      <c r="BI688" s="668"/>
    </row>
    <row r="689" spans="1:61" x14ac:dyDescent="0.2">
      <c r="A689" s="1020">
        <v>3235</v>
      </c>
      <c r="B689" s="1020" t="s">
        <v>465</v>
      </c>
      <c r="C689" s="1020" t="s">
        <v>984</v>
      </c>
      <c r="D689" s="667">
        <v>132</v>
      </c>
      <c r="E689" s="667"/>
      <c r="F689" s="667"/>
      <c r="G689" s="667"/>
      <c r="H689" s="667"/>
      <c r="I689" s="667"/>
      <c r="J689" s="667"/>
      <c r="K689" s="667"/>
      <c r="L689" s="667"/>
      <c r="M689" s="667"/>
      <c r="N689" s="667"/>
      <c r="O689" s="667"/>
      <c r="P689" s="667"/>
      <c r="Q689" s="667"/>
      <c r="R689" s="667"/>
      <c r="S689" s="667"/>
      <c r="T689" s="667"/>
      <c r="U689" s="1020">
        <v>12</v>
      </c>
      <c r="V689" s="668">
        <f t="shared" si="195"/>
        <v>1584</v>
      </c>
      <c r="W689" s="668">
        <f t="shared" si="196"/>
        <v>0</v>
      </c>
      <c r="X689" s="668">
        <f t="shared" si="197"/>
        <v>0</v>
      </c>
      <c r="Y689" s="668">
        <f t="shared" si="198"/>
        <v>0</v>
      </c>
      <c r="Z689" s="668">
        <f t="shared" si="199"/>
        <v>1584</v>
      </c>
      <c r="AA689" s="668">
        <f t="shared" si="200"/>
        <v>0</v>
      </c>
      <c r="AB689" s="668">
        <f t="shared" si="201"/>
        <v>0</v>
      </c>
      <c r="AC689" s="668">
        <f t="shared" si="210"/>
        <v>0</v>
      </c>
      <c r="AD689" s="668">
        <f t="shared" si="202"/>
        <v>0</v>
      </c>
      <c r="AE689" s="668">
        <f t="shared" si="203"/>
        <v>0</v>
      </c>
      <c r="AF689" s="668">
        <f t="shared" si="204"/>
        <v>0</v>
      </c>
      <c r="AG689" s="668">
        <f t="shared" si="205"/>
        <v>0</v>
      </c>
      <c r="AH689" s="668"/>
      <c r="AI689" s="668"/>
      <c r="AJ689" s="668"/>
      <c r="AK689" s="668"/>
      <c r="AL689" s="668"/>
      <c r="AM689" s="668">
        <f t="shared" si="211"/>
        <v>0</v>
      </c>
      <c r="AN689" s="668">
        <f t="shared" si="206"/>
        <v>0</v>
      </c>
      <c r="AO689" s="668">
        <f t="shared" si="207"/>
        <v>0</v>
      </c>
      <c r="AP689" s="668">
        <f t="shared" si="212"/>
        <v>0</v>
      </c>
      <c r="AQ689" s="668">
        <f t="shared" si="208"/>
        <v>0</v>
      </c>
      <c r="AR689" s="668">
        <f t="shared" si="209"/>
        <v>0</v>
      </c>
      <c r="AS689" s="668"/>
      <c r="AT689" s="668"/>
      <c r="AU689" s="668"/>
      <c r="AV689" s="668"/>
      <c r="AW689" s="668"/>
      <c r="AX689" s="668"/>
      <c r="AY689" s="668"/>
      <c r="AZ689" s="668"/>
      <c r="BA689" s="668"/>
      <c r="BB689" s="668">
        <f t="shared" si="213"/>
        <v>0</v>
      </c>
      <c r="BC689" s="668"/>
      <c r="BD689" s="668"/>
      <c r="BE689" s="668"/>
      <c r="BF689" s="668"/>
      <c r="BG689" s="668"/>
      <c r="BH689" s="668"/>
      <c r="BI689" s="668"/>
    </row>
    <row r="690" spans="1:61" x14ac:dyDescent="0.2">
      <c r="A690" s="1020">
        <v>3236</v>
      </c>
      <c r="B690" s="1020" t="s">
        <v>465</v>
      </c>
      <c r="C690" s="1020" t="s">
        <v>984</v>
      </c>
      <c r="D690" s="667">
        <v>29</v>
      </c>
      <c r="E690" s="667"/>
      <c r="F690" s="667"/>
      <c r="G690" s="667"/>
      <c r="H690" s="667"/>
      <c r="I690" s="667"/>
      <c r="J690" s="667"/>
      <c r="K690" s="667"/>
      <c r="L690" s="667"/>
      <c r="M690" s="667"/>
      <c r="N690" s="667"/>
      <c r="O690" s="667"/>
      <c r="P690" s="667"/>
      <c r="Q690" s="667"/>
      <c r="R690" s="667"/>
      <c r="S690" s="667"/>
      <c r="T690" s="667"/>
      <c r="U690" s="1020">
        <v>12</v>
      </c>
      <c r="V690" s="668">
        <f t="shared" si="195"/>
        <v>348</v>
      </c>
      <c r="W690" s="668">
        <f t="shared" si="196"/>
        <v>0</v>
      </c>
      <c r="X690" s="668">
        <f t="shared" si="197"/>
        <v>0</v>
      </c>
      <c r="Y690" s="668">
        <f t="shared" si="198"/>
        <v>0</v>
      </c>
      <c r="Z690" s="668">
        <f t="shared" si="199"/>
        <v>348</v>
      </c>
      <c r="AA690" s="668">
        <f t="shared" si="200"/>
        <v>0</v>
      </c>
      <c r="AB690" s="668">
        <f t="shared" si="201"/>
        <v>0</v>
      </c>
      <c r="AC690" s="668">
        <f t="shared" si="210"/>
        <v>0</v>
      </c>
      <c r="AD690" s="668">
        <f t="shared" si="202"/>
        <v>0</v>
      </c>
      <c r="AE690" s="668">
        <f t="shared" si="203"/>
        <v>0</v>
      </c>
      <c r="AF690" s="668">
        <f t="shared" si="204"/>
        <v>0</v>
      </c>
      <c r="AG690" s="668">
        <f t="shared" si="205"/>
        <v>0</v>
      </c>
      <c r="AH690" s="668"/>
      <c r="AI690" s="668"/>
      <c r="AJ690" s="668"/>
      <c r="AK690" s="668"/>
      <c r="AL690" s="668"/>
      <c r="AM690" s="668">
        <f t="shared" si="211"/>
        <v>0</v>
      </c>
      <c r="AN690" s="668">
        <f t="shared" si="206"/>
        <v>0</v>
      </c>
      <c r="AO690" s="668">
        <f t="shared" si="207"/>
        <v>0</v>
      </c>
      <c r="AP690" s="668">
        <f t="shared" si="212"/>
        <v>0</v>
      </c>
      <c r="AQ690" s="668">
        <f t="shared" si="208"/>
        <v>0</v>
      </c>
      <c r="AR690" s="668">
        <f t="shared" si="209"/>
        <v>0</v>
      </c>
      <c r="AS690" s="668"/>
      <c r="AT690" s="668"/>
      <c r="AU690" s="668"/>
      <c r="AV690" s="668"/>
      <c r="AW690" s="668"/>
      <c r="AX690" s="668"/>
      <c r="AY690" s="668"/>
      <c r="AZ690" s="668"/>
      <c r="BA690" s="668"/>
      <c r="BB690" s="668">
        <f t="shared" si="213"/>
        <v>0</v>
      </c>
      <c r="BC690" s="668"/>
      <c r="BD690" s="668"/>
      <c r="BE690" s="668"/>
      <c r="BF690" s="668"/>
      <c r="BG690" s="668"/>
      <c r="BH690" s="668"/>
      <c r="BI690" s="668"/>
    </row>
    <row r="691" spans="1:61" x14ac:dyDescent="0.2">
      <c r="A691" s="1020">
        <v>3237</v>
      </c>
      <c r="B691" s="1020" t="s">
        <v>465</v>
      </c>
      <c r="C691" s="1020" t="s">
        <v>984</v>
      </c>
      <c r="D691" s="667">
        <v>115</v>
      </c>
      <c r="E691" s="667"/>
      <c r="F691" s="667"/>
      <c r="G691" s="667"/>
      <c r="H691" s="667"/>
      <c r="I691" s="667"/>
      <c r="J691" s="667"/>
      <c r="K691" s="667"/>
      <c r="L691" s="667"/>
      <c r="M691" s="667"/>
      <c r="N691" s="667"/>
      <c r="O691" s="667"/>
      <c r="P691" s="667"/>
      <c r="Q691" s="667"/>
      <c r="R691" s="667"/>
      <c r="S691" s="667"/>
      <c r="T691" s="667"/>
      <c r="U691" s="1020">
        <v>12</v>
      </c>
      <c r="V691" s="668">
        <f t="shared" ref="V691:V708" si="214">+U691*D691</f>
        <v>1380</v>
      </c>
      <c r="W691" s="668">
        <f t="shared" ref="W691:W708" si="215">+U691*G691</f>
        <v>0</v>
      </c>
      <c r="X691" s="668">
        <f t="shared" ref="X691:X708" si="216">+U691*H691</f>
        <v>0</v>
      </c>
      <c r="Y691" s="668">
        <f t="shared" ref="Y691:Y708" si="217">+U691*J691</f>
        <v>0</v>
      </c>
      <c r="Z691" s="668">
        <f t="shared" ref="Z691:Z708" si="218">IF(C691="y",V691+W691+X691+Y691,0)</f>
        <v>1380</v>
      </c>
      <c r="AA691" s="668">
        <f t="shared" ref="AA691:AA715" si="219">+S691</f>
        <v>0</v>
      </c>
      <c r="AB691" s="668">
        <f t="shared" ref="AB691:AB708" si="220">+T691</f>
        <v>0</v>
      </c>
      <c r="AC691" s="668">
        <f t="shared" si="210"/>
        <v>0</v>
      </c>
      <c r="AD691" s="668">
        <f t="shared" ref="AD691:AD708" si="221">+Q691</f>
        <v>0</v>
      </c>
      <c r="AE691" s="668">
        <f t="shared" ref="AE691:AE708" si="222">+U691*M691</f>
        <v>0</v>
      </c>
      <c r="AF691" s="668">
        <f t="shared" ref="AF691:AF708" si="223">+L691*U691</f>
        <v>0</v>
      </c>
      <c r="AG691" s="668">
        <f t="shared" ref="AG691:AG708" si="224">+$AG$4*N691</f>
        <v>0</v>
      </c>
      <c r="AH691" s="668"/>
      <c r="AI691" s="668"/>
      <c r="AJ691" s="668"/>
      <c r="AK691" s="668"/>
      <c r="AL691" s="668"/>
      <c r="AM691" s="668">
        <f t="shared" si="211"/>
        <v>0</v>
      </c>
      <c r="AN691" s="668">
        <f t="shared" si="206"/>
        <v>0</v>
      </c>
      <c r="AO691" s="668">
        <f t="shared" si="207"/>
        <v>0</v>
      </c>
      <c r="AP691" s="668">
        <f t="shared" si="212"/>
        <v>0</v>
      </c>
      <c r="AQ691" s="668">
        <f t="shared" si="208"/>
        <v>0</v>
      </c>
      <c r="AR691" s="668">
        <f t="shared" si="209"/>
        <v>0</v>
      </c>
      <c r="AS691" s="668"/>
      <c r="AT691" s="668"/>
      <c r="AU691" s="668"/>
      <c r="AV691" s="668"/>
      <c r="AW691" s="668"/>
      <c r="AX691" s="668"/>
      <c r="AY691" s="668"/>
      <c r="AZ691" s="668"/>
      <c r="BA691" s="668"/>
      <c r="BB691" s="668">
        <f t="shared" si="213"/>
        <v>0</v>
      </c>
      <c r="BC691" s="668"/>
      <c r="BD691" s="668"/>
      <c r="BE691" s="668"/>
      <c r="BF691" s="668"/>
      <c r="BG691" s="668"/>
      <c r="BH691" s="668"/>
      <c r="BI691" s="668"/>
    </row>
    <row r="692" spans="1:61" x14ac:dyDescent="0.2">
      <c r="A692" s="1020">
        <v>3238</v>
      </c>
      <c r="B692" s="1020" t="s">
        <v>752</v>
      </c>
      <c r="C692" s="1020" t="s">
        <v>984</v>
      </c>
      <c r="D692" s="667">
        <v>318</v>
      </c>
      <c r="E692" s="667"/>
      <c r="F692" s="667"/>
      <c r="G692" s="667"/>
      <c r="H692" s="667"/>
      <c r="I692" s="667"/>
      <c r="J692" s="667"/>
      <c r="K692" s="667"/>
      <c r="L692" s="667"/>
      <c r="M692" s="667"/>
      <c r="N692" s="667"/>
      <c r="O692" s="667"/>
      <c r="P692" s="667"/>
      <c r="Q692" s="667"/>
      <c r="R692" s="667"/>
      <c r="S692" s="667"/>
      <c r="T692" s="667"/>
      <c r="U692" s="1020">
        <v>12</v>
      </c>
      <c r="V692" s="668">
        <f t="shared" si="214"/>
        <v>3816</v>
      </c>
      <c r="W692" s="668">
        <f t="shared" si="215"/>
        <v>0</v>
      </c>
      <c r="X692" s="668">
        <f t="shared" si="216"/>
        <v>0</v>
      </c>
      <c r="Y692" s="668">
        <f t="shared" si="217"/>
        <v>0</v>
      </c>
      <c r="Z692" s="668">
        <f t="shared" si="218"/>
        <v>3816</v>
      </c>
      <c r="AA692" s="668">
        <f t="shared" si="219"/>
        <v>0</v>
      </c>
      <c r="AB692" s="668">
        <f t="shared" si="220"/>
        <v>0</v>
      </c>
      <c r="AC692" s="668">
        <f t="shared" si="210"/>
        <v>0</v>
      </c>
      <c r="AD692" s="668">
        <f t="shared" si="221"/>
        <v>0</v>
      </c>
      <c r="AE692" s="668">
        <f t="shared" si="222"/>
        <v>0</v>
      </c>
      <c r="AF692" s="668">
        <f t="shared" si="223"/>
        <v>0</v>
      </c>
      <c r="AG692" s="668">
        <f t="shared" si="224"/>
        <v>0</v>
      </c>
      <c r="AH692" s="668"/>
      <c r="AI692" s="668"/>
      <c r="AJ692" s="668"/>
      <c r="AK692" s="668"/>
      <c r="AL692" s="668"/>
      <c r="AM692" s="668">
        <f t="shared" si="211"/>
        <v>0</v>
      </c>
      <c r="AN692" s="668">
        <f t="shared" si="206"/>
        <v>0</v>
      </c>
      <c r="AO692" s="668">
        <f t="shared" si="207"/>
        <v>0</v>
      </c>
      <c r="AP692" s="668">
        <f t="shared" si="212"/>
        <v>0</v>
      </c>
      <c r="AQ692" s="668">
        <f t="shared" si="208"/>
        <v>0</v>
      </c>
      <c r="AR692" s="668">
        <f t="shared" si="209"/>
        <v>0</v>
      </c>
      <c r="AS692" s="668"/>
      <c r="AT692" s="668"/>
      <c r="AU692" s="668"/>
      <c r="AV692" s="668"/>
      <c r="AW692" s="668"/>
      <c r="AX692" s="668"/>
      <c r="AY692" s="668"/>
      <c r="AZ692" s="668"/>
      <c r="BA692" s="668"/>
      <c r="BB692" s="668">
        <f t="shared" si="213"/>
        <v>0</v>
      </c>
      <c r="BC692" s="668"/>
      <c r="BD692" s="668"/>
      <c r="BE692" s="668"/>
      <c r="BF692" s="668"/>
      <c r="BG692" s="668"/>
      <c r="BH692" s="668"/>
      <c r="BI692" s="668"/>
    </row>
    <row r="693" spans="1:61" x14ac:dyDescent="0.2">
      <c r="A693" s="1020">
        <v>3239</v>
      </c>
      <c r="B693" s="1020" t="s">
        <v>465</v>
      </c>
      <c r="C693" s="1020" t="s">
        <v>984</v>
      </c>
      <c r="D693" s="667">
        <v>288</v>
      </c>
      <c r="E693" s="667"/>
      <c r="F693" s="667"/>
      <c r="G693" s="667"/>
      <c r="H693" s="667"/>
      <c r="I693" s="667"/>
      <c r="J693" s="667"/>
      <c r="K693" s="667"/>
      <c r="L693" s="667"/>
      <c r="M693" s="667"/>
      <c r="N693" s="667"/>
      <c r="O693" s="667"/>
      <c r="P693" s="667"/>
      <c r="Q693" s="667"/>
      <c r="R693" s="667"/>
      <c r="S693" s="667"/>
      <c r="T693" s="667"/>
      <c r="U693" s="1020">
        <v>12</v>
      </c>
      <c r="V693" s="668">
        <f t="shared" si="214"/>
        <v>3456</v>
      </c>
      <c r="W693" s="668">
        <f t="shared" si="215"/>
        <v>0</v>
      </c>
      <c r="X693" s="668">
        <f t="shared" si="216"/>
        <v>0</v>
      </c>
      <c r="Y693" s="668">
        <f t="shared" si="217"/>
        <v>0</v>
      </c>
      <c r="Z693" s="668">
        <f t="shared" si="218"/>
        <v>3456</v>
      </c>
      <c r="AA693" s="668">
        <f t="shared" si="219"/>
        <v>0</v>
      </c>
      <c r="AB693" s="668">
        <f t="shared" si="220"/>
        <v>0</v>
      </c>
      <c r="AC693" s="668">
        <f t="shared" si="210"/>
        <v>0</v>
      </c>
      <c r="AD693" s="668">
        <f t="shared" si="221"/>
        <v>0</v>
      </c>
      <c r="AE693" s="668">
        <f t="shared" si="222"/>
        <v>0</v>
      </c>
      <c r="AF693" s="668">
        <f t="shared" si="223"/>
        <v>0</v>
      </c>
      <c r="AG693" s="668">
        <f t="shared" si="224"/>
        <v>0</v>
      </c>
      <c r="AH693" s="668"/>
      <c r="AI693" s="668"/>
      <c r="AJ693" s="668"/>
      <c r="AK693" s="668"/>
      <c r="AL693" s="668"/>
      <c r="AM693" s="668">
        <f t="shared" si="211"/>
        <v>0</v>
      </c>
      <c r="AN693" s="668">
        <f t="shared" si="206"/>
        <v>0</v>
      </c>
      <c r="AO693" s="668">
        <f t="shared" si="207"/>
        <v>0</v>
      </c>
      <c r="AP693" s="668">
        <f t="shared" si="212"/>
        <v>0</v>
      </c>
      <c r="AQ693" s="668">
        <f t="shared" si="208"/>
        <v>0</v>
      </c>
      <c r="AR693" s="668">
        <f t="shared" si="209"/>
        <v>0</v>
      </c>
      <c r="AS693" s="668"/>
      <c r="AT693" s="668"/>
      <c r="AU693" s="668"/>
      <c r="AV693" s="668"/>
      <c r="AW693" s="668"/>
      <c r="AX693" s="668"/>
      <c r="AY693" s="668"/>
      <c r="AZ693" s="668"/>
      <c r="BA693" s="668"/>
      <c r="BB693" s="668">
        <f t="shared" si="213"/>
        <v>0</v>
      </c>
      <c r="BC693" s="668"/>
      <c r="BD693" s="668"/>
      <c r="BE693" s="668"/>
      <c r="BF693" s="668"/>
      <c r="BG693" s="668"/>
      <c r="BH693" s="668"/>
      <c r="BI693" s="668"/>
    </row>
    <row r="694" spans="1:61" x14ac:dyDescent="0.2">
      <c r="A694" s="1020">
        <v>3240</v>
      </c>
      <c r="B694" s="1020" t="s">
        <v>465</v>
      </c>
      <c r="C694" s="1020" t="s">
        <v>984</v>
      </c>
      <c r="D694" s="667">
        <v>80</v>
      </c>
      <c r="E694" s="667"/>
      <c r="F694" s="667"/>
      <c r="G694" s="667"/>
      <c r="H694" s="667"/>
      <c r="I694" s="667"/>
      <c r="J694" s="667"/>
      <c r="K694" s="667"/>
      <c r="L694" s="667"/>
      <c r="M694" s="667"/>
      <c r="N694" s="667"/>
      <c r="O694" s="667"/>
      <c r="P694" s="667"/>
      <c r="Q694" s="667"/>
      <c r="R694" s="667"/>
      <c r="S694" s="667"/>
      <c r="T694" s="667"/>
      <c r="U694" s="1020">
        <v>12</v>
      </c>
      <c r="V694" s="668">
        <f t="shared" si="214"/>
        <v>960</v>
      </c>
      <c r="W694" s="668">
        <f t="shared" si="215"/>
        <v>0</v>
      </c>
      <c r="X694" s="668">
        <f t="shared" si="216"/>
        <v>0</v>
      </c>
      <c r="Y694" s="668">
        <f t="shared" si="217"/>
        <v>0</v>
      </c>
      <c r="Z694" s="668">
        <f t="shared" si="218"/>
        <v>960</v>
      </c>
      <c r="AA694" s="668">
        <f t="shared" si="219"/>
        <v>0</v>
      </c>
      <c r="AB694" s="668">
        <f t="shared" si="220"/>
        <v>0</v>
      </c>
      <c r="AC694" s="668">
        <f t="shared" si="210"/>
        <v>0</v>
      </c>
      <c r="AD694" s="668">
        <f t="shared" si="221"/>
        <v>0</v>
      </c>
      <c r="AE694" s="668">
        <f t="shared" si="222"/>
        <v>0</v>
      </c>
      <c r="AF694" s="668">
        <f t="shared" si="223"/>
        <v>0</v>
      </c>
      <c r="AG694" s="668">
        <f t="shared" si="224"/>
        <v>0</v>
      </c>
      <c r="AH694" s="668"/>
      <c r="AI694" s="668"/>
      <c r="AJ694" s="668"/>
      <c r="AK694" s="668"/>
      <c r="AL694" s="668"/>
      <c r="AM694" s="668">
        <f t="shared" si="211"/>
        <v>0</v>
      </c>
      <c r="AN694" s="668">
        <f t="shared" si="206"/>
        <v>0</v>
      </c>
      <c r="AO694" s="668">
        <f t="shared" si="207"/>
        <v>0</v>
      </c>
      <c r="AP694" s="668">
        <f t="shared" si="212"/>
        <v>0</v>
      </c>
      <c r="AQ694" s="668">
        <f t="shared" si="208"/>
        <v>0</v>
      </c>
      <c r="AR694" s="668">
        <f t="shared" si="209"/>
        <v>0</v>
      </c>
      <c r="AS694" s="668"/>
      <c r="AT694" s="668"/>
      <c r="AU694" s="668"/>
      <c r="AV694" s="668"/>
      <c r="AW694" s="668"/>
      <c r="AX694" s="668"/>
      <c r="AY694" s="668"/>
      <c r="AZ694" s="668"/>
      <c r="BA694" s="668"/>
      <c r="BB694" s="668">
        <f t="shared" si="213"/>
        <v>0</v>
      </c>
      <c r="BC694" s="668"/>
      <c r="BD694" s="668"/>
      <c r="BE694" s="668"/>
      <c r="BF694" s="668"/>
      <c r="BG694" s="668"/>
      <c r="BH694" s="668"/>
      <c r="BI694" s="668"/>
    </row>
    <row r="695" spans="1:61" x14ac:dyDescent="0.2">
      <c r="A695" s="1020">
        <v>3241</v>
      </c>
      <c r="B695" s="1020" t="s">
        <v>465</v>
      </c>
      <c r="C695" s="1020" t="s">
        <v>984</v>
      </c>
      <c r="D695" s="667">
        <v>100</v>
      </c>
      <c r="E695" s="667"/>
      <c r="F695" s="667"/>
      <c r="G695" s="667"/>
      <c r="H695" s="667"/>
      <c r="I695" s="667"/>
      <c r="J695" s="667"/>
      <c r="K695" s="667"/>
      <c r="L695" s="667"/>
      <c r="M695" s="667"/>
      <c r="N695" s="667"/>
      <c r="O695" s="667"/>
      <c r="P695" s="667"/>
      <c r="Q695" s="667"/>
      <c r="R695" s="667"/>
      <c r="S695" s="667"/>
      <c r="T695" s="667"/>
      <c r="U695" s="1020">
        <v>12</v>
      </c>
      <c r="V695" s="668">
        <f t="shared" si="214"/>
        <v>1200</v>
      </c>
      <c r="W695" s="668">
        <f t="shared" si="215"/>
        <v>0</v>
      </c>
      <c r="X695" s="668">
        <f t="shared" si="216"/>
        <v>0</v>
      </c>
      <c r="Y695" s="668">
        <f t="shared" si="217"/>
        <v>0</v>
      </c>
      <c r="Z695" s="668">
        <f t="shared" si="218"/>
        <v>1200</v>
      </c>
      <c r="AA695" s="668">
        <f t="shared" si="219"/>
        <v>0</v>
      </c>
      <c r="AB695" s="668">
        <f t="shared" si="220"/>
        <v>0</v>
      </c>
      <c r="AC695" s="668">
        <f t="shared" si="210"/>
        <v>0</v>
      </c>
      <c r="AD695" s="668">
        <f t="shared" si="221"/>
        <v>0</v>
      </c>
      <c r="AE695" s="668">
        <f t="shared" si="222"/>
        <v>0</v>
      </c>
      <c r="AF695" s="668">
        <f t="shared" si="223"/>
        <v>0</v>
      </c>
      <c r="AG695" s="668">
        <f t="shared" si="224"/>
        <v>0</v>
      </c>
      <c r="AH695" s="668"/>
      <c r="AI695" s="668"/>
      <c r="AJ695" s="668"/>
      <c r="AK695" s="668"/>
      <c r="AL695" s="668"/>
      <c r="AM695" s="668">
        <f t="shared" si="211"/>
        <v>0</v>
      </c>
      <c r="AN695" s="668">
        <f t="shared" si="206"/>
        <v>0</v>
      </c>
      <c r="AO695" s="668">
        <f t="shared" si="207"/>
        <v>0</v>
      </c>
      <c r="AP695" s="668">
        <f t="shared" si="212"/>
        <v>0</v>
      </c>
      <c r="AQ695" s="668">
        <f t="shared" si="208"/>
        <v>0</v>
      </c>
      <c r="AR695" s="668">
        <f t="shared" si="209"/>
        <v>0</v>
      </c>
      <c r="AS695" s="668"/>
      <c r="AT695" s="668"/>
      <c r="AU695" s="668"/>
      <c r="AV695" s="668"/>
      <c r="AW695" s="668"/>
      <c r="AX695" s="668"/>
      <c r="AY695" s="668"/>
      <c r="AZ695" s="668"/>
      <c r="BA695" s="668"/>
      <c r="BB695" s="668">
        <f t="shared" si="213"/>
        <v>0</v>
      </c>
      <c r="BC695" s="668"/>
      <c r="BD695" s="668"/>
      <c r="BE695" s="668"/>
      <c r="BF695" s="668"/>
      <c r="BG695" s="668"/>
      <c r="BH695" s="668"/>
      <c r="BI695" s="668"/>
    </row>
    <row r="696" spans="1:61" x14ac:dyDescent="0.2">
      <c r="A696" s="1020">
        <v>3242</v>
      </c>
      <c r="B696" s="1020" t="s">
        <v>752</v>
      </c>
      <c r="C696" s="1020" t="s">
        <v>984</v>
      </c>
      <c r="D696" s="667">
        <v>200</v>
      </c>
      <c r="E696" s="667"/>
      <c r="F696" s="667"/>
      <c r="G696" s="667"/>
      <c r="H696" s="667"/>
      <c r="I696" s="667"/>
      <c r="J696" s="667"/>
      <c r="K696" s="667"/>
      <c r="L696" s="667"/>
      <c r="M696" s="667"/>
      <c r="N696" s="667"/>
      <c r="O696" s="667"/>
      <c r="P696" s="667"/>
      <c r="Q696" s="667"/>
      <c r="R696" s="667"/>
      <c r="S696" s="667"/>
      <c r="T696" s="667"/>
      <c r="U696" s="1020">
        <v>12</v>
      </c>
      <c r="V696" s="668">
        <f t="shared" si="214"/>
        <v>2400</v>
      </c>
      <c r="W696" s="668">
        <f t="shared" si="215"/>
        <v>0</v>
      </c>
      <c r="X696" s="668">
        <f t="shared" si="216"/>
        <v>0</v>
      </c>
      <c r="Y696" s="668">
        <f t="shared" si="217"/>
        <v>0</v>
      </c>
      <c r="Z696" s="668">
        <f t="shared" si="218"/>
        <v>2400</v>
      </c>
      <c r="AA696" s="668">
        <f t="shared" si="219"/>
        <v>0</v>
      </c>
      <c r="AB696" s="668">
        <f t="shared" si="220"/>
        <v>0</v>
      </c>
      <c r="AC696" s="668">
        <f t="shared" si="210"/>
        <v>0</v>
      </c>
      <c r="AD696" s="668">
        <f t="shared" si="221"/>
        <v>0</v>
      </c>
      <c r="AE696" s="668">
        <f t="shared" si="222"/>
        <v>0</v>
      </c>
      <c r="AF696" s="668">
        <f t="shared" si="223"/>
        <v>0</v>
      </c>
      <c r="AG696" s="668">
        <f t="shared" si="224"/>
        <v>0</v>
      </c>
      <c r="AH696" s="668"/>
      <c r="AI696" s="668"/>
      <c r="AJ696" s="668"/>
      <c r="AK696" s="668"/>
      <c r="AL696" s="668"/>
      <c r="AM696" s="668">
        <f t="shared" si="211"/>
        <v>0</v>
      </c>
      <c r="AN696" s="668">
        <f t="shared" si="206"/>
        <v>0</v>
      </c>
      <c r="AO696" s="668">
        <f t="shared" si="207"/>
        <v>0</v>
      </c>
      <c r="AP696" s="668">
        <f t="shared" si="212"/>
        <v>0</v>
      </c>
      <c r="AQ696" s="668">
        <f t="shared" si="208"/>
        <v>0</v>
      </c>
      <c r="AR696" s="668">
        <f t="shared" si="209"/>
        <v>0</v>
      </c>
      <c r="AS696" s="668"/>
      <c r="AT696" s="668"/>
      <c r="AU696" s="668"/>
      <c r="AV696" s="668"/>
      <c r="AW696" s="668"/>
      <c r="AX696" s="668"/>
      <c r="AY696" s="668"/>
      <c r="AZ696" s="668"/>
      <c r="BA696" s="668"/>
      <c r="BB696" s="668">
        <f t="shared" si="213"/>
        <v>0</v>
      </c>
      <c r="BC696" s="668"/>
      <c r="BD696" s="668"/>
      <c r="BE696" s="668"/>
      <c r="BF696" s="668"/>
      <c r="BG696" s="668"/>
      <c r="BH696" s="668"/>
      <c r="BI696" s="668"/>
    </row>
    <row r="697" spans="1:61" x14ac:dyDescent="0.2">
      <c r="A697" s="1020">
        <v>3243</v>
      </c>
      <c r="B697" s="1020" t="s">
        <v>465</v>
      </c>
      <c r="C697" s="1020" t="s">
        <v>984</v>
      </c>
      <c r="D697" s="667">
        <v>105</v>
      </c>
      <c r="E697" s="667"/>
      <c r="F697" s="667"/>
      <c r="G697" s="667"/>
      <c r="H697" s="667"/>
      <c r="I697" s="667"/>
      <c r="J697" s="667"/>
      <c r="K697" s="667"/>
      <c r="L697" s="667"/>
      <c r="M697" s="667"/>
      <c r="N697" s="667"/>
      <c r="O697" s="667"/>
      <c r="P697" s="667"/>
      <c r="Q697" s="667"/>
      <c r="R697" s="667"/>
      <c r="S697" s="667"/>
      <c r="T697" s="667"/>
      <c r="U697" s="1020">
        <v>12</v>
      </c>
      <c r="V697" s="668">
        <f t="shared" si="214"/>
        <v>1260</v>
      </c>
      <c r="W697" s="668">
        <f t="shared" si="215"/>
        <v>0</v>
      </c>
      <c r="X697" s="668">
        <f t="shared" si="216"/>
        <v>0</v>
      </c>
      <c r="Y697" s="668">
        <f t="shared" si="217"/>
        <v>0</v>
      </c>
      <c r="Z697" s="668">
        <f t="shared" si="218"/>
        <v>1260</v>
      </c>
      <c r="AA697" s="668">
        <f t="shared" si="219"/>
        <v>0</v>
      </c>
      <c r="AB697" s="668">
        <f t="shared" si="220"/>
        <v>0</v>
      </c>
      <c r="AC697" s="668">
        <f t="shared" si="210"/>
        <v>0</v>
      </c>
      <c r="AD697" s="668">
        <f t="shared" si="221"/>
        <v>0</v>
      </c>
      <c r="AE697" s="668">
        <f t="shared" si="222"/>
        <v>0</v>
      </c>
      <c r="AF697" s="668">
        <f t="shared" si="223"/>
        <v>0</v>
      </c>
      <c r="AG697" s="668">
        <f t="shared" si="224"/>
        <v>0</v>
      </c>
      <c r="AH697" s="668"/>
      <c r="AI697" s="668"/>
      <c r="AJ697" s="668"/>
      <c r="AK697" s="668"/>
      <c r="AL697" s="668"/>
      <c r="AM697" s="668">
        <f t="shared" si="211"/>
        <v>0</v>
      </c>
      <c r="AN697" s="668">
        <f t="shared" si="206"/>
        <v>0</v>
      </c>
      <c r="AO697" s="668">
        <f t="shared" si="207"/>
        <v>0</v>
      </c>
      <c r="AP697" s="668">
        <f t="shared" si="212"/>
        <v>0</v>
      </c>
      <c r="AQ697" s="668">
        <f t="shared" si="208"/>
        <v>0</v>
      </c>
      <c r="AR697" s="668">
        <f t="shared" si="209"/>
        <v>0</v>
      </c>
      <c r="AS697" s="668"/>
      <c r="AT697" s="668"/>
      <c r="AU697" s="668"/>
      <c r="AV697" s="668"/>
      <c r="AW697" s="668"/>
      <c r="AX697" s="668"/>
      <c r="AY697" s="668"/>
      <c r="AZ697" s="668"/>
      <c r="BA697" s="668"/>
      <c r="BB697" s="668">
        <f t="shared" si="213"/>
        <v>0</v>
      </c>
      <c r="BC697" s="668"/>
      <c r="BD697" s="668"/>
      <c r="BE697" s="668"/>
      <c r="BF697" s="668"/>
      <c r="BG697" s="668"/>
      <c r="BH697" s="668"/>
      <c r="BI697" s="668"/>
    </row>
    <row r="698" spans="1:61" x14ac:dyDescent="0.2">
      <c r="A698" s="1020">
        <v>3244</v>
      </c>
      <c r="B698" s="1020" t="s">
        <v>752</v>
      </c>
      <c r="C698" s="1020"/>
      <c r="D698" s="667"/>
      <c r="E698" s="667"/>
      <c r="F698" s="667"/>
      <c r="G698" s="667"/>
      <c r="H698" s="667"/>
      <c r="I698" s="667"/>
      <c r="J698" s="667"/>
      <c r="K698" s="667"/>
      <c r="L698" s="667"/>
      <c r="M698" s="667"/>
      <c r="N698" s="667"/>
      <c r="O698" s="667"/>
      <c r="P698" s="667"/>
      <c r="Q698" s="667"/>
      <c r="R698" s="667"/>
      <c r="S698" s="667"/>
      <c r="T698" s="667"/>
      <c r="U698" s="1020"/>
      <c r="V698" s="668">
        <f t="shared" si="214"/>
        <v>0</v>
      </c>
      <c r="W698" s="668">
        <f t="shared" si="215"/>
        <v>0</v>
      </c>
      <c r="X698" s="668">
        <f t="shared" si="216"/>
        <v>0</v>
      </c>
      <c r="Y698" s="668">
        <f t="shared" si="217"/>
        <v>0</v>
      </c>
      <c r="Z698" s="668">
        <f t="shared" si="218"/>
        <v>0</v>
      </c>
      <c r="AA698" s="668">
        <f t="shared" si="219"/>
        <v>0</v>
      </c>
      <c r="AB698" s="668">
        <f t="shared" si="220"/>
        <v>0</v>
      </c>
      <c r="AC698" s="668">
        <f t="shared" si="210"/>
        <v>0</v>
      </c>
      <c r="AD698" s="668">
        <f t="shared" si="221"/>
        <v>0</v>
      </c>
      <c r="AE698" s="668">
        <f t="shared" si="222"/>
        <v>0</v>
      </c>
      <c r="AF698" s="668">
        <f t="shared" si="223"/>
        <v>0</v>
      </c>
      <c r="AG698" s="668">
        <f t="shared" si="224"/>
        <v>0</v>
      </c>
      <c r="AH698" s="668"/>
      <c r="AI698" s="668"/>
      <c r="AJ698" s="668"/>
      <c r="AK698" s="668"/>
      <c r="AL698" s="668"/>
      <c r="AM698" s="668">
        <f t="shared" si="211"/>
        <v>0</v>
      </c>
      <c r="AN698" s="668">
        <f t="shared" si="206"/>
        <v>0</v>
      </c>
      <c r="AO698" s="668">
        <f t="shared" si="207"/>
        <v>0</v>
      </c>
      <c r="AP698" s="668">
        <f t="shared" si="212"/>
        <v>0</v>
      </c>
      <c r="AQ698" s="668">
        <f t="shared" si="208"/>
        <v>0</v>
      </c>
      <c r="AR698" s="668">
        <f t="shared" si="209"/>
        <v>0</v>
      </c>
      <c r="AS698" s="668"/>
      <c r="AT698" s="668"/>
      <c r="AU698" s="668"/>
      <c r="AV698" s="668"/>
      <c r="AW698" s="668"/>
      <c r="AX698" s="668"/>
      <c r="AY698" s="668"/>
      <c r="AZ698" s="668"/>
      <c r="BA698" s="668"/>
      <c r="BB698" s="668">
        <f t="shared" si="213"/>
        <v>0</v>
      </c>
      <c r="BC698" s="668"/>
      <c r="BD698" s="668"/>
      <c r="BE698" s="668"/>
      <c r="BF698" s="668"/>
      <c r="BG698" s="668"/>
      <c r="BH698" s="668"/>
      <c r="BI698" s="668"/>
    </row>
    <row r="699" spans="1:61" x14ac:dyDescent="0.2">
      <c r="A699" s="1020" t="s">
        <v>753</v>
      </c>
      <c r="B699" s="1020" t="s">
        <v>606</v>
      </c>
      <c r="C699" s="1020"/>
      <c r="D699" s="667"/>
      <c r="E699" s="667"/>
      <c r="F699" s="667"/>
      <c r="G699" s="667"/>
      <c r="H699" s="667"/>
      <c r="I699" s="667"/>
      <c r="J699" s="667">
        <v>92</v>
      </c>
      <c r="K699" s="667"/>
      <c r="L699" s="667"/>
      <c r="M699" s="667"/>
      <c r="N699" s="667"/>
      <c r="O699" s="667"/>
      <c r="P699" s="667"/>
      <c r="Q699" s="667"/>
      <c r="R699" s="667"/>
      <c r="S699" s="667"/>
      <c r="T699" s="667"/>
      <c r="U699" s="1020">
        <v>14</v>
      </c>
      <c r="V699" s="668">
        <f t="shared" si="214"/>
        <v>0</v>
      </c>
      <c r="W699" s="668">
        <f t="shared" si="215"/>
        <v>0</v>
      </c>
      <c r="X699" s="668">
        <f t="shared" si="216"/>
        <v>0</v>
      </c>
      <c r="Y699" s="668">
        <f t="shared" si="217"/>
        <v>1288</v>
      </c>
      <c r="Z699" s="668">
        <f t="shared" si="218"/>
        <v>0</v>
      </c>
      <c r="AA699" s="668">
        <f t="shared" si="219"/>
        <v>0</v>
      </c>
      <c r="AB699" s="668">
        <f t="shared" si="220"/>
        <v>0</v>
      </c>
      <c r="AC699" s="668">
        <f t="shared" si="210"/>
        <v>0</v>
      </c>
      <c r="AD699" s="668">
        <f t="shared" si="221"/>
        <v>0</v>
      </c>
      <c r="AE699" s="668">
        <f t="shared" si="222"/>
        <v>0</v>
      </c>
      <c r="AF699" s="668">
        <f t="shared" si="223"/>
        <v>0</v>
      </c>
      <c r="AG699" s="668">
        <f t="shared" si="224"/>
        <v>0</v>
      </c>
      <c r="AH699" s="668"/>
      <c r="AI699" s="668"/>
      <c r="AJ699" s="668"/>
      <c r="AK699" s="668"/>
      <c r="AL699" s="668"/>
      <c r="AM699" s="668">
        <f t="shared" si="211"/>
        <v>0</v>
      </c>
      <c r="AN699" s="668">
        <f t="shared" si="206"/>
        <v>0</v>
      </c>
      <c r="AO699" s="668">
        <f t="shared" si="207"/>
        <v>0</v>
      </c>
      <c r="AP699" s="668">
        <f t="shared" si="212"/>
        <v>0</v>
      </c>
      <c r="AQ699" s="668">
        <f t="shared" si="208"/>
        <v>0</v>
      </c>
      <c r="AR699" s="668">
        <f t="shared" si="209"/>
        <v>0</v>
      </c>
      <c r="AS699" s="668"/>
      <c r="AT699" s="668"/>
      <c r="AU699" s="668"/>
      <c r="AV699" s="668"/>
      <c r="AW699" s="668"/>
      <c r="AX699" s="668"/>
      <c r="AY699" s="668"/>
      <c r="AZ699" s="668"/>
      <c r="BA699" s="668"/>
      <c r="BB699" s="668">
        <f t="shared" si="213"/>
        <v>0</v>
      </c>
      <c r="BC699" s="668"/>
      <c r="BD699" s="668"/>
      <c r="BE699" s="668"/>
      <c r="BF699" s="668"/>
      <c r="BG699" s="668"/>
      <c r="BH699" s="668"/>
      <c r="BI699" s="668"/>
    </row>
    <row r="700" spans="1:61" x14ac:dyDescent="0.2">
      <c r="A700" s="1020" t="s">
        <v>754</v>
      </c>
      <c r="B700" s="1020" t="s">
        <v>607</v>
      </c>
      <c r="C700" s="1020"/>
      <c r="D700" s="667"/>
      <c r="E700" s="667"/>
      <c r="F700" s="667"/>
      <c r="G700" s="667"/>
      <c r="H700" s="667"/>
      <c r="I700" s="667"/>
      <c r="J700" s="667">
        <v>67</v>
      </c>
      <c r="K700" s="667"/>
      <c r="L700" s="667"/>
      <c r="M700" s="667"/>
      <c r="N700" s="667"/>
      <c r="O700" s="667"/>
      <c r="P700" s="667"/>
      <c r="Q700" s="667"/>
      <c r="R700" s="667"/>
      <c r="S700" s="667"/>
      <c r="T700" s="667"/>
      <c r="U700" s="1020">
        <v>14</v>
      </c>
      <c r="V700" s="668">
        <f t="shared" si="214"/>
        <v>0</v>
      </c>
      <c r="W700" s="668">
        <f t="shared" si="215"/>
        <v>0</v>
      </c>
      <c r="X700" s="668">
        <f t="shared" si="216"/>
        <v>0</v>
      </c>
      <c r="Y700" s="668">
        <f t="shared" si="217"/>
        <v>938</v>
      </c>
      <c r="Z700" s="668">
        <f t="shared" si="218"/>
        <v>0</v>
      </c>
      <c r="AA700" s="668">
        <f t="shared" si="219"/>
        <v>0</v>
      </c>
      <c r="AB700" s="668">
        <f t="shared" si="220"/>
        <v>0</v>
      </c>
      <c r="AC700" s="668">
        <f t="shared" si="210"/>
        <v>0</v>
      </c>
      <c r="AD700" s="668">
        <f t="shared" si="221"/>
        <v>0</v>
      </c>
      <c r="AE700" s="668">
        <f t="shared" si="222"/>
        <v>0</v>
      </c>
      <c r="AF700" s="668">
        <f t="shared" si="223"/>
        <v>0</v>
      </c>
      <c r="AG700" s="668">
        <f t="shared" si="224"/>
        <v>0</v>
      </c>
      <c r="AH700" s="668"/>
      <c r="AI700" s="668"/>
      <c r="AJ700" s="668"/>
      <c r="AK700" s="668"/>
      <c r="AL700" s="668"/>
      <c r="AM700" s="668">
        <f t="shared" si="211"/>
        <v>0</v>
      </c>
      <c r="AN700" s="668">
        <f t="shared" si="206"/>
        <v>0</v>
      </c>
      <c r="AO700" s="668">
        <f t="shared" si="207"/>
        <v>0</v>
      </c>
      <c r="AP700" s="668">
        <f t="shared" si="212"/>
        <v>0</v>
      </c>
      <c r="AQ700" s="668">
        <f t="shared" si="208"/>
        <v>0</v>
      </c>
      <c r="AR700" s="668">
        <f t="shared" si="209"/>
        <v>0</v>
      </c>
      <c r="AS700" s="668"/>
      <c r="AT700" s="668"/>
      <c r="AU700" s="668"/>
      <c r="AV700" s="668"/>
      <c r="AW700" s="668"/>
      <c r="AX700" s="668"/>
      <c r="AY700" s="668"/>
      <c r="AZ700" s="668"/>
      <c r="BA700" s="668"/>
      <c r="BB700" s="668">
        <f t="shared" si="213"/>
        <v>0</v>
      </c>
      <c r="BC700" s="668"/>
      <c r="BD700" s="668"/>
      <c r="BE700" s="668"/>
      <c r="BF700" s="668"/>
      <c r="BG700" s="668"/>
      <c r="BH700" s="668"/>
      <c r="BI700" s="668"/>
    </row>
    <row r="701" spans="1:61" x14ac:dyDescent="0.2">
      <c r="A701" s="1020" t="s">
        <v>755</v>
      </c>
      <c r="B701" s="1020" t="s">
        <v>608</v>
      </c>
      <c r="C701" s="1020"/>
      <c r="D701" s="667"/>
      <c r="E701" s="667"/>
      <c r="F701" s="667"/>
      <c r="G701" s="667"/>
      <c r="H701" s="667"/>
      <c r="I701" s="667"/>
      <c r="J701" s="667">
        <v>64</v>
      </c>
      <c r="K701" s="667"/>
      <c r="L701" s="667"/>
      <c r="M701" s="667"/>
      <c r="N701" s="667"/>
      <c r="O701" s="667"/>
      <c r="P701" s="667"/>
      <c r="Q701" s="667"/>
      <c r="R701" s="667"/>
      <c r="S701" s="667"/>
      <c r="T701" s="667"/>
      <c r="U701" s="1020">
        <v>14</v>
      </c>
      <c r="V701" s="668">
        <f t="shared" si="214"/>
        <v>0</v>
      </c>
      <c r="W701" s="668">
        <f t="shared" si="215"/>
        <v>0</v>
      </c>
      <c r="X701" s="668">
        <f t="shared" si="216"/>
        <v>0</v>
      </c>
      <c r="Y701" s="668">
        <f t="shared" si="217"/>
        <v>896</v>
      </c>
      <c r="Z701" s="668">
        <f t="shared" si="218"/>
        <v>0</v>
      </c>
      <c r="AA701" s="668">
        <f t="shared" si="219"/>
        <v>0</v>
      </c>
      <c r="AB701" s="668">
        <f t="shared" si="220"/>
        <v>0</v>
      </c>
      <c r="AC701" s="668">
        <f t="shared" si="210"/>
        <v>0</v>
      </c>
      <c r="AD701" s="668">
        <f t="shared" si="221"/>
        <v>0</v>
      </c>
      <c r="AE701" s="668">
        <f t="shared" si="222"/>
        <v>0</v>
      </c>
      <c r="AF701" s="668">
        <f t="shared" si="223"/>
        <v>0</v>
      </c>
      <c r="AG701" s="668">
        <f t="shared" si="224"/>
        <v>0</v>
      </c>
      <c r="AH701" s="668"/>
      <c r="AI701" s="668"/>
      <c r="AJ701" s="668"/>
      <c r="AK701" s="668"/>
      <c r="AL701" s="668"/>
      <c r="AM701" s="668">
        <f t="shared" si="211"/>
        <v>0</v>
      </c>
      <c r="AN701" s="668">
        <f t="shared" si="206"/>
        <v>0</v>
      </c>
      <c r="AO701" s="668">
        <f t="shared" si="207"/>
        <v>0</v>
      </c>
      <c r="AP701" s="668">
        <f t="shared" si="212"/>
        <v>0</v>
      </c>
      <c r="AQ701" s="668">
        <f t="shared" si="208"/>
        <v>0</v>
      </c>
      <c r="AR701" s="668">
        <f t="shared" si="209"/>
        <v>0</v>
      </c>
      <c r="AS701" s="668"/>
      <c r="AT701" s="668"/>
      <c r="AU701" s="668"/>
      <c r="AV701" s="668"/>
      <c r="AW701" s="668"/>
      <c r="AX701" s="668"/>
      <c r="AY701" s="668"/>
      <c r="AZ701" s="668"/>
      <c r="BA701" s="668"/>
      <c r="BB701" s="668">
        <f t="shared" si="213"/>
        <v>0</v>
      </c>
      <c r="BC701" s="668"/>
      <c r="BD701" s="668"/>
      <c r="BE701" s="668"/>
      <c r="BF701" s="668"/>
      <c r="BG701" s="668"/>
      <c r="BH701" s="668"/>
      <c r="BI701" s="668"/>
    </row>
    <row r="702" spans="1:61" x14ac:dyDescent="0.2">
      <c r="A702" s="1020" t="s">
        <v>756</v>
      </c>
      <c r="B702" s="1020" t="s">
        <v>609</v>
      </c>
      <c r="C702" s="1020"/>
      <c r="D702" s="667"/>
      <c r="E702" s="667"/>
      <c r="F702" s="667"/>
      <c r="G702" s="667"/>
      <c r="H702" s="667"/>
      <c r="I702" s="667"/>
      <c r="J702" s="667">
        <v>64</v>
      </c>
      <c r="K702" s="667"/>
      <c r="L702" s="667"/>
      <c r="M702" s="667"/>
      <c r="N702" s="667"/>
      <c r="O702" s="667"/>
      <c r="P702" s="667"/>
      <c r="Q702" s="667"/>
      <c r="R702" s="667"/>
      <c r="S702" s="667"/>
      <c r="T702" s="667"/>
      <c r="U702" s="1020">
        <v>14</v>
      </c>
      <c r="V702" s="668">
        <f t="shared" si="214"/>
        <v>0</v>
      </c>
      <c r="W702" s="668">
        <f t="shared" si="215"/>
        <v>0</v>
      </c>
      <c r="X702" s="668">
        <f t="shared" si="216"/>
        <v>0</v>
      </c>
      <c r="Y702" s="668">
        <f t="shared" si="217"/>
        <v>896</v>
      </c>
      <c r="Z702" s="668">
        <f t="shared" si="218"/>
        <v>0</v>
      </c>
      <c r="AA702" s="668">
        <f t="shared" si="219"/>
        <v>0</v>
      </c>
      <c r="AB702" s="668">
        <f t="shared" si="220"/>
        <v>0</v>
      </c>
      <c r="AC702" s="668">
        <f t="shared" si="210"/>
        <v>0</v>
      </c>
      <c r="AD702" s="668">
        <f t="shared" si="221"/>
        <v>0</v>
      </c>
      <c r="AE702" s="668">
        <f t="shared" si="222"/>
        <v>0</v>
      </c>
      <c r="AF702" s="668">
        <f t="shared" si="223"/>
        <v>0</v>
      </c>
      <c r="AG702" s="668">
        <f t="shared" si="224"/>
        <v>0</v>
      </c>
      <c r="AH702" s="668"/>
      <c r="AI702" s="668"/>
      <c r="AJ702" s="668"/>
      <c r="AK702" s="668"/>
      <c r="AL702" s="668"/>
      <c r="AM702" s="668">
        <f t="shared" si="211"/>
        <v>0</v>
      </c>
      <c r="AN702" s="668">
        <f t="shared" si="206"/>
        <v>0</v>
      </c>
      <c r="AO702" s="668">
        <f t="shared" si="207"/>
        <v>0</v>
      </c>
      <c r="AP702" s="668">
        <f t="shared" si="212"/>
        <v>0</v>
      </c>
      <c r="AQ702" s="668">
        <f t="shared" si="208"/>
        <v>0</v>
      </c>
      <c r="AR702" s="668">
        <f t="shared" si="209"/>
        <v>0</v>
      </c>
      <c r="AS702" s="668"/>
      <c r="AT702" s="668"/>
      <c r="AU702" s="668"/>
      <c r="AV702" s="668"/>
      <c r="AW702" s="668"/>
      <c r="AX702" s="668"/>
      <c r="AY702" s="668"/>
      <c r="AZ702" s="668"/>
      <c r="BA702" s="668"/>
      <c r="BB702" s="668">
        <f t="shared" si="213"/>
        <v>0</v>
      </c>
      <c r="BC702" s="668"/>
      <c r="BD702" s="668"/>
      <c r="BE702" s="668"/>
      <c r="BF702" s="668"/>
      <c r="BG702" s="668"/>
      <c r="BH702" s="668"/>
      <c r="BI702" s="668"/>
    </row>
    <row r="703" spans="1:61" x14ac:dyDescent="0.2">
      <c r="A703" s="1020" t="s">
        <v>757</v>
      </c>
      <c r="B703" s="1020" t="s">
        <v>610</v>
      </c>
      <c r="C703" s="1020"/>
      <c r="D703" s="667"/>
      <c r="E703" s="667"/>
      <c r="F703" s="667"/>
      <c r="G703" s="667"/>
      <c r="H703" s="667"/>
      <c r="I703" s="667"/>
      <c r="J703" s="667">
        <v>64</v>
      </c>
      <c r="K703" s="667"/>
      <c r="L703" s="667"/>
      <c r="M703" s="667"/>
      <c r="N703" s="667"/>
      <c r="O703" s="667"/>
      <c r="P703" s="667"/>
      <c r="Q703" s="667"/>
      <c r="R703" s="667"/>
      <c r="S703" s="667"/>
      <c r="T703" s="667"/>
      <c r="U703" s="1020">
        <v>14</v>
      </c>
      <c r="V703" s="668">
        <f t="shared" si="214"/>
        <v>0</v>
      </c>
      <c r="W703" s="668">
        <f t="shared" si="215"/>
        <v>0</v>
      </c>
      <c r="X703" s="668">
        <f t="shared" si="216"/>
        <v>0</v>
      </c>
      <c r="Y703" s="668">
        <f t="shared" si="217"/>
        <v>896</v>
      </c>
      <c r="Z703" s="668">
        <f t="shared" si="218"/>
        <v>0</v>
      </c>
      <c r="AA703" s="668">
        <f t="shared" si="219"/>
        <v>0</v>
      </c>
      <c r="AB703" s="668">
        <f t="shared" si="220"/>
        <v>0</v>
      </c>
      <c r="AC703" s="668">
        <f t="shared" si="210"/>
        <v>0</v>
      </c>
      <c r="AD703" s="668">
        <f t="shared" si="221"/>
        <v>0</v>
      </c>
      <c r="AE703" s="668">
        <f t="shared" si="222"/>
        <v>0</v>
      </c>
      <c r="AF703" s="668">
        <f t="shared" si="223"/>
        <v>0</v>
      </c>
      <c r="AG703" s="668">
        <f t="shared" si="224"/>
        <v>0</v>
      </c>
      <c r="AH703" s="668"/>
      <c r="AI703" s="668"/>
      <c r="AJ703" s="668"/>
      <c r="AK703" s="668"/>
      <c r="AL703" s="668"/>
      <c r="AM703" s="668">
        <f t="shared" si="211"/>
        <v>0</v>
      </c>
      <c r="AN703" s="668">
        <f t="shared" si="206"/>
        <v>0</v>
      </c>
      <c r="AO703" s="668">
        <f t="shared" si="207"/>
        <v>0</v>
      </c>
      <c r="AP703" s="668">
        <f t="shared" si="212"/>
        <v>0</v>
      </c>
      <c r="AQ703" s="668">
        <f t="shared" si="208"/>
        <v>0</v>
      </c>
      <c r="AR703" s="668">
        <f t="shared" si="209"/>
        <v>0</v>
      </c>
      <c r="AS703" s="668"/>
      <c r="AT703" s="668"/>
      <c r="AU703" s="668"/>
      <c r="AV703" s="668"/>
      <c r="AW703" s="668"/>
      <c r="AX703" s="668"/>
      <c r="AY703" s="668"/>
      <c r="AZ703" s="668"/>
      <c r="BA703" s="668"/>
      <c r="BB703" s="668">
        <f t="shared" si="213"/>
        <v>0</v>
      </c>
      <c r="BC703" s="668"/>
      <c r="BD703" s="668"/>
      <c r="BE703" s="668"/>
      <c r="BF703" s="668"/>
      <c r="BG703" s="668"/>
      <c r="BH703" s="668"/>
      <c r="BI703" s="668"/>
    </row>
    <row r="704" spans="1:61" x14ac:dyDescent="0.2">
      <c r="A704" s="1020" t="s">
        <v>758</v>
      </c>
      <c r="B704" s="1020" t="s">
        <v>611</v>
      </c>
      <c r="C704" s="1020"/>
      <c r="D704" s="667"/>
      <c r="E704" s="667"/>
      <c r="F704" s="667"/>
      <c r="G704" s="667"/>
      <c r="H704" s="667"/>
      <c r="I704" s="667"/>
      <c r="J704" s="667">
        <v>64</v>
      </c>
      <c r="K704" s="667"/>
      <c r="L704" s="667"/>
      <c r="M704" s="667"/>
      <c r="N704" s="667"/>
      <c r="O704" s="667"/>
      <c r="P704" s="667"/>
      <c r="Q704" s="667"/>
      <c r="R704" s="667"/>
      <c r="S704" s="667"/>
      <c r="T704" s="667"/>
      <c r="U704" s="1020">
        <v>14</v>
      </c>
      <c r="V704" s="668">
        <f t="shared" si="214"/>
        <v>0</v>
      </c>
      <c r="W704" s="668">
        <f t="shared" si="215"/>
        <v>0</v>
      </c>
      <c r="X704" s="668">
        <f t="shared" si="216"/>
        <v>0</v>
      </c>
      <c r="Y704" s="668">
        <f t="shared" si="217"/>
        <v>896</v>
      </c>
      <c r="Z704" s="668">
        <f t="shared" si="218"/>
        <v>0</v>
      </c>
      <c r="AA704" s="668">
        <f t="shared" si="219"/>
        <v>0</v>
      </c>
      <c r="AB704" s="668">
        <f t="shared" si="220"/>
        <v>0</v>
      </c>
      <c r="AC704" s="668">
        <f t="shared" si="210"/>
        <v>0</v>
      </c>
      <c r="AD704" s="668">
        <f t="shared" si="221"/>
        <v>0</v>
      </c>
      <c r="AE704" s="668">
        <f t="shared" si="222"/>
        <v>0</v>
      </c>
      <c r="AF704" s="668">
        <f t="shared" si="223"/>
        <v>0</v>
      </c>
      <c r="AG704" s="668">
        <f t="shared" si="224"/>
        <v>0</v>
      </c>
      <c r="AH704" s="668"/>
      <c r="AI704" s="668"/>
      <c r="AJ704" s="668"/>
      <c r="AK704" s="668"/>
      <c r="AL704" s="668"/>
      <c r="AM704" s="668">
        <f t="shared" si="211"/>
        <v>0</v>
      </c>
      <c r="AN704" s="668">
        <f t="shared" si="206"/>
        <v>0</v>
      </c>
      <c r="AO704" s="668">
        <f t="shared" si="207"/>
        <v>0</v>
      </c>
      <c r="AP704" s="668">
        <f t="shared" si="212"/>
        <v>0</v>
      </c>
      <c r="AQ704" s="668">
        <f t="shared" si="208"/>
        <v>0</v>
      </c>
      <c r="AR704" s="668">
        <f t="shared" si="209"/>
        <v>0</v>
      </c>
      <c r="AS704" s="668"/>
      <c r="AT704" s="668"/>
      <c r="AU704" s="668"/>
      <c r="AV704" s="668"/>
      <c r="AW704" s="668"/>
      <c r="AX704" s="668"/>
      <c r="AY704" s="668"/>
      <c r="AZ704" s="668"/>
      <c r="BA704" s="668"/>
      <c r="BB704" s="668">
        <f t="shared" si="213"/>
        <v>0</v>
      </c>
      <c r="BC704" s="668"/>
      <c r="BD704" s="668"/>
      <c r="BE704" s="668"/>
      <c r="BF704" s="668"/>
      <c r="BG704" s="668"/>
      <c r="BH704" s="668"/>
      <c r="BI704" s="668"/>
    </row>
    <row r="705" spans="1:61" x14ac:dyDescent="0.2">
      <c r="A705" s="1020" t="s">
        <v>759</v>
      </c>
      <c r="B705" s="1020" t="s">
        <v>612</v>
      </c>
      <c r="C705" s="1020"/>
      <c r="D705" s="667"/>
      <c r="E705" s="667"/>
      <c r="F705" s="667"/>
      <c r="G705" s="667"/>
      <c r="H705" s="667"/>
      <c r="I705" s="667"/>
      <c r="J705" s="667">
        <v>105</v>
      </c>
      <c r="K705" s="667"/>
      <c r="L705" s="667"/>
      <c r="M705" s="667"/>
      <c r="N705" s="667"/>
      <c r="O705" s="667"/>
      <c r="P705" s="667"/>
      <c r="Q705" s="667"/>
      <c r="R705" s="667"/>
      <c r="S705" s="667"/>
      <c r="T705" s="667"/>
      <c r="U705" s="1020">
        <v>14</v>
      </c>
      <c r="V705" s="668">
        <f t="shared" si="214"/>
        <v>0</v>
      </c>
      <c r="W705" s="668">
        <f t="shared" si="215"/>
        <v>0</v>
      </c>
      <c r="X705" s="668">
        <f t="shared" si="216"/>
        <v>0</v>
      </c>
      <c r="Y705" s="668">
        <f t="shared" si="217"/>
        <v>1470</v>
      </c>
      <c r="Z705" s="668">
        <f t="shared" si="218"/>
        <v>0</v>
      </c>
      <c r="AA705" s="668">
        <f t="shared" si="219"/>
        <v>0</v>
      </c>
      <c r="AB705" s="668">
        <f t="shared" si="220"/>
        <v>0</v>
      </c>
      <c r="AC705" s="668">
        <f t="shared" si="210"/>
        <v>0</v>
      </c>
      <c r="AD705" s="668">
        <f t="shared" si="221"/>
        <v>0</v>
      </c>
      <c r="AE705" s="668">
        <f t="shared" si="222"/>
        <v>0</v>
      </c>
      <c r="AF705" s="668">
        <f t="shared" si="223"/>
        <v>0</v>
      </c>
      <c r="AG705" s="668">
        <f t="shared" si="224"/>
        <v>0</v>
      </c>
      <c r="AH705" s="668"/>
      <c r="AI705" s="668"/>
      <c r="AJ705" s="668"/>
      <c r="AK705" s="668"/>
      <c r="AL705" s="668"/>
      <c r="AM705" s="668">
        <f t="shared" si="211"/>
        <v>0</v>
      </c>
      <c r="AN705" s="668">
        <f t="shared" si="206"/>
        <v>0</v>
      </c>
      <c r="AO705" s="668">
        <f t="shared" si="207"/>
        <v>0</v>
      </c>
      <c r="AP705" s="668">
        <f t="shared" si="212"/>
        <v>0</v>
      </c>
      <c r="AQ705" s="668">
        <f t="shared" si="208"/>
        <v>0</v>
      </c>
      <c r="AR705" s="668">
        <f t="shared" si="209"/>
        <v>0</v>
      </c>
      <c r="AS705" s="668"/>
      <c r="AT705" s="668"/>
      <c r="AU705" s="668"/>
      <c r="AV705" s="668"/>
      <c r="AW705" s="668"/>
      <c r="AX705" s="668"/>
      <c r="AY705" s="668"/>
      <c r="AZ705" s="668"/>
      <c r="BA705" s="668"/>
      <c r="BB705" s="668">
        <f t="shared" si="213"/>
        <v>0</v>
      </c>
      <c r="BC705" s="668"/>
      <c r="BD705" s="668"/>
      <c r="BE705" s="668"/>
      <c r="BF705" s="668"/>
      <c r="BG705" s="668"/>
      <c r="BH705" s="668"/>
      <c r="BI705" s="668"/>
    </row>
    <row r="706" spans="1:61" x14ac:dyDescent="0.2">
      <c r="A706" s="1020" t="s">
        <v>760</v>
      </c>
      <c r="B706" s="1020" t="s">
        <v>522</v>
      </c>
      <c r="C706" s="1020"/>
      <c r="D706" s="667"/>
      <c r="E706" s="667"/>
      <c r="F706" s="667"/>
      <c r="G706" s="667"/>
      <c r="H706" s="667"/>
      <c r="I706" s="667"/>
      <c r="J706" s="667">
        <v>64</v>
      </c>
      <c r="K706" s="667"/>
      <c r="L706" s="667"/>
      <c r="M706" s="667"/>
      <c r="N706" s="667"/>
      <c r="O706" s="667"/>
      <c r="P706" s="667"/>
      <c r="Q706" s="667"/>
      <c r="R706" s="667"/>
      <c r="S706" s="667"/>
      <c r="T706" s="667"/>
      <c r="U706" s="1020">
        <v>14</v>
      </c>
      <c r="V706" s="668">
        <f t="shared" si="214"/>
        <v>0</v>
      </c>
      <c r="W706" s="668">
        <f t="shared" si="215"/>
        <v>0</v>
      </c>
      <c r="X706" s="668">
        <f t="shared" si="216"/>
        <v>0</v>
      </c>
      <c r="Y706" s="668">
        <f t="shared" si="217"/>
        <v>896</v>
      </c>
      <c r="Z706" s="668">
        <f t="shared" si="218"/>
        <v>0</v>
      </c>
      <c r="AA706" s="668">
        <f t="shared" si="219"/>
        <v>0</v>
      </c>
      <c r="AB706" s="668">
        <f t="shared" si="220"/>
        <v>0</v>
      </c>
      <c r="AC706" s="668">
        <f t="shared" si="210"/>
        <v>0</v>
      </c>
      <c r="AD706" s="668">
        <f t="shared" si="221"/>
        <v>0</v>
      </c>
      <c r="AE706" s="668">
        <f t="shared" si="222"/>
        <v>0</v>
      </c>
      <c r="AF706" s="668">
        <f t="shared" si="223"/>
        <v>0</v>
      </c>
      <c r="AG706" s="668">
        <f t="shared" si="224"/>
        <v>0</v>
      </c>
      <c r="AH706" s="668"/>
      <c r="AI706" s="668"/>
      <c r="AJ706" s="668"/>
      <c r="AK706" s="668"/>
      <c r="AL706" s="668"/>
      <c r="AM706" s="668">
        <f t="shared" si="211"/>
        <v>0</v>
      </c>
      <c r="AN706" s="668">
        <f t="shared" si="206"/>
        <v>0</v>
      </c>
      <c r="AO706" s="668">
        <f t="shared" si="207"/>
        <v>0</v>
      </c>
      <c r="AP706" s="668">
        <f t="shared" si="212"/>
        <v>0</v>
      </c>
      <c r="AQ706" s="668">
        <f t="shared" si="208"/>
        <v>0</v>
      </c>
      <c r="AR706" s="668">
        <f t="shared" si="209"/>
        <v>0</v>
      </c>
      <c r="AS706" s="668"/>
      <c r="AT706" s="668"/>
      <c r="AU706" s="668"/>
      <c r="AV706" s="668"/>
      <c r="AW706" s="668"/>
      <c r="AX706" s="668"/>
      <c r="AY706" s="668"/>
      <c r="AZ706" s="668"/>
      <c r="BA706" s="668"/>
      <c r="BB706" s="668">
        <f t="shared" si="213"/>
        <v>0</v>
      </c>
      <c r="BC706" s="668"/>
      <c r="BD706" s="668"/>
      <c r="BE706" s="668"/>
      <c r="BF706" s="668"/>
      <c r="BG706" s="668"/>
      <c r="BH706" s="668"/>
      <c r="BI706" s="668"/>
    </row>
    <row r="707" spans="1:61" x14ac:dyDescent="0.2">
      <c r="A707" s="1020" t="s">
        <v>761</v>
      </c>
      <c r="B707" s="1020" t="s">
        <v>524</v>
      </c>
      <c r="C707" s="1020"/>
      <c r="D707" s="667"/>
      <c r="E707" s="667"/>
      <c r="F707" s="667"/>
      <c r="G707" s="667"/>
      <c r="H707" s="667"/>
      <c r="I707" s="667"/>
      <c r="J707" s="667">
        <v>85</v>
      </c>
      <c r="K707" s="667"/>
      <c r="L707" s="667"/>
      <c r="M707" s="667"/>
      <c r="N707" s="667"/>
      <c r="O707" s="667"/>
      <c r="P707" s="667"/>
      <c r="Q707" s="667"/>
      <c r="R707" s="667"/>
      <c r="S707" s="667"/>
      <c r="T707" s="667"/>
      <c r="U707" s="1020">
        <v>14</v>
      </c>
      <c r="V707" s="668">
        <f t="shared" si="214"/>
        <v>0</v>
      </c>
      <c r="W707" s="668">
        <f t="shared" si="215"/>
        <v>0</v>
      </c>
      <c r="X707" s="668">
        <f t="shared" si="216"/>
        <v>0</v>
      </c>
      <c r="Y707" s="668">
        <f t="shared" si="217"/>
        <v>1190</v>
      </c>
      <c r="Z707" s="668">
        <f t="shared" si="218"/>
        <v>0</v>
      </c>
      <c r="AA707" s="668">
        <f t="shared" si="219"/>
        <v>0</v>
      </c>
      <c r="AB707" s="668">
        <f t="shared" si="220"/>
        <v>0</v>
      </c>
      <c r="AC707" s="668">
        <f t="shared" si="210"/>
        <v>0</v>
      </c>
      <c r="AD707" s="668">
        <f t="shared" si="221"/>
        <v>0</v>
      </c>
      <c r="AE707" s="668">
        <f t="shared" si="222"/>
        <v>0</v>
      </c>
      <c r="AF707" s="668">
        <f t="shared" si="223"/>
        <v>0</v>
      </c>
      <c r="AG707" s="668">
        <f t="shared" si="224"/>
        <v>0</v>
      </c>
      <c r="AH707" s="668"/>
      <c r="AI707" s="668"/>
      <c r="AJ707" s="668"/>
      <c r="AK707" s="668"/>
      <c r="AL707" s="668"/>
      <c r="AM707" s="668">
        <f t="shared" si="211"/>
        <v>0</v>
      </c>
      <c r="AN707" s="668">
        <f t="shared" si="206"/>
        <v>0</v>
      </c>
      <c r="AO707" s="668">
        <f t="shared" si="207"/>
        <v>0</v>
      </c>
      <c r="AP707" s="668">
        <f t="shared" si="212"/>
        <v>0</v>
      </c>
      <c r="AQ707" s="668">
        <f t="shared" si="208"/>
        <v>0</v>
      </c>
      <c r="AR707" s="668">
        <f t="shared" si="209"/>
        <v>0</v>
      </c>
      <c r="AS707" s="668"/>
      <c r="AT707" s="668"/>
      <c r="AU707" s="668"/>
      <c r="AV707" s="668"/>
      <c r="AW707" s="668"/>
      <c r="AX707" s="668"/>
      <c r="AY707" s="668"/>
      <c r="AZ707" s="668"/>
      <c r="BA707" s="668"/>
      <c r="BB707" s="668">
        <f t="shared" si="213"/>
        <v>0</v>
      </c>
      <c r="BC707" s="668"/>
      <c r="BD707" s="668"/>
      <c r="BE707" s="668"/>
      <c r="BF707" s="668"/>
      <c r="BG707" s="668"/>
      <c r="BH707" s="668"/>
      <c r="BI707" s="668"/>
    </row>
    <row r="708" spans="1:61" x14ac:dyDescent="0.2">
      <c r="A708" s="1020" t="s">
        <v>762</v>
      </c>
      <c r="B708" s="1020" t="s">
        <v>526</v>
      </c>
      <c r="C708" s="1020"/>
      <c r="D708" s="667"/>
      <c r="E708" s="667"/>
      <c r="F708" s="667"/>
      <c r="G708" s="667"/>
      <c r="H708" s="667"/>
      <c r="I708" s="667"/>
      <c r="J708" s="667">
        <v>64</v>
      </c>
      <c r="K708" s="667"/>
      <c r="L708" s="667"/>
      <c r="M708" s="667"/>
      <c r="N708" s="667"/>
      <c r="O708" s="667"/>
      <c r="P708" s="667"/>
      <c r="Q708" s="667"/>
      <c r="R708" s="667"/>
      <c r="S708" s="667"/>
      <c r="T708" s="667"/>
      <c r="U708" s="1020">
        <v>14</v>
      </c>
      <c r="V708" s="668">
        <f t="shared" si="214"/>
        <v>0</v>
      </c>
      <c r="W708" s="668">
        <f t="shared" si="215"/>
        <v>0</v>
      </c>
      <c r="X708" s="668">
        <f t="shared" si="216"/>
        <v>0</v>
      </c>
      <c r="Y708" s="668">
        <f t="shared" si="217"/>
        <v>896</v>
      </c>
      <c r="Z708" s="668">
        <f t="shared" si="218"/>
        <v>0</v>
      </c>
      <c r="AA708" s="668">
        <f t="shared" si="219"/>
        <v>0</v>
      </c>
      <c r="AB708" s="668">
        <f t="shared" si="220"/>
        <v>0</v>
      </c>
      <c r="AC708" s="668">
        <f t="shared" si="210"/>
        <v>0</v>
      </c>
      <c r="AD708" s="668">
        <f t="shared" si="221"/>
        <v>0</v>
      </c>
      <c r="AE708" s="668">
        <f t="shared" si="222"/>
        <v>0</v>
      </c>
      <c r="AF708" s="668">
        <f t="shared" si="223"/>
        <v>0</v>
      </c>
      <c r="AG708" s="668">
        <f t="shared" si="224"/>
        <v>0</v>
      </c>
      <c r="AH708" s="668"/>
      <c r="AI708" s="668"/>
      <c r="AJ708" s="668"/>
      <c r="AK708" s="668"/>
      <c r="AL708" s="668"/>
      <c r="AM708" s="668">
        <f t="shared" si="211"/>
        <v>0</v>
      </c>
      <c r="AN708" s="668">
        <f t="shared" si="206"/>
        <v>0</v>
      </c>
      <c r="AO708" s="668">
        <f t="shared" si="207"/>
        <v>0</v>
      </c>
      <c r="AP708" s="668">
        <f t="shared" si="212"/>
        <v>0</v>
      </c>
      <c r="AQ708" s="668">
        <f t="shared" si="208"/>
        <v>0</v>
      </c>
      <c r="AR708" s="668">
        <f t="shared" si="209"/>
        <v>0</v>
      </c>
      <c r="AS708" s="668"/>
      <c r="AT708" s="668"/>
      <c r="AU708" s="668"/>
      <c r="AV708" s="668"/>
      <c r="AW708" s="668"/>
      <c r="AX708" s="668"/>
      <c r="AY708" s="668"/>
      <c r="AZ708" s="668"/>
      <c r="BA708" s="668"/>
      <c r="BB708" s="668">
        <f t="shared" si="213"/>
        <v>0</v>
      </c>
      <c r="BC708" s="668"/>
      <c r="BD708" s="668"/>
      <c r="BE708" s="668"/>
      <c r="BF708" s="668"/>
      <c r="BG708" s="668"/>
      <c r="BH708" s="668"/>
      <c r="BI708" s="668"/>
    </row>
    <row r="709" spans="1:61" x14ac:dyDescent="0.2">
      <c r="A709" s="1022" t="s">
        <v>963</v>
      </c>
      <c r="B709" s="1022" t="s">
        <v>973</v>
      </c>
      <c r="C709" s="1022"/>
      <c r="D709" s="667"/>
      <c r="E709" s="667"/>
      <c r="F709" s="667"/>
      <c r="G709" s="667"/>
      <c r="H709" s="667"/>
      <c r="I709" s="667"/>
      <c r="J709" s="667"/>
      <c r="K709" s="667"/>
      <c r="L709" s="667"/>
      <c r="M709" s="667"/>
      <c r="N709" s="667"/>
      <c r="O709" s="667"/>
      <c r="P709" s="667"/>
      <c r="Q709" s="667"/>
      <c r="R709" s="667"/>
      <c r="S709" s="667">
        <v>2669</v>
      </c>
      <c r="T709" s="667"/>
      <c r="U709" s="1022"/>
      <c r="V709" s="668"/>
      <c r="W709" s="668"/>
      <c r="X709" s="668"/>
      <c r="Y709" s="668"/>
      <c r="Z709" s="668"/>
      <c r="AA709" s="668">
        <f t="shared" si="219"/>
        <v>2669</v>
      </c>
      <c r="AB709" s="668"/>
      <c r="AC709" s="668">
        <f t="shared" si="210"/>
        <v>0</v>
      </c>
      <c r="AD709" s="668"/>
      <c r="AE709" s="668"/>
      <c r="AF709" s="668"/>
      <c r="AG709" s="668"/>
      <c r="AH709" s="668"/>
      <c r="AI709" s="668"/>
      <c r="AJ709" s="668"/>
      <c r="AK709" s="668"/>
      <c r="AL709" s="668"/>
      <c r="AM709" s="668">
        <f t="shared" si="211"/>
        <v>0</v>
      </c>
      <c r="AN709" s="668">
        <f t="shared" si="206"/>
        <v>0</v>
      </c>
      <c r="AO709" s="668">
        <f t="shared" si="207"/>
        <v>0</v>
      </c>
      <c r="AP709" s="668">
        <f t="shared" si="212"/>
        <v>0</v>
      </c>
      <c r="AQ709" s="668">
        <f t="shared" si="208"/>
        <v>0</v>
      </c>
      <c r="AR709" s="668">
        <f t="shared" si="209"/>
        <v>0</v>
      </c>
      <c r="AS709" s="668"/>
      <c r="AT709" s="668"/>
      <c r="AU709" s="668"/>
      <c r="AV709" s="668"/>
      <c r="AW709" s="668"/>
      <c r="AX709" s="668">
        <v>490</v>
      </c>
      <c r="AY709" s="668"/>
      <c r="AZ709" s="668"/>
      <c r="BA709" s="668"/>
      <c r="BB709" s="668">
        <f t="shared" si="213"/>
        <v>0</v>
      </c>
      <c r="BC709" s="668"/>
      <c r="BD709" s="668"/>
      <c r="BE709" s="668"/>
      <c r="BF709" s="668"/>
      <c r="BG709" s="668"/>
      <c r="BH709" s="668"/>
      <c r="BI709" s="668"/>
    </row>
    <row r="710" spans="1:61" x14ac:dyDescent="0.2">
      <c r="A710" s="1022" t="s">
        <v>964</v>
      </c>
      <c r="B710" s="1022" t="s">
        <v>973</v>
      </c>
      <c r="C710" s="1022"/>
      <c r="D710" s="667"/>
      <c r="E710" s="667"/>
      <c r="F710" s="667"/>
      <c r="G710" s="667"/>
      <c r="H710" s="667"/>
      <c r="I710" s="667"/>
      <c r="J710" s="667"/>
      <c r="K710" s="667"/>
      <c r="L710" s="667"/>
      <c r="M710" s="667"/>
      <c r="N710" s="667"/>
      <c r="O710" s="667"/>
      <c r="P710" s="667"/>
      <c r="Q710" s="667"/>
      <c r="R710" s="667"/>
      <c r="S710" s="667">
        <v>409</v>
      </c>
      <c r="T710" s="667"/>
      <c r="U710" s="1022"/>
      <c r="V710" s="668"/>
      <c r="W710" s="668"/>
      <c r="X710" s="668"/>
      <c r="Y710" s="668"/>
      <c r="Z710" s="668"/>
      <c r="AA710" s="668">
        <f t="shared" si="219"/>
        <v>409</v>
      </c>
      <c r="AB710" s="668"/>
      <c r="AC710" s="668">
        <f t="shared" si="210"/>
        <v>0</v>
      </c>
      <c r="AD710" s="668"/>
      <c r="AE710" s="668"/>
      <c r="AF710" s="668"/>
      <c r="AG710" s="668"/>
      <c r="AH710" s="668"/>
      <c r="AI710" s="668"/>
      <c r="AJ710" s="668"/>
      <c r="AK710" s="668"/>
      <c r="AL710" s="668"/>
      <c r="AM710" s="668">
        <f t="shared" si="211"/>
        <v>0</v>
      </c>
      <c r="AN710" s="668">
        <f t="shared" si="206"/>
        <v>0</v>
      </c>
      <c r="AO710" s="668">
        <f t="shared" si="207"/>
        <v>0</v>
      </c>
      <c r="AP710" s="668">
        <f t="shared" si="212"/>
        <v>0</v>
      </c>
      <c r="AQ710" s="668">
        <f t="shared" si="208"/>
        <v>0</v>
      </c>
      <c r="AR710" s="668">
        <f t="shared" si="209"/>
        <v>0</v>
      </c>
      <c r="AS710" s="668"/>
      <c r="AT710" s="668"/>
      <c r="AU710" s="668"/>
      <c r="AV710" s="668"/>
      <c r="AW710" s="668"/>
      <c r="AX710" s="668">
        <v>400</v>
      </c>
      <c r="AY710" s="668"/>
      <c r="AZ710" s="668"/>
      <c r="BA710" s="668"/>
      <c r="BB710" s="668">
        <f t="shared" si="213"/>
        <v>0</v>
      </c>
      <c r="BC710" s="668"/>
      <c r="BD710" s="668"/>
      <c r="BE710" s="668"/>
      <c r="BF710" s="668"/>
      <c r="BG710" s="668"/>
      <c r="BH710" s="668"/>
      <c r="BI710" s="668"/>
    </row>
    <row r="711" spans="1:61" x14ac:dyDescent="0.2">
      <c r="A711" s="1022" t="s">
        <v>965</v>
      </c>
      <c r="B711" s="1022" t="s">
        <v>973</v>
      </c>
      <c r="C711" s="1022"/>
      <c r="D711" s="667"/>
      <c r="E711" s="667"/>
      <c r="F711" s="667"/>
      <c r="G711" s="667"/>
      <c r="H711" s="667"/>
      <c r="I711" s="667"/>
      <c r="J711" s="667"/>
      <c r="K711" s="667"/>
      <c r="L711" s="667"/>
      <c r="M711" s="667"/>
      <c r="N711" s="667"/>
      <c r="O711" s="667"/>
      <c r="P711" s="667"/>
      <c r="Q711" s="667"/>
      <c r="R711" s="667"/>
      <c r="S711" s="667">
        <v>7491</v>
      </c>
      <c r="T711" s="667"/>
      <c r="U711" s="1022"/>
      <c r="V711" s="668"/>
      <c r="W711" s="668"/>
      <c r="X711" s="668"/>
      <c r="Y711" s="668"/>
      <c r="Z711" s="668"/>
      <c r="AA711" s="668">
        <f t="shared" si="219"/>
        <v>7491</v>
      </c>
      <c r="AB711" s="668"/>
      <c r="AC711" s="668">
        <f t="shared" si="210"/>
        <v>0</v>
      </c>
      <c r="AD711" s="668"/>
      <c r="AE711" s="668"/>
      <c r="AF711" s="668"/>
      <c r="AG711" s="668"/>
      <c r="AH711" s="668"/>
      <c r="AI711" s="668"/>
      <c r="AJ711" s="668"/>
      <c r="AK711" s="668"/>
      <c r="AL711" s="668"/>
      <c r="AM711" s="668">
        <f t="shared" si="211"/>
        <v>0</v>
      </c>
      <c r="AN711" s="668">
        <f t="shared" si="206"/>
        <v>0</v>
      </c>
      <c r="AO711" s="668">
        <f t="shared" si="207"/>
        <v>0</v>
      </c>
      <c r="AP711" s="668">
        <f t="shared" si="212"/>
        <v>0</v>
      </c>
      <c r="AQ711" s="668">
        <f t="shared" si="208"/>
        <v>0</v>
      </c>
      <c r="AR711" s="668">
        <f t="shared" si="209"/>
        <v>0</v>
      </c>
      <c r="AS711" s="668"/>
      <c r="AT711" s="668"/>
      <c r="AU711" s="668"/>
      <c r="AV711" s="668"/>
      <c r="AW711" s="668"/>
      <c r="AX711" s="668">
        <v>1340</v>
      </c>
      <c r="AY711" s="668"/>
      <c r="AZ711" s="668"/>
      <c r="BA711" s="668"/>
      <c r="BB711" s="668">
        <f t="shared" si="213"/>
        <v>0</v>
      </c>
      <c r="BC711" s="668"/>
      <c r="BD711" s="668"/>
      <c r="BE711" s="668"/>
      <c r="BF711" s="668"/>
      <c r="BG711" s="668"/>
      <c r="BH711" s="668"/>
      <c r="BI711" s="668"/>
    </row>
    <row r="712" spans="1:61" x14ac:dyDescent="0.2">
      <c r="A712" s="1022" t="s">
        <v>966</v>
      </c>
      <c r="B712" s="1022" t="s">
        <v>973</v>
      </c>
      <c r="C712" s="1022"/>
      <c r="D712" s="667"/>
      <c r="E712" s="667"/>
      <c r="F712" s="667"/>
      <c r="G712" s="667"/>
      <c r="H712" s="667"/>
      <c r="I712" s="667"/>
      <c r="J712" s="667"/>
      <c r="K712" s="667"/>
      <c r="L712" s="667"/>
      <c r="M712" s="667"/>
      <c r="N712" s="667"/>
      <c r="O712" s="667"/>
      <c r="P712" s="667"/>
      <c r="Q712" s="667"/>
      <c r="R712" s="667"/>
      <c r="S712" s="667">
        <v>4246</v>
      </c>
      <c r="T712" s="667"/>
      <c r="U712" s="1022"/>
      <c r="V712" s="668"/>
      <c r="W712" s="668"/>
      <c r="X712" s="668"/>
      <c r="Y712" s="668"/>
      <c r="Z712" s="668"/>
      <c r="AA712" s="668">
        <f t="shared" si="219"/>
        <v>4246</v>
      </c>
      <c r="AB712" s="668"/>
      <c r="AC712" s="668">
        <f t="shared" si="210"/>
        <v>0</v>
      </c>
      <c r="AD712" s="668"/>
      <c r="AE712" s="668"/>
      <c r="AF712" s="668"/>
      <c r="AG712" s="668"/>
      <c r="AH712" s="668"/>
      <c r="AI712" s="668"/>
      <c r="AJ712" s="668"/>
      <c r="AK712" s="668"/>
      <c r="AL712" s="668"/>
      <c r="AM712" s="668">
        <f t="shared" si="211"/>
        <v>0</v>
      </c>
      <c r="AN712" s="668">
        <f t="shared" ref="AN712:AN774" si="225">+U712*E712</f>
        <v>0</v>
      </c>
      <c r="AO712" s="668">
        <f t="shared" ref="AO712:AO774" si="226">+U712*O712</f>
        <v>0</v>
      </c>
      <c r="AP712" s="668">
        <f t="shared" si="212"/>
        <v>0</v>
      </c>
      <c r="AQ712" s="668">
        <f t="shared" ref="AQ712:AQ775" si="227">+$AQ$4*K712</f>
        <v>0</v>
      </c>
      <c r="AR712" s="668">
        <f t="shared" ref="AR712:AR775" si="228">+$AR$4*K712</f>
        <v>0</v>
      </c>
      <c r="AS712" s="668"/>
      <c r="AT712" s="668"/>
      <c r="AU712" s="668"/>
      <c r="AV712" s="668"/>
      <c r="AW712" s="668"/>
      <c r="AX712" s="668">
        <v>600</v>
      </c>
      <c r="AY712" s="668"/>
      <c r="AZ712" s="668"/>
      <c r="BA712" s="668"/>
      <c r="BB712" s="668">
        <f t="shared" si="213"/>
        <v>0</v>
      </c>
      <c r="BC712" s="668"/>
      <c r="BD712" s="668"/>
      <c r="BE712" s="668"/>
      <c r="BF712" s="668"/>
      <c r="BG712" s="668"/>
      <c r="BH712" s="668"/>
      <c r="BI712" s="668"/>
    </row>
    <row r="713" spans="1:61" x14ac:dyDescent="0.2">
      <c r="A713" s="1022" t="s">
        <v>967</v>
      </c>
      <c r="B713" s="1022" t="s">
        <v>973</v>
      </c>
      <c r="C713" s="1022"/>
      <c r="D713" s="667"/>
      <c r="E713" s="667"/>
      <c r="F713" s="667"/>
      <c r="G713" s="667"/>
      <c r="H713" s="667"/>
      <c r="I713" s="667"/>
      <c r="J713" s="667"/>
      <c r="K713" s="667"/>
      <c r="L713" s="667"/>
      <c r="M713" s="667"/>
      <c r="N713" s="667"/>
      <c r="O713" s="667"/>
      <c r="P713" s="667"/>
      <c r="Q713" s="667"/>
      <c r="R713" s="667"/>
      <c r="S713" s="667">
        <v>4217</v>
      </c>
      <c r="T713" s="667"/>
      <c r="U713" s="1022"/>
      <c r="V713" s="668"/>
      <c r="W713" s="668"/>
      <c r="X713" s="668"/>
      <c r="Y713" s="668"/>
      <c r="Z713" s="668"/>
      <c r="AA713" s="668">
        <f t="shared" si="219"/>
        <v>4217</v>
      </c>
      <c r="AB713" s="668"/>
      <c r="AC713" s="668">
        <f t="shared" si="210"/>
        <v>0</v>
      </c>
      <c r="AD713" s="668"/>
      <c r="AE713" s="668"/>
      <c r="AF713" s="668"/>
      <c r="AG713" s="668"/>
      <c r="AH713" s="668"/>
      <c r="AI713" s="668"/>
      <c r="AJ713" s="668"/>
      <c r="AK713" s="668"/>
      <c r="AL713" s="668"/>
      <c r="AM713" s="668">
        <f t="shared" si="211"/>
        <v>0</v>
      </c>
      <c r="AN713" s="668">
        <f t="shared" si="225"/>
        <v>0</v>
      </c>
      <c r="AO713" s="668">
        <f t="shared" si="226"/>
        <v>0</v>
      </c>
      <c r="AP713" s="668">
        <f t="shared" si="212"/>
        <v>0</v>
      </c>
      <c r="AQ713" s="668">
        <f t="shared" si="227"/>
        <v>0</v>
      </c>
      <c r="AR713" s="668">
        <f t="shared" si="228"/>
        <v>0</v>
      </c>
      <c r="AS713" s="668"/>
      <c r="AT713" s="668"/>
      <c r="AU713" s="668"/>
      <c r="AV713" s="668"/>
      <c r="AW713" s="668"/>
      <c r="AX713" s="668">
        <v>300</v>
      </c>
      <c r="AY713" s="668"/>
      <c r="AZ713" s="668"/>
      <c r="BA713" s="668"/>
      <c r="BB713" s="668">
        <f t="shared" si="213"/>
        <v>0</v>
      </c>
      <c r="BC713" s="668"/>
      <c r="BD713" s="668"/>
      <c r="BE713" s="668"/>
      <c r="BF713" s="668"/>
      <c r="BG713" s="668"/>
      <c r="BH713" s="668"/>
      <c r="BI713" s="668"/>
    </row>
    <row r="714" spans="1:61" x14ac:dyDescent="0.2">
      <c r="A714" s="1022" t="s">
        <v>968</v>
      </c>
      <c r="B714" s="1022" t="s">
        <v>973</v>
      </c>
      <c r="C714" s="1022"/>
      <c r="D714" s="667"/>
      <c r="E714" s="667"/>
      <c r="F714" s="667"/>
      <c r="G714" s="667"/>
      <c r="H714" s="667"/>
      <c r="I714" s="667"/>
      <c r="J714" s="667"/>
      <c r="K714" s="667"/>
      <c r="L714" s="667"/>
      <c r="M714" s="667"/>
      <c r="N714" s="667"/>
      <c r="O714" s="667"/>
      <c r="P714" s="667"/>
      <c r="Q714" s="667"/>
      <c r="R714" s="667"/>
      <c r="S714" s="667">
        <v>2343</v>
      </c>
      <c r="T714" s="667"/>
      <c r="U714" s="1022"/>
      <c r="V714" s="668"/>
      <c r="W714" s="668"/>
      <c r="X714" s="668"/>
      <c r="Y714" s="668"/>
      <c r="Z714" s="668"/>
      <c r="AA714" s="668">
        <f t="shared" si="219"/>
        <v>2343</v>
      </c>
      <c r="AB714" s="668"/>
      <c r="AC714" s="668">
        <f t="shared" ref="AC714:AC776" si="229">+U714*P714</f>
        <v>0</v>
      </c>
      <c r="AD714" s="668"/>
      <c r="AE714" s="668"/>
      <c r="AF714" s="668"/>
      <c r="AG714" s="668"/>
      <c r="AH714" s="668"/>
      <c r="AI714" s="668"/>
      <c r="AJ714" s="668"/>
      <c r="AK714" s="668"/>
      <c r="AL714" s="668"/>
      <c r="AM714" s="668">
        <f t="shared" si="211"/>
        <v>0</v>
      </c>
      <c r="AN714" s="668">
        <f t="shared" si="225"/>
        <v>0</v>
      </c>
      <c r="AO714" s="668">
        <f t="shared" si="226"/>
        <v>0</v>
      </c>
      <c r="AP714" s="668">
        <f t="shared" si="212"/>
        <v>0</v>
      </c>
      <c r="AQ714" s="668">
        <f t="shared" si="227"/>
        <v>0</v>
      </c>
      <c r="AR714" s="668">
        <f t="shared" si="228"/>
        <v>0</v>
      </c>
      <c r="AS714" s="668"/>
      <c r="AT714" s="668"/>
      <c r="AU714" s="668"/>
      <c r="AV714" s="668"/>
      <c r="AW714" s="668"/>
      <c r="AX714" s="668">
        <v>1400</v>
      </c>
      <c r="AY714" s="668"/>
      <c r="AZ714" s="668"/>
      <c r="BA714" s="668"/>
      <c r="BB714" s="668">
        <f t="shared" si="213"/>
        <v>0</v>
      </c>
      <c r="BC714" s="668"/>
      <c r="BD714" s="668"/>
      <c r="BE714" s="668"/>
      <c r="BF714" s="668"/>
      <c r="BG714" s="668"/>
      <c r="BH714" s="668"/>
      <c r="BI714" s="668"/>
    </row>
    <row r="715" spans="1:61" x14ac:dyDescent="0.2">
      <c r="A715" s="1022" t="s">
        <v>969</v>
      </c>
      <c r="B715" s="1022" t="s">
        <v>973</v>
      </c>
      <c r="C715" s="1022"/>
      <c r="D715" s="667"/>
      <c r="E715" s="667"/>
      <c r="F715" s="667"/>
      <c r="G715" s="667"/>
      <c r="H715" s="667"/>
      <c r="I715" s="667"/>
      <c r="J715" s="667"/>
      <c r="K715" s="667"/>
      <c r="L715" s="667"/>
      <c r="M715" s="667"/>
      <c r="N715" s="667"/>
      <c r="O715" s="667"/>
      <c r="P715" s="667"/>
      <c r="Q715" s="667"/>
      <c r="R715" s="667"/>
      <c r="S715" s="667">
        <v>2088</v>
      </c>
      <c r="T715" s="667"/>
      <c r="U715" s="1022"/>
      <c r="V715" s="668"/>
      <c r="W715" s="668"/>
      <c r="X715" s="668"/>
      <c r="Y715" s="668"/>
      <c r="Z715" s="668"/>
      <c r="AA715" s="668">
        <f t="shared" si="219"/>
        <v>2088</v>
      </c>
      <c r="AB715" s="668"/>
      <c r="AC715" s="668">
        <f t="shared" si="229"/>
        <v>0</v>
      </c>
      <c r="AD715" s="668"/>
      <c r="AE715" s="668"/>
      <c r="AF715" s="668"/>
      <c r="AG715" s="668"/>
      <c r="AH715" s="668"/>
      <c r="AI715" s="668"/>
      <c r="AJ715" s="668"/>
      <c r="AK715" s="668"/>
      <c r="AL715" s="668"/>
      <c r="AM715" s="668">
        <f t="shared" si="211"/>
        <v>0</v>
      </c>
      <c r="AN715" s="668">
        <f t="shared" si="225"/>
        <v>0</v>
      </c>
      <c r="AO715" s="668">
        <f t="shared" si="226"/>
        <v>0</v>
      </c>
      <c r="AP715" s="668">
        <f t="shared" si="212"/>
        <v>0</v>
      </c>
      <c r="AQ715" s="668">
        <f t="shared" si="227"/>
        <v>0</v>
      </c>
      <c r="AR715" s="668">
        <f t="shared" si="228"/>
        <v>0</v>
      </c>
      <c r="AS715" s="668"/>
      <c r="AT715" s="668"/>
      <c r="AU715" s="668"/>
      <c r="AV715" s="668"/>
      <c r="AW715" s="668"/>
      <c r="AX715" s="668">
        <v>2000</v>
      </c>
      <c r="AY715" s="668"/>
      <c r="AZ715" s="668"/>
      <c r="BA715" s="668"/>
      <c r="BB715" s="668">
        <f t="shared" si="213"/>
        <v>0</v>
      </c>
      <c r="BC715" s="668"/>
      <c r="BD715" s="668"/>
      <c r="BE715" s="668"/>
      <c r="BF715" s="668"/>
      <c r="BG715" s="668"/>
      <c r="BH715" s="668"/>
      <c r="BI715" s="668"/>
    </row>
    <row r="716" spans="1:61" x14ac:dyDescent="0.2">
      <c r="A716" s="1020"/>
      <c r="B716" s="1020"/>
      <c r="C716" s="1020"/>
      <c r="D716" s="667"/>
      <c r="E716" s="667"/>
      <c r="F716" s="667"/>
      <c r="G716" s="667"/>
      <c r="H716" s="667"/>
      <c r="I716" s="667"/>
      <c r="J716" s="667"/>
      <c r="K716" s="667"/>
      <c r="L716" s="667"/>
      <c r="M716" s="667"/>
      <c r="N716" s="667"/>
      <c r="O716" s="667"/>
      <c r="P716" s="667"/>
      <c r="Q716" s="667"/>
      <c r="R716" s="667"/>
      <c r="S716" s="667"/>
      <c r="T716" s="667"/>
      <c r="U716" s="1020"/>
      <c r="V716" s="668">
        <f t="shared" ref="V716:V778" si="230">+U716*D716</f>
        <v>0</v>
      </c>
      <c r="W716" s="668">
        <f t="shared" ref="W716:W778" si="231">+U716*G716</f>
        <v>0</v>
      </c>
      <c r="X716" s="668">
        <f t="shared" ref="X716:X778" si="232">+U716*H716</f>
        <v>0</v>
      </c>
      <c r="Y716" s="668">
        <f t="shared" ref="Y716:Y778" si="233">+U716*J716</f>
        <v>0</v>
      </c>
      <c r="Z716" s="668">
        <f t="shared" ref="Z716:Z778" si="234">IF(C716="y",V716+W716+X716+Y716,0)</f>
        <v>0</v>
      </c>
      <c r="AA716" s="668">
        <f t="shared" ref="AA716:AA778" si="235">+S716</f>
        <v>0</v>
      </c>
      <c r="AB716" s="668">
        <f t="shared" ref="AB716:AB778" si="236">+T716</f>
        <v>0</v>
      </c>
      <c r="AC716" s="668">
        <f t="shared" si="229"/>
        <v>0</v>
      </c>
      <c r="AD716" s="668">
        <f t="shared" ref="AD716:AD778" si="237">+Q716</f>
        <v>0</v>
      </c>
      <c r="AE716" s="668">
        <f t="shared" ref="AE716:AE778" si="238">+U716*M716</f>
        <v>0</v>
      </c>
      <c r="AF716" s="668">
        <f t="shared" ref="AF716:AF778" si="239">+L716*U716</f>
        <v>0</v>
      </c>
      <c r="AG716" s="668">
        <f t="shared" ref="AG716:AG778" si="240">+$AG$4*N716</f>
        <v>0</v>
      </c>
      <c r="AH716" s="668"/>
      <c r="AI716" s="668"/>
      <c r="AJ716" s="668"/>
      <c r="AK716" s="668"/>
      <c r="AL716" s="668"/>
      <c r="AM716" s="668">
        <f t="shared" si="211"/>
        <v>0</v>
      </c>
      <c r="AN716" s="668">
        <f t="shared" si="225"/>
        <v>0</v>
      </c>
      <c r="AO716" s="668">
        <f t="shared" si="226"/>
        <v>0</v>
      </c>
      <c r="AP716" s="668">
        <f t="shared" si="212"/>
        <v>0</v>
      </c>
      <c r="AQ716" s="668">
        <f t="shared" si="227"/>
        <v>0</v>
      </c>
      <c r="AR716" s="668">
        <f t="shared" si="228"/>
        <v>0</v>
      </c>
      <c r="AS716" s="668"/>
      <c r="AT716" s="668"/>
      <c r="AU716" s="668"/>
      <c r="AV716" s="668"/>
      <c r="AW716" s="668"/>
      <c r="AX716" s="668"/>
      <c r="AY716" s="668"/>
      <c r="AZ716" s="668"/>
      <c r="BA716" s="668"/>
      <c r="BB716" s="668">
        <f t="shared" si="213"/>
        <v>0</v>
      </c>
      <c r="BC716" s="668"/>
      <c r="BD716" s="668"/>
      <c r="BE716" s="668"/>
      <c r="BF716" s="668"/>
      <c r="BG716" s="668"/>
      <c r="BH716" s="668"/>
      <c r="BI716" s="668"/>
    </row>
    <row r="717" spans="1:61" x14ac:dyDescent="0.2">
      <c r="A717" s="1020"/>
      <c r="B717" s="1019" t="s">
        <v>763</v>
      </c>
      <c r="C717" s="1020"/>
      <c r="D717" s="667"/>
      <c r="E717" s="667"/>
      <c r="F717" s="667"/>
      <c r="G717" s="667"/>
      <c r="H717" s="667"/>
      <c r="I717" s="667"/>
      <c r="J717" s="667"/>
      <c r="K717" s="667"/>
      <c r="L717" s="667"/>
      <c r="M717" s="667"/>
      <c r="N717" s="667"/>
      <c r="O717" s="667"/>
      <c r="P717" s="667"/>
      <c r="Q717" s="667"/>
      <c r="R717" s="667"/>
      <c r="S717" s="667"/>
      <c r="T717" s="667"/>
      <c r="U717" s="1020"/>
      <c r="V717" s="668">
        <f t="shared" si="230"/>
        <v>0</v>
      </c>
      <c r="W717" s="668">
        <f t="shared" si="231"/>
        <v>0</v>
      </c>
      <c r="X717" s="668">
        <f t="shared" si="232"/>
        <v>0</v>
      </c>
      <c r="Y717" s="668">
        <f t="shared" si="233"/>
        <v>0</v>
      </c>
      <c r="Z717" s="668">
        <f t="shared" si="234"/>
        <v>0</v>
      </c>
      <c r="AA717" s="668">
        <f t="shared" si="235"/>
        <v>0</v>
      </c>
      <c r="AB717" s="668">
        <f t="shared" si="236"/>
        <v>0</v>
      </c>
      <c r="AC717" s="668">
        <f t="shared" si="229"/>
        <v>0</v>
      </c>
      <c r="AD717" s="668">
        <f t="shared" si="237"/>
        <v>0</v>
      </c>
      <c r="AE717" s="668">
        <f t="shared" si="238"/>
        <v>0</v>
      </c>
      <c r="AF717" s="668">
        <f t="shared" si="239"/>
        <v>0</v>
      </c>
      <c r="AG717" s="668">
        <f t="shared" si="240"/>
        <v>0</v>
      </c>
      <c r="AH717" s="668"/>
      <c r="AI717" s="668"/>
      <c r="AJ717" s="668"/>
      <c r="AK717" s="668"/>
      <c r="AL717" s="668"/>
      <c r="AM717" s="668">
        <f t="shared" si="211"/>
        <v>0</v>
      </c>
      <c r="AN717" s="668">
        <f t="shared" si="225"/>
        <v>0</v>
      </c>
      <c r="AO717" s="668">
        <f t="shared" si="226"/>
        <v>0</v>
      </c>
      <c r="AP717" s="668">
        <f t="shared" si="212"/>
        <v>0</v>
      </c>
      <c r="AQ717" s="668">
        <f t="shared" si="227"/>
        <v>0</v>
      </c>
      <c r="AR717" s="668">
        <f t="shared" si="228"/>
        <v>0</v>
      </c>
      <c r="AS717" s="668">
        <v>15</v>
      </c>
      <c r="AT717" s="668">
        <v>12</v>
      </c>
      <c r="AU717" s="668"/>
      <c r="AV717" s="668"/>
      <c r="AW717" s="668"/>
      <c r="AX717" s="668"/>
      <c r="AY717" s="668"/>
      <c r="AZ717" s="668"/>
      <c r="BA717" s="668"/>
      <c r="BB717" s="668">
        <f t="shared" si="213"/>
        <v>0</v>
      </c>
      <c r="BC717" s="668"/>
      <c r="BD717" s="668"/>
      <c r="BE717" s="668"/>
      <c r="BF717" s="668"/>
      <c r="BG717" s="668"/>
      <c r="BH717" s="668"/>
      <c r="BI717" s="668"/>
    </row>
    <row r="718" spans="1:61" x14ac:dyDescent="0.2">
      <c r="A718" s="1020">
        <v>4000</v>
      </c>
      <c r="B718" s="1020" t="s">
        <v>465</v>
      </c>
      <c r="C718" s="1020" t="s">
        <v>984</v>
      </c>
      <c r="D718" s="667">
        <v>115</v>
      </c>
      <c r="E718" s="667"/>
      <c r="F718" s="667"/>
      <c r="G718" s="667"/>
      <c r="H718" s="667"/>
      <c r="I718" s="667"/>
      <c r="J718" s="667"/>
      <c r="K718" s="667"/>
      <c r="L718" s="667"/>
      <c r="M718" s="667"/>
      <c r="N718" s="667"/>
      <c r="O718" s="667"/>
      <c r="P718" s="667"/>
      <c r="Q718" s="667"/>
      <c r="R718" s="667"/>
      <c r="S718" s="667"/>
      <c r="T718" s="667"/>
      <c r="U718" s="1033">
        <v>12</v>
      </c>
      <c r="V718" s="668">
        <f t="shared" si="230"/>
        <v>1380</v>
      </c>
      <c r="W718" s="668">
        <f t="shared" si="231"/>
        <v>0</v>
      </c>
      <c r="X718" s="668">
        <f t="shared" si="232"/>
        <v>0</v>
      </c>
      <c r="Y718" s="668">
        <f t="shared" si="233"/>
        <v>0</v>
      </c>
      <c r="Z718" s="668">
        <f t="shared" si="234"/>
        <v>1380</v>
      </c>
      <c r="AA718" s="668">
        <f t="shared" si="235"/>
        <v>0</v>
      </c>
      <c r="AB718" s="668">
        <f t="shared" si="236"/>
        <v>0</v>
      </c>
      <c r="AC718" s="668">
        <f t="shared" si="229"/>
        <v>0</v>
      </c>
      <c r="AD718" s="668">
        <f t="shared" si="237"/>
        <v>0</v>
      </c>
      <c r="AE718" s="668">
        <f t="shared" si="238"/>
        <v>0</v>
      </c>
      <c r="AF718" s="668">
        <f t="shared" si="239"/>
        <v>0</v>
      </c>
      <c r="AG718" s="668">
        <f t="shared" si="240"/>
        <v>0</v>
      </c>
      <c r="AH718" s="668"/>
      <c r="AI718" s="668"/>
      <c r="AJ718" s="668"/>
      <c r="AK718" s="668"/>
      <c r="AL718" s="668"/>
      <c r="AM718" s="668">
        <f t="shared" si="211"/>
        <v>0</v>
      </c>
      <c r="AN718" s="668">
        <f t="shared" si="225"/>
        <v>0</v>
      </c>
      <c r="AO718" s="668">
        <f t="shared" si="226"/>
        <v>0</v>
      </c>
      <c r="AP718" s="668">
        <f t="shared" si="212"/>
        <v>0</v>
      </c>
      <c r="AQ718" s="668">
        <f t="shared" si="227"/>
        <v>0</v>
      </c>
      <c r="AR718" s="668">
        <f t="shared" si="228"/>
        <v>0</v>
      </c>
      <c r="AS718" s="668"/>
      <c r="AT718" s="668"/>
      <c r="AU718" s="668"/>
      <c r="AV718" s="668"/>
      <c r="AW718" s="668"/>
      <c r="AX718" s="668"/>
      <c r="AY718" s="668"/>
      <c r="AZ718" s="668"/>
      <c r="BA718" s="668"/>
      <c r="BB718" s="668">
        <f t="shared" si="213"/>
        <v>0</v>
      </c>
      <c r="BC718" s="668"/>
      <c r="BD718" s="668"/>
      <c r="BE718" s="668"/>
      <c r="BF718" s="668"/>
      <c r="BG718" s="668"/>
      <c r="BH718" s="668"/>
      <c r="BI718" s="668"/>
    </row>
    <row r="719" spans="1:61" x14ac:dyDescent="0.2">
      <c r="A719" s="1020">
        <v>4001</v>
      </c>
      <c r="B719" s="1020" t="s">
        <v>770</v>
      </c>
      <c r="C719" s="1020"/>
      <c r="D719" s="667"/>
      <c r="E719" s="667"/>
      <c r="F719" s="667"/>
      <c r="G719" s="667"/>
      <c r="H719" s="667"/>
      <c r="I719" s="667">
        <v>85</v>
      </c>
      <c r="J719" s="667"/>
      <c r="K719" s="667"/>
      <c r="L719" s="667"/>
      <c r="M719" s="667"/>
      <c r="N719" s="667"/>
      <c r="O719" s="667"/>
      <c r="P719" s="667"/>
      <c r="Q719" s="667"/>
      <c r="R719" s="667"/>
      <c r="S719" s="667"/>
      <c r="T719" s="667"/>
      <c r="U719" s="1033"/>
      <c r="V719" s="668">
        <f t="shared" si="230"/>
        <v>0</v>
      </c>
      <c r="W719" s="668">
        <f t="shared" si="231"/>
        <v>0</v>
      </c>
      <c r="X719" s="668">
        <f t="shared" si="232"/>
        <v>0</v>
      </c>
      <c r="Y719" s="668">
        <f t="shared" si="233"/>
        <v>0</v>
      </c>
      <c r="Z719" s="668">
        <f t="shared" si="234"/>
        <v>0</v>
      </c>
      <c r="AA719" s="668">
        <f t="shared" si="235"/>
        <v>0</v>
      </c>
      <c r="AB719" s="668">
        <f t="shared" si="236"/>
        <v>0</v>
      </c>
      <c r="AC719" s="668">
        <f t="shared" si="229"/>
        <v>0</v>
      </c>
      <c r="AD719" s="668">
        <f t="shared" si="237"/>
        <v>0</v>
      </c>
      <c r="AE719" s="668">
        <f t="shared" si="238"/>
        <v>0</v>
      </c>
      <c r="AF719" s="668">
        <f t="shared" si="239"/>
        <v>0</v>
      </c>
      <c r="AG719" s="668">
        <f t="shared" si="240"/>
        <v>0</v>
      </c>
      <c r="AH719" s="668"/>
      <c r="AI719" s="668"/>
      <c r="AJ719" s="668"/>
      <c r="AK719" s="668"/>
      <c r="AL719" s="668"/>
      <c r="AM719" s="668">
        <f t="shared" si="211"/>
        <v>85</v>
      </c>
      <c r="AN719" s="668">
        <f t="shared" si="225"/>
        <v>0</v>
      </c>
      <c r="AO719" s="668">
        <f t="shared" si="226"/>
        <v>0</v>
      </c>
      <c r="AP719" s="668">
        <f t="shared" si="212"/>
        <v>0</v>
      </c>
      <c r="AQ719" s="668">
        <f t="shared" si="227"/>
        <v>0</v>
      </c>
      <c r="AR719" s="668">
        <f t="shared" si="228"/>
        <v>0</v>
      </c>
      <c r="AS719" s="668"/>
      <c r="AT719" s="668"/>
      <c r="AU719" s="668"/>
      <c r="AV719" s="668"/>
      <c r="AW719" s="668"/>
      <c r="AX719" s="668"/>
      <c r="AY719" s="668"/>
      <c r="AZ719" s="668"/>
      <c r="BA719" s="668"/>
      <c r="BB719" s="668">
        <f t="shared" si="213"/>
        <v>0</v>
      </c>
      <c r="BC719" s="668"/>
      <c r="BD719" s="668"/>
      <c r="BE719" s="668"/>
      <c r="BF719" s="668"/>
      <c r="BG719" s="668"/>
      <c r="BH719" s="668"/>
      <c r="BI719" s="668"/>
    </row>
    <row r="720" spans="1:61" x14ac:dyDescent="0.2">
      <c r="A720" s="1020">
        <v>4002</v>
      </c>
      <c r="B720" s="1020" t="s">
        <v>464</v>
      </c>
      <c r="C720" s="1020"/>
      <c r="D720" s="667">
        <v>73</v>
      </c>
      <c r="E720" s="667"/>
      <c r="F720" s="667"/>
      <c r="G720" s="667"/>
      <c r="H720" s="667"/>
      <c r="I720" s="667"/>
      <c r="J720" s="667"/>
      <c r="K720" s="667"/>
      <c r="L720" s="667"/>
      <c r="M720" s="667"/>
      <c r="N720" s="667"/>
      <c r="O720" s="667"/>
      <c r="P720" s="667"/>
      <c r="Q720" s="667">
        <v>192</v>
      </c>
      <c r="R720" s="667"/>
      <c r="S720" s="667"/>
      <c r="T720" s="667"/>
      <c r="U720" s="1033">
        <v>14</v>
      </c>
      <c r="V720" s="668">
        <f t="shared" si="230"/>
        <v>1022</v>
      </c>
      <c r="W720" s="668">
        <f t="shared" si="231"/>
        <v>0</v>
      </c>
      <c r="X720" s="668">
        <f t="shared" si="232"/>
        <v>0</v>
      </c>
      <c r="Y720" s="668">
        <f t="shared" si="233"/>
        <v>0</v>
      </c>
      <c r="Z720" s="668">
        <f t="shared" si="234"/>
        <v>0</v>
      </c>
      <c r="AA720" s="668">
        <f t="shared" si="235"/>
        <v>0</v>
      </c>
      <c r="AB720" s="668">
        <f t="shared" si="236"/>
        <v>0</v>
      </c>
      <c r="AC720" s="668">
        <f t="shared" si="229"/>
        <v>0</v>
      </c>
      <c r="AD720" s="668">
        <f t="shared" si="237"/>
        <v>192</v>
      </c>
      <c r="AE720" s="668">
        <f t="shared" si="238"/>
        <v>0</v>
      </c>
      <c r="AF720" s="668">
        <f t="shared" si="239"/>
        <v>0</v>
      </c>
      <c r="AG720" s="668">
        <f t="shared" si="240"/>
        <v>0</v>
      </c>
      <c r="AH720" s="668"/>
      <c r="AI720" s="668"/>
      <c r="AJ720" s="668"/>
      <c r="AK720" s="668"/>
      <c r="AL720" s="668"/>
      <c r="AM720" s="668">
        <f t="shared" si="211"/>
        <v>0</v>
      </c>
      <c r="AN720" s="668">
        <f t="shared" si="225"/>
        <v>0</v>
      </c>
      <c r="AO720" s="668">
        <f t="shared" si="226"/>
        <v>0</v>
      </c>
      <c r="AP720" s="668">
        <f t="shared" si="212"/>
        <v>0</v>
      </c>
      <c r="AQ720" s="668">
        <f t="shared" si="227"/>
        <v>0</v>
      </c>
      <c r="AR720" s="668">
        <f t="shared" si="228"/>
        <v>0</v>
      </c>
      <c r="AS720" s="668"/>
      <c r="AT720" s="668"/>
      <c r="AU720" s="668"/>
      <c r="AV720" s="668"/>
      <c r="AW720" s="668"/>
      <c r="AX720" s="668"/>
      <c r="AY720" s="668"/>
      <c r="AZ720" s="668"/>
      <c r="BA720" s="668"/>
      <c r="BB720" s="668">
        <f t="shared" si="213"/>
        <v>0</v>
      </c>
      <c r="BC720" s="668"/>
      <c r="BD720" s="668"/>
      <c r="BE720" s="668"/>
      <c r="BF720" s="668"/>
      <c r="BG720" s="668"/>
      <c r="BH720" s="668"/>
      <c r="BI720" s="668"/>
    </row>
    <row r="721" spans="1:61" x14ac:dyDescent="0.2">
      <c r="A721" s="1020" t="s">
        <v>764</v>
      </c>
      <c r="B721" s="1020" t="s">
        <v>533</v>
      </c>
      <c r="C721" s="1020"/>
      <c r="D721" s="667"/>
      <c r="E721" s="667"/>
      <c r="F721" s="667"/>
      <c r="G721" s="667"/>
      <c r="H721" s="667"/>
      <c r="I721" s="667"/>
      <c r="J721" s="667"/>
      <c r="K721" s="667"/>
      <c r="L721" s="667"/>
      <c r="M721" s="667"/>
      <c r="N721" s="667"/>
      <c r="O721" s="667"/>
      <c r="P721" s="667"/>
      <c r="Q721" s="667"/>
      <c r="R721" s="667"/>
      <c r="S721" s="667"/>
      <c r="T721" s="667"/>
      <c r="U721" s="1033"/>
      <c r="V721" s="668">
        <f t="shared" si="230"/>
        <v>0</v>
      </c>
      <c r="W721" s="668">
        <f t="shared" si="231"/>
        <v>0</v>
      </c>
      <c r="X721" s="668">
        <f t="shared" si="232"/>
        <v>0</v>
      </c>
      <c r="Y721" s="668">
        <f t="shared" si="233"/>
        <v>0</v>
      </c>
      <c r="Z721" s="668">
        <f t="shared" si="234"/>
        <v>0</v>
      </c>
      <c r="AA721" s="668">
        <f t="shared" si="235"/>
        <v>0</v>
      </c>
      <c r="AB721" s="668">
        <f t="shared" si="236"/>
        <v>0</v>
      </c>
      <c r="AC721" s="668">
        <f t="shared" si="229"/>
        <v>0</v>
      </c>
      <c r="AD721" s="668">
        <f t="shared" si="237"/>
        <v>0</v>
      </c>
      <c r="AE721" s="668">
        <f t="shared" si="238"/>
        <v>0</v>
      </c>
      <c r="AF721" s="668">
        <f t="shared" si="239"/>
        <v>0</v>
      </c>
      <c r="AG721" s="668">
        <f t="shared" si="240"/>
        <v>0</v>
      </c>
      <c r="AH721" s="668"/>
      <c r="AI721" s="668"/>
      <c r="AJ721" s="668"/>
      <c r="AK721" s="668"/>
      <c r="AL721" s="668"/>
      <c r="AM721" s="668">
        <f t="shared" ref="AM721:AM783" si="241">+I721</f>
        <v>0</v>
      </c>
      <c r="AN721" s="668">
        <f t="shared" si="225"/>
        <v>0</v>
      </c>
      <c r="AO721" s="668">
        <f t="shared" si="226"/>
        <v>0</v>
      </c>
      <c r="AP721" s="668">
        <f t="shared" si="212"/>
        <v>0</v>
      </c>
      <c r="AQ721" s="668">
        <f t="shared" si="227"/>
        <v>0</v>
      </c>
      <c r="AR721" s="668">
        <f t="shared" si="228"/>
        <v>0</v>
      </c>
      <c r="AS721" s="668"/>
      <c r="AT721" s="668"/>
      <c r="AU721" s="668"/>
      <c r="AV721" s="668"/>
      <c r="AW721" s="668"/>
      <c r="AX721" s="668"/>
      <c r="AY721" s="668"/>
      <c r="AZ721" s="668"/>
      <c r="BA721" s="668"/>
      <c r="BB721" s="668">
        <f t="shared" si="213"/>
        <v>0</v>
      </c>
      <c r="BC721" s="668"/>
      <c r="BD721" s="668"/>
      <c r="BE721" s="668"/>
      <c r="BF721" s="668"/>
      <c r="BG721" s="668"/>
      <c r="BH721" s="668"/>
      <c r="BI721" s="668"/>
    </row>
    <row r="722" spans="1:61" x14ac:dyDescent="0.2">
      <c r="A722" s="1020" t="s">
        <v>765</v>
      </c>
      <c r="B722" s="1020" t="s">
        <v>543</v>
      </c>
      <c r="C722" s="1020"/>
      <c r="D722" s="667"/>
      <c r="E722" s="667"/>
      <c r="F722" s="667"/>
      <c r="G722" s="667"/>
      <c r="H722" s="667"/>
      <c r="I722" s="667"/>
      <c r="J722" s="667"/>
      <c r="K722" s="667"/>
      <c r="L722" s="667"/>
      <c r="M722" s="667"/>
      <c r="N722" s="667"/>
      <c r="O722" s="667"/>
      <c r="P722" s="667"/>
      <c r="Q722" s="667"/>
      <c r="R722" s="667"/>
      <c r="S722" s="667"/>
      <c r="T722" s="667"/>
      <c r="U722" s="1033"/>
      <c r="V722" s="668">
        <f t="shared" si="230"/>
        <v>0</v>
      </c>
      <c r="W722" s="668">
        <f t="shared" si="231"/>
        <v>0</v>
      </c>
      <c r="X722" s="668">
        <f t="shared" si="232"/>
        <v>0</v>
      </c>
      <c r="Y722" s="668">
        <f t="shared" si="233"/>
        <v>0</v>
      </c>
      <c r="Z722" s="668">
        <f t="shared" si="234"/>
        <v>0</v>
      </c>
      <c r="AA722" s="668">
        <f t="shared" si="235"/>
        <v>0</v>
      </c>
      <c r="AB722" s="668">
        <f t="shared" si="236"/>
        <v>0</v>
      </c>
      <c r="AC722" s="668">
        <f t="shared" si="229"/>
        <v>0</v>
      </c>
      <c r="AD722" s="668">
        <f t="shared" si="237"/>
        <v>0</v>
      </c>
      <c r="AE722" s="668">
        <f t="shared" si="238"/>
        <v>0</v>
      </c>
      <c r="AF722" s="668">
        <f t="shared" si="239"/>
        <v>0</v>
      </c>
      <c r="AG722" s="668">
        <f t="shared" si="240"/>
        <v>0</v>
      </c>
      <c r="AH722" s="668"/>
      <c r="AI722" s="668"/>
      <c r="AJ722" s="668"/>
      <c r="AK722" s="668"/>
      <c r="AL722" s="668"/>
      <c r="AM722" s="668">
        <f t="shared" si="241"/>
        <v>0</v>
      </c>
      <c r="AN722" s="668">
        <f t="shared" si="225"/>
        <v>0</v>
      </c>
      <c r="AO722" s="668">
        <f t="shared" si="226"/>
        <v>0</v>
      </c>
      <c r="AP722" s="668">
        <f t="shared" ref="AP722:AP784" si="242">+U722*F722</f>
        <v>0</v>
      </c>
      <c r="AQ722" s="668">
        <f t="shared" si="227"/>
        <v>0</v>
      </c>
      <c r="AR722" s="668">
        <f t="shared" si="228"/>
        <v>0</v>
      </c>
      <c r="AS722" s="668"/>
      <c r="AT722" s="668"/>
      <c r="AU722" s="668"/>
      <c r="AV722" s="668"/>
      <c r="AW722" s="668"/>
      <c r="AX722" s="668"/>
      <c r="AY722" s="668"/>
      <c r="AZ722" s="668"/>
      <c r="BA722" s="668"/>
      <c r="BB722" s="668">
        <f t="shared" ref="BB722:BB785" si="243">+AP722</f>
        <v>0</v>
      </c>
      <c r="BC722" s="668"/>
      <c r="BD722" s="668"/>
      <c r="BE722" s="668"/>
      <c r="BF722" s="668"/>
      <c r="BG722" s="668"/>
      <c r="BH722" s="668"/>
      <c r="BI722" s="668"/>
    </row>
    <row r="723" spans="1:61" x14ac:dyDescent="0.2">
      <c r="A723" s="1020" t="s">
        <v>766</v>
      </c>
      <c r="B723" s="1020" t="s">
        <v>466</v>
      </c>
      <c r="C723" s="1020"/>
      <c r="D723" s="667">
        <v>28</v>
      </c>
      <c r="E723" s="667"/>
      <c r="F723" s="667"/>
      <c r="G723" s="667"/>
      <c r="H723" s="667"/>
      <c r="I723" s="667"/>
      <c r="J723" s="667"/>
      <c r="K723" s="667"/>
      <c r="L723" s="667"/>
      <c r="M723" s="667"/>
      <c r="N723" s="667"/>
      <c r="O723" s="667"/>
      <c r="P723" s="667"/>
      <c r="Q723" s="667"/>
      <c r="R723" s="667"/>
      <c r="S723" s="667"/>
      <c r="T723" s="667"/>
      <c r="U723" s="1033">
        <v>3</v>
      </c>
      <c r="V723" s="668">
        <f t="shared" si="230"/>
        <v>84</v>
      </c>
      <c r="W723" s="668">
        <f t="shared" si="231"/>
        <v>0</v>
      </c>
      <c r="X723" s="668">
        <f t="shared" si="232"/>
        <v>0</v>
      </c>
      <c r="Y723" s="668">
        <f t="shared" si="233"/>
        <v>0</v>
      </c>
      <c r="Z723" s="668">
        <f t="shared" si="234"/>
        <v>0</v>
      </c>
      <c r="AA723" s="668">
        <f t="shared" si="235"/>
        <v>0</v>
      </c>
      <c r="AB723" s="668">
        <f t="shared" si="236"/>
        <v>0</v>
      </c>
      <c r="AC723" s="668">
        <f t="shared" si="229"/>
        <v>0</v>
      </c>
      <c r="AD723" s="668">
        <f t="shared" si="237"/>
        <v>0</v>
      </c>
      <c r="AE723" s="668">
        <f t="shared" si="238"/>
        <v>0</v>
      </c>
      <c r="AF723" s="668">
        <f t="shared" si="239"/>
        <v>0</v>
      </c>
      <c r="AG723" s="668">
        <f t="shared" si="240"/>
        <v>0</v>
      </c>
      <c r="AH723" s="668"/>
      <c r="AI723" s="668"/>
      <c r="AJ723" s="668"/>
      <c r="AK723" s="668"/>
      <c r="AL723" s="668"/>
      <c r="AM723" s="668">
        <f t="shared" si="241"/>
        <v>0</v>
      </c>
      <c r="AN723" s="668">
        <f t="shared" si="225"/>
        <v>0</v>
      </c>
      <c r="AO723" s="668">
        <f t="shared" si="226"/>
        <v>0</v>
      </c>
      <c r="AP723" s="668">
        <f t="shared" si="242"/>
        <v>0</v>
      </c>
      <c r="AQ723" s="668">
        <f t="shared" si="227"/>
        <v>0</v>
      </c>
      <c r="AR723" s="668">
        <f t="shared" si="228"/>
        <v>0</v>
      </c>
      <c r="AS723" s="668"/>
      <c r="AT723" s="668"/>
      <c r="AU723" s="668"/>
      <c r="AV723" s="668"/>
      <c r="AW723" s="668"/>
      <c r="AX723" s="668"/>
      <c r="AY723" s="668"/>
      <c r="AZ723" s="668"/>
      <c r="BA723" s="668"/>
      <c r="BB723" s="668">
        <f t="shared" si="243"/>
        <v>0</v>
      </c>
      <c r="BC723" s="668"/>
      <c r="BD723" s="668"/>
      <c r="BE723" s="668"/>
      <c r="BF723" s="668"/>
      <c r="BG723" s="668"/>
      <c r="BH723" s="668"/>
      <c r="BI723" s="668"/>
    </row>
    <row r="724" spans="1:61" x14ac:dyDescent="0.2">
      <c r="A724" s="1020" t="s">
        <v>767</v>
      </c>
      <c r="B724" s="1020" t="s">
        <v>466</v>
      </c>
      <c r="C724" s="1020"/>
      <c r="D724" s="667">
        <v>28</v>
      </c>
      <c r="E724" s="667"/>
      <c r="F724" s="667"/>
      <c r="G724" s="667"/>
      <c r="H724" s="667"/>
      <c r="I724" s="667"/>
      <c r="J724" s="667"/>
      <c r="K724" s="667"/>
      <c r="L724" s="667"/>
      <c r="M724" s="667"/>
      <c r="N724" s="667"/>
      <c r="O724" s="667"/>
      <c r="P724" s="667"/>
      <c r="Q724" s="667"/>
      <c r="R724" s="667"/>
      <c r="S724" s="667"/>
      <c r="T724" s="667"/>
      <c r="U724" s="1033">
        <v>3</v>
      </c>
      <c r="V724" s="668">
        <f t="shared" si="230"/>
        <v>84</v>
      </c>
      <c r="W724" s="668">
        <f t="shared" si="231"/>
        <v>0</v>
      </c>
      <c r="X724" s="668">
        <f t="shared" si="232"/>
        <v>0</v>
      </c>
      <c r="Y724" s="668">
        <f t="shared" si="233"/>
        <v>0</v>
      </c>
      <c r="Z724" s="668">
        <f t="shared" si="234"/>
        <v>0</v>
      </c>
      <c r="AA724" s="668">
        <f t="shared" si="235"/>
        <v>0</v>
      </c>
      <c r="AB724" s="668">
        <f t="shared" si="236"/>
        <v>0</v>
      </c>
      <c r="AC724" s="668">
        <f t="shared" si="229"/>
        <v>0</v>
      </c>
      <c r="AD724" s="668">
        <f t="shared" si="237"/>
        <v>0</v>
      </c>
      <c r="AE724" s="668">
        <f t="shared" si="238"/>
        <v>0</v>
      </c>
      <c r="AF724" s="668">
        <f t="shared" si="239"/>
        <v>0</v>
      </c>
      <c r="AG724" s="668">
        <f t="shared" si="240"/>
        <v>0</v>
      </c>
      <c r="AH724" s="668"/>
      <c r="AI724" s="668"/>
      <c r="AJ724" s="668"/>
      <c r="AK724" s="668"/>
      <c r="AL724" s="668"/>
      <c r="AM724" s="668">
        <f t="shared" si="241"/>
        <v>0</v>
      </c>
      <c r="AN724" s="668">
        <f t="shared" si="225"/>
        <v>0</v>
      </c>
      <c r="AO724" s="668">
        <f t="shared" si="226"/>
        <v>0</v>
      </c>
      <c r="AP724" s="668">
        <f t="shared" si="242"/>
        <v>0</v>
      </c>
      <c r="AQ724" s="668">
        <f t="shared" si="227"/>
        <v>0</v>
      </c>
      <c r="AR724" s="668">
        <f t="shared" si="228"/>
        <v>0</v>
      </c>
      <c r="AS724" s="668"/>
      <c r="AT724" s="668"/>
      <c r="AU724" s="668"/>
      <c r="AV724" s="668"/>
      <c r="AW724" s="668"/>
      <c r="AX724" s="668"/>
      <c r="AY724" s="668"/>
      <c r="AZ724" s="668"/>
      <c r="BA724" s="668"/>
      <c r="BB724" s="668">
        <f t="shared" si="243"/>
        <v>0</v>
      </c>
      <c r="BC724" s="668"/>
      <c r="BD724" s="668"/>
      <c r="BE724" s="668"/>
      <c r="BF724" s="668"/>
      <c r="BG724" s="668"/>
      <c r="BH724" s="668"/>
      <c r="BI724" s="668"/>
    </row>
    <row r="725" spans="1:61" x14ac:dyDescent="0.2">
      <c r="A725" s="1020" t="s">
        <v>768</v>
      </c>
      <c r="B725" s="1020" t="s">
        <v>467</v>
      </c>
      <c r="C725" s="1020"/>
      <c r="D725" s="667">
        <v>28</v>
      </c>
      <c r="E725" s="667"/>
      <c r="F725" s="667"/>
      <c r="G725" s="667"/>
      <c r="H725" s="667"/>
      <c r="I725" s="667"/>
      <c r="J725" s="667"/>
      <c r="K725" s="667"/>
      <c r="L725" s="667"/>
      <c r="M725" s="667"/>
      <c r="N725" s="667"/>
      <c r="O725" s="667"/>
      <c r="P725" s="667"/>
      <c r="Q725" s="667"/>
      <c r="R725" s="667"/>
      <c r="S725" s="667"/>
      <c r="T725" s="667"/>
      <c r="U725" s="1033">
        <v>3</v>
      </c>
      <c r="V725" s="668">
        <f t="shared" si="230"/>
        <v>84</v>
      </c>
      <c r="W725" s="668">
        <f t="shared" si="231"/>
        <v>0</v>
      </c>
      <c r="X725" s="668">
        <f t="shared" si="232"/>
        <v>0</v>
      </c>
      <c r="Y725" s="668">
        <f t="shared" si="233"/>
        <v>0</v>
      </c>
      <c r="Z725" s="668">
        <f t="shared" si="234"/>
        <v>0</v>
      </c>
      <c r="AA725" s="668">
        <f t="shared" si="235"/>
        <v>0</v>
      </c>
      <c r="AB725" s="668">
        <f t="shared" si="236"/>
        <v>0</v>
      </c>
      <c r="AC725" s="668">
        <f t="shared" si="229"/>
        <v>0</v>
      </c>
      <c r="AD725" s="668">
        <f t="shared" si="237"/>
        <v>0</v>
      </c>
      <c r="AE725" s="668">
        <f t="shared" si="238"/>
        <v>0</v>
      </c>
      <c r="AF725" s="668">
        <f t="shared" si="239"/>
        <v>0</v>
      </c>
      <c r="AG725" s="668">
        <f t="shared" si="240"/>
        <v>0</v>
      </c>
      <c r="AH725" s="668"/>
      <c r="AI725" s="668"/>
      <c r="AJ725" s="668"/>
      <c r="AK725" s="668"/>
      <c r="AL725" s="668"/>
      <c r="AM725" s="668">
        <f t="shared" si="241"/>
        <v>0</v>
      </c>
      <c r="AN725" s="668">
        <f t="shared" si="225"/>
        <v>0</v>
      </c>
      <c r="AO725" s="668">
        <f t="shared" si="226"/>
        <v>0</v>
      </c>
      <c r="AP725" s="668">
        <f t="shared" si="242"/>
        <v>0</v>
      </c>
      <c r="AQ725" s="668">
        <f t="shared" si="227"/>
        <v>0</v>
      </c>
      <c r="AR725" s="668">
        <f t="shared" si="228"/>
        <v>0</v>
      </c>
      <c r="AS725" s="668"/>
      <c r="AT725" s="668"/>
      <c r="AU725" s="668"/>
      <c r="AV725" s="668"/>
      <c r="AW725" s="668"/>
      <c r="AX725" s="668"/>
      <c r="AY725" s="668"/>
      <c r="AZ725" s="668"/>
      <c r="BA725" s="668"/>
      <c r="BB725" s="668">
        <f t="shared" si="243"/>
        <v>0</v>
      </c>
      <c r="BC725" s="668"/>
      <c r="BD725" s="668"/>
      <c r="BE725" s="668"/>
      <c r="BF725" s="668"/>
      <c r="BG725" s="668"/>
      <c r="BH725" s="668"/>
      <c r="BI725" s="668"/>
    </row>
    <row r="726" spans="1:61" x14ac:dyDescent="0.2">
      <c r="A726" s="1020" t="s">
        <v>769</v>
      </c>
      <c r="B726" s="1020" t="s">
        <v>467</v>
      </c>
      <c r="C726" s="1020"/>
      <c r="D726" s="667">
        <v>28</v>
      </c>
      <c r="E726" s="667"/>
      <c r="F726" s="667"/>
      <c r="G726" s="667"/>
      <c r="H726" s="667"/>
      <c r="I726" s="667"/>
      <c r="J726" s="667"/>
      <c r="K726" s="667"/>
      <c r="L726" s="667"/>
      <c r="M726" s="667"/>
      <c r="N726" s="667"/>
      <c r="O726" s="667"/>
      <c r="P726" s="667"/>
      <c r="Q726" s="667"/>
      <c r="R726" s="667"/>
      <c r="S726" s="667"/>
      <c r="T726" s="667"/>
      <c r="U726" s="1033">
        <v>3</v>
      </c>
      <c r="V726" s="668">
        <f t="shared" si="230"/>
        <v>84</v>
      </c>
      <c r="W726" s="668">
        <f t="shared" si="231"/>
        <v>0</v>
      </c>
      <c r="X726" s="668">
        <f t="shared" si="232"/>
        <v>0</v>
      </c>
      <c r="Y726" s="668">
        <f t="shared" si="233"/>
        <v>0</v>
      </c>
      <c r="Z726" s="668">
        <f t="shared" si="234"/>
        <v>0</v>
      </c>
      <c r="AA726" s="668">
        <f t="shared" si="235"/>
        <v>0</v>
      </c>
      <c r="AB726" s="668">
        <f t="shared" si="236"/>
        <v>0</v>
      </c>
      <c r="AC726" s="668">
        <f t="shared" si="229"/>
        <v>0</v>
      </c>
      <c r="AD726" s="668">
        <f t="shared" si="237"/>
        <v>0</v>
      </c>
      <c r="AE726" s="668">
        <f t="shared" si="238"/>
        <v>0</v>
      </c>
      <c r="AF726" s="668">
        <f t="shared" si="239"/>
        <v>0</v>
      </c>
      <c r="AG726" s="668">
        <f t="shared" si="240"/>
        <v>0</v>
      </c>
      <c r="AH726" s="668"/>
      <c r="AI726" s="668"/>
      <c r="AJ726" s="668"/>
      <c r="AK726" s="668"/>
      <c r="AL726" s="668"/>
      <c r="AM726" s="668">
        <f t="shared" si="241"/>
        <v>0</v>
      </c>
      <c r="AN726" s="668">
        <f t="shared" si="225"/>
        <v>0</v>
      </c>
      <c r="AO726" s="668">
        <f t="shared" si="226"/>
        <v>0</v>
      </c>
      <c r="AP726" s="668">
        <f t="shared" si="242"/>
        <v>0</v>
      </c>
      <c r="AQ726" s="668">
        <f t="shared" si="227"/>
        <v>0</v>
      </c>
      <c r="AR726" s="668">
        <f t="shared" si="228"/>
        <v>0</v>
      </c>
      <c r="AS726" s="668"/>
      <c r="AT726" s="668"/>
      <c r="AU726" s="668"/>
      <c r="AV726" s="668"/>
      <c r="AW726" s="668"/>
      <c r="AX726" s="668"/>
      <c r="AY726" s="668"/>
      <c r="AZ726" s="668"/>
      <c r="BA726" s="668"/>
      <c r="BB726" s="668">
        <f t="shared" si="243"/>
        <v>0</v>
      </c>
      <c r="BC726" s="668"/>
      <c r="BD726" s="668"/>
      <c r="BE726" s="668"/>
      <c r="BF726" s="668"/>
      <c r="BG726" s="668"/>
      <c r="BH726" s="668"/>
      <c r="BI726" s="668"/>
    </row>
    <row r="727" spans="1:61" x14ac:dyDescent="0.2">
      <c r="A727" s="1020">
        <v>4006</v>
      </c>
      <c r="B727" s="1020" t="s">
        <v>534</v>
      </c>
      <c r="C727" s="1020"/>
      <c r="D727" s="667"/>
      <c r="E727" s="667"/>
      <c r="F727" s="667"/>
      <c r="G727" s="667"/>
      <c r="H727" s="667"/>
      <c r="I727" s="667"/>
      <c r="J727" s="667"/>
      <c r="K727" s="667"/>
      <c r="L727" s="667"/>
      <c r="M727" s="667"/>
      <c r="N727" s="667"/>
      <c r="O727" s="667"/>
      <c r="P727" s="667"/>
      <c r="Q727" s="667"/>
      <c r="R727" s="667"/>
      <c r="S727" s="667"/>
      <c r="T727" s="667"/>
      <c r="U727" s="1033"/>
      <c r="V727" s="668">
        <f t="shared" si="230"/>
        <v>0</v>
      </c>
      <c r="W727" s="668">
        <f t="shared" si="231"/>
        <v>0</v>
      </c>
      <c r="X727" s="668">
        <f t="shared" si="232"/>
        <v>0</v>
      </c>
      <c r="Y727" s="668">
        <f t="shared" si="233"/>
        <v>0</v>
      </c>
      <c r="Z727" s="668">
        <f t="shared" si="234"/>
        <v>0</v>
      </c>
      <c r="AA727" s="668">
        <f t="shared" si="235"/>
        <v>0</v>
      </c>
      <c r="AB727" s="668">
        <f t="shared" si="236"/>
        <v>0</v>
      </c>
      <c r="AC727" s="668">
        <f t="shared" si="229"/>
        <v>0</v>
      </c>
      <c r="AD727" s="668">
        <f t="shared" si="237"/>
        <v>0</v>
      </c>
      <c r="AE727" s="668">
        <f t="shared" si="238"/>
        <v>0</v>
      </c>
      <c r="AF727" s="668">
        <f t="shared" si="239"/>
        <v>0</v>
      </c>
      <c r="AG727" s="668">
        <f t="shared" si="240"/>
        <v>0</v>
      </c>
      <c r="AH727" s="668"/>
      <c r="AI727" s="668"/>
      <c r="AJ727" s="668"/>
      <c r="AK727" s="668"/>
      <c r="AL727" s="668"/>
      <c r="AM727" s="668">
        <f t="shared" si="241"/>
        <v>0</v>
      </c>
      <c r="AN727" s="668">
        <f t="shared" si="225"/>
        <v>0</v>
      </c>
      <c r="AO727" s="668">
        <f t="shared" si="226"/>
        <v>0</v>
      </c>
      <c r="AP727" s="668">
        <f t="shared" si="242"/>
        <v>0</v>
      </c>
      <c r="AQ727" s="668">
        <f t="shared" si="227"/>
        <v>0</v>
      </c>
      <c r="AR727" s="668">
        <f t="shared" si="228"/>
        <v>0</v>
      </c>
      <c r="AS727" s="668"/>
      <c r="AT727" s="668"/>
      <c r="AU727" s="668"/>
      <c r="AV727" s="668"/>
      <c r="AW727" s="668"/>
      <c r="AX727" s="668"/>
      <c r="AY727" s="668"/>
      <c r="AZ727" s="668"/>
      <c r="BA727" s="668"/>
      <c r="BB727" s="668">
        <f t="shared" si="243"/>
        <v>0</v>
      </c>
      <c r="BC727" s="668"/>
      <c r="BD727" s="668"/>
      <c r="BE727" s="668"/>
      <c r="BF727" s="668"/>
      <c r="BG727" s="668"/>
      <c r="BH727" s="668"/>
      <c r="BI727" s="668"/>
    </row>
    <row r="728" spans="1:61" x14ac:dyDescent="0.2">
      <c r="A728" s="1020">
        <v>4007</v>
      </c>
      <c r="B728" s="1020" t="s">
        <v>715</v>
      </c>
      <c r="C728" s="1020"/>
      <c r="D728" s="667">
        <v>18</v>
      </c>
      <c r="E728" s="667">
        <v>38</v>
      </c>
      <c r="F728" s="667"/>
      <c r="G728" s="667"/>
      <c r="H728" s="667"/>
      <c r="I728" s="667">
        <f>+D728+E728</f>
        <v>56</v>
      </c>
      <c r="J728" s="667"/>
      <c r="K728" s="667"/>
      <c r="L728" s="667"/>
      <c r="M728" s="667"/>
      <c r="N728" s="667"/>
      <c r="O728" s="667"/>
      <c r="P728" s="667"/>
      <c r="Q728" s="667"/>
      <c r="R728" s="667"/>
      <c r="S728" s="667"/>
      <c r="T728" s="667"/>
      <c r="U728" s="1033">
        <v>12</v>
      </c>
      <c r="V728" s="668">
        <f t="shared" si="230"/>
        <v>216</v>
      </c>
      <c r="W728" s="668">
        <f t="shared" si="231"/>
        <v>0</v>
      </c>
      <c r="X728" s="668">
        <f t="shared" si="232"/>
        <v>0</v>
      </c>
      <c r="Y728" s="668">
        <f t="shared" si="233"/>
        <v>0</v>
      </c>
      <c r="Z728" s="668">
        <f t="shared" si="234"/>
        <v>0</v>
      </c>
      <c r="AA728" s="668">
        <f t="shared" si="235"/>
        <v>0</v>
      </c>
      <c r="AB728" s="668">
        <f t="shared" si="236"/>
        <v>0</v>
      </c>
      <c r="AC728" s="668">
        <f t="shared" si="229"/>
        <v>0</v>
      </c>
      <c r="AD728" s="668">
        <f t="shared" si="237"/>
        <v>0</v>
      </c>
      <c r="AE728" s="668">
        <f t="shared" si="238"/>
        <v>0</v>
      </c>
      <c r="AF728" s="668">
        <f t="shared" si="239"/>
        <v>0</v>
      </c>
      <c r="AG728" s="668">
        <f t="shared" si="240"/>
        <v>0</v>
      </c>
      <c r="AH728" s="668"/>
      <c r="AI728" s="668"/>
      <c r="AJ728" s="668"/>
      <c r="AK728" s="668"/>
      <c r="AL728" s="668"/>
      <c r="AM728" s="668">
        <f t="shared" si="241"/>
        <v>56</v>
      </c>
      <c r="AN728" s="668">
        <f t="shared" si="225"/>
        <v>456</v>
      </c>
      <c r="AO728" s="668">
        <f t="shared" si="226"/>
        <v>0</v>
      </c>
      <c r="AP728" s="668">
        <f t="shared" si="242"/>
        <v>0</v>
      </c>
      <c r="AQ728" s="668">
        <f t="shared" si="227"/>
        <v>0</v>
      </c>
      <c r="AR728" s="668">
        <f t="shared" si="228"/>
        <v>0</v>
      </c>
      <c r="AS728" s="668"/>
      <c r="AT728" s="668"/>
      <c r="AU728" s="668"/>
      <c r="AV728" s="668"/>
      <c r="AW728" s="668"/>
      <c r="AX728" s="668"/>
      <c r="AY728" s="668"/>
      <c r="AZ728" s="668"/>
      <c r="BA728" s="668"/>
      <c r="BB728" s="668">
        <f t="shared" si="243"/>
        <v>0</v>
      </c>
      <c r="BC728" s="668"/>
      <c r="BD728" s="668"/>
      <c r="BE728" s="668"/>
      <c r="BF728" s="668"/>
      <c r="BG728" s="668"/>
      <c r="BH728" s="668"/>
      <c r="BI728" s="668"/>
    </row>
    <row r="729" spans="1:61" x14ac:dyDescent="0.2">
      <c r="A729" s="1020">
        <v>4008</v>
      </c>
      <c r="B729" s="1020" t="s">
        <v>476</v>
      </c>
      <c r="C729" s="1020"/>
      <c r="D729" s="667">
        <v>50</v>
      </c>
      <c r="E729" s="667"/>
      <c r="F729" s="667"/>
      <c r="G729" s="667"/>
      <c r="H729" s="667"/>
      <c r="I729" s="667"/>
      <c r="J729" s="667"/>
      <c r="K729" s="667"/>
      <c r="L729" s="667">
        <v>2</v>
      </c>
      <c r="M729" s="667"/>
      <c r="N729" s="667"/>
      <c r="O729" s="667"/>
      <c r="P729" s="667"/>
      <c r="Q729" s="667"/>
      <c r="R729" s="667"/>
      <c r="S729" s="667"/>
      <c r="T729" s="667"/>
      <c r="U729" s="1033">
        <v>12</v>
      </c>
      <c r="V729" s="668">
        <f t="shared" si="230"/>
        <v>600</v>
      </c>
      <c r="W729" s="668">
        <f t="shared" si="231"/>
        <v>0</v>
      </c>
      <c r="X729" s="668">
        <f t="shared" si="232"/>
        <v>0</v>
      </c>
      <c r="Y729" s="668">
        <f t="shared" si="233"/>
        <v>0</v>
      </c>
      <c r="Z729" s="668">
        <f t="shared" si="234"/>
        <v>0</v>
      </c>
      <c r="AA729" s="668">
        <f t="shared" si="235"/>
        <v>0</v>
      </c>
      <c r="AB729" s="668">
        <f t="shared" si="236"/>
        <v>0</v>
      </c>
      <c r="AC729" s="668">
        <f t="shared" si="229"/>
        <v>0</v>
      </c>
      <c r="AD729" s="668">
        <f t="shared" si="237"/>
        <v>0</v>
      </c>
      <c r="AE729" s="668">
        <f t="shared" si="238"/>
        <v>0</v>
      </c>
      <c r="AF729" s="668">
        <f t="shared" si="239"/>
        <v>24</v>
      </c>
      <c r="AG729" s="668">
        <f t="shared" si="240"/>
        <v>0</v>
      </c>
      <c r="AH729" s="668"/>
      <c r="AI729" s="668"/>
      <c r="AJ729" s="668"/>
      <c r="AK729" s="668"/>
      <c r="AL729" s="668"/>
      <c r="AM729" s="668">
        <f t="shared" si="241"/>
        <v>0</v>
      </c>
      <c r="AN729" s="668">
        <f t="shared" si="225"/>
        <v>0</v>
      </c>
      <c r="AO729" s="668">
        <f t="shared" si="226"/>
        <v>0</v>
      </c>
      <c r="AP729" s="668">
        <f t="shared" si="242"/>
        <v>0</v>
      </c>
      <c r="AQ729" s="668">
        <f t="shared" si="227"/>
        <v>0</v>
      </c>
      <c r="AR729" s="668">
        <f t="shared" si="228"/>
        <v>0</v>
      </c>
      <c r="AS729" s="668"/>
      <c r="AT729" s="668"/>
      <c r="AU729" s="668"/>
      <c r="AV729" s="668"/>
      <c r="AW729" s="668"/>
      <c r="AX729" s="668"/>
      <c r="AY729" s="668"/>
      <c r="AZ729" s="668"/>
      <c r="BA729" s="668"/>
      <c r="BB729" s="668">
        <f t="shared" si="243"/>
        <v>0</v>
      </c>
      <c r="BC729" s="668"/>
      <c r="BD729" s="668"/>
      <c r="BE729" s="668"/>
      <c r="BF729" s="668"/>
      <c r="BG729" s="668"/>
      <c r="BH729" s="668"/>
      <c r="BI729" s="668"/>
    </row>
    <row r="730" spans="1:61" x14ac:dyDescent="0.2">
      <c r="A730" s="1020">
        <v>4009</v>
      </c>
      <c r="B730" s="1020"/>
      <c r="C730" s="1020"/>
      <c r="D730" s="667"/>
      <c r="E730" s="667"/>
      <c r="F730" s="667"/>
      <c r="G730" s="667"/>
      <c r="H730" s="667"/>
      <c r="I730" s="667"/>
      <c r="J730" s="667"/>
      <c r="K730" s="667"/>
      <c r="L730" s="667"/>
      <c r="M730" s="667"/>
      <c r="N730" s="667"/>
      <c r="O730" s="667"/>
      <c r="P730" s="667"/>
      <c r="Q730" s="667"/>
      <c r="R730" s="667"/>
      <c r="S730" s="667"/>
      <c r="T730" s="667"/>
      <c r="U730" s="1033"/>
      <c r="V730" s="668">
        <f t="shared" si="230"/>
        <v>0</v>
      </c>
      <c r="W730" s="668">
        <f t="shared" si="231"/>
        <v>0</v>
      </c>
      <c r="X730" s="668">
        <f t="shared" si="232"/>
        <v>0</v>
      </c>
      <c r="Y730" s="668">
        <f t="shared" si="233"/>
        <v>0</v>
      </c>
      <c r="Z730" s="668">
        <f t="shared" si="234"/>
        <v>0</v>
      </c>
      <c r="AA730" s="668">
        <f t="shared" si="235"/>
        <v>0</v>
      </c>
      <c r="AB730" s="668">
        <f t="shared" si="236"/>
        <v>0</v>
      </c>
      <c r="AC730" s="668">
        <f t="shared" si="229"/>
        <v>0</v>
      </c>
      <c r="AD730" s="668">
        <f t="shared" si="237"/>
        <v>0</v>
      </c>
      <c r="AE730" s="668">
        <f t="shared" si="238"/>
        <v>0</v>
      </c>
      <c r="AF730" s="668">
        <f t="shared" si="239"/>
        <v>0</v>
      </c>
      <c r="AG730" s="668">
        <f t="shared" si="240"/>
        <v>0</v>
      </c>
      <c r="AH730" s="668"/>
      <c r="AI730" s="668"/>
      <c r="AJ730" s="668"/>
      <c r="AK730" s="668"/>
      <c r="AL730" s="668"/>
      <c r="AM730" s="668">
        <f t="shared" si="241"/>
        <v>0</v>
      </c>
      <c r="AN730" s="668">
        <f t="shared" si="225"/>
        <v>0</v>
      </c>
      <c r="AO730" s="668">
        <f t="shared" si="226"/>
        <v>0</v>
      </c>
      <c r="AP730" s="668">
        <f t="shared" si="242"/>
        <v>0</v>
      </c>
      <c r="AQ730" s="668">
        <f t="shared" si="227"/>
        <v>0</v>
      </c>
      <c r="AR730" s="668">
        <f t="shared" si="228"/>
        <v>0</v>
      </c>
      <c r="AS730" s="668"/>
      <c r="AT730" s="668"/>
      <c r="AU730" s="668"/>
      <c r="AV730" s="668"/>
      <c r="AW730" s="668"/>
      <c r="AX730" s="668"/>
      <c r="AY730" s="668"/>
      <c r="AZ730" s="668"/>
      <c r="BA730" s="668"/>
      <c r="BB730" s="668">
        <f t="shared" si="243"/>
        <v>0</v>
      </c>
      <c r="BC730" s="668"/>
      <c r="BD730" s="668"/>
      <c r="BE730" s="668"/>
      <c r="BF730" s="668"/>
      <c r="BG730" s="668"/>
      <c r="BH730" s="668"/>
      <c r="BI730" s="668"/>
    </row>
    <row r="731" spans="1:61" x14ac:dyDescent="0.2">
      <c r="A731" s="1020">
        <v>4010</v>
      </c>
      <c r="B731" s="1020" t="s">
        <v>716</v>
      </c>
      <c r="C731" s="1020"/>
      <c r="D731" s="667">
        <v>45</v>
      </c>
      <c r="E731" s="667"/>
      <c r="F731" s="667"/>
      <c r="G731" s="667"/>
      <c r="H731" s="667"/>
      <c r="I731" s="667"/>
      <c r="J731" s="667"/>
      <c r="K731" s="667"/>
      <c r="L731" s="667"/>
      <c r="M731" s="667"/>
      <c r="N731" s="667"/>
      <c r="O731" s="667"/>
      <c r="P731" s="667"/>
      <c r="Q731" s="667"/>
      <c r="R731" s="667"/>
      <c r="S731" s="667"/>
      <c r="T731" s="667"/>
      <c r="U731" s="1033">
        <v>12</v>
      </c>
      <c r="V731" s="668">
        <f t="shared" si="230"/>
        <v>540</v>
      </c>
      <c r="W731" s="668">
        <f t="shared" si="231"/>
        <v>0</v>
      </c>
      <c r="X731" s="668">
        <f t="shared" si="232"/>
        <v>0</v>
      </c>
      <c r="Y731" s="668">
        <f t="shared" si="233"/>
        <v>0</v>
      </c>
      <c r="Z731" s="668">
        <f t="shared" si="234"/>
        <v>0</v>
      </c>
      <c r="AA731" s="668">
        <f t="shared" si="235"/>
        <v>0</v>
      </c>
      <c r="AB731" s="668">
        <f t="shared" si="236"/>
        <v>0</v>
      </c>
      <c r="AC731" s="668">
        <f t="shared" si="229"/>
        <v>0</v>
      </c>
      <c r="AD731" s="668">
        <f t="shared" si="237"/>
        <v>0</v>
      </c>
      <c r="AE731" s="668">
        <f t="shared" si="238"/>
        <v>0</v>
      </c>
      <c r="AF731" s="668">
        <f t="shared" si="239"/>
        <v>0</v>
      </c>
      <c r="AG731" s="668">
        <f t="shared" si="240"/>
        <v>0</v>
      </c>
      <c r="AH731" s="668"/>
      <c r="AI731" s="668"/>
      <c r="AJ731" s="668"/>
      <c r="AK731" s="668"/>
      <c r="AL731" s="668"/>
      <c r="AM731" s="668">
        <f t="shared" si="241"/>
        <v>0</v>
      </c>
      <c r="AN731" s="668">
        <f t="shared" si="225"/>
        <v>0</v>
      </c>
      <c r="AO731" s="668">
        <f t="shared" si="226"/>
        <v>0</v>
      </c>
      <c r="AP731" s="668">
        <f t="shared" si="242"/>
        <v>0</v>
      </c>
      <c r="AQ731" s="668">
        <f t="shared" si="227"/>
        <v>0</v>
      </c>
      <c r="AR731" s="668">
        <f t="shared" si="228"/>
        <v>0</v>
      </c>
      <c r="AS731" s="668"/>
      <c r="AT731" s="668"/>
      <c r="AU731" s="668"/>
      <c r="AV731" s="668"/>
      <c r="AW731" s="668"/>
      <c r="AX731" s="668"/>
      <c r="AY731" s="668"/>
      <c r="AZ731" s="668"/>
      <c r="BA731" s="668"/>
      <c r="BB731" s="668">
        <f t="shared" si="243"/>
        <v>0</v>
      </c>
      <c r="BC731" s="668"/>
      <c r="BD731" s="668"/>
      <c r="BE731" s="668"/>
      <c r="BF731" s="668"/>
      <c r="BG731" s="668"/>
      <c r="BH731" s="668"/>
      <c r="BI731" s="668"/>
    </row>
    <row r="732" spans="1:61" x14ac:dyDescent="0.2">
      <c r="A732" s="1020">
        <v>4011</v>
      </c>
      <c r="B732" s="1020" t="s">
        <v>515</v>
      </c>
      <c r="C732" s="1020"/>
      <c r="D732" s="667">
        <v>200</v>
      </c>
      <c r="E732" s="667"/>
      <c r="F732" s="667">
        <v>50</v>
      </c>
      <c r="G732" s="667"/>
      <c r="H732" s="667"/>
      <c r="I732" s="667"/>
      <c r="J732" s="667"/>
      <c r="K732" s="667"/>
      <c r="L732" s="667"/>
      <c r="M732" s="667"/>
      <c r="N732" s="667"/>
      <c r="O732" s="667"/>
      <c r="P732" s="667"/>
      <c r="Q732" s="667"/>
      <c r="R732" s="667"/>
      <c r="S732" s="667"/>
      <c r="T732" s="667">
        <v>1650</v>
      </c>
      <c r="U732" s="1033">
        <v>12</v>
      </c>
      <c r="V732" s="668">
        <f t="shared" si="230"/>
        <v>2400</v>
      </c>
      <c r="W732" s="668">
        <f t="shared" si="231"/>
        <v>0</v>
      </c>
      <c r="X732" s="668">
        <f t="shared" si="232"/>
        <v>0</v>
      </c>
      <c r="Y732" s="668">
        <f t="shared" si="233"/>
        <v>0</v>
      </c>
      <c r="Z732" s="668">
        <f t="shared" si="234"/>
        <v>0</v>
      </c>
      <c r="AA732" s="668">
        <f t="shared" si="235"/>
        <v>0</v>
      </c>
      <c r="AB732" s="668">
        <f t="shared" si="236"/>
        <v>1650</v>
      </c>
      <c r="AC732" s="668">
        <f t="shared" si="229"/>
        <v>0</v>
      </c>
      <c r="AD732" s="668">
        <f t="shared" si="237"/>
        <v>0</v>
      </c>
      <c r="AE732" s="668">
        <f t="shared" si="238"/>
        <v>0</v>
      </c>
      <c r="AF732" s="668">
        <f t="shared" si="239"/>
        <v>0</v>
      </c>
      <c r="AG732" s="668">
        <f t="shared" si="240"/>
        <v>0</v>
      </c>
      <c r="AH732" s="668"/>
      <c r="AI732" s="668"/>
      <c r="AJ732" s="668"/>
      <c r="AK732" s="668"/>
      <c r="AL732" s="668"/>
      <c r="AM732" s="668">
        <f t="shared" si="241"/>
        <v>0</v>
      </c>
      <c r="AN732" s="668">
        <f t="shared" si="225"/>
        <v>0</v>
      </c>
      <c r="AO732" s="668">
        <f t="shared" si="226"/>
        <v>0</v>
      </c>
      <c r="AP732" s="668">
        <f t="shared" si="242"/>
        <v>600</v>
      </c>
      <c r="AQ732" s="668">
        <f t="shared" si="227"/>
        <v>0</v>
      </c>
      <c r="AR732" s="668">
        <f t="shared" si="228"/>
        <v>0</v>
      </c>
      <c r="AS732" s="668"/>
      <c r="AT732" s="668"/>
      <c r="AU732" s="668"/>
      <c r="AV732" s="668"/>
      <c r="AW732" s="668"/>
      <c r="AX732" s="668"/>
      <c r="AY732" s="668"/>
      <c r="AZ732" s="668"/>
      <c r="BA732" s="668"/>
      <c r="BB732" s="668"/>
      <c r="BC732" s="668"/>
      <c r="BD732" s="668"/>
      <c r="BE732" s="668"/>
      <c r="BF732" s="668"/>
      <c r="BG732" s="668"/>
      <c r="BH732" s="668"/>
      <c r="BI732" s="668"/>
    </row>
    <row r="733" spans="1:61" x14ac:dyDescent="0.2">
      <c r="A733" s="1020">
        <v>4012</v>
      </c>
      <c r="B733" s="1020" t="s">
        <v>672</v>
      </c>
      <c r="C733" s="1020"/>
      <c r="D733" s="667">
        <v>35</v>
      </c>
      <c r="E733" s="667"/>
      <c r="F733" s="667">
        <v>15</v>
      </c>
      <c r="G733" s="667"/>
      <c r="H733" s="667"/>
      <c r="I733" s="667"/>
      <c r="J733" s="667"/>
      <c r="K733" s="667"/>
      <c r="L733" s="667"/>
      <c r="M733" s="667"/>
      <c r="N733" s="667"/>
      <c r="O733" s="667"/>
      <c r="P733" s="667"/>
      <c r="Q733" s="667"/>
      <c r="R733" s="667"/>
      <c r="S733" s="667"/>
      <c r="T733" s="667"/>
      <c r="U733" s="1033">
        <v>10</v>
      </c>
      <c r="V733" s="668">
        <f t="shared" si="230"/>
        <v>350</v>
      </c>
      <c r="W733" s="668">
        <f t="shared" si="231"/>
        <v>0</v>
      </c>
      <c r="X733" s="668">
        <f t="shared" si="232"/>
        <v>0</v>
      </c>
      <c r="Y733" s="668">
        <f t="shared" si="233"/>
        <v>0</v>
      </c>
      <c r="Z733" s="668">
        <f t="shared" si="234"/>
        <v>0</v>
      </c>
      <c r="AA733" s="668">
        <f t="shared" si="235"/>
        <v>0</v>
      </c>
      <c r="AB733" s="668">
        <f t="shared" si="236"/>
        <v>0</v>
      </c>
      <c r="AC733" s="668">
        <f t="shared" si="229"/>
        <v>0</v>
      </c>
      <c r="AD733" s="668">
        <f t="shared" si="237"/>
        <v>0</v>
      </c>
      <c r="AE733" s="668">
        <f t="shared" si="238"/>
        <v>0</v>
      </c>
      <c r="AF733" s="668">
        <f t="shared" si="239"/>
        <v>0</v>
      </c>
      <c r="AG733" s="668">
        <f t="shared" si="240"/>
        <v>0</v>
      </c>
      <c r="AH733" s="668"/>
      <c r="AI733" s="668"/>
      <c r="AJ733" s="668"/>
      <c r="AK733" s="668"/>
      <c r="AL733" s="668"/>
      <c r="AM733" s="668">
        <f t="shared" si="241"/>
        <v>0</v>
      </c>
      <c r="AN733" s="668">
        <f t="shared" si="225"/>
        <v>0</v>
      </c>
      <c r="AO733" s="668">
        <f t="shared" si="226"/>
        <v>0</v>
      </c>
      <c r="AP733" s="668">
        <f t="shared" si="242"/>
        <v>150</v>
      </c>
      <c r="AQ733" s="668">
        <f t="shared" si="227"/>
        <v>0</v>
      </c>
      <c r="AR733" s="668">
        <f t="shared" si="228"/>
        <v>0</v>
      </c>
      <c r="AS733" s="668"/>
      <c r="AT733" s="668"/>
      <c r="AU733" s="668"/>
      <c r="AV733" s="668"/>
      <c r="AW733" s="668"/>
      <c r="AX733" s="668"/>
      <c r="AY733" s="668"/>
      <c r="AZ733" s="668"/>
      <c r="BA733" s="668"/>
      <c r="BB733" s="668">
        <f t="shared" si="243"/>
        <v>150</v>
      </c>
      <c r="BC733" s="668"/>
      <c r="BD733" s="668"/>
      <c r="BE733" s="668"/>
      <c r="BF733" s="668"/>
      <c r="BG733" s="668"/>
      <c r="BH733" s="668"/>
      <c r="BI733" s="668"/>
    </row>
    <row r="734" spans="1:61" x14ac:dyDescent="0.2">
      <c r="A734" s="1020">
        <v>4013</v>
      </c>
      <c r="B734" s="1020" t="s">
        <v>682</v>
      </c>
      <c r="C734" s="1020"/>
      <c r="D734" s="667">
        <v>36</v>
      </c>
      <c r="E734" s="667"/>
      <c r="F734" s="667">
        <v>36</v>
      </c>
      <c r="G734" s="667"/>
      <c r="H734" s="667"/>
      <c r="I734" s="667"/>
      <c r="J734" s="667"/>
      <c r="K734" s="667"/>
      <c r="L734" s="667"/>
      <c r="M734" s="667"/>
      <c r="N734" s="667"/>
      <c r="O734" s="667"/>
      <c r="P734" s="667"/>
      <c r="Q734" s="667"/>
      <c r="R734" s="667"/>
      <c r="S734" s="667"/>
      <c r="T734" s="667"/>
      <c r="U734" s="1033">
        <v>10</v>
      </c>
      <c r="V734" s="668">
        <f t="shared" si="230"/>
        <v>360</v>
      </c>
      <c r="W734" s="668">
        <f t="shared" si="231"/>
        <v>0</v>
      </c>
      <c r="X734" s="668">
        <f t="shared" si="232"/>
        <v>0</v>
      </c>
      <c r="Y734" s="668">
        <f t="shared" si="233"/>
        <v>0</v>
      </c>
      <c r="Z734" s="668">
        <f t="shared" si="234"/>
        <v>0</v>
      </c>
      <c r="AA734" s="668">
        <f t="shared" si="235"/>
        <v>0</v>
      </c>
      <c r="AB734" s="668">
        <f t="shared" si="236"/>
        <v>0</v>
      </c>
      <c r="AC734" s="668">
        <f t="shared" si="229"/>
        <v>0</v>
      </c>
      <c r="AD734" s="668">
        <f t="shared" si="237"/>
        <v>0</v>
      </c>
      <c r="AE734" s="668">
        <f t="shared" si="238"/>
        <v>0</v>
      </c>
      <c r="AF734" s="668">
        <f t="shared" si="239"/>
        <v>0</v>
      </c>
      <c r="AG734" s="668">
        <f t="shared" si="240"/>
        <v>0</v>
      </c>
      <c r="AH734" s="668"/>
      <c r="AI734" s="668"/>
      <c r="AJ734" s="668"/>
      <c r="AK734" s="668"/>
      <c r="AL734" s="668"/>
      <c r="AM734" s="668">
        <f t="shared" si="241"/>
        <v>0</v>
      </c>
      <c r="AN734" s="668">
        <f t="shared" si="225"/>
        <v>0</v>
      </c>
      <c r="AO734" s="668">
        <f t="shared" si="226"/>
        <v>0</v>
      </c>
      <c r="AP734" s="668">
        <f t="shared" si="242"/>
        <v>360</v>
      </c>
      <c r="AQ734" s="668">
        <f t="shared" si="227"/>
        <v>0</v>
      </c>
      <c r="AR734" s="668">
        <f t="shared" si="228"/>
        <v>0</v>
      </c>
      <c r="AS734" s="668"/>
      <c r="AT734" s="668"/>
      <c r="AU734" s="668"/>
      <c r="AV734" s="668"/>
      <c r="AW734" s="668"/>
      <c r="AX734" s="668"/>
      <c r="AY734" s="668"/>
      <c r="AZ734" s="668"/>
      <c r="BA734" s="668"/>
      <c r="BB734" s="668">
        <f t="shared" si="243"/>
        <v>360</v>
      </c>
      <c r="BC734" s="668"/>
      <c r="BD734" s="668"/>
      <c r="BE734" s="668"/>
      <c r="BF734" s="668"/>
      <c r="BG734" s="668"/>
      <c r="BH734" s="668"/>
      <c r="BI734" s="668"/>
    </row>
    <row r="735" spans="1:61" x14ac:dyDescent="0.2">
      <c r="A735" s="1020">
        <v>4014</v>
      </c>
      <c r="B735" s="1020" t="s">
        <v>486</v>
      </c>
      <c r="C735" s="1020"/>
      <c r="D735" s="667">
        <v>24</v>
      </c>
      <c r="E735" s="667"/>
      <c r="F735" s="667"/>
      <c r="G735" s="667"/>
      <c r="H735" s="667"/>
      <c r="I735" s="667"/>
      <c r="J735" s="667"/>
      <c r="K735" s="667"/>
      <c r="L735" s="667"/>
      <c r="M735" s="667"/>
      <c r="N735" s="667"/>
      <c r="O735" s="667"/>
      <c r="P735" s="667"/>
      <c r="Q735" s="667"/>
      <c r="R735" s="667"/>
      <c r="S735" s="667"/>
      <c r="T735" s="667"/>
      <c r="U735" s="1033">
        <v>12</v>
      </c>
      <c r="V735" s="668">
        <f t="shared" si="230"/>
        <v>288</v>
      </c>
      <c r="W735" s="668">
        <f t="shared" si="231"/>
        <v>0</v>
      </c>
      <c r="X735" s="668">
        <f t="shared" si="232"/>
        <v>0</v>
      </c>
      <c r="Y735" s="668">
        <f t="shared" si="233"/>
        <v>0</v>
      </c>
      <c r="Z735" s="668">
        <f t="shared" si="234"/>
        <v>0</v>
      </c>
      <c r="AA735" s="668">
        <f t="shared" si="235"/>
        <v>0</v>
      </c>
      <c r="AB735" s="668">
        <f t="shared" si="236"/>
        <v>0</v>
      </c>
      <c r="AC735" s="668">
        <f t="shared" si="229"/>
        <v>0</v>
      </c>
      <c r="AD735" s="668">
        <f t="shared" si="237"/>
        <v>0</v>
      </c>
      <c r="AE735" s="668">
        <f t="shared" si="238"/>
        <v>0</v>
      </c>
      <c r="AF735" s="668">
        <f t="shared" si="239"/>
        <v>0</v>
      </c>
      <c r="AG735" s="668">
        <f t="shared" si="240"/>
        <v>0</v>
      </c>
      <c r="AH735" s="668"/>
      <c r="AI735" s="668"/>
      <c r="AJ735" s="668"/>
      <c r="AK735" s="668"/>
      <c r="AL735" s="668"/>
      <c r="AM735" s="668">
        <f t="shared" si="241"/>
        <v>0</v>
      </c>
      <c r="AN735" s="668">
        <f t="shared" si="225"/>
        <v>0</v>
      </c>
      <c r="AO735" s="668">
        <f t="shared" si="226"/>
        <v>0</v>
      </c>
      <c r="AP735" s="668">
        <f t="shared" si="242"/>
        <v>0</v>
      </c>
      <c r="AQ735" s="668">
        <f t="shared" si="227"/>
        <v>0</v>
      </c>
      <c r="AR735" s="668">
        <f t="shared" si="228"/>
        <v>0</v>
      </c>
      <c r="AS735" s="668"/>
      <c r="AT735" s="668"/>
      <c r="AU735" s="668"/>
      <c r="AV735" s="668"/>
      <c r="AW735" s="668"/>
      <c r="AX735" s="668"/>
      <c r="AY735" s="668"/>
      <c r="AZ735" s="668"/>
      <c r="BA735" s="668"/>
      <c r="BB735" s="668">
        <f t="shared" si="243"/>
        <v>0</v>
      </c>
      <c r="BC735" s="668"/>
      <c r="BD735" s="668"/>
      <c r="BE735" s="668"/>
      <c r="BF735" s="668"/>
      <c r="BG735" s="668"/>
      <c r="BH735" s="668"/>
      <c r="BI735" s="668"/>
    </row>
    <row r="736" spans="1:61" x14ac:dyDescent="0.2">
      <c r="A736" s="1020">
        <v>4015</v>
      </c>
      <c r="B736" s="1020" t="s">
        <v>486</v>
      </c>
      <c r="C736" s="1020"/>
      <c r="D736" s="667">
        <v>24</v>
      </c>
      <c r="E736" s="667"/>
      <c r="F736" s="667"/>
      <c r="G736" s="667"/>
      <c r="H736" s="667"/>
      <c r="I736" s="667"/>
      <c r="J736" s="667"/>
      <c r="K736" s="667"/>
      <c r="L736" s="667"/>
      <c r="M736" s="667"/>
      <c r="N736" s="667"/>
      <c r="O736" s="667"/>
      <c r="P736" s="667"/>
      <c r="Q736" s="667"/>
      <c r="R736" s="667"/>
      <c r="S736" s="667"/>
      <c r="T736" s="667"/>
      <c r="U736" s="1033">
        <v>12</v>
      </c>
      <c r="V736" s="668">
        <f t="shared" si="230"/>
        <v>288</v>
      </c>
      <c r="W736" s="668">
        <f t="shared" si="231"/>
        <v>0</v>
      </c>
      <c r="X736" s="668">
        <f t="shared" si="232"/>
        <v>0</v>
      </c>
      <c r="Y736" s="668">
        <f t="shared" si="233"/>
        <v>0</v>
      </c>
      <c r="Z736" s="668">
        <f t="shared" si="234"/>
        <v>0</v>
      </c>
      <c r="AA736" s="668">
        <f t="shared" si="235"/>
        <v>0</v>
      </c>
      <c r="AB736" s="668">
        <f t="shared" si="236"/>
        <v>0</v>
      </c>
      <c r="AC736" s="668">
        <f t="shared" si="229"/>
        <v>0</v>
      </c>
      <c r="AD736" s="668">
        <f t="shared" si="237"/>
        <v>0</v>
      </c>
      <c r="AE736" s="668">
        <f t="shared" si="238"/>
        <v>0</v>
      </c>
      <c r="AF736" s="668">
        <f t="shared" si="239"/>
        <v>0</v>
      </c>
      <c r="AG736" s="668">
        <f t="shared" si="240"/>
        <v>0</v>
      </c>
      <c r="AH736" s="668"/>
      <c r="AI736" s="668"/>
      <c r="AJ736" s="668"/>
      <c r="AK736" s="668"/>
      <c r="AL736" s="668"/>
      <c r="AM736" s="668">
        <f t="shared" si="241"/>
        <v>0</v>
      </c>
      <c r="AN736" s="668">
        <f t="shared" si="225"/>
        <v>0</v>
      </c>
      <c r="AO736" s="668">
        <f t="shared" si="226"/>
        <v>0</v>
      </c>
      <c r="AP736" s="668">
        <f t="shared" si="242"/>
        <v>0</v>
      </c>
      <c r="AQ736" s="668">
        <f t="shared" si="227"/>
        <v>0</v>
      </c>
      <c r="AR736" s="668">
        <f t="shared" si="228"/>
        <v>0</v>
      </c>
      <c r="AS736" s="668"/>
      <c r="AT736" s="668"/>
      <c r="AU736" s="668"/>
      <c r="AV736" s="668"/>
      <c r="AW736" s="668"/>
      <c r="AX736" s="668"/>
      <c r="AY736" s="668"/>
      <c r="AZ736" s="668"/>
      <c r="BA736" s="668"/>
      <c r="BB736" s="668">
        <f t="shared" si="243"/>
        <v>0</v>
      </c>
      <c r="BC736" s="668"/>
      <c r="BD736" s="668"/>
      <c r="BE736" s="668"/>
      <c r="BF736" s="668"/>
      <c r="BG736" s="668"/>
      <c r="BH736" s="668"/>
      <c r="BI736" s="668"/>
    </row>
    <row r="737" spans="1:61" x14ac:dyDescent="0.2">
      <c r="A737" s="1020">
        <v>4016</v>
      </c>
      <c r="B737" s="1020" t="s">
        <v>519</v>
      </c>
      <c r="C737" s="1020"/>
      <c r="D737" s="667">
        <v>55</v>
      </c>
      <c r="E737" s="667"/>
      <c r="F737" s="667">
        <v>15</v>
      </c>
      <c r="G737" s="667"/>
      <c r="H737" s="667"/>
      <c r="I737" s="667"/>
      <c r="J737" s="667"/>
      <c r="K737" s="667"/>
      <c r="L737" s="667"/>
      <c r="M737" s="667"/>
      <c r="N737" s="667"/>
      <c r="O737" s="667"/>
      <c r="P737" s="667"/>
      <c r="Q737" s="667"/>
      <c r="R737" s="667"/>
      <c r="S737" s="667"/>
      <c r="T737" s="667">
        <v>245</v>
      </c>
      <c r="U737" s="1033">
        <v>12</v>
      </c>
      <c r="V737" s="668">
        <f t="shared" si="230"/>
        <v>660</v>
      </c>
      <c r="W737" s="668">
        <f t="shared" si="231"/>
        <v>0</v>
      </c>
      <c r="X737" s="668">
        <f t="shared" si="232"/>
        <v>0</v>
      </c>
      <c r="Y737" s="668">
        <f t="shared" si="233"/>
        <v>0</v>
      </c>
      <c r="Z737" s="668">
        <f t="shared" si="234"/>
        <v>0</v>
      </c>
      <c r="AA737" s="668">
        <f t="shared" si="235"/>
        <v>0</v>
      </c>
      <c r="AB737" s="668">
        <f t="shared" si="236"/>
        <v>245</v>
      </c>
      <c r="AC737" s="668">
        <f t="shared" si="229"/>
        <v>0</v>
      </c>
      <c r="AD737" s="668">
        <f t="shared" si="237"/>
        <v>0</v>
      </c>
      <c r="AE737" s="668">
        <f t="shared" si="238"/>
        <v>0</v>
      </c>
      <c r="AF737" s="668">
        <f t="shared" si="239"/>
        <v>0</v>
      </c>
      <c r="AG737" s="668">
        <f t="shared" si="240"/>
        <v>0</v>
      </c>
      <c r="AH737" s="668"/>
      <c r="AI737" s="668"/>
      <c r="AJ737" s="668"/>
      <c r="AK737" s="668"/>
      <c r="AL737" s="668"/>
      <c r="AM737" s="668">
        <f t="shared" si="241"/>
        <v>0</v>
      </c>
      <c r="AN737" s="668">
        <f t="shared" si="225"/>
        <v>0</v>
      </c>
      <c r="AO737" s="668">
        <f t="shared" si="226"/>
        <v>0</v>
      </c>
      <c r="AP737" s="668">
        <f t="shared" si="242"/>
        <v>180</v>
      </c>
      <c r="AQ737" s="668">
        <f t="shared" si="227"/>
        <v>0</v>
      </c>
      <c r="AR737" s="668">
        <f t="shared" si="228"/>
        <v>0</v>
      </c>
      <c r="AS737" s="668"/>
      <c r="AT737" s="668"/>
      <c r="AU737" s="668"/>
      <c r="AV737" s="668"/>
      <c r="AW737" s="668"/>
      <c r="AX737" s="668"/>
      <c r="AY737" s="668"/>
      <c r="AZ737" s="668"/>
      <c r="BA737" s="668"/>
      <c r="BB737" s="668">
        <f t="shared" si="243"/>
        <v>180</v>
      </c>
      <c r="BC737" s="668"/>
      <c r="BD737" s="668"/>
      <c r="BE737" s="668"/>
      <c r="BF737" s="668"/>
      <c r="BG737" s="668"/>
      <c r="BH737" s="668"/>
      <c r="BI737" s="668"/>
    </row>
    <row r="738" spans="1:61" x14ac:dyDescent="0.2">
      <c r="A738" s="1020">
        <v>4017</v>
      </c>
      <c r="B738" s="1020" t="s">
        <v>476</v>
      </c>
      <c r="C738" s="1020"/>
      <c r="D738" s="667">
        <v>59</v>
      </c>
      <c r="E738" s="667"/>
      <c r="F738" s="667"/>
      <c r="G738" s="667"/>
      <c r="H738" s="667"/>
      <c r="I738" s="667"/>
      <c r="J738" s="667"/>
      <c r="K738" s="667"/>
      <c r="L738" s="667"/>
      <c r="M738" s="667"/>
      <c r="N738" s="667"/>
      <c r="O738" s="667"/>
      <c r="P738" s="667"/>
      <c r="Q738" s="667"/>
      <c r="R738" s="667"/>
      <c r="S738" s="667"/>
      <c r="T738" s="667"/>
      <c r="U738" s="1033">
        <v>12</v>
      </c>
      <c r="V738" s="668">
        <f t="shared" si="230"/>
        <v>708</v>
      </c>
      <c r="W738" s="668">
        <f t="shared" si="231"/>
        <v>0</v>
      </c>
      <c r="X738" s="668">
        <f t="shared" si="232"/>
        <v>0</v>
      </c>
      <c r="Y738" s="668">
        <f t="shared" si="233"/>
        <v>0</v>
      </c>
      <c r="Z738" s="668">
        <f t="shared" si="234"/>
        <v>0</v>
      </c>
      <c r="AA738" s="668">
        <f t="shared" si="235"/>
        <v>0</v>
      </c>
      <c r="AB738" s="668">
        <f t="shared" si="236"/>
        <v>0</v>
      </c>
      <c r="AC738" s="668">
        <f t="shared" si="229"/>
        <v>0</v>
      </c>
      <c r="AD738" s="668">
        <f t="shared" si="237"/>
        <v>0</v>
      </c>
      <c r="AE738" s="668">
        <f t="shared" si="238"/>
        <v>0</v>
      </c>
      <c r="AF738" s="668">
        <f t="shared" si="239"/>
        <v>0</v>
      </c>
      <c r="AG738" s="668">
        <f t="shared" si="240"/>
        <v>0</v>
      </c>
      <c r="AH738" s="668"/>
      <c r="AI738" s="668"/>
      <c r="AJ738" s="668"/>
      <c r="AK738" s="668"/>
      <c r="AL738" s="668"/>
      <c r="AM738" s="668">
        <f t="shared" si="241"/>
        <v>0</v>
      </c>
      <c r="AN738" s="668">
        <f t="shared" si="225"/>
        <v>0</v>
      </c>
      <c r="AO738" s="668">
        <f t="shared" si="226"/>
        <v>0</v>
      </c>
      <c r="AP738" s="668">
        <f t="shared" si="242"/>
        <v>0</v>
      </c>
      <c r="AQ738" s="668">
        <f t="shared" si="227"/>
        <v>0</v>
      </c>
      <c r="AR738" s="668">
        <f t="shared" si="228"/>
        <v>0</v>
      </c>
      <c r="AS738" s="668"/>
      <c r="AT738" s="668"/>
      <c r="AU738" s="668"/>
      <c r="AV738" s="668"/>
      <c r="AW738" s="668"/>
      <c r="AX738" s="668"/>
      <c r="AY738" s="668"/>
      <c r="AZ738" s="668"/>
      <c r="BA738" s="668"/>
      <c r="BB738" s="668">
        <f t="shared" si="243"/>
        <v>0</v>
      </c>
      <c r="BC738" s="668"/>
      <c r="BD738" s="668"/>
      <c r="BE738" s="668"/>
      <c r="BF738" s="668"/>
      <c r="BG738" s="668"/>
      <c r="BH738" s="668"/>
      <c r="BI738" s="668"/>
    </row>
    <row r="739" spans="1:61" x14ac:dyDescent="0.2">
      <c r="A739" s="1020">
        <v>4018</v>
      </c>
      <c r="B739" s="1020" t="s">
        <v>579</v>
      </c>
      <c r="C739" s="1020"/>
      <c r="D739" s="667">
        <v>50</v>
      </c>
      <c r="E739" s="667"/>
      <c r="F739" s="667"/>
      <c r="G739" s="667"/>
      <c r="H739" s="667"/>
      <c r="I739" s="667"/>
      <c r="J739" s="667"/>
      <c r="K739" s="667"/>
      <c r="L739" s="667"/>
      <c r="M739" s="667"/>
      <c r="N739" s="667"/>
      <c r="O739" s="667"/>
      <c r="P739" s="667"/>
      <c r="Q739" s="667"/>
      <c r="R739" s="667"/>
      <c r="S739" s="667"/>
      <c r="T739" s="667"/>
      <c r="U739" s="1033">
        <v>12</v>
      </c>
      <c r="V739" s="668">
        <f t="shared" si="230"/>
        <v>600</v>
      </c>
      <c r="W739" s="668">
        <f t="shared" si="231"/>
        <v>0</v>
      </c>
      <c r="X739" s="668">
        <f t="shared" si="232"/>
        <v>0</v>
      </c>
      <c r="Y739" s="668">
        <f t="shared" si="233"/>
        <v>0</v>
      </c>
      <c r="Z739" s="668">
        <f t="shared" si="234"/>
        <v>0</v>
      </c>
      <c r="AA739" s="668">
        <f t="shared" si="235"/>
        <v>0</v>
      </c>
      <c r="AB739" s="668">
        <f t="shared" si="236"/>
        <v>0</v>
      </c>
      <c r="AC739" s="668">
        <f t="shared" si="229"/>
        <v>0</v>
      </c>
      <c r="AD739" s="668">
        <f t="shared" si="237"/>
        <v>0</v>
      </c>
      <c r="AE739" s="668">
        <f t="shared" si="238"/>
        <v>0</v>
      </c>
      <c r="AF739" s="668">
        <f t="shared" si="239"/>
        <v>0</v>
      </c>
      <c r="AG739" s="668">
        <f t="shared" si="240"/>
        <v>0</v>
      </c>
      <c r="AH739" s="668"/>
      <c r="AI739" s="668"/>
      <c r="AJ739" s="668"/>
      <c r="AK739" s="668"/>
      <c r="AL739" s="668"/>
      <c r="AM739" s="668">
        <f t="shared" si="241"/>
        <v>0</v>
      </c>
      <c r="AN739" s="668">
        <f t="shared" si="225"/>
        <v>0</v>
      </c>
      <c r="AO739" s="668">
        <f t="shared" si="226"/>
        <v>0</v>
      </c>
      <c r="AP739" s="668">
        <f t="shared" si="242"/>
        <v>0</v>
      </c>
      <c r="AQ739" s="668">
        <f t="shared" si="227"/>
        <v>0</v>
      </c>
      <c r="AR739" s="668">
        <f t="shared" si="228"/>
        <v>0</v>
      </c>
      <c r="AS739" s="668"/>
      <c r="AT739" s="668"/>
      <c r="AU739" s="668"/>
      <c r="AV739" s="668"/>
      <c r="AW739" s="668"/>
      <c r="AX739" s="668"/>
      <c r="AY739" s="668"/>
      <c r="AZ739" s="668"/>
      <c r="BA739" s="668"/>
      <c r="BB739" s="668">
        <f t="shared" si="243"/>
        <v>0</v>
      </c>
      <c r="BC739" s="668"/>
      <c r="BD739" s="668"/>
      <c r="BE739" s="668"/>
      <c r="BF739" s="668"/>
      <c r="BG739" s="668"/>
      <c r="BH739" s="668"/>
      <c r="BI739" s="668"/>
    </row>
    <row r="740" spans="1:61" x14ac:dyDescent="0.2">
      <c r="A740" s="1020">
        <v>4019</v>
      </c>
      <c r="B740" s="1020" t="s">
        <v>464</v>
      </c>
      <c r="C740" s="1020"/>
      <c r="D740" s="667">
        <v>79</v>
      </c>
      <c r="E740" s="667"/>
      <c r="F740" s="667"/>
      <c r="G740" s="667"/>
      <c r="H740" s="667"/>
      <c r="I740" s="667"/>
      <c r="J740" s="667"/>
      <c r="K740" s="667"/>
      <c r="L740" s="667"/>
      <c r="M740" s="667"/>
      <c r="N740" s="667"/>
      <c r="O740" s="667"/>
      <c r="P740" s="667"/>
      <c r="Q740" s="667"/>
      <c r="R740" s="667"/>
      <c r="S740" s="667"/>
      <c r="T740" s="667"/>
      <c r="U740" s="1033">
        <v>12</v>
      </c>
      <c r="V740" s="668">
        <f t="shared" si="230"/>
        <v>948</v>
      </c>
      <c r="W740" s="668">
        <f t="shared" si="231"/>
        <v>0</v>
      </c>
      <c r="X740" s="668">
        <f t="shared" si="232"/>
        <v>0</v>
      </c>
      <c r="Y740" s="668">
        <f t="shared" si="233"/>
        <v>0</v>
      </c>
      <c r="Z740" s="668">
        <f t="shared" si="234"/>
        <v>0</v>
      </c>
      <c r="AA740" s="668">
        <f t="shared" si="235"/>
        <v>0</v>
      </c>
      <c r="AB740" s="668">
        <f t="shared" si="236"/>
        <v>0</v>
      </c>
      <c r="AC740" s="668">
        <f t="shared" si="229"/>
        <v>0</v>
      </c>
      <c r="AD740" s="668">
        <f t="shared" si="237"/>
        <v>0</v>
      </c>
      <c r="AE740" s="668">
        <f t="shared" si="238"/>
        <v>0</v>
      </c>
      <c r="AF740" s="668">
        <f t="shared" si="239"/>
        <v>0</v>
      </c>
      <c r="AG740" s="668">
        <f t="shared" si="240"/>
        <v>0</v>
      </c>
      <c r="AH740" s="668"/>
      <c r="AI740" s="668"/>
      <c r="AJ740" s="668"/>
      <c r="AK740" s="668"/>
      <c r="AL740" s="668"/>
      <c r="AM740" s="668">
        <f t="shared" si="241"/>
        <v>0</v>
      </c>
      <c r="AN740" s="668">
        <f t="shared" si="225"/>
        <v>0</v>
      </c>
      <c r="AO740" s="668">
        <f t="shared" si="226"/>
        <v>0</v>
      </c>
      <c r="AP740" s="668">
        <f t="shared" si="242"/>
        <v>0</v>
      </c>
      <c r="AQ740" s="668">
        <f t="shared" si="227"/>
        <v>0</v>
      </c>
      <c r="AR740" s="668">
        <f t="shared" si="228"/>
        <v>0</v>
      </c>
      <c r="AS740" s="668"/>
      <c r="AT740" s="668"/>
      <c r="AU740" s="668"/>
      <c r="AV740" s="668"/>
      <c r="AW740" s="668"/>
      <c r="AX740" s="668"/>
      <c r="AY740" s="668"/>
      <c r="AZ740" s="668"/>
      <c r="BA740" s="668"/>
      <c r="BB740" s="668">
        <f t="shared" si="243"/>
        <v>0</v>
      </c>
      <c r="BC740" s="668"/>
      <c r="BD740" s="668"/>
      <c r="BE740" s="668"/>
      <c r="BF740" s="668"/>
      <c r="BG740" s="668"/>
      <c r="BH740" s="668"/>
      <c r="BI740" s="668"/>
    </row>
    <row r="741" spans="1:61" x14ac:dyDescent="0.2">
      <c r="A741" s="1020" t="s">
        <v>771</v>
      </c>
      <c r="B741" s="1020" t="s">
        <v>684</v>
      </c>
      <c r="C741" s="1020"/>
      <c r="D741" s="667">
        <v>42</v>
      </c>
      <c r="E741" s="667"/>
      <c r="F741" s="667">
        <v>42</v>
      </c>
      <c r="G741" s="667"/>
      <c r="H741" s="667"/>
      <c r="I741" s="667"/>
      <c r="J741" s="667"/>
      <c r="K741" s="667"/>
      <c r="L741" s="667"/>
      <c r="M741" s="667"/>
      <c r="N741" s="667"/>
      <c r="O741" s="667"/>
      <c r="P741" s="667"/>
      <c r="Q741" s="667"/>
      <c r="R741" s="667"/>
      <c r="S741" s="667"/>
      <c r="T741" s="667"/>
      <c r="U741" s="1033">
        <v>10</v>
      </c>
      <c r="V741" s="668">
        <f t="shared" si="230"/>
        <v>420</v>
      </c>
      <c r="W741" s="668">
        <f t="shared" si="231"/>
        <v>0</v>
      </c>
      <c r="X741" s="668">
        <f t="shared" si="232"/>
        <v>0</v>
      </c>
      <c r="Y741" s="668">
        <f t="shared" si="233"/>
        <v>0</v>
      </c>
      <c r="Z741" s="668">
        <f t="shared" si="234"/>
        <v>0</v>
      </c>
      <c r="AA741" s="668">
        <f t="shared" si="235"/>
        <v>0</v>
      </c>
      <c r="AB741" s="668">
        <f t="shared" si="236"/>
        <v>0</v>
      </c>
      <c r="AC741" s="668">
        <f t="shared" si="229"/>
        <v>0</v>
      </c>
      <c r="AD741" s="668">
        <f t="shared" si="237"/>
        <v>0</v>
      </c>
      <c r="AE741" s="668">
        <f t="shared" si="238"/>
        <v>0</v>
      </c>
      <c r="AF741" s="668">
        <f t="shared" si="239"/>
        <v>0</v>
      </c>
      <c r="AG741" s="668">
        <f t="shared" si="240"/>
        <v>0</v>
      </c>
      <c r="AH741" s="668"/>
      <c r="AI741" s="668"/>
      <c r="AJ741" s="668"/>
      <c r="AK741" s="668"/>
      <c r="AL741" s="668"/>
      <c r="AM741" s="668">
        <f t="shared" si="241"/>
        <v>0</v>
      </c>
      <c r="AN741" s="668">
        <f t="shared" si="225"/>
        <v>0</v>
      </c>
      <c r="AO741" s="668">
        <f t="shared" si="226"/>
        <v>0</v>
      </c>
      <c r="AP741" s="668">
        <f t="shared" si="242"/>
        <v>420</v>
      </c>
      <c r="AQ741" s="668">
        <f t="shared" si="227"/>
        <v>0</v>
      </c>
      <c r="AR741" s="668">
        <f t="shared" si="228"/>
        <v>0</v>
      </c>
      <c r="AS741" s="668"/>
      <c r="AT741" s="668"/>
      <c r="AU741" s="668"/>
      <c r="AV741" s="668"/>
      <c r="AW741" s="668"/>
      <c r="AX741" s="668"/>
      <c r="AY741" s="668"/>
      <c r="AZ741" s="668"/>
      <c r="BA741" s="668"/>
      <c r="BB741" s="668"/>
      <c r="BC741" s="668"/>
      <c r="BD741" s="668"/>
      <c r="BE741" s="668"/>
      <c r="BF741" s="668"/>
      <c r="BG741" s="668"/>
      <c r="BH741" s="668"/>
      <c r="BI741" s="668"/>
    </row>
    <row r="742" spans="1:61" x14ac:dyDescent="0.2">
      <c r="A742" s="1020" t="s">
        <v>772</v>
      </c>
      <c r="B742" s="1020" t="s">
        <v>486</v>
      </c>
      <c r="C742" s="1020"/>
      <c r="D742" s="667">
        <v>28</v>
      </c>
      <c r="E742" s="667"/>
      <c r="F742" s="667"/>
      <c r="G742" s="667"/>
      <c r="H742" s="667"/>
      <c r="I742" s="667"/>
      <c r="J742" s="667"/>
      <c r="K742" s="667"/>
      <c r="L742" s="667"/>
      <c r="M742" s="667"/>
      <c r="N742" s="667"/>
      <c r="O742" s="667"/>
      <c r="P742" s="667"/>
      <c r="Q742" s="667"/>
      <c r="R742" s="667"/>
      <c r="S742" s="667"/>
      <c r="T742" s="667"/>
      <c r="U742" s="1020">
        <v>12</v>
      </c>
      <c r="V742" s="668">
        <f t="shared" si="230"/>
        <v>336</v>
      </c>
      <c r="W742" s="668">
        <f t="shared" si="231"/>
        <v>0</v>
      </c>
      <c r="X742" s="668">
        <f t="shared" si="232"/>
        <v>0</v>
      </c>
      <c r="Y742" s="668">
        <f t="shared" si="233"/>
        <v>0</v>
      </c>
      <c r="Z742" s="668">
        <f t="shared" si="234"/>
        <v>0</v>
      </c>
      <c r="AA742" s="668">
        <f t="shared" si="235"/>
        <v>0</v>
      </c>
      <c r="AB742" s="668">
        <f t="shared" si="236"/>
        <v>0</v>
      </c>
      <c r="AC742" s="668">
        <f t="shared" si="229"/>
        <v>0</v>
      </c>
      <c r="AD742" s="668">
        <f t="shared" si="237"/>
        <v>0</v>
      </c>
      <c r="AE742" s="668">
        <f t="shared" si="238"/>
        <v>0</v>
      </c>
      <c r="AF742" s="668">
        <f t="shared" si="239"/>
        <v>0</v>
      </c>
      <c r="AG742" s="668">
        <f t="shared" si="240"/>
        <v>0</v>
      </c>
      <c r="AH742" s="668"/>
      <c r="AI742" s="668"/>
      <c r="AJ742" s="668"/>
      <c r="AK742" s="668"/>
      <c r="AL742" s="668"/>
      <c r="AM742" s="668">
        <f t="shared" si="241"/>
        <v>0</v>
      </c>
      <c r="AN742" s="668">
        <f t="shared" si="225"/>
        <v>0</v>
      </c>
      <c r="AO742" s="668">
        <f t="shared" si="226"/>
        <v>0</v>
      </c>
      <c r="AP742" s="668">
        <f t="shared" si="242"/>
        <v>0</v>
      </c>
      <c r="AQ742" s="668">
        <f t="shared" si="227"/>
        <v>0</v>
      </c>
      <c r="AR742" s="668">
        <f t="shared" si="228"/>
        <v>0</v>
      </c>
      <c r="AS742" s="668"/>
      <c r="AT742" s="668"/>
      <c r="AU742" s="668"/>
      <c r="AV742" s="668"/>
      <c r="AW742" s="668"/>
      <c r="AX742" s="668"/>
      <c r="AY742" s="668"/>
      <c r="AZ742" s="668"/>
      <c r="BA742" s="668"/>
      <c r="BB742" s="668">
        <f t="shared" si="243"/>
        <v>0</v>
      </c>
      <c r="BC742" s="668"/>
      <c r="BD742" s="668"/>
      <c r="BE742" s="668"/>
      <c r="BF742" s="668"/>
      <c r="BG742" s="668"/>
      <c r="BH742" s="668"/>
      <c r="BI742" s="668"/>
    </row>
    <row r="743" spans="1:61" x14ac:dyDescent="0.2">
      <c r="A743" s="1020">
        <v>4021</v>
      </c>
      <c r="B743" s="1020" t="s">
        <v>773</v>
      </c>
      <c r="C743" s="1020"/>
      <c r="D743" s="667">
        <v>90</v>
      </c>
      <c r="E743" s="667"/>
      <c r="F743" s="667"/>
      <c r="G743" s="667"/>
      <c r="H743" s="667"/>
      <c r="I743" s="667"/>
      <c r="J743" s="667"/>
      <c r="K743" s="667"/>
      <c r="L743" s="667"/>
      <c r="M743" s="667"/>
      <c r="N743" s="667"/>
      <c r="O743" s="667"/>
      <c r="P743" s="667"/>
      <c r="Q743" s="667"/>
      <c r="R743" s="667"/>
      <c r="S743" s="667"/>
      <c r="T743" s="667"/>
      <c r="U743" s="1020">
        <v>10</v>
      </c>
      <c r="V743" s="668">
        <f t="shared" si="230"/>
        <v>900</v>
      </c>
      <c r="W743" s="668">
        <f t="shared" si="231"/>
        <v>0</v>
      </c>
      <c r="X743" s="668">
        <f t="shared" si="232"/>
        <v>0</v>
      </c>
      <c r="Y743" s="668">
        <f t="shared" si="233"/>
        <v>0</v>
      </c>
      <c r="Z743" s="668">
        <f t="shared" si="234"/>
        <v>0</v>
      </c>
      <c r="AA743" s="668">
        <f t="shared" si="235"/>
        <v>0</v>
      </c>
      <c r="AB743" s="668">
        <f t="shared" si="236"/>
        <v>0</v>
      </c>
      <c r="AC743" s="668">
        <f t="shared" si="229"/>
        <v>0</v>
      </c>
      <c r="AD743" s="668">
        <f t="shared" si="237"/>
        <v>0</v>
      </c>
      <c r="AE743" s="668">
        <f t="shared" si="238"/>
        <v>0</v>
      </c>
      <c r="AF743" s="668">
        <f t="shared" si="239"/>
        <v>0</v>
      </c>
      <c r="AG743" s="668">
        <f t="shared" si="240"/>
        <v>0</v>
      </c>
      <c r="AH743" s="668"/>
      <c r="AI743" s="668"/>
      <c r="AJ743" s="668"/>
      <c r="AK743" s="668"/>
      <c r="AL743" s="668"/>
      <c r="AM743" s="668">
        <f t="shared" si="241"/>
        <v>0</v>
      </c>
      <c r="AN743" s="668">
        <f t="shared" si="225"/>
        <v>0</v>
      </c>
      <c r="AO743" s="668">
        <f t="shared" si="226"/>
        <v>0</v>
      </c>
      <c r="AP743" s="668">
        <f t="shared" si="242"/>
        <v>0</v>
      </c>
      <c r="AQ743" s="668">
        <f t="shared" si="227"/>
        <v>0</v>
      </c>
      <c r="AR743" s="668">
        <f t="shared" si="228"/>
        <v>0</v>
      </c>
      <c r="AS743" s="668"/>
      <c r="AT743" s="668"/>
      <c r="AU743" s="668"/>
      <c r="AV743" s="668"/>
      <c r="AW743" s="668"/>
      <c r="AX743" s="668"/>
      <c r="AY743" s="668"/>
      <c r="AZ743" s="668"/>
      <c r="BA743" s="668"/>
      <c r="BB743" s="668">
        <f t="shared" si="243"/>
        <v>0</v>
      </c>
      <c r="BC743" s="668"/>
      <c r="BD743" s="668"/>
      <c r="BE743" s="668"/>
      <c r="BF743" s="668"/>
      <c r="BG743" s="668"/>
      <c r="BH743" s="668"/>
      <c r="BI743" s="668"/>
    </row>
    <row r="744" spans="1:61" x14ac:dyDescent="0.2">
      <c r="A744" s="1020">
        <v>4022</v>
      </c>
      <c r="B744" s="1020" t="s">
        <v>774</v>
      </c>
      <c r="C744" s="1020"/>
      <c r="D744" s="667">
        <v>50</v>
      </c>
      <c r="E744" s="667"/>
      <c r="F744" s="667"/>
      <c r="G744" s="667"/>
      <c r="H744" s="667"/>
      <c r="I744" s="667"/>
      <c r="J744" s="667"/>
      <c r="K744" s="667"/>
      <c r="L744" s="667"/>
      <c r="M744" s="667"/>
      <c r="N744" s="667"/>
      <c r="O744" s="667"/>
      <c r="P744" s="667"/>
      <c r="Q744" s="667"/>
      <c r="R744" s="667"/>
      <c r="S744" s="667"/>
      <c r="T744" s="667"/>
      <c r="U744" s="1020">
        <v>12</v>
      </c>
      <c r="V744" s="668">
        <f t="shared" si="230"/>
        <v>600</v>
      </c>
      <c r="W744" s="668">
        <f t="shared" si="231"/>
        <v>0</v>
      </c>
      <c r="X744" s="668">
        <f t="shared" si="232"/>
        <v>0</v>
      </c>
      <c r="Y744" s="668">
        <f t="shared" si="233"/>
        <v>0</v>
      </c>
      <c r="Z744" s="668">
        <f t="shared" si="234"/>
        <v>0</v>
      </c>
      <c r="AA744" s="668">
        <f t="shared" si="235"/>
        <v>0</v>
      </c>
      <c r="AB744" s="668">
        <f t="shared" si="236"/>
        <v>0</v>
      </c>
      <c r="AC744" s="668">
        <f t="shared" si="229"/>
        <v>0</v>
      </c>
      <c r="AD744" s="668">
        <f t="shared" si="237"/>
        <v>0</v>
      </c>
      <c r="AE744" s="668">
        <f t="shared" si="238"/>
        <v>0</v>
      </c>
      <c r="AF744" s="668">
        <f t="shared" si="239"/>
        <v>0</v>
      </c>
      <c r="AG744" s="668">
        <f t="shared" si="240"/>
        <v>0</v>
      </c>
      <c r="AH744" s="668"/>
      <c r="AI744" s="668"/>
      <c r="AJ744" s="668"/>
      <c r="AK744" s="668"/>
      <c r="AL744" s="668"/>
      <c r="AM744" s="668">
        <f t="shared" si="241"/>
        <v>0</v>
      </c>
      <c r="AN744" s="668">
        <f t="shared" si="225"/>
        <v>0</v>
      </c>
      <c r="AO744" s="668">
        <f t="shared" si="226"/>
        <v>0</v>
      </c>
      <c r="AP744" s="668">
        <f t="shared" si="242"/>
        <v>0</v>
      </c>
      <c r="AQ744" s="668">
        <f t="shared" si="227"/>
        <v>0</v>
      </c>
      <c r="AR744" s="668">
        <f t="shared" si="228"/>
        <v>0</v>
      </c>
      <c r="AS744" s="668"/>
      <c r="AT744" s="668"/>
      <c r="AU744" s="668"/>
      <c r="AV744" s="668"/>
      <c r="AW744" s="668"/>
      <c r="AX744" s="668"/>
      <c r="AY744" s="668"/>
      <c r="AZ744" s="668"/>
      <c r="BA744" s="668"/>
      <c r="BB744" s="668">
        <f t="shared" si="243"/>
        <v>0</v>
      </c>
      <c r="BC744" s="668"/>
      <c r="BD744" s="668"/>
      <c r="BE744" s="668"/>
      <c r="BF744" s="668"/>
      <c r="BG744" s="668"/>
      <c r="BH744" s="668"/>
      <c r="BI744" s="668"/>
    </row>
    <row r="745" spans="1:61" x14ac:dyDescent="0.2">
      <c r="A745" s="1020">
        <v>4023</v>
      </c>
      <c r="B745" s="1020" t="s">
        <v>672</v>
      </c>
      <c r="C745" s="1020"/>
      <c r="D745" s="667">
        <v>35</v>
      </c>
      <c r="E745" s="667"/>
      <c r="F745" s="667">
        <v>15</v>
      </c>
      <c r="G745" s="667"/>
      <c r="H745" s="667"/>
      <c r="I745" s="667"/>
      <c r="J745" s="667"/>
      <c r="K745" s="667"/>
      <c r="L745" s="667"/>
      <c r="M745" s="667"/>
      <c r="N745" s="667"/>
      <c r="O745" s="667"/>
      <c r="P745" s="667"/>
      <c r="Q745" s="667"/>
      <c r="R745" s="667"/>
      <c r="S745" s="667"/>
      <c r="T745" s="667"/>
      <c r="U745" s="1020">
        <v>10</v>
      </c>
      <c r="V745" s="668">
        <f t="shared" si="230"/>
        <v>350</v>
      </c>
      <c r="W745" s="668">
        <f t="shared" si="231"/>
        <v>0</v>
      </c>
      <c r="X745" s="668">
        <f t="shared" si="232"/>
        <v>0</v>
      </c>
      <c r="Y745" s="668">
        <f t="shared" si="233"/>
        <v>0</v>
      </c>
      <c r="Z745" s="668">
        <f t="shared" si="234"/>
        <v>0</v>
      </c>
      <c r="AA745" s="668">
        <f t="shared" si="235"/>
        <v>0</v>
      </c>
      <c r="AB745" s="668">
        <f t="shared" si="236"/>
        <v>0</v>
      </c>
      <c r="AC745" s="668">
        <f t="shared" si="229"/>
        <v>0</v>
      </c>
      <c r="AD745" s="668">
        <f t="shared" si="237"/>
        <v>0</v>
      </c>
      <c r="AE745" s="668">
        <f t="shared" si="238"/>
        <v>0</v>
      </c>
      <c r="AF745" s="668">
        <f t="shared" si="239"/>
        <v>0</v>
      </c>
      <c r="AG745" s="668">
        <f t="shared" si="240"/>
        <v>0</v>
      </c>
      <c r="AH745" s="668"/>
      <c r="AI745" s="668"/>
      <c r="AJ745" s="668"/>
      <c r="AK745" s="668"/>
      <c r="AL745" s="668"/>
      <c r="AM745" s="668">
        <f t="shared" si="241"/>
        <v>0</v>
      </c>
      <c r="AN745" s="668">
        <f t="shared" si="225"/>
        <v>0</v>
      </c>
      <c r="AO745" s="668">
        <f t="shared" si="226"/>
        <v>0</v>
      </c>
      <c r="AP745" s="668">
        <f t="shared" si="242"/>
        <v>150</v>
      </c>
      <c r="AQ745" s="668">
        <f t="shared" si="227"/>
        <v>0</v>
      </c>
      <c r="AR745" s="668">
        <f t="shared" si="228"/>
        <v>0</v>
      </c>
      <c r="AS745" s="668"/>
      <c r="AT745" s="668"/>
      <c r="AU745" s="668"/>
      <c r="AV745" s="668"/>
      <c r="AW745" s="668"/>
      <c r="AX745" s="668"/>
      <c r="AY745" s="668"/>
      <c r="AZ745" s="668"/>
      <c r="BA745" s="668"/>
      <c r="BB745" s="668">
        <f t="shared" si="243"/>
        <v>150</v>
      </c>
      <c r="BC745" s="668"/>
      <c r="BD745" s="668"/>
      <c r="BE745" s="668"/>
      <c r="BF745" s="668"/>
      <c r="BG745" s="668"/>
      <c r="BH745" s="668"/>
      <c r="BI745" s="668"/>
    </row>
    <row r="746" spans="1:61" x14ac:dyDescent="0.2">
      <c r="A746" s="1020">
        <v>4024</v>
      </c>
      <c r="B746" s="1020" t="s">
        <v>519</v>
      </c>
      <c r="C746" s="1020"/>
      <c r="D746" s="667">
        <v>35</v>
      </c>
      <c r="E746" s="667"/>
      <c r="F746" s="667">
        <v>15</v>
      </c>
      <c r="G746" s="667"/>
      <c r="H746" s="667"/>
      <c r="I746" s="667"/>
      <c r="J746" s="667"/>
      <c r="K746" s="667"/>
      <c r="L746" s="667"/>
      <c r="M746" s="667"/>
      <c r="N746" s="667"/>
      <c r="O746" s="667"/>
      <c r="P746" s="667"/>
      <c r="Q746" s="667"/>
      <c r="R746" s="667"/>
      <c r="S746" s="667"/>
      <c r="T746" s="667">
        <v>150</v>
      </c>
      <c r="U746" s="1020">
        <v>12</v>
      </c>
      <c r="V746" s="668">
        <f t="shared" si="230"/>
        <v>420</v>
      </c>
      <c r="W746" s="668">
        <f t="shared" si="231"/>
        <v>0</v>
      </c>
      <c r="X746" s="668">
        <f t="shared" si="232"/>
        <v>0</v>
      </c>
      <c r="Y746" s="668">
        <f t="shared" si="233"/>
        <v>0</v>
      </c>
      <c r="Z746" s="668">
        <f t="shared" si="234"/>
        <v>0</v>
      </c>
      <c r="AA746" s="668">
        <f t="shared" si="235"/>
        <v>0</v>
      </c>
      <c r="AB746" s="668">
        <f t="shared" si="236"/>
        <v>150</v>
      </c>
      <c r="AC746" s="668">
        <f t="shared" si="229"/>
        <v>0</v>
      </c>
      <c r="AD746" s="668">
        <f t="shared" si="237"/>
        <v>0</v>
      </c>
      <c r="AE746" s="668">
        <f t="shared" si="238"/>
        <v>0</v>
      </c>
      <c r="AF746" s="668">
        <f t="shared" si="239"/>
        <v>0</v>
      </c>
      <c r="AG746" s="668">
        <f t="shared" si="240"/>
        <v>0</v>
      </c>
      <c r="AH746" s="668"/>
      <c r="AI746" s="668"/>
      <c r="AJ746" s="668"/>
      <c r="AK746" s="668"/>
      <c r="AL746" s="668"/>
      <c r="AM746" s="668">
        <f t="shared" si="241"/>
        <v>0</v>
      </c>
      <c r="AN746" s="668">
        <f t="shared" si="225"/>
        <v>0</v>
      </c>
      <c r="AO746" s="668">
        <f t="shared" si="226"/>
        <v>0</v>
      </c>
      <c r="AP746" s="668">
        <f t="shared" si="242"/>
        <v>180</v>
      </c>
      <c r="AQ746" s="668">
        <f t="shared" si="227"/>
        <v>0</v>
      </c>
      <c r="AR746" s="668">
        <f t="shared" si="228"/>
        <v>0</v>
      </c>
      <c r="AS746" s="668"/>
      <c r="AT746" s="668"/>
      <c r="AU746" s="668"/>
      <c r="AV746" s="668"/>
      <c r="AW746" s="668"/>
      <c r="AX746" s="668"/>
      <c r="AY746" s="668"/>
      <c r="AZ746" s="668"/>
      <c r="BA746" s="668"/>
      <c r="BB746" s="668">
        <f t="shared" si="243"/>
        <v>180</v>
      </c>
      <c r="BC746" s="668"/>
      <c r="BD746" s="668"/>
      <c r="BE746" s="668"/>
      <c r="BF746" s="668"/>
      <c r="BG746" s="668"/>
      <c r="BH746" s="668"/>
      <c r="BI746" s="668"/>
    </row>
    <row r="747" spans="1:61" x14ac:dyDescent="0.2">
      <c r="A747" s="1020">
        <v>4025</v>
      </c>
      <c r="B747" s="1020" t="s">
        <v>519</v>
      </c>
      <c r="C747" s="1020"/>
      <c r="D747" s="667">
        <v>35</v>
      </c>
      <c r="E747" s="667"/>
      <c r="F747" s="667">
        <v>15</v>
      </c>
      <c r="G747" s="667"/>
      <c r="H747" s="667"/>
      <c r="I747" s="667"/>
      <c r="J747" s="667"/>
      <c r="K747" s="667"/>
      <c r="L747" s="667"/>
      <c r="M747" s="667"/>
      <c r="N747" s="667"/>
      <c r="O747" s="667"/>
      <c r="P747" s="667"/>
      <c r="Q747" s="667"/>
      <c r="R747" s="667"/>
      <c r="S747" s="667"/>
      <c r="T747" s="667">
        <v>150</v>
      </c>
      <c r="U747" s="1020">
        <v>12</v>
      </c>
      <c r="V747" s="668">
        <f t="shared" si="230"/>
        <v>420</v>
      </c>
      <c r="W747" s="668">
        <f t="shared" si="231"/>
        <v>0</v>
      </c>
      <c r="X747" s="668">
        <f t="shared" si="232"/>
        <v>0</v>
      </c>
      <c r="Y747" s="668">
        <f t="shared" si="233"/>
        <v>0</v>
      </c>
      <c r="Z747" s="668">
        <f t="shared" si="234"/>
        <v>0</v>
      </c>
      <c r="AA747" s="668">
        <f t="shared" si="235"/>
        <v>0</v>
      </c>
      <c r="AB747" s="668">
        <f t="shared" si="236"/>
        <v>150</v>
      </c>
      <c r="AC747" s="668">
        <f t="shared" si="229"/>
        <v>0</v>
      </c>
      <c r="AD747" s="668">
        <f t="shared" si="237"/>
        <v>0</v>
      </c>
      <c r="AE747" s="668">
        <f t="shared" si="238"/>
        <v>0</v>
      </c>
      <c r="AF747" s="668">
        <f t="shared" si="239"/>
        <v>0</v>
      </c>
      <c r="AG747" s="668">
        <f t="shared" si="240"/>
        <v>0</v>
      </c>
      <c r="AH747" s="668"/>
      <c r="AI747" s="668"/>
      <c r="AJ747" s="668"/>
      <c r="AK747" s="668"/>
      <c r="AL747" s="668"/>
      <c r="AM747" s="668">
        <f t="shared" si="241"/>
        <v>0</v>
      </c>
      <c r="AN747" s="668">
        <f t="shared" si="225"/>
        <v>0</v>
      </c>
      <c r="AO747" s="668">
        <f t="shared" si="226"/>
        <v>0</v>
      </c>
      <c r="AP747" s="668">
        <f t="shared" si="242"/>
        <v>180</v>
      </c>
      <c r="AQ747" s="668">
        <f t="shared" si="227"/>
        <v>0</v>
      </c>
      <c r="AR747" s="668">
        <f t="shared" si="228"/>
        <v>0</v>
      </c>
      <c r="AS747" s="668"/>
      <c r="AT747" s="668"/>
      <c r="AU747" s="668"/>
      <c r="AV747" s="668"/>
      <c r="AW747" s="668"/>
      <c r="AX747" s="668"/>
      <c r="AY747" s="668"/>
      <c r="AZ747" s="668"/>
      <c r="BA747" s="668"/>
      <c r="BB747" s="668">
        <f t="shared" si="243"/>
        <v>180</v>
      </c>
      <c r="BC747" s="668"/>
      <c r="BD747" s="668"/>
      <c r="BE747" s="668"/>
      <c r="BF747" s="668"/>
      <c r="BG747" s="668"/>
      <c r="BH747" s="668"/>
      <c r="BI747" s="668"/>
    </row>
    <row r="748" spans="1:61" x14ac:dyDescent="0.2">
      <c r="A748" s="1020">
        <v>4026</v>
      </c>
      <c r="B748" s="1020" t="s">
        <v>515</v>
      </c>
      <c r="C748" s="1020"/>
      <c r="D748" s="667">
        <v>100</v>
      </c>
      <c r="E748" s="667"/>
      <c r="F748" s="667">
        <v>72</v>
      </c>
      <c r="G748" s="667"/>
      <c r="H748" s="667"/>
      <c r="I748" s="667"/>
      <c r="J748" s="667"/>
      <c r="K748" s="667"/>
      <c r="L748" s="667"/>
      <c r="M748" s="667"/>
      <c r="N748" s="667"/>
      <c r="O748" s="667"/>
      <c r="P748" s="667"/>
      <c r="Q748" s="667"/>
      <c r="R748" s="667"/>
      <c r="S748" s="667"/>
      <c r="T748" s="667">
        <v>3005</v>
      </c>
      <c r="U748" s="1033">
        <v>12</v>
      </c>
      <c r="V748" s="668">
        <f t="shared" si="230"/>
        <v>1200</v>
      </c>
      <c r="W748" s="668">
        <f t="shared" si="231"/>
        <v>0</v>
      </c>
      <c r="X748" s="668">
        <f t="shared" si="232"/>
        <v>0</v>
      </c>
      <c r="Y748" s="668">
        <f t="shared" si="233"/>
        <v>0</v>
      </c>
      <c r="Z748" s="668">
        <f t="shared" si="234"/>
        <v>0</v>
      </c>
      <c r="AA748" s="668">
        <f t="shared" si="235"/>
        <v>0</v>
      </c>
      <c r="AB748" s="668">
        <f t="shared" si="236"/>
        <v>3005</v>
      </c>
      <c r="AC748" s="668">
        <f t="shared" si="229"/>
        <v>0</v>
      </c>
      <c r="AD748" s="668">
        <f t="shared" si="237"/>
        <v>0</v>
      </c>
      <c r="AE748" s="668">
        <f t="shared" si="238"/>
        <v>0</v>
      </c>
      <c r="AF748" s="668">
        <f t="shared" si="239"/>
        <v>0</v>
      </c>
      <c r="AG748" s="668">
        <f t="shared" si="240"/>
        <v>0</v>
      </c>
      <c r="AH748" s="668"/>
      <c r="AI748" s="668"/>
      <c r="AJ748" s="668"/>
      <c r="AK748" s="668"/>
      <c r="AL748" s="668"/>
      <c r="AM748" s="668">
        <f t="shared" si="241"/>
        <v>0</v>
      </c>
      <c r="AN748" s="668">
        <f t="shared" si="225"/>
        <v>0</v>
      </c>
      <c r="AO748" s="668">
        <f t="shared" si="226"/>
        <v>0</v>
      </c>
      <c r="AP748" s="668">
        <f t="shared" si="242"/>
        <v>864</v>
      </c>
      <c r="AQ748" s="668">
        <f t="shared" si="227"/>
        <v>0</v>
      </c>
      <c r="AR748" s="668">
        <f t="shared" si="228"/>
        <v>0</v>
      </c>
      <c r="AS748" s="668"/>
      <c r="AT748" s="668"/>
      <c r="AU748" s="668"/>
      <c r="AV748" s="668"/>
      <c r="AW748" s="668"/>
      <c r="AX748" s="668"/>
      <c r="AY748" s="668"/>
      <c r="AZ748" s="668"/>
      <c r="BA748" s="668"/>
      <c r="BB748" s="668"/>
      <c r="BC748" s="668"/>
      <c r="BD748" s="668"/>
      <c r="BE748" s="668"/>
      <c r="BF748" s="668"/>
      <c r="BG748" s="668"/>
      <c r="BH748" s="668"/>
      <c r="BI748" s="668"/>
    </row>
    <row r="749" spans="1:61" x14ac:dyDescent="0.2">
      <c r="A749" s="1020">
        <v>4027</v>
      </c>
      <c r="B749" s="1020" t="s">
        <v>515</v>
      </c>
      <c r="C749" s="1020"/>
      <c r="D749" s="667">
        <v>159</v>
      </c>
      <c r="E749" s="667"/>
      <c r="F749" s="667">
        <v>72</v>
      </c>
      <c r="G749" s="667"/>
      <c r="H749" s="667"/>
      <c r="I749" s="667"/>
      <c r="J749" s="667"/>
      <c r="K749" s="667"/>
      <c r="L749" s="667"/>
      <c r="M749" s="667"/>
      <c r="N749" s="667"/>
      <c r="O749" s="667"/>
      <c r="P749" s="667"/>
      <c r="Q749" s="667"/>
      <c r="R749" s="667"/>
      <c r="S749" s="667"/>
      <c r="T749" s="667">
        <v>4645</v>
      </c>
      <c r="U749" s="1033">
        <v>12</v>
      </c>
      <c r="V749" s="668">
        <f t="shared" si="230"/>
        <v>1908</v>
      </c>
      <c r="W749" s="668">
        <f t="shared" si="231"/>
        <v>0</v>
      </c>
      <c r="X749" s="668">
        <f t="shared" si="232"/>
        <v>0</v>
      </c>
      <c r="Y749" s="668">
        <f t="shared" si="233"/>
        <v>0</v>
      </c>
      <c r="Z749" s="668">
        <f t="shared" si="234"/>
        <v>0</v>
      </c>
      <c r="AA749" s="668">
        <f t="shared" si="235"/>
        <v>0</v>
      </c>
      <c r="AB749" s="668">
        <f t="shared" si="236"/>
        <v>4645</v>
      </c>
      <c r="AC749" s="668">
        <f t="shared" si="229"/>
        <v>0</v>
      </c>
      <c r="AD749" s="668">
        <f t="shared" si="237"/>
        <v>0</v>
      </c>
      <c r="AE749" s="668">
        <f t="shared" si="238"/>
        <v>0</v>
      </c>
      <c r="AF749" s="668">
        <f t="shared" si="239"/>
        <v>0</v>
      </c>
      <c r="AG749" s="668">
        <f t="shared" si="240"/>
        <v>0</v>
      </c>
      <c r="AH749" s="668"/>
      <c r="AI749" s="668"/>
      <c r="AJ749" s="668"/>
      <c r="AK749" s="668"/>
      <c r="AL749" s="668"/>
      <c r="AM749" s="668">
        <f t="shared" si="241"/>
        <v>0</v>
      </c>
      <c r="AN749" s="668">
        <f t="shared" si="225"/>
        <v>0</v>
      </c>
      <c r="AO749" s="668">
        <f t="shared" si="226"/>
        <v>0</v>
      </c>
      <c r="AP749" s="668">
        <f t="shared" si="242"/>
        <v>864</v>
      </c>
      <c r="AQ749" s="668">
        <f t="shared" si="227"/>
        <v>0</v>
      </c>
      <c r="AR749" s="668">
        <f t="shared" si="228"/>
        <v>0</v>
      </c>
      <c r="AS749" s="668"/>
      <c r="AT749" s="668"/>
      <c r="AU749" s="668"/>
      <c r="AV749" s="668"/>
      <c r="AW749" s="668"/>
      <c r="AX749" s="668"/>
      <c r="AY749" s="668"/>
      <c r="AZ749" s="668"/>
      <c r="BA749" s="668"/>
      <c r="BB749" s="668"/>
      <c r="BC749" s="668"/>
      <c r="BD749" s="668"/>
      <c r="BE749" s="668"/>
      <c r="BF749" s="668"/>
      <c r="BG749" s="668"/>
      <c r="BH749" s="668"/>
      <c r="BI749" s="668"/>
    </row>
    <row r="750" spans="1:61" x14ac:dyDescent="0.2">
      <c r="A750" s="1020">
        <v>4028</v>
      </c>
      <c r="B750" s="1020" t="s">
        <v>519</v>
      </c>
      <c r="C750" s="1020"/>
      <c r="D750" s="667">
        <v>35</v>
      </c>
      <c r="E750" s="667"/>
      <c r="F750" s="667">
        <v>15</v>
      </c>
      <c r="G750" s="667"/>
      <c r="H750" s="667"/>
      <c r="I750" s="667"/>
      <c r="J750" s="667"/>
      <c r="K750" s="667"/>
      <c r="L750" s="667"/>
      <c r="M750" s="667"/>
      <c r="N750" s="667"/>
      <c r="O750" s="667"/>
      <c r="P750" s="667"/>
      <c r="Q750" s="667"/>
      <c r="R750" s="667"/>
      <c r="S750" s="667"/>
      <c r="T750" s="667">
        <v>150</v>
      </c>
      <c r="U750" s="1020">
        <v>12</v>
      </c>
      <c r="V750" s="668">
        <f t="shared" si="230"/>
        <v>420</v>
      </c>
      <c r="W750" s="668">
        <f t="shared" si="231"/>
        <v>0</v>
      </c>
      <c r="X750" s="668">
        <f t="shared" si="232"/>
        <v>0</v>
      </c>
      <c r="Y750" s="668">
        <f t="shared" si="233"/>
        <v>0</v>
      </c>
      <c r="Z750" s="668">
        <f t="shared" si="234"/>
        <v>0</v>
      </c>
      <c r="AA750" s="668">
        <f t="shared" si="235"/>
        <v>0</v>
      </c>
      <c r="AB750" s="668">
        <f t="shared" si="236"/>
        <v>150</v>
      </c>
      <c r="AC750" s="668">
        <f t="shared" si="229"/>
        <v>0</v>
      </c>
      <c r="AD750" s="668">
        <f t="shared" si="237"/>
        <v>0</v>
      </c>
      <c r="AE750" s="668">
        <f t="shared" si="238"/>
        <v>0</v>
      </c>
      <c r="AF750" s="668">
        <f t="shared" si="239"/>
        <v>0</v>
      </c>
      <c r="AG750" s="668">
        <f t="shared" si="240"/>
        <v>0</v>
      </c>
      <c r="AH750" s="668"/>
      <c r="AI750" s="668"/>
      <c r="AJ750" s="668"/>
      <c r="AK750" s="668"/>
      <c r="AL750" s="668"/>
      <c r="AM750" s="668">
        <f t="shared" si="241"/>
        <v>0</v>
      </c>
      <c r="AN750" s="668">
        <f t="shared" si="225"/>
        <v>0</v>
      </c>
      <c r="AO750" s="668">
        <f t="shared" si="226"/>
        <v>0</v>
      </c>
      <c r="AP750" s="668">
        <f t="shared" si="242"/>
        <v>180</v>
      </c>
      <c r="AQ750" s="668">
        <f t="shared" si="227"/>
        <v>0</v>
      </c>
      <c r="AR750" s="668">
        <f t="shared" si="228"/>
        <v>0</v>
      </c>
      <c r="AS750" s="668"/>
      <c r="AT750" s="668"/>
      <c r="AU750" s="668"/>
      <c r="AV750" s="668"/>
      <c r="AW750" s="668"/>
      <c r="AX750" s="668"/>
      <c r="AY750" s="668"/>
      <c r="AZ750" s="668"/>
      <c r="BA750" s="668"/>
      <c r="BB750" s="668">
        <f t="shared" si="243"/>
        <v>180</v>
      </c>
      <c r="BC750" s="668"/>
      <c r="BD750" s="668"/>
      <c r="BE750" s="668"/>
      <c r="BF750" s="668"/>
      <c r="BG750" s="668"/>
      <c r="BH750" s="668"/>
      <c r="BI750" s="668"/>
    </row>
    <row r="751" spans="1:61" x14ac:dyDescent="0.2">
      <c r="A751" s="1020">
        <v>4029</v>
      </c>
      <c r="B751" s="1020" t="s">
        <v>467</v>
      </c>
      <c r="C751" s="1020"/>
      <c r="D751" s="667">
        <v>80</v>
      </c>
      <c r="E751" s="667"/>
      <c r="F751" s="667"/>
      <c r="G751" s="667"/>
      <c r="H751" s="667"/>
      <c r="I751" s="667"/>
      <c r="J751" s="667"/>
      <c r="K751" s="667"/>
      <c r="L751" s="667"/>
      <c r="M751" s="667"/>
      <c r="N751" s="667"/>
      <c r="O751" s="667"/>
      <c r="P751" s="667"/>
      <c r="Q751" s="667"/>
      <c r="R751" s="667"/>
      <c r="S751" s="667"/>
      <c r="T751" s="667"/>
      <c r="U751" s="1020">
        <v>3</v>
      </c>
      <c r="V751" s="668">
        <f t="shared" si="230"/>
        <v>240</v>
      </c>
      <c r="W751" s="668">
        <f t="shared" si="231"/>
        <v>0</v>
      </c>
      <c r="X751" s="668">
        <f t="shared" si="232"/>
        <v>0</v>
      </c>
      <c r="Y751" s="668">
        <f t="shared" si="233"/>
        <v>0</v>
      </c>
      <c r="Z751" s="668">
        <f t="shared" si="234"/>
        <v>0</v>
      </c>
      <c r="AA751" s="668">
        <f t="shared" si="235"/>
        <v>0</v>
      </c>
      <c r="AB751" s="668">
        <f t="shared" si="236"/>
        <v>0</v>
      </c>
      <c r="AC751" s="668">
        <f t="shared" si="229"/>
        <v>0</v>
      </c>
      <c r="AD751" s="668">
        <f t="shared" si="237"/>
        <v>0</v>
      </c>
      <c r="AE751" s="668">
        <f t="shared" si="238"/>
        <v>0</v>
      </c>
      <c r="AF751" s="668">
        <f t="shared" si="239"/>
        <v>0</v>
      </c>
      <c r="AG751" s="668">
        <f t="shared" si="240"/>
        <v>0</v>
      </c>
      <c r="AH751" s="668"/>
      <c r="AI751" s="668"/>
      <c r="AJ751" s="668"/>
      <c r="AK751" s="668"/>
      <c r="AL751" s="668"/>
      <c r="AM751" s="668">
        <f t="shared" si="241"/>
        <v>0</v>
      </c>
      <c r="AN751" s="668">
        <f t="shared" si="225"/>
        <v>0</v>
      </c>
      <c r="AO751" s="668">
        <f t="shared" si="226"/>
        <v>0</v>
      </c>
      <c r="AP751" s="668">
        <f t="shared" si="242"/>
        <v>0</v>
      </c>
      <c r="AQ751" s="668">
        <f t="shared" si="227"/>
        <v>0</v>
      </c>
      <c r="AR751" s="668">
        <f t="shared" si="228"/>
        <v>0</v>
      </c>
      <c r="AS751" s="668"/>
      <c r="AT751" s="668"/>
      <c r="AU751" s="668"/>
      <c r="AV751" s="668"/>
      <c r="AW751" s="668"/>
      <c r="AX751" s="668"/>
      <c r="AY751" s="668"/>
      <c r="AZ751" s="668"/>
      <c r="BA751" s="668"/>
      <c r="BB751" s="668">
        <f t="shared" si="243"/>
        <v>0</v>
      </c>
      <c r="BC751" s="668"/>
      <c r="BD751" s="668"/>
      <c r="BE751" s="668"/>
      <c r="BF751" s="668"/>
      <c r="BG751" s="668"/>
      <c r="BH751" s="668"/>
      <c r="BI751" s="668"/>
    </row>
    <row r="752" spans="1:61" x14ac:dyDescent="0.2">
      <c r="A752" s="1020">
        <v>4030</v>
      </c>
      <c r="B752" s="1020" t="s">
        <v>466</v>
      </c>
      <c r="C752" s="1020"/>
      <c r="D752" s="667">
        <v>80</v>
      </c>
      <c r="E752" s="667"/>
      <c r="F752" s="667"/>
      <c r="G752" s="667"/>
      <c r="H752" s="667"/>
      <c r="I752" s="667"/>
      <c r="J752" s="667"/>
      <c r="K752" s="667"/>
      <c r="L752" s="667"/>
      <c r="M752" s="667"/>
      <c r="N752" s="667"/>
      <c r="O752" s="667"/>
      <c r="P752" s="667"/>
      <c r="Q752" s="667"/>
      <c r="R752" s="667"/>
      <c r="S752" s="667"/>
      <c r="T752" s="667"/>
      <c r="U752" s="1020">
        <v>3</v>
      </c>
      <c r="V752" s="668">
        <f t="shared" si="230"/>
        <v>240</v>
      </c>
      <c r="W752" s="668">
        <f t="shared" si="231"/>
        <v>0</v>
      </c>
      <c r="X752" s="668">
        <f t="shared" si="232"/>
        <v>0</v>
      </c>
      <c r="Y752" s="668">
        <f t="shared" si="233"/>
        <v>0</v>
      </c>
      <c r="Z752" s="668">
        <f t="shared" si="234"/>
        <v>0</v>
      </c>
      <c r="AA752" s="668">
        <f t="shared" si="235"/>
        <v>0</v>
      </c>
      <c r="AB752" s="668">
        <f t="shared" si="236"/>
        <v>0</v>
      </c>
      <c r="AC752" s="668">
        <f t="shared" si="229"/>
        <v>0</v>
      </c>
      <c r="AD752" s="668">
        <f t="shared" si="237"/>
        <v>0</v>
      </c>
      <c r="AE752" s="668">
        <f t="shared" si="238"/>
        <v>0</v>
      </c>
      <c r="AF752" s="668">
        <f t="shared" si="239"/>
        <v>0</v>
      </c>
      <c r="AG752" s="668">
        <f t="shared" si="240"/>
        <v>0</v>
      </c>
      <c r="AH752" s="668"/>
      <c r="AI752" s="668"/>
      <c r="AJ752" s="668"/>
      <c r="AK752" s="668"/>
      <c r="AL752" s="668"/>
      <c r="AM752" s="668">
        <f t="shared" si="241"/>
        <v>0</v>
      </c>
      <c r="AN752" s="668">
        <f t="shared" si="225"/>
        <v>0</v>
      </c>
      <c r="AO752" s="668">
        <f t="shared" si="226"/>
        <v>0</v>
      </c>
      <c r="AP752" s="668">
        <f t="shared" si="242"/>
        <v>0</v>
      </c>
      <c r="AQ752" s="668">
        <f t="shared" si="227"/>
        <v>0</v>
      </c>
      <c r="AR752" s="668">
        <f t="shared" si="228"/>
        <v>0</v>
      </c>
      <c r="AS752" s="668"/>
      <c r="AT752" s="668"/>
      <c r="AU752" s="668"/>
      <c r="AV752" s="668"/>
      <c r="AW752" s="668"/>
      <c r="AX752" s="668"/>
      <c r="AY752" s="668"/>
      <c r="AZ752" s="668"/>
      <c r="BA752" s="668"/>
      <c r="BB752" s="668">
        <f t="shared" si="243"/>
        <v>0</v>
      </c>
      <c r="BC752" s="668"/>
      <c r="BD752" s="668"/>
      <c r="BE752" s="668"/>
      <c r="BF752" s="668"/>
      <c r="BG752" s="668"/>
      <c r="BH752" s="668"/>
      <c r="BI752" s="668"/>
    </row>
    <row r="753" spans="1:61" x14ac:dyDescent="0.2">
      <c r="A753" s="1020">
        <v>4031</v>
      </c>
      <c r="B753" s="1020" t="s">
        <v>682</v>
      </c>
      <c r="C753" s="1020"/>
      <c r="D753" s="667">
        <v>32</v>
      </c>
      <c r="E753" s="667"/>
      <c r="F753" s="667">
        <v>32</v>
      </c>
      <c r="G753" s="667"/>
      <c r="H753" s="667"/>
      <c r="I753" s="667"/>
      <c r="J753" s="667"/>
      <c r="K753" s="667"/>
      <c r="L753" s="667"/>
      <c r="M753" s="667"/>
      <c r="N753" s="667"/>
      <c r="O753" s="667"/>
      <c r="P753" s="667"/>
      <c r="Q753" s="667"/>
      <c r="R753" s="667"/>
      <c r="S753" s="667"/>
      <c r="T753" s="667"/>
      <c r="U753" s="1020">
        <v>10</v>
      </c>
      <c r="V753" s="668">
        <f t="shared" si="230"/>
        <v>320</v>
      </c>
      <c r="W753" s="668">
        <f t="shared" si="231"/>
        <v>0</v>
      </c>
      <c r="X753" s="668">
        <f t="shared" si="232"/>
        <v>0</v>
      </c>
      <c r="Y753" s="668">
        <f t="shared" si="233"/>
        <v>0</v>
      </c>
      <c r="Z753" s="668">
        <f t="shared" si="234"/>
        <v>0</v>
      </c>
      <c r="AA753" s="668">
        <f t="shared" si="235"/>
        <v>0</v>
      </c>
      <c r="AB753" s="668">
        <f t="shared" si="236"/>
        <v>0</v>
      </c>
      <c r="AC753" s="668">
        <f t="shared" si="229"/>
        <v>0</v>
      </c>
      <c r="AD753" s="668">
        <f t="shared" si="237"/>
        <v>0</v>
      </c>
      <c r="AE753" s="668">
        <f t="shared" si="238"/>
        <v>0</v>
      </c>
      <c r="AF753" s="668">
        <f t="shared" si="239"/>
        <v>0</v>
      </c>
      <c r="AG753" s="668">
        <f t="shared" si="240"/>
        <v>0</v>
      </c>
      <c r="AH753" s="668"/>
      <c r="AI753" s="668"/>
      <c r="AJ753" s="668"/>
      <c r="AK753" s="668"/>
      <c r="AL753" s="668"/>
      <c r="AM753" s="668">
        <f t="shared" si="241"/>
        <v>0</v>
      </c>
      <c r="AN753" s="668">
        <f t="shared" si="225"/>
        <v>0</v>
      </c>
      <c r="AO753" s="668">
        <f t="shared" si="226"/>
        <v>0</v>
      </c>
      <c r="AP753" s="668">
        <f t="shared" si="242"/>
        <v>320</v>
      </c>
      <c r="AQ753" s="668">
        <f t="shared" si="227"/>
        <v>0</v>
      </c>
      <c r="AR753" s="668">
        <f t="shared" si="228"/>
        <v>0</v>
      </c>
      <c r="AS753" s="668"/>
      <c r="AT753" s="668"/>
      <c r="AU753" s="668"/>
      <c r="AV753" s="668"/>
      <c r="AW753" s="668"/>
      <c r="AX753" s="668"/>
      <c r="AY753" s="668"/>
      <c r="AZ753" s="668"/>
      <c r="BA753" s="668"/>
      <c r="BB753" s="668">
        <f t="shared" si="243"/>
        <v>320</v>
      </c>
      <c r="BC753" s="668"/>
      <c r="BD753" s="668"/>
      <c r="BE753" s="668"/>
      <c r="BF753" s="668"/>
      <c r="BG753" s="668"/>
      <c r="BH753" s="668"/>
      <c r="BI753" s="668"/>
    </row>
    <row r="754" spans="1:61" x14ac:dyDescent="0.2">
      <c r="A754" s="1020">
        <v>4032</v>
      </c>
      <c r="B754" s="1020" t="s">
        <v>682</v>
      </c>
      <c r="C754" s="1020"/>
      <c r="D754" s="667">
        <v>32</v>
      </c>
      <c r="E754" s="667"/>
      <c r="F754" s="667">
        <v>32</v>
      </c>
      <c r="G754" s="667"/>
      <c r="H754" s="667"/>
      <c r="I754" s="667"/>
      <c r="J754" s="667"/>
      <c r="K754" s="667"/>
      <c r="L754" s="667"/>
      <c r="M754" s="667"/>
      <c r="N754" s="667"/>
      <c r="O754" s="667"/>
      <c r="P754" s="667"/>
      <c r="Q754" s="667"/>
      <c r="R754" s="667"/>
      <c r="S754" s="667"/>
      <c r="T754" s="667"/>
      <c r="U754" s="1020">
        <v>10</v>
      </c>
      <c r="V754" s="668">
        <f t="shared" si="230"/>
        <v>320</v>
      </c>
      <c r="W754" s="668">
        <f t="shared" si="231"/>
        <v>0</v>
      </c>
      <c r="X754" s="668">
        <f t="shared" si="232"/>
        <v>0</v>
      </c>
      <c r="Y754" s="668">
        <f t="shared" si="233"/>
        <v>0</v>
      </c>
      <c r="Z754" s="668">
        <f t="shared" si="234"/>
        <v>0</v>
      </c>
      <c r="AA754" s="668">
        <f t="shared" si="235"/>
        <v>0</v>
      </c>
      <c r="AB754" s="668">
        <f t="shared" si="236"/>
        <v>0</v>
      </c>
      <c r="AC754" s="668">
        <f t="shared" si="229"/>
        <v>0</v>
      </c>
      <c r="AD754" s="668">
        <f t="shared" si="237"/>
        <v>0</v>
      </c>
      <c r="AE754" s="668">
        <f t="shared" si="238"/>
        <v>0</v>
      </c>
      <c r="AF754" s="668">
        <f t="shared" si="239"/>
        <v>0</v>
      </c>
      <c r="AG754" s="668">
        <f t="shared" si="240"/>
        <v>0</v>
      </c>
      <c r="AH754" s="668"/>
      <c r="AI754" s="668"/>
      <c r="AJ754" s="668"/>
      <c r="AK754" s="668"/>
      <c r="AL754" s="668"/>
      <c r="AM754" s="668">
        <f t="shared" si="241"/>
        <v>0</v>
      </c>
      <c r="AN754" s="668">
        <f t="shared" si="225"/>
        <v>0</v>
      </c>
      <c r="AO754" s="668">
        <f t="shared" si="226"/>
        <v>0</v>
      </c>
      <c r="AP754" s="668">
        <f t="shared" si="242"/>
        <v>320</v>
      </c>
      <c r="AQ754" s="668">
        <f t="shared" si="227"/>
        <v>0</v>
      </c>
      <c r="AR754" s="668">
        <f t="shared" si="228"/>
        <v>0</v>
      </c>
      <c r="AS754" s="668"/>
      <c r="AT754" s="668"/>
      <c r="AU754" s="668"/>
      <c r="AV754" s="668"/>
      <c r="AW754" s="668"/>
      <c r="AX754" s="668"/>
      <c r="AY754" s="668"/>
      <c r="AZ754" s="668"/>
      <c r="BA754" s="668"/>
      <c r="BB754" s="668">
        <f t="shared" si="243"/>
        <v>320</v>
      </c>
      <c r="BC754" s="668"/>
      <c r="BD754" s="668"/>
      <c r="BE754" s="668"/>
      <c r="BF754" s="668"/>
      <c r="BG754" s="668"/>
      <c r="BH754" s="668"/>
      <c r="BI754" s="668"/>
    </row>
    <row r="755" spans="1:61" x14ac:dyDescent="0.2">
      <c r="A755" s="1020">
        <v>4033</v>
      </c>
      <c r="B755" s="1020" t="s">
        <v>720</v>
      </c>
      <c r="C755" s="1020"/>
      <c r="D755" s="667">
        <v>80</v>
      </c>
      <c r="E755" s="667"/>
      <c r="F755" s="667"/>
      <c r="G755" s="667"/>
      <c r="H755" s="667"/>
      <c r="I755" s="667"/>
      <c r="J755" s="667"/>
      <c r="K755" s="667"/>
      <c r="L755" s="667"/>
      <c r="M755" s="667"/>
      <c r="N755" s="667"/>
      <c r="O755" s="667"/>
      <c r="P755" s="667"/>
      <c r="Q755" s="667"/>
      <c r="R755" s="667"/>
      <c r="S755" s="667"/>
      <c r="T755" s="667"/>
      <c r="U755" s="1020">
        <v>10</v>
      </c>
      <c r="V755" s="668">
        <f t="shared" si="230"/>
        <v>800</v>
      </c>
      <c r="W755" s="668">
        <f t="shared" si="231"/>
        <v>0</v>
      </c>
      <c r="X755" s="668">
        <f t="shared" si="232"/>
        <v>0</v>
      </c>
      <c r="Y755" s="668">
        <f t="shared" si="233"/>
        <v>0</v>
      </c>
      <c r="Z755" s="668">
        <f t="shared" si="234"/>
        <v>0</v>
      </c>
      <c r="AA755" s="668">
        <f t="shared" si="235"/>
        <v>0</v>
      </c>
      <c r="AB755" s="668">
        <f t="shared" si="236"/>
        <v>0</v>
      </c>
      <c r="AC755" s="668">
        <f t="shared" si="229"/>
        <v>0</v>
      </c>
      <c r="AD755" s="668">
        <f t="shared" si="237"/>
        <v>0</v>
      </c>
      <c r="AE755" s="668">
        <f t="shared" si="238"/>
        <v>0</v>
      </c>
      <c r="AF755" s="668">
        <f t="shared" si="239"/>
        <v>0</v>
      </c>
      <c r="AG755" s="668">
        <f t="shared" si="240"/>
        <v>0</v>
      </c>
      <c r="AH755" s="668"/>
      <c r="AI755" s="668"/>
      <c r="AJ755" s="668"/>
      <c r="AK755" s="668"/>
      <c r="AL755" s="668"/>
      <c r="AM755" s="668">
        <f t="shared" si="241"/>
        <v>0</v>
      </c>
      <c r="AN755" s="668">
        <f t="shared" si="225"/>
        <v>0</v>
      </c>
      <c r="AO755" s="668">
        <f t="shared" si="226"/>
        <v>0</v>
      </c>
      <c r="AP755" s="668">
        <f t="shared" si="242"/>
        <v>0</v>
      </c>
      <c r="AQ755" s="668">
        <f t="shared" si="227"/>
        <v>0</v>
      </c>
      <c r="AR755" s="668">
        <f t="shared" si="228"/>
        <v>0</v>
      </c>
      <c r="AS755" s="668"/>
      <c r="AT755" s="668"/>
      <c r="AU755" s="668"/>
      <c r="AV755" s="668"/>
      <c r="AW755" s="668"/>
      <c r="AX755" s="668"/>
      <c r="AY755" s="668"/>
      <c r="AZ755" s="668"/>
      <c r="BA755" s="668"/>
      <c r="BB755" s="668">
        <f t="shared" si="243"/>
        <v>0</v>
      </c>
      <c r="BC755" s="668"/>
      <c r="BD755" s="668"/>
      <c r="BE755" s="668"/>
      <c r="BF755" s="668"/>
      <c r="BG755" s="668"/>
      <c r="BH755" s="668"/>
      <c r="BI755" s="668"/>
    </row>
    <row r="756" spans="1:61" x14ac:dyDescent="0.2">
      <c r="A756" s="1020">
        <v>4034</v>
      </c>
      <c r="B756" s="1020" t="s">
        <v>517</v>
      </c>
      <c r="C756" s="1020"/>
      <c r="D756" s="667">
        <v>80</v>
      </c>
      <c r="E756" s="667"/>
      <c r="F756" s="667"/>
      <c r="G756" s="667"/>
      <c r="H756" s="667"/>
      <c r="I756" s="667"/>
      <c r="J756" s="667"/>
      <c r="K756" s="667"/>
      <c r="L756" s="667"/>
      <c r="M756" s="667"/>
      <c r="N756" s="667"/>
      <c r="O756" s="667"/>
      <c r="P756" s="667"/>
      <c r="Q756" s="667"/>
      <c r="R756" s="667"/>
      <c r="S756" s="667"/>
      <c r="T756" s="667"/>
      <c r="U756" s="1020">
        <v>12</v>
      </c>
      <c r="V756" s="668">
        <f t="shared" si="230"/>
        <v>960</v>
      </c>
      <c r="W756" s="668">
        <f t="shared" si="231"/>
        <v>0</v>
      </c>
      <c r="X756" s="668">
        <f t="shared" si="232"/>
        <v>0</v>
      </c>
      <c r="Y756" s="668">
        <f t="shared" si="233"/>
        <v>0</v>
      </c>
      <c r="Z756" s="668">
        <f t="shared" si="234"/>
        <v>0</v>
      </c>
      <c r="AA756" s="668">
        <f t="shared" si="235"/>
        <v>0</v>
      </c>
      <c r="AB756" s="668">
        <f t="shared" si="236"/>
        <v>0</v>
      </c>
      <c r="AC756" s="668">
        <f t="shared" si="229"/>
        <v>0</v>
      </c>
      <c r="AD756" s="668">
        <f t="shared" si="237"/>
        <v>0</v>
      </c>
      <c r="AE756" s="668">
        <f t="shared" si="238"/>
        <v>0</v>
      </c>
      <c r="AF756" s="668">
        <f t="shared" si="239"/>
        <v>0</v>
      </c>
      <c r="AG756" s="668">
        <f t="shared" si="240"/>
        <v>0</v>
      </c>
      <c r="AH756" s="668"/>
      <c r="AI756" s="668"/>
      <c r="AJ756" s="668"/>
      <c r="AK756" s="668"/>
      <c r="AL756" s="668"/>
      <c r="AM756" s="668">
        <f t="shared" si="241"/>
        <v>0</v>
      </c>
      <c r="AN756" s="668">
        <f t="shared" si="225"/>
        <v>0</v>
      </c>
      <c r="AO756" s="668">
        <f t="shared" si="226"/>
        <v>0</v>
      </c>
      <c r="AP756" s="668">
        <f t="shared" si="242"/>
        <v>0</v>
      </c>
      <c r="AQ756" s="668">
        <f t="shared" si="227"/>
        <v>0</v>
      </c>
      <c r="AR756" s="668">
        <f t="shared" si="228"/>
        <v>0</v>
      </c>
      <c r="AS756" s="668"/>
      <c r="AT756" s="668"/>
      <c r="AU756" s="668"/>
      <c r="AV756" s="668"/>
      <c r="AW756" s="668"/>
      <c r="AX756" s="668"/>
      <c r="AY756" s="668"/>
      <c r="AZ756" s="668"/>
      <c r="BA756" s="668"/>
      <c r="BB756" s="668">
        <f t="shared" si="243"/>
        <v>0</v>
      </c>
      <c r="BC756" s="668"/>
      <c r="BD756" s="668"/>
      <c r="BE756" s="668"/>
      <c r="BF756" s="668"/>
      <c r="BG756" s="668"/>
      <c r="BH756" s="668"/>
      <c r="BI756" s="668"/>
    </row>
    <row r="757" spans="1:61" x14ac:dyDescent="0.2">
      <c r="A757" s="1020">
        <v>4035</v>
      </c>
      <c r="B757" s="1020" t="s">
        <v>519</v>
      </c>
      <c r="C757" s="1020"/>
      <c r="D757" s="667">
        <v>35</v>
      </c>
      <c r="E757" s="667"/>
      <c r="F757" s="667">
        <v>15</v>
      </c>
      <c r="G757" s="667"/>
      <c r="H757" s="667"/>
      <c r="I757" s="667"/>
      <c r="J757" s="667"/>
      <c r="K757" s="667"/>
      <c r="L757" s="667"/>
      <c r="M757" s="667"/>
      <c r="N757" s="667"/>
      <c r="O757" s="667"/>
      <c r="P757" s="667"/>
      <c r="Q757" s="667"/>
      <c r="R757" s="667"/>
      <c r="S757" s="667"/>
      <c r="T757" s="667">
        <v>150</v>
      </c>
      <c r="U757" s="1020">
        <v>12</v>
      </c>
      <c r="V757" s="668">
        <f t="shared" si="230"/>
        <v>420</v>
      </c>
      <c r="W757" s="668">
        <f t="shared" si="231"/>
        <v>0</v>
      </c>
      <c r="X757" s="668">
        <f t="shared" si="232"/>
        <v>0</v>
      </c>
      <c r="Y757" s="668">
        <f t="shared" si="233"/>
        <v>0</v>
      </c>
      <c r="Z757" s="668">
        <f t="shared" si="234"/>
        <v>0</v>
      </c>
      <c r="AA757" s="668">
        <f t="shared" si="235"/>
        <v>0</v>
      </c>
      <c r="AB757" s="668">
        <f t="shared" si="236"/>
        <v>150</v>
      </c>
      <c r="AC757" s="668">
        <f t="shared" si="229"/>
        <v>0</v>
      </c>
      <c r="AD757" s="668">
        <f t="shared" si="237"/>
        <v>0</v>
      </c>
      <c r="AE757" s="668">
        <f t="shared" si="238"/>
        <v>0</v>
      </c>
      <c r="AF757" s="668">
        <f t="shared" si="239"/>
        <v>0</v>
      </c>
      <c r="AG757" s="668">
        <f t="shared" si="240"/>
        <v>0</v>
      </c>
      <c r="AH757" s="668"/>
      <c r="AI757" s="668"/>
      <c r="AJ757" s="668"/>
      <c r="AK757" s="668"/>
      <c r="AL757" s="668"/>
      <c r="AM757" s="668">
        <f t="shared" si="241"/>
        <v>0</v>
      </c>
      <c r="AN757" s="668">
        <f t="shared" si="225"/>
        <v>0</v>
      </c>
      <c r="AO757" s="668">
        <f t="shared" si="226"/>
        <v>0</v>
      </c>
      <c r="AP757" s="668">
        <f t="shared" si="242"/>
        <v>180</v>
      </c>
      <c r="AQ757" s="668">
        <f t="shared" si="227"/>
        <v>0</v>
      </c>
      <c r="AR757" s="668">
        <f t="shared" si="228"/>
        <v>0</v>
      </c>
      <c r="AS757" s="668"/>
      <c r="AT757" s="668"/>
      <c r="AU757" s="668"/>
      <c r="AV757" s="668"/>
      <c r="AW757" s="668"/>
      <c r="AX757" s="668"/>
      <c r="AY757" s="668"/>
      <c r="AZ757" s="668"/>
      <c r="BA757" s="668"/>
      <c r="BB757" s="668">
        <f t="shared" si="243"/>
        <v>180</v>
      </c>
      <c r="BC757" s="668"/>
      <c r="BD757" s="668"/>
      <c r="BE757" s="668"/>
      <c r="BF757" s="668"/>
      <c r="BG757" s="668"/>
      <c r="BH757" s="668"/>
      <c r="BI757" s="668"/>
    </row>
    <row r="758" spans="1:61" x14ac:dyDescent="0.2">
      <c r="A758" s="1020">
        <v>4036</v>
      </c>
      <c r="B758" s="1020" t="s">
        <v>519</v>
      </c>
      <c r="C758" s="1020"/>
      <c r="D758" s="667">
        <v>35</v>
      </c>
      <c r="E758" s="667"/>
      <c r="F758" s="667">
        <v>15</v>
      </c>
      <c r="G758" s="667"/>
      <c r="H758" s="667"/>
      <c r="I758" s="667"/>
      <c r="J758" s="667"/>
      <c r="K758" s="667"/>
      <c r="L758" s="667"/>
      <c r="M758" s="667"/>
      <c r="N758" s="667"/>
      <c r="O758" s="667"/>
      <c r="P758" s="667"/>
      <c r="Q758" s="667"/>
      <c r="R758" s="667"/>
      <c r="S758" s="667"/>
      <c r="T758" s="667">
        <v>150</v>
      </c>
      <c r="U758" s="1020">
        <v>12</v>
      </c>
      <c r="V758" s="668">
        <f t="shared" si="230"/>
        <v>420</v>
      </c>
      <c r="W758" s="668">
        <f t="shared" si="231"/>
        <v>0</v>
      </c>
      <c r="X758" s="668">
        <f t="shared" si="232"/>
        <v>0</v>
      </c>
      <c r="Y758" s="668">
        <f t="shared" si="233"/>
        <v>0</v>
      </c>
      <c r="Z758" s="668">
        <f t="shared" si="234"/>
        <v>0</v>
      </c>
      <c r="AA758" s="668">
        <f t="shared" si="235"/>
        <v>0</v>
      </c>
      <c r="AB758" s="668">
        <f t="shared" si="236"/>
        <v>150</v>
      </c>
      <c r="AC758" s="668">
        <f t="shared" si="229"/>
        <v>0</v>
      </c>
      <c r="AD758" s="668">
        <f t="shared" si="237"/>
        <v>0</v>
      </c>
      <c r="AE758" s="668">
        <f t="shared" si="238"/>
        <v>0</v>
      </c>
      <c r="AF758" s="668">
        <f t="shared" si="239"/>
        <v>0</v>
      </c>
      <c r="AG758" s="668">
        <f t="shared" si="240"/>
        <v>0</v>
      </c>
      <c r="AH758" s="668"/>
      <c r="AI758" s="668"/>
      <c r="AJ758" s="668"/>
      <c r="AK758" s="668"/>
      <c r="AL758" s="668"/>
      <c r="AM758" s="668">
        <f t="shared" si="241"/>
        <v>0</v>
      </c>
      <c r="AN758" s="668">
        <f t="shared" si="225"/>
        <v>0</v>
      </c>
      <c r="AO758" s="668">
        <f t="shared" si="226"/>
        <v>0</v>
      </c>
      <c r="AP758" s="668">
        <f t="shared" si="242"/>
        <v>180</v>
      </c>
      <c r="AQ758" s="668">
        <f t="shared" si="227"/>
        <v>0</v>
      </c>
      <c r="AR758" s="668">
        <f t="shared" si="228"/>
        <v>0</v>
      </c>
      <c r="AS758" s="668"/>
      <c r="AT758" s="668"/>
      <c r="AU758" s="668"/>
      <c r="AV758" s="668"/>
      <c r="AW758" s="668"/>
      <c r="AX758" s="668"/>
      <c r="AY758" s="668"/>
      <c r="AZ758" s="668"/>
      <c r="BA758" s="668"/>
      <c r="BB758" s="668">
        <f t="shared" si="243"/>
        <v>180</v>
      </c>
      <c r="BC758" s="668"/>
      <c r="BD758" s="668"/>
      <c r="BE758" s="668"/>
      <c r="BF758" s="668"/>
      <c r="BG758" s="668"/>
      <c r="BH758" s="668"/>
      <c r="BI758" s="668"/>
    </row>
    <row r="759" spans="1:61" x14ac:dyDescent="0.2">
      <c r="A759" s="1020" t="s">
        <v>775</v>
      </c>
      <c r="B759" s="1020" t="s">
        <v>515</v>
      </c>
      <c r="C759" s="1020"/>
      <c r="D759" s="667">
        <v>143</v>
      </c>
      <c r="E759" s="667"/>
      <c r="F759" s="667">
        <v>40</v>
      </c>
      <c r="G759" s="667"/>
      <c r="H759" s="667"/>
      <c r="I759" s="667"/>
      <c r="J759" s="667"/>
      <c r="K759" s="667"/>
      <c r="L759" s="667"/>
      <c r="M759" s="667"/>
      <c r="N759" s="667"/>
      <c r="O759" s="667"/>
      <c r="P759" s="667"/>
      <c r="Q759" s="667"/>
      <c r="R759" s="667"/>
      <c r="S759" s="667"/>
      <c r="T759" s="667">
        <v>1035</v>
      </c>
      <c r="U759" s="1020">
        <v>12</v>
      </c>
      <c r="V759" s="668">
        <f t="shared" si="230"/>
        <v>1716</v>
      </c>
      <c r="W759" s="668">
        <f t="shared" si="231"/>
        <v>0</v>
      </c>
      <c r="X759" s="668">
        <f t="shared" si="232"/>
        <v>0</v>
      </c>
      <c r="Y759" s="668">
        <f t="shared" si="233"/>
        <v>0</v>
      </c>
      <c r="Z759" s="668">
        <f t="shared" si="234"/>
        <v>0</v>
      </c>
      <c r="AA759" s="668">
        <f t="shared" si="235"/>
        <v>0</v>
      </c>
      <c r="AB759" s="668">
        <f t="shared" si="236"/>
        <v>1035</v>
      </c>
      <c r="AC759" s="668">
        <f t="shared" si="229"/>
        <v>0</v>
      </c>
      <c r="AD759" s="668">
        <f t="shared" si="237"/>
        <v>0</v>
      </c>
      <c r="AE759" s="668">
        <f t="shared" si="238"/>
        <v>0</v>
      </c>
      <c r="AF759" s="668">
        <f t="shared" si="239"/>
        <v>0</v>
      </c>
      <c r="AG759" s="668">
        <f t="shared" si="240"/>
        <v>0</v>
      </c>
      <c r="AH759" s="668"/>
      <c r="AI759" s="668"/>
      <c r="AJ759" s="668"/>
      <c r="AK759" s="668"/>
      <c r="AL759" s="668"/>
      <c r="AM759" s="668">
        <f t="shared" si="241"/>
        <v>0</v>
      </c>
      <c r="AN759" s="668">
        <f t="shared" si="225"/>
        <v>0</v>
      </c>
      <c r="AO759" s="668">
        <f t="shared" si="226"/>
        <v>0</v>
      </c>
      <c r="AP759" s="668">
        <f t="shared" si="242"/>
        <v>480</v>
      </c>
      <c r="AQ759" s="668">
        <f t="shared" si="227"/>
        <v>0</v>
      </c>
      <c r="AR759" s="668">
        <f t="shared" si="228"/>
        <v>0</v>
      </c>
      <c r="AS759" s="668"/>
      <c r="AT759" s="668"/>
      <c r="AU759" s="668"/>
      <c r="AV759" s="668"/>
      <c r="AW759" s="668"/>
      <c r="AX759" s="668"/>
      <c r="AY759" s="668"/>
      <c r="AZ759" s="668"/>
      <c r="BA759" s="668"/>
      <c r="BB759" s="668"/>
      <c r="BC759" s="668"/>
      <c r="BD759" s="668"/>
      <c r="BE759" s="668"/>
      <c r="BF759" s="668"/>
      <c r="BG759" s="668"/>
      <c r="BH759" s="668"/>
      <c r="BI759" s="668"/>
    </row>
    <row r="760" spans="1:61" x14ac:dyDescent="0.2">
      <c r="A760" s="1020">
        <v>4039</v>
      </c>
      <c r="B760" s="1020" t="s">
        <v>515</v>
      </c>
      <c r="C760" s="1020"/>
      <c r="D760" s="667">
        <v>120</v>
      </c>
      <c r="E760" s="667"/>
      <c r="F760" s="667">
        <v>90</v>
      </c>
      <c r="G760" s="667"/>
      <c r="H760" s="667"/>
      <c r="I760" s="667"/>
      <c r="J760" s="667"/>
      <c r="K760" s="667"/>
      <c r="L760" s="667"/>
      <c r="M760" s="667"/>
      <c r="N760" s="667"/>
      <c r="O760" s="667"/>
      <c r="P760" s="667"/>
      <c r="Q760" s="667"/>
      <c r="R760" s="667"/>
      <c r="S760" s="667"/>
      <c r="T760" s="667">
        <v>4467</v>
      </c>
      <c r="U760" s="1033">
        <v>12</v>
      </c>
      <c r="V760" s="668">
        <f t="shared" si="230"/>
        <v>1440</v>
      </c>
      <c r="W760" s="668">
        <f t="shared" si="231"/>
        <v>0</v>
      </c>
      <c r="X760" s="668">
        <f t="shared" si="232"/>
        <v>0</v>
      </c>
      <c r="Y760" s="668">
        <f t="shared" si="233"/>
        <v>0</v>
      </c>
      <c r="Z760" s="668">
        <f t="shared" si="234"/>
        <v>0</v>
      </c>
      <c r="AA760" s="668">
        <f t="shared" si="235"/>
        <v>0</v>
      </c>
      <c r="AB760" s="668">
        <f t="shared" si="236"/>
        <v>4467</v>
      </c>
      <c r="AC760" s="668">
        <f t="shared" si="229"/>
        <v>0</v>
      </c>
      <c r="AD760" s="668">
        <f t="shared" si="237"/>
        <v>0</v>
      </c>
      <c r="AE760" s="668">
        <f t="shared" si="238"/>
        <v>0</v>
      </c>
      <c r="AF760" s="668">
        <f t="shared" si="239"/>
        <v>0</v>
      </c>
      <c r="AG760" s="668">
        <f t="shared" si="240"/>
        <v>0</v>
      </c>
      <c r="AH760" s="668"/>
      <c r="AI760" s="668"/>
      <c r="AJ760" s="668"/>
      <c r="AK760" s="668"/>
      <c r="AL760" s="668"/>
      <c r="AM760" s="668">
        <f t="shared" si="241"/>
        <v>0</v>
      </c>
      <c r="AN760" s="668">
        <f t="shared" si="225"/>
        <v>0</v>
      </c>
      <c r="AO760" s="668">
        <f t="shared" si="226"/>
        <v>0</v>
      </c>
      <c r="AP760" s="668">
        <f t="shared" si="242"/>
        <v>1080</v>
      </c>
      <c r="AQ760" s="668">
        <f t="shared" si="227"/>
        <v>0</v>
      </c>
      <c r="AR760" s="668">
        <f t="shared" si="228"/>
        <v>0</v>
      </c>
      <c r="AS760" s="668"/>
      <c r="AT760" s="668"/>
      <c r="AU760" s="668"/>
      <c r="AV760" s="668"/>
      <c r="AW760" s="668"/>
      <c r="AX760" s="668"/>
      <c r="AY760" s="668"/>
      <c r="AZ760" s="668"/>
      <c r="BA760" s="668"/>
      <c r="BB760" s="668"/>
      <c r="BC760" s="668"/>
      <c r="BD760" s="668"/>
      <c r="BE760" s="668"/>
      <c r="BF760" s="668"/>
      <c r="BG760" s="668"/>
      <c r="BH760" s="668"/>
      <c r="BI760" s="668"/>
    </row>
    <row r="761" spans="1:61" x14ac:dyDescent="0.2">
      <c r="A761" s="1020">
        <v>4040</v>
      </c>
      <c r="B761" s="1020" t="s">
        <v>519</v>
      </c>
      <c r="C761" s="1020"/>
      <c r="D761" s="667">
        <v>35</v>
      </c>
      <c r="E761" s="667"/>
      <c r="F761" s="667">
        <v>15</v>
      </c>
      <c r="G761" s="667"/>
      <c r="H761" s="667"/>
      <c r="I761" s="667"/>
      <c r="J761" s="667"/>
      <c r="K761" s="667"/>
      <c r="L761" s="667"/>
      <c r="M761" s="667"/>
      <c r="N761" s="667"/>
      <c r="O761" s="667"/>
      <c r="P761" s="667"/>
      <c r="Q761" s="667"/>
      <c r="R761" s="667"/>
      <c r="S761" s="667"/>
      <c r="T761" s="667">
        <v>150</v>
      </c>
      <c r="U761" s="1033">
        <v>12</v>
      </c>
      <c r="V761" s="668">
        <f t="shared" si="230"/>
        <v>420</v>
      </c>
      <c r="W761" s="668">
        <f t="shared" si="231"/>
        <v>0</v>
      </c>
      <c r="X761" s="668">
        <f t="shared" si="232"/>
        <v>0</v>
      </c>
      <c r="Y761" s="668">
        <f t="shared" si="233"/>
        <v>0</v>
      </c>
      <c r="Z761" s="668">
        <f t="shared" si="234"/>
        <v>0</v>
      </c>
      <c r="AA761" s="668">
        <f t="shared" si="235"/>
        <v>0</v>
      </c>
      <c r="AB761" s="668">
        <f t="shared" si="236"/>
        <v>150</v>
      </c>
      <c r="AC761" s="668">
        <f t="shared" si="229"/>
        <v>0</v>
      </c>
      <c r="AD761" s="668">
        <f t="shared" si="237"/>
        <v>0</v>
      </c>
      <c r="AE761" s="668">
        <f t="shared" si="238"/>
        <v>0</v>
      </c>
      <c r="AF761" s="668">
        <f t="shared" si="239"/>
        <v>0</v>
      </c>
      <c r="AG761" s="668">
        <f t="shared" si="240"/>
        <v>0</v>
      </c>
      <c r="AH761" s="668"/>
      <c r="AI761" s="668"/>
      <c r="AJ761" s="668"/>
      <c r="AK761" s="668"/>
      <c r="AL761" s="668"/>
      <c r="AM761" s="668">
        <f t="shared" si="241"/>
        <v>0</v>
      </c>
      <c r="AN761" s="668">
        <f t="shared" si="225"/>
        <v>0</v>
      </c>
      <c r="AO761" s="668">
        <f t="shared" si="226"/>
        <v>0</v>
      </c>
      <c r="AP761" s="668">
        <f t="shared" si="242"/>
        <v>180</v>
      </c>
      <c r="AQ761" s="668">
        <f t="shared" si="227"/>
        <v>0</v>
      </c>
      <c r="AR761" s="668">
        <f t="shared" si="228"/>
        <v>0</v>
      </c>
      <c r="AS761" s="668"/>
      <c r="AT761" s="668"/>
      <c r="AU761" s="668"/>
      <c r="AV761" s="668"/>
      <c r="AW761" s="668"/>
      <c r="AX761" s="668"/>
      <c r="AY761" s="668"/>
      <c r="AZ761" s="668"/>
      <c r="BA761" s="668"/>
      <c r="BB761" s="668">
        <f t="shared" si="243"/>
        <v>180</v>
      </c>
      <c r="BC761" s="668"/>
      <c r="BD761" s="668"/>
      <c r="BE761" s="668"/>
      <c r="BF761" s="668"/>
      <c r="BG761" s="668"/>
      <c r="BH761" s="668"/>
      <c r="BI761" s="668"/>
    </row>
    <row r="762" spans="1:61" x14ac:dyDescent="0.2">
      <c r="A762" s="1020">
        <v>4041</v>
      </c>
      <c r="B762" s="1020" t="s">
        <v>519</v>
      </c>
      <c r="C762" s="1020"/>
      <c r="D762" s="667">
        <v>35</v>
      </c>
      <c r="E762" s="667"/>
      <c r="F762" s="667">
        <v>15</v>
      </c>
      <c r="G762" s="667"/>
      <c r="H762" s="667"/>
      <c r="I762" s="667"/>
      <c r="J762" s="667"/>
      <c r="K762" s="667"/>
      <c r="L762" s="667"/>
      <c r="M762" s="667"/>
      <c r="N762" s="667"/>
      <c r="O762" s="667"/>
      <c r="P762" s="667"/>
      <c r="Q762" s="667"/>
      <c r="R762" s="667"/>
      <c r="S762" s="667"/>
      <c r="T762" s="667">
        <v>150</v>
      </c>
      <c r="U762" s="1033">
        <v>12</v>
      </c>
      <c r="V762" s="668">
        <f t="shared" si="230"/>
        <v>420</v>
      </c>
      <c r="W762" s="668">
        <f t="shared" si="231"/>
        <v>0</v>
      </c>
      <c r="X762" s="668">
        <f t="shared" si="232"/>
        <v>0</v>
      </c>
      <c r="Y762" s="668">
        <f t="shared" si="233"/>
        <v>0</v>
      </c>
      <c r="Z762" s="668">
        <f t="shared" si="234"/>
        <v>0</v>
      </c>
      <c r="AA762" s="668">
        <f t="shared" si="235"/>
        <v>0</v>
      </c>
      <c r="AB762" s="668">
        <f t="shared" si="236"/>
        <v>150</v>
      </c>
      <c r="AC762" s="668">
        <f t="shared" si="229"/>
        <v>0</v>
      </c>
      <c r="AD762" s="668">
        <f t="shared" si="237"/>
        <v>0</v>
      </c>
      <c r="AE762" s="668">
        <f t="shared" si="238"/>
        <v>0</v>
      </c>
      <c r="AF762" s="668">
        <f t="shared" si="239"/>
        <v>0</v>
      </c>
      <c r="AG762" s="668">
        <f t="shared" si="240"/>
        <v>0</v>
      </c>
      <c r="AH762" s="668"/>
      <c r="AI762" s="668"/>
      <c r="AJ762" s="668"/>
      <c r="AK762" s="668"/>
      <c r="AL762" s="668"/>
      <c r="AM762" s="668">
        <f t="shared" si="241"/>
        <v>0</v>
      </c>
      <c r="AN762" s="668">
        <f t="shared" si="225"/>
        <v>0</v>
      </c>
      <c r="AO762" s="668">
        <f t="shared" si="226"/>
        <v>0</v>
      </c>
      <c r="AP762" s="668">
        <f t="shared" si="242"/>
        <v>180</v>
      </c>
      <c r="AQ762" s="668">
        <f t="shared" si="227"/>
        <v>0</v>
      </c>
      <c r="AR762" s="668">
        <f t="shared" si="228"/>
        <v>0</v>
      </c>
      <c r="AS762" s="668"/>
      <c r="AT762" s="668"/>
      <c r="AU762" s="668"/>
      <c r="AV762" s="668"/>
      <c r="AW762" s="668"/>
      <c r="AX762" s="668"/>
      <c r="AY762" s="668"/>
      <c r="AZ762" s="668"/>
      <c r="BA762" s="668"/>
      <c r="BB762" s="668">
        <f t="shared" si="243"/>
        <v>180</v>
      </c>
      <c r="BC762" s="668"/>
      <c r="BD762" s="668"/>
      <c r="BE762" s="668"/>
      <c r="BF762" s="668"/>
      <c r="BG762" s="668"/>
      <c r="BH762" s="668"/>
      <c r="BI762" s="668"/>
    </row>
    <row r="763" spans="1:61" x14ac:dyDescent="0.2">
      <c r="A763" s="1020">
        <v>4042</v>
      </c>
      <c r="B763" s="1020" t="s">
        <v>476</v>
      </c>
      <c r="C763" s="1020"/>
      <c r="D763" s="667">
        <v>54</v>
      </c>
      <c r="E763" s="667"/>
      <c r="F763" s="667"/>
      <c r="G763" s="667"/>
      <c r="H763" s="667"/>
      <c r="I763" s="667"/>
      <c r="J763" s="667"/>
      <c r="K763" s="667"/>
      <c r="L763" s="667"/>
      <c r="M763" s="667"/>
      <c r="N763" s="667"/>
      <c r="O763" s="667"/>
      <c r="P763" s="667"/>
      <c r="Q763" s="667"/>
      <c r="R763" s="667"/>
      <c r="S763" s="667"/>
      <c r="T763" s="667"/>
      <c r="U763" s="1033">
        <v>12</v>
      </c>
      <c r="V763" s="668">
        <f t="shared" si="230"/>
        <v>648</v>
      </c>
      <c r="W763" s="668">
        <f t="shared" si="231"/>
        <v>0</v>
      </c>
      <c r="X763" s="668">
        <f t="shared" si="232"/>
        <v>0</v>
      </c>
      <c r="Y763" s="668">
        <f t="shared" si="233"/>
        <v>0</v>
      </c>
      <c r="Z763" s="668">
        <f t="shared" si="234"/>
        <v>0</v>
      </c>
      <c r="AA763" s="668">
        <f t="shared" si="235"/>
        <v>0</v>
      </c>
      <c r="AB763" s="668">
        <f t="shared" si="236"/>
        <v>0</v>
      </c>
      <c r="AC763" s="668">
        <f t="shared" si="229"/>
        <v>0</v>
      </c>
      <c r="AD763" s="668">
        <f t="shared" si="237"/>
        <v>0</v>
      </c>
      <c r="AE763" s="668">
        <f t="shared" si="238"/>
        <v>0</v>
      </c>
      <c r="AF763" s="668">
        <f t="shared" si="239"/>
        <v>0</v>
      </c>
      <c r="AG763" s="668">
        <f t="shared" si="240"/>
        <v>0</v>
      </c>
      <c r="AH763" s="668"/>
      <c r="AI763" s="668"/>
      <c r="AJ763" s="668"/>
      <c r="AK763" s="668"/>
      <c r="AL763" s="668"/>
      <c r="AM763" s="668">
        <f t="shared" si="241"/>
        <v>0</v>
      </c>
      <c r="AN763" s="668">
        <f t="shared" si="225"/>
        <v>0</v>
      </c>
      <c r="AO763" s="668">
        <f t="shared" si="226"/>
        <v>0</v>
      </c>
      <c r="AP763" s="668">
        <f t="shared" si="242"/>
        <v>0</v>
      </c>
      <c r="AQ763" s="668">
        <f t="shared" si="227"/>
        <v>0</v>
      </c>
      <c r="AR763" s="668">
        <f t="shared" si="228"/>
        <v>0</v>
      </c>
      <c r="AS763" s="668"/>
      <c r="AT763" s="668"/>
      <c r="AU763" s="668"/>
      <c r="AV763" s="668"/>
      <c r="AW763" s="668"/>
      <c r="AX763" s="668"/>
      <c r="AY763" s="668"/>
      <c r="AZ763" s="668"/>
      <c r="BA763" s="668"/>
      <c r="BB763" s="668">
        <f t="shared" si="243"/>
        <v>0</v>
      </c>
      <c r="BC763" s="668"/>
      <c r="BD763" s="668"/>
      <c r="BE763" s="668"/>
      <c r="BF763" s="668"/>
      <c r="BG763" s="668"/>
      <c r="BH763" s="668"/>
      <c r="BI763" s="668"/>
    </row>
    <row r="764" spans="1:61" x14ac:dyDescent="0.2">
      <c r="A764" s="1020">
        <v>4043</v>
      </c>
      <c r="B764" s="1020" t="s">
        <v>579</v>
      </c>
      <c r="C764" s="1020"/>
      <c r="D764" s="667">
        <v>48</v>
      </c>
      <c r="E764" s="667"/>
      <c r="F764" s="667"/>
      <c r="G764" s="667"/>
      <c r="H764" s="667"/>
      <c r="I764" s="667"/>
      <c r="J764" s="667"/>
      <c r="K764" s="667"/>
      <c r="L764" s="667"/>
      <c r="M764" s="667"/>
      <c r="N764" s="667"/>
      <c r="O764" s="667"/>
      <c r="P764" s="667"/>
      <c r="Q764" s="667"/>
      <c r="R764" s="667"/>
      <c r="S764" s="667"/>
      <c r="T764" s="667"/>
      <c r="U764" s="1033">
        <v>12</v>
      </c>
      <c r="V764" s="668">
        <f t="shared" si="230"/>
        <v>576</v>
      </c>
      <c r="W764" s="668">
        <f t="shared" si="231"/>
        <v>0</v>
      </c>
      <c r="X764" s="668">
        <f t="shared" si="232"/>
        <v>0</v>
      </c>
      <c r="Y764" s="668">
        <f t="shared" si="233"/>
        <v>0</v>
      </c>
      <c r="Z764" s="668">
        <f t="shared" si="234"/>
        <v>0</v>
      </c>
      <c r="AA764" s="668">
        <f t="shared" si="235"/>
        <v>0</v>
      </c>
      <c r="AB764" s="668">
        <f t="shared" si="236"/>
        <v>0</v>
      </c>
      <c r="AC764" s="668">
        <f t="shared" si="229"/>
        <v>0</v>
      </c>
      <c r="AD764" s="668">
        <f t="shared" si="237"/>
        <v>0</v>
      </c>
      <c r="AE764" s="668">
        <f t="shared" si="238"/>
        <v>0</v>
      </c>
      <c r="AF764" s="668">
        <f t="shared" si="239"/>
        <v>0</v>
      </c>
      <c r="AG764" s="668">
        <f t="shared" si="240"/>
        <v>0</v>
      </c>
      <c r="AH764" s="668"/>
      <c r="AI764" s="668"/>
      <c r="AJ764" s="668"/>
      <c r="AK764" s="668"/>
      <c r="AL764" s="668"/>
      <c r="AM764" s="668">
        <f t="shared" si="241"/>
        <v>0</v>
      </c>
      <c r="AN764" s="668">
        <f t="shared" si="225"/>
        <v>0</v>
      </c>
      <c r="AO764" s="668">
        <f t="shared" si="226"/>
        <v>0</v>
      </c>
      <c r="AP764" s="668">
        <f t="shared" si="242"/>
        <v>0</v>
      </c>
      <c r="AQ764" s="668">
        <f t="shared" si="227"/>
        <v>0</v>
      </c>
      <c r="AR764" s="668">
        <f t="shared" si="228"/>
        <v>0</v>
      </c>
      <c r="AS764" s="668"/>
      <c r="AT764" s="668"/>
      <c r="AU764" s="668"/>
      <c r="AV764" s="668"/>
      <c r="AW764" s="668"/>
      <c r="AX764" s="668"/>
      <c r="AY764" s="668"/>
      <c r="AZ764" s="668"/>
      <c r="BA764" s="668"/>
      <c r="BB764" s="668">
        <f t="shared" si="243"/>
        <v>0</v>
      </c>
      <c r="BC764" s="668"/>
      <c r="BD764" s="668"/>
      <c r="BE764" s="668"/>
      <c r="BF764" s="668"/>
      <c r="BG764" s="668"/>
      <c r="BH764" s="668"/>
      <c r="BI764" s="668"/>
    </row>
    <row r="765" spans="1:61" x14ac:dyDescent="0.2">
      <c r="A765" s="1020">
        <v>4044</v>
      </c>
      <c r="B765" s="1020" t="s">
        <v>686</v>
      </c>
      <c r="C765" s="1020"/>
      <c r="D765" s="667">
        <v>73</v>
      </c>
      <c r="E765" s="667"/>
      <c r="F765" s="667"/>
      <c r="G765" s="667"/>
      <c r="H765" s="667"/>
      <c r="I765" s="667"/>
      <c r="J765" s="667"/>
      <c r="K765" s="667"/>
      <c r="L765" s="667"/>
      <c r="M765" s="667"/>
      <c r="N765" s="667"/>
      <c r="O765" s="667"/>
      <c r="P765" s="667"/>
      <c r="Q765" s="667"/>
      <c r="R765" s="667"/>
      <c r="S765" s="667"/>
      <c r="T765" s="667"/>
      <c r="U765" s="1033">
        <v>10</v>
      </c>
      <c r="V765" s="668">
        <f t="shared" si="230"/>
        <v>730</v>
      </c>
      <c r="W765" s="668">
        <f t="shared" si="231"/>
        <v>0</v>
      </c>
      <c r="X765" s="668">
        <f t="shared" si="232"/>
        <v>0</v>
      </c>
      <c r="Y765" s="668">
        <f t="shared" si="233"/>
        <v>0</v>
      </c>
      <c r="Z765" s="668">
        <f t="shared" si="234"/>
        <v>0</v>
      </c>
      <c r="AA765" s="668">
        <f t="shared" si="235"/>
        <v>0</v>
      </c>
      <c r="AB765" s="668">
        <f t="shared" si="236"/>
        <v>0</v>
      </c>
      <c r="AC765" s="668">
        <f t="shared" si="229"/>
        <v>0</v>
      </c>
      <c r="AD765" s="668">
        <f t="shared" si="237"/>
        <v>0</v>
      </c>
      <c r="AE765" s="668">
        <f t="shared" si="238"/>
        <v>0</v>
      </c>
      <c r="AF765" s="668">
        <f t="shared" si="239"/>
        <v>0</v>
      </c>
      <c r="AG765" s="668">
        <f t="shared" si="240"/>
        <v>0</v>
      </c>
      <c r="AH765" s="668"/>
      <c r="AI765" s="668"/>
      <c r="AJ765" s="668"/>
      <c r="AK765" s="668"/>
      <c r="AL765" s="668"/>
      <c r="AM765" s="668">
        <f t="shared" si="241"/>
        <v>0</v>
      </c>
      <c r="AN765" s="668">
        <f t="shared" si="225"/>
        <v>0</v>
      </c>
      <c r="AO765" s="668">
        <f t="shared" si="226"/>
        <v>0</v>
      </c>
      <c r="AP765" s="668">
        <f t="shared" si="242"/>
        <v>0</v>
      </c>
      <c r="AQ765" s="668">
        <f t="shared" si="227"/>
        <v>0</v>
      </c>
      <c r="AR765" s="668">
        <f t="shared" si="228"/>
        <v>0</v>
      </c>
      <c r="AS765" s="668"/>
      <c r="AT765" s="668"/>
      <c r="AU765" s="668"/>
      <c r="AV765" s="668"/>
      <c r="AW765" s="668"/>
      <c r="AX765" s="668"/>
      <c r="AY765" s="668"/>
      <c r="AZ765" s="668"/>
      <c r="BA765" s="668"/>
      <c r="BB765" s="668">
        <f t="shared" si="243"/>
        <v>0</v>
      </c>
      <c r="BC765" s="668"/>
      <c r="BD765" s="668"/>
      <c r="BE765" s="668"/>
      <c r="BF765" s="668"/>
      <c r="BG765" s="668"/>
      <c r="BH765" s="668"/>
      <c r="BI765" s="668"/>
    </row>
    <row r="766" spans="1:61" x14ac:dyDescent="0.2">
      <c r="A766" s="1020">
        <v>4045</v>
      </c>
      <c r="B766" s="1020" t="s">
        <v>684</v>
      </c>
      <c r="C766" s="1020"/>
      <c r="D766" s="667">
        <v>42</v>
      </c>
      <c r="E766" s="667"/>
      <c r="F766" s="667">
        <v>42</v>
      </c>
      <c r="G766" s="667"/>
      <c r="H766" s="667"/>
      <c r="I766" s="667"/>
      <c r="J766" s="667"/>
      <c r="K766" s="667"/>
      <c r="L766" s="667"/>
      <c r="M766" s="667"/>
      <c r="N766" s="667"/>
      <c r="O766" s="667"/>
      <c r="P766" s="667"/>
      <c r="Q766" s="667"/>
      <c r="R766" s="667"/>
      <c r="S766" s="667"/>
      <c r="T766" s="667"/>
      <c r="U766" s="1033">
        <v>10</v>
      </c>
      <c r="V766" s="668">
        <f t="shared" si="230"/>
        <v>420</v>
      </c>
      <c r="W766" s="668">
        <f t="shared" si="231"/>
        <v>0</v>
      </c>
      <c r="X766" s="668">
        <f t="shared" si="232"/>
        <v>0</v>
      </c>
      <c r="Y766" s="668">
        <f t="shared" si="233"/>
        <v>0</v>
      </c>
      <c r="Z766" s="668">
        <f t="shared" si="234"/>
        <v>0</v>
      </c>
      <c r="AA766" s="668">
        <f t="shared" si="235"/>
        <v>0</v>
      </c>
      <c r="AB766" s="668">
        <f t="shared" si="236"/>
        <v>0</v>
      </c>
      <c r="AC766" s="668">
        <f t="shared" si="229"/>
        <v>0</v>
      </c>
      <c r="AD766" s="668">
        <f t="shared" si="237"/>
        <v>0</v>
      </c>
      <c r="AE766" s="668">
        <f t="shared" si="238"/>
        <v>0</v>
      </c>
      <c r="AF766" s="668">
        <f t="shared" si="239"/>
        <v>0</v>
      </c>
      <c r="AG766" s="668">
        <f t="shared" si="240"/>
        <v>0</v>
      </c>
      <c r="AH766" s="668"/>
      <c r="AI766" s="668"/>
      <c r="AJ766" s="668"/>
      <c r="AK766" s="668"/>
      <c r="AL766" s="668"/>
      <c r="AM766" s="668">
        <f t="shared" si="241"/>
        <v>0</v>
      </c>
      <c r="AN766" s="668">
        <f t="shared" si="225"/>
        <v>0</v>
      </c>
      <c r="AO766" s="668">
        <f t="shared" si="226"/>
        <v>0</v>
      </c>
      <c r="AP766" s="668">
        <f t="shared" si="242"/>
        <v>420</v>
      </c>
      <c r="AQ766" s="668">
        <f t="shared" si="227"/>
        <v>0</v>
      </c>
      <c r="AR766" s="668">
        <f t="shared" si="228"/>
        <v>0</v>
      </c>
      <c r="AS766" s="668"/>
      <c r="AT766" s="668"/>
      <c r="AU766" s="668"/>
      <c r="AV766" s="668"/>
      <c r="AW766" s="668"/>
      <c r="AX766" s="668"/>
      <c r="AY766" s="668"/>
      <c r="AZ766" s="668"/>
      <c r="BA766" s="668"/>
      <c r="BB766" s="668"/>
      <c r="BC766" s="668"/>
      <c r="BD766" s="668"/>
      <c r="BE766" s="668"/>
      <c r="BF766" s="668"/>
      <c r="BG766" s="668"/>
      <c r="BH766" s="668"/>
      <c r="BI766" s="668"/>
    </row>
    <row r="767" spans="1:61" x14ac:dyDescent="0.2">
      <c r="A767" s="1020">
        <v>4046</v>
      </c>
      <c r="B767" s="1020" t="s">
        <v>687</v>
      </c>
      <c r="C767" s="1020"/>
      <c r="D767" s="667">
        <v>62</v>
      </c>
      <c r="E767" s="667"/>
      <c r="F767" s="667"/>
      <c r="G767" s="667"/>
      <c r="H767" s="667"/>
      <c r="I767" s="667"/>
      <c r="J767" s="667"/>
      <c r="K767" s="667"/>
      <c r="L767" s="667"/>
      <c r="M767" s="667"/>
      <c r="N767" s="667"/>
      <c r="O767" s="667"/>
      <c r="P767" s="667"/>
      <c r="Q767" s="667"/>
      <c r="R767" s="667"/>
      <c r="S767" s="667"/>
      <c r="T767" s="667"/>
      <c r="U767" s="1033">
        <v>10</v>
      </c>
      <c r="V767" s="668">
        <f t="shared" si="230"/>
        <v>620</v>
      </c>
      <c r="W767" s="668">
        <f t="shared" si="231"/>
        <v>0</v>
      </c>
      <c r="X767" s="668">
        <f t="shared" si="232"/>
        <v>0</v>
      </c>
      <c r="Y767" s="668">
        <f t="shared" si="233"/>
        <v>0</v>
      </c>
      <c r="Z767" s="668">
        <f t="shared" si="234"/>
        <v>0</v>
      </c>
      <c r="AA767" s="668">
        <f t="shared" si="235"/>
        <v>0</v>
      </c>
      <c r="AB767" s="668">
        <f t="shared" si="236"/>
        <v>0</v>
      </c>
      <c r="AC767" s="668">
        <f t="shared" si="229"/>
        <v>0</v>
      </c>
      <c r="AD767" s="668">
        <f t="shared" si="237"/>
        <v>0</v>
      </c>
      <c r="AE767" s="668">
        <f t="shared" si="238"/>
        <v>0</v>
      </c>
      <c r="AF767" s="668">
        <f t="shared" si="239"/>
        <v>0</v>
      </c>
      <c r="AG767" s="668">
        <f t="shared" si="240"/>
        <v>0</v>
      </c>
      <c r="AH767" s="668"/>
      <c r="AI767" s="668"/>
      <c r="AJ767" s="668"/>
      <c r="AK767" s="668"/>
      <c r="AL767" s="668"/>
      <c r="AM767" s="668">
        <f t="shared" si="241"/>
        <v>0</v>
      </c>
      <c r="AN767" s="668">
        <f t="shared" si="225"/>
        <v>0</v>
      </c>
      <c r="AO767" s="668">
        <f t="shared" si="226"/>
        <v>0</v>
      </c>
      <c r="AP767" s="668">
        <f t="shared" si="242"/>
        <v>0</v>
      </c>
      <c r="AQ767" s="668">
        <f t="shared" si="227"/>
        <v>0</v>
      </c>
      <c r="AR767" s="668">
        <f t="shared" si="228"/>
        <v>0</v>
      </c>
      <c r="AS767" s="668"/>
      <c r="AT767" s="668"/>
      <c r="AU767" s="668"/>
      <c r="AV767" s="668"/>
      <c r="AW767" s="668"/>
      <c r="AX767" s="668"/>
      <c r="AY767" s="668"/>
      <c r="AZ767" s="668"/>
      <c r="BA767" s="668"/>
      <c r="BB767" s="668">
        <f t="shared" si="243"/>
        <v>0</v>
      </c>
      <c r="BC767" s="668"/>
      <c r="BD767" s="668"/>
      <c r="BE767" s="668"/>
      <c r="BF767" s="668"/>
      <c r="BG767" s="668"/>
      <c r="BH767" s="668"/>
      <c r="BI767" s="668"/>
    </row>
    <row r="768" spans="1:61" x14ac:dyDescent="0.2">
      <c r="A768" s="1020">
        <v>4047</v>
      </c>
      <c r="B768" s="1020" t="s">
        <v>672</v>
      </c>
      <c r="C768" s="1020"/>
      <c r="D768" s="667">
        <v>35</v>
      </c>
      <c r="E768" s="667"/>
      <c r="F768" s="667">
        <v>15</v>
      </c>
      <c r="G768" s="667"/>
      <c r="H768" s="667"/>
      <c r="I768" s="667"/>
      <c r="J768" s="667"/>
      <c r="K768" s="667"/>
      <c r="L768" s="667"/>
      <c r="M768" s="667"/>
      <c r="N768" s="667"/>
      <c r="O768" s="667"/>
      <c r="P768" s="667"/>
      <c r="Q768" s="667"/>
      <c r="R768" s="667"/>
      <c r="S768" s="667"/>
      <c r="T768" s="667"/>
      <c r="U768" s="1033">
        <v>10</v>
      </c>
      <c r="V768" s="668">
        <f t="shared" si="230"/>
        <v>350</v>
      </c>
      <c r="W768" s="668">
        <f t="shared" si="231"/>
        <v>0</v>
      </c>
      <c r="X768" s="668">
        <f t="shared" si="232"/>
        <v>0</v>
      </c>
      <c r="Y768" s="668">
        <f t="shared" si="233"/>
        <v>0</v>
      </c>
      <c r="Z768" s="668">
        <f t="shared" si="234"/>
        <v>0</v>
      </c>
      <c r="AA768" s="668">
        <f t="shared" si="235"/>
        <v>0</v>
      </c>
      <c r="AB768" s="668">
        <f t="shared" si="236"/>
        <v>0</v>
      </c>
      <c r="AC768" s="668">
        <f t="shared" si="229"/>
        <v>0</v>
      </c>
      <c r="AD768" s="668">
        <f t="shared" si="237"/>
        <v>0</v>
      </c>
      <c r="AE768" s="668">
        <f t="shared" si="238"/>
        <v>0</v>
      </c>
      <c r="AF768" s="668">
        <f t="shared" si="239"/>
        <v>0</v>
      </c>
      <c r="AG768" s="668">
        <f t="shared" si="240"/>
        <v>0</v>
      </c>
      <c r="AH768" s="668"/>
      <c r="AI768" s="668"/>
      <c r="AJ768" s="668"/>
      <c r="AK768" s="668"/>
      <c r="AL768" s="668"/>
      <c r="AM768" s="668">
        <f t="shared" si="241"/>
        <v>0</v>
      </c>
      <c r="AN768" s="668">
        <f t="shared" si="225"/>
        <v>0</v>
      </c>
      <c r="AO768" s="668">
        <f t="shared" si="226"/>
        <v>0</v>
      </c>
      <c r="AP768" s="668">
        <f t="shared" si="242"/>
        <v>150</v>
      </c>
      <c r="AQ768" s="668">
        <f t="shared" si="227"/>
        <v>0</v>
      </c>
      <c r="AR768" s="668">
        <f t="shared" si="228"/>
        <v>0</v>
      </c>
      <c r="AS768" s="668"/>
      <c r="AT768" s="668"/>
      <c r="AU768" s="668"/>
      <c r="AV768" s="668"/>
      <c r="AW768" s="668"/>
      <c r="AX768" s="668"/>
      <c r="AY768" s="668"/>
      <c r="AZ768" s="668"/>
      <c r="BA768" s="668"/>
      <c r="BB768" s="668">
        <f t="shared" si="243"/>
        <v>150</v>
      </c>
      <c r="BC768" s="668"/>
      <c r="BD768" s="668"/>
      <c r="BE768" s="668"/>
      <c r="BF768" s="668"/>
      <c r="BG768" s="668"/>
      <c r="BH768" s="668"/>
      <c r="BI768" s="668"/>
    </row>
    <row r="769" spans="1:61" x14ac:dyDescent="0.2">
      <c r="A769" s="1020">
        <v>4048</v>
      </c>
      <c r="B769" s="1020" t="s">
        <v>672</v>
      </c>
      <c r="C769" s="1020"/>
      <c r="D769" s="667">
        <v>35</v>
      </c>
      <c r="E769" s="667"/>
      <c r="F769" s="667">
        <v>15</v>
      </c>
      <c r="G769" s="667"/>
      <c r="H769" s="667"/>
      <c r="I769" s="667"/>
      <c r="J769" s="667"/>
      <c r="K769" s="667"/>
      <c r="L769" s="667"/>
      <c r="M769" s="667"/>
      <c r="N769" s="667"/>
      <c r="O769" s="667"/>
      <c r="P769" s="667"/>
      <c r="Q769" s="667"/>
      <c r="R769" s="667"/>
      <c r="S769" s="667"/>
      <c r="T769" s="667"/>
      <c r="U769" s="1033">
        <v>10</v>
      </c>
      <c r="V769" s="668">
        <f t="shared" si="230"/>
        <v>350</v>
      </c>
      <c r="W769" s="668">
        <f t="shared" si="231"/>
        <v>0</v>
      </c>
      <c r="X769" s="668">
        <f t="shared" si="232"/>
        <v>0</v>
      </c>
      <c r="Y769" s="668">
        <f t="shared" si="233"/>
        <v>0</v>
      </c>
      <c r="Z769" s="668">
        <f t="shared" si="234"/>
        <v>0</v>
      </c>
      <c r="AA769" s="668">
        <f t="shared" si="235"/>
        <v>0</v>
      </c>
      <c r="AB769" s="668">
        <f t="shared" si="236"/>
        <v>0</v>
      </c>
      <c r="AC769" s="668">
        <f t="shared" si="229"/>
        <v>0</v>
      </c>
      <c r="AD769" s="668">
        <f t="shared" si="237"/>
        <v>0</v>
      </c>
      <c r="AE769" s="668">
        <f t="shared" si="238"/>
        <v>0</v>
      </c>
      <c r="AF769" s="668">
        <f t="shared" si="239"/>
        <v>0</v>
      </c>
      <c r="AG769" s="668">
        <f t="shared" si="240"/>
        <v>0</v>
      </c>
      <c r="AH769" s="668"/>
      <c r="AI769" s="668"/>
      <c r="AJ769" s="668"/>
      <c r="AK769" s="668"/>
      <c r="AL769" s="668"/>
      <c r="AM769" s="668">
        <f t="shared" si="241"/>
        <v>0</v>
      </c>
      <c r="AN769" s="668">
        <f t="shared" si="225"/>
        <v>0</v>
      </c>
      <c r="AO769" s="668">
        <f t="shared" si="226"/>
        <v>0</v>
      </c>
      <c r="AP769" s="668">
        <f t="shared" si="242"/>
        <v>150</v>
      </c>
      <c r="AQ769" s="668">
        <f t="shared" si="227"/>
        <v>0</v>
      </c>
      <c r="AR769" s="668">
        <f t="shared" si="228"/>
        <v>0</v>
      </c>
      <c r="AS769" s="668"/>
      <c r="AT769" s="668"/>
      <c r="AU769" s="668"/>
      <c r="AV769" s="668"/>
      <c r="AW769" s="668"/>
      <c r="AX769" s="668"/>
      <c r="AY769" s="668"/>
      <c r="AZ769" s="668"/>
      <c r="BA769" s="668"/>
      <c r="BB769" s="668">
        <f t="shared" si="243"/>
        <v>150</v>
      </c>
      <c r="BC769" s="668"/>
      <c r="BD769" s="668"/>
      <c r="BE769" s="668"/>
      <c r="BF769" s="668"/>
      <c r="BG769" s="668"/>
      <c r="BH769" s="668"/>
      <c r="BI769" s="668"/>
    </row>
    <row r="770" spans="1:61" x14ac:dyDescent="0.2">
      <c r="A770" s="1020">
        <v>4049</v>
      </c>
      <c r="B770" s="1020" t="s">
        <v>519</v>
      </c>
      <c r="C770" s="1020"/>
      <c r="D770" s="667">
        <v>35</v>
      </c>
      <c r="E770" s="667"/>
      <c r="F770" s="667">
        <v>15</v>
      </c>
      <c r="G770" s="667"/>
      <c r="H770" s="667"/>
      <c r="I770" s="667"/>
      <c r="J770" s="667"/>
      <c r="K770" s="667"/>
      <c r="L770" s="667"/>
      <c r="M770" s="667"/>
      <c r="N770" s="667"/>
      <c r="O770" s="667"/>
      <c r="P770" s="667"/>
      <c r="Q770" s="667"/>
      <c r="R770" s="667"/>
      <c r="S770" s="667"/>
      <c r="T770" s="667">
        <v>150</v>
      </c>
      <c r="U770" s="1033">
        <v>12</v>
      </c>
      <c r="V770" s="668">
        <f t="shared" si="230"/>
        <v>420</v>
      </c>
      <c r="W770" s="668">
        <f t="shared" si="231"/>
        <v>0</v>
      </c>
      <c r="X770" s="668">
        <f t="shared" si="232"/>
        <v>0</v>
      </c>
      <c r="Y770" s="668">
        <f t="shared" si="233"/>
        <v>0</v>
      </c>
      <c r="Z770" s="668">
        <f t="shared" si="234"/>
        <v>0</v>
      </c>
      <c r="AA770" s="668">
        <f t="shared" si="235"/>
        <v>0</v>
      </c>
      <c r="AB770" s="668">
        <f t="shared" si="236"/>
        <v>150</v>
      </c>
      <c r="AC770" s="668">
        <f t="shared" si="229"/>
        <v>0</v>
      </c>
      <c r="AD770" s="668">
        <f t="shared" si="237"/>
        <v>0</v>
      </c>
      <c r="AE770" s="668">
        <f t="shared" si="238"/>
        <v>0</v>
      </c>
      <c r="AF770" s="668">
        <f t="shared" si="239"/>
        <v>0</v>
      </c>
      <c r="AG770" s="668">
        <f t="shared" si="240"/>
        <v>0</v>
      </c>
      <c r="AH770" s="668"/>
      <c r="AI770" s="668"/>
      <c r="AJ770" s="668"/>
      <c r="AK770" s="668"/>
      <c r="AL770" s="668"/>
      <c r="AM770" s="668">
        <f t="shared" si="241"/>
        <v>0</v>
      </c>
      <c r="AN770" s="668">
        <f t="shared" si="225"/>
        <v>0</v>
      </c>
      <c r="AO770" s="668">
        <f t="shared" si="226"/>
        <v>0</v>
      </c>
      <c r="AP770" s="668">
        <f t="shared" si="242"/>
        <v>180</v>
      </c>
      <c r="AQ770" s="668">
        <f t="shared" si="227"/>
        <v>0</v>
      </c>
      <c r="AR770" s="668">
        <f t="shared" si="228"/>
        <v>0</v>
      </c>
      <c r="AS770" s="668"/>
      <c r="AT770" s="668"/>
      <c r="AU770" s="668"/>
      <c r="AV770" s="668"/>
      <c r="AW770" s="668"/>
      <c r="AX770" s="668"/>
      <c r="AY770" s="668"/>
      <c r="AZ770" s="668"/>
      <c r="BA770" s="668"/>
      <c r="BB770" s="668">
        <f t="shared" si="243"/>
        <v>180</v>
      </c>
      <c r="BC770" s="668"/>
      <c r="BD770" s="668"/>
      <c r="BE770" s="668"/>
      <c r="BF770" s="668"/>
      <c r="BG770" s="668"/>
      <c r="BH770" s="668"/>
      <c r="BI770" s="668"/>
    </row>
    <row r="771" spans="1:61" x14ac:dyDescent="0.2">
      <c r="A771" s="1020">
        <v>4050</v>
      </c>
      <c r="B771" s="1020" t="s">
        <v>519</v>
      </c>
      <c r="C771" s="1020"/>
      <c r="D771" s="667">
        <v>35</v>
      </c>
      <c r="E771" s="667"/>
      <c r="F771" s="667">
        <v>15</v>
      </c>
      <c r="G771" s="667"/>
      <c r="H771" s="667"/>
      <c r="I771" s="667"/>
      <c r="J771" s="667"/>
      <c r="K771" s="667"/>
      <c r="L771" s="667"/>
      <c r="M771" s="667"/>
      <c r="N771" s="667"/>
      <c r="O771" s="667"/>
      <c r="P771" s="667"/>
      <c r="Q771" s="667"/>
      <c r="R771" s="667"/>
      <c r="S771" s="667"/>
      <c r="T771" s="667">
        <v>150</v>
      </c>
      <c r="U771" s="1033">
        <v>12</v>
      </c>
      <c r="V771" s="668">
        <f t="shared" si="230"/>
        <v>420</v>
      </c>
      <c r="W771" s="668">
        <f t="shared" si="231"/>
        <v>0</v>
      </c>
      <c r="X771" s="668">
        <f t="shared" si="232"/>
        <v>0</v>
      </c>
      <c r="Y771" s="668">
        <f t="shared" si="233"/>
        <v>0</v>
      </c>
      <c r="Z771" s="668">
        <f t="shared" si="234"/>
        <v>0</v>
      </c>
      <c r="AA771" s="668">
        <f t="shared" si="235"/>
        <v>0</v>
      </c>
      <c r="AB771" s="668">
        <f t="shared" si="236"/>
        <v>150</v>
      </c>
      <c r="AC771" s="668">
        <f t="shared" si="229"/>
        <v>0</v>
      </c>
      <c r="AD771" s="668">
        <f t="shared" si="237"/>
        <v>0</v>
      </c>
      <c r="AE771" s="668">
        <f t="shared" si="238"/>
        <v>0</v>
      </c>
      <c r="AF771" s="668">
        <f t="shared" si="239"/>
        <v>0</v>
      </c>
      <c r="AG771" s="668">
        <f t="shared" si="240"/>
        <v>0</v>
      </c>
      <c r="AH771" s="668"/>
      <c r="AI771" s="668"/>
      <c r="AJ771" s="668"/>
      <c r="AK771" s="668"/>
      <c r="AL771" s="668"/>
      <c r="AM771" s="668">
        <f t="shared" si="241"/>
        <v>0</v>
      </c>
      <c r="AN771" s="668">
        <f t="shared" si="225"/>
        <v>0</v>
      </c>
      <c r="AO771" s="668">
        <f t="shared" si="226"/>
        <v>0</v>
      </c>
      <c r="AP771" s="668">
        <f t="shared" si="242"/>
        <v>180</v>
      </c>
      <c r="AQ771" s="668">
        <f t="shared" si="227"/>
        <v>0</v>
      </c>
      <c r="AR771" s="668">
        <f t="shared" si="228"/>
        <v>0</v>
      </c>
      <c r="AS771" s="668"/>
      <c r="AT771" s="668"/>
      <c r="AU771" s="668"/>
      <c r="AV771" s="668"/>
      <c r="AW771" s="668"/>
      <c r="AX771" s="668"/>
      <c r="AY771" s="668"/>
      <c r="AZ771" s="668"/>
      <c r="BA771" s="668"/>
      <c r="BB771" s="668">
        <f t="shared" si="243"/>
        <v>180</v>
      </c>
      <c r="BC771" s="668"/>
      <c r="BD771" s="668"/>
      <c r="BE771" s="668"/>
      <c r="BF771" s="668"/>
      <c r="BG771" s="668"/>
      <c r="BH771" s="668"/>
      <c r="BI771" s="668"/>
    </row>
    <row r="772" spans="1:61" x14ac:dyDescent="0.2">
      <c r="A772" s="1020">
        <v>4051</v>
      </c>
      <c r="B772" s="1020" t="s">
        <v>515</v>
      </c>
      <c r="C772" s="1020"/>
      <c r="D772" s="667">
        <v>107</v>
      </c>
      <c r="E772" s="667"/>
      <c r="F772" s="667">
        <v>67</v>
      </c>
      <c r="G772" s="667"/>
      <c r="H772" s="667"/>
      <c r="I772" s="667"/>
      <c r="J772" s="667"/>
      <c r="K772" s="667"/>
      <c r="L772" s="667"/>
      <c r="M772" s="667"/>
      <c r="N772" s="667"/>
      <c r="O772" s="667"/>
      <c r="P772" s="667"/>
      <c r="Q772" s="667"/>
      <c r="R772" s="667"/>
      <c r="S772" s="667"/>
      <c r="T772" s="667">
        <v>3037</v>
      </c>
      <c r="U772" s="1033">
        <v>12</v>
      </c>
      <c r="V772" s="668">
        <f t="shared" si="230"/>
        <v>1284</v>
      </c>
      <c r="W772" s="668">
        <f t="shared" si="231"/>
        <v>0</v>
      </c>
      <c r="X772" s="668">
        <f t="shared" si="232"/>
        <v>0</v>
      </c>
      <c r="Y772" s="668">
        <f t="shared" si="233"/>
        <v>0</v>
      </c>
      <c r="Z772" s="668">
        <f t="shared" si="234"/>
        <v>0</v>
      </c>
      <c r="AA772" s="668">
        <f t="shared" si="235"/>
        <v>0</v>
      </c>
      <c r="AB772" s="668">
        <f t="shared" si="236"/>
        <v>3037</v>
      </c>
      <c r="AC772" s="668">
        <f t="shared" si="229"/>
        <v>0</v>
      </c>
      <c r="AD772" s="668">
        <f t="shared" si="237"/>
        <v>0</v>
      </c>
      <c r="AE772" s="668">
        <f t="shared" si="238"/>
        <v>0</v>
      </c>
      <c r="AF772" s="668">
        <f t="shared" si="239"/>
        <v>0</v>
      </c>
      <c r="AG772" s="668">
        <f t="shared" si="240"/>
        <v>0</v>
      </c>
      <c r="AH772" s="668"/>
      <c r="AI772" s="668"/>
      <c r="AJ772" s="668"/>
      <c r="AK772" s="668"/>
      <c r="AL772" s="668"/>
      <c r="AM772" s="668">
        <f t="shared" si="241"/>
        <v>0</v>
      </c>
      <c r="AN772" s="668">
        <f t="shared" si="225"/>
        <v>0</v>
      </c>
      <c r="AO772" s="668">
        <f t="shared" si="226"/>
        <v>0</v>
      </c>
      <c r="AP772" s="668">
        <f t="shared" si="242"/>
        <v>804</v>
      </c>
      <c r="AQ772" s="668">
        <f t="shared" si="227"/>
        <v>0</v>
      </c>
      <c r="AR772" s="668">
        <f t="shared" si="228"/>
        <v>0</v>
      </c>
      <c r="AS772" s="668"/>
      <c r="AT772" s="668"/>
      <c r="AU772" s="668"/>
      <c r="AV772" s="668"/>
      <c r="AW772" s="668"/>
      <c r="AX772" s="668"/>
      <c r="AY772" s="668"/>
      <c r="AZ772" s="668"/>
      <c r="BA772" s="668"/>
      <c r="BB772" s="668"/>
      <c r="BC772" s="668"/>
      <c r="BD772" s="668"/>
      <c r="BE772" s="668"/>
      <c r="BF772" s="668"/>
      <c r="BG772" s="668"/>
      <c r="BH772" s="668"/>
      <c r="BI772" s="668"/>
    </row>
    <row r="773" spans="1:61" x14ac:dyDescent="0.2">
      <c r="A773" s="1020">
        <v>4052</v>
      </c>
      <c r="B773" s="1020" t="s">
        <v>517</v>
      </c>
      <c r="C773" s="1020"/>
      <c r="D773" s="667"/>
      <c r="E773" s="667"/>
      <c r="F773" s="667"/>
      <c r="G773" s="667">
        <v>65</v>
      </c>
      <c r="H773" s="667"/>
      <c r="I773" s="667"/>
      <c r="J773" s="667"/>
      <c r="K773" s="667"/>
      <c r="L773" s="667"/>
      <c r="M773" s="667"/>
      <c r="N773" s="667"/>
      <c r="O773" s="667"/>
      <c r="P773" s="667"/>
      <c r="Q773" s="667"/>
      <c r="R773" s="667"/>
      <c r="S773" s="667"/>
      <c r="T773" s="667"/>
      <c r="U773" s="1033">
        <v>12</v>
      </c>
      <c r="V773" s="668">
        <f t="shared" si="230"/>
        <v>0</v>
      </c>
      <c r="W773" s="668">
        <f t="shared" si="231"/>
        <v>780</v>
      </c>
      <c r="X773" s="668">
        <f t="shared" si="232"/>
        <v>0</v>
      </c>
      <c r="Y773" s="668">
        <f t="shared" si="233"/>
        <v>0</v>
      </c>
      <c r="Z773" s="668">
        <f t="shared" si="234"/>
        <v>0</v>
      </c>
      <c r="AA773" s="668">
        <f t="shared" si="235"/>
        <v>0</v>
      </c>
      <c r="AB773" s="668">
        <f t="shared" si="236"/>
        <v>0</v>
      </c>
      <c r="AC773" s="668">
        <f t="shared" si="229"/>
        <v>0</v>
      </c>
      <c r="AD773" s="668">
        <f t="shared" si="237"/>
        <v>0</v>
      </c>
      <c r="AE773" s="668">
        <f t="shared" si="238"/>
        <v>0</v>
      </c>
      <c r="AF773" s="668">
        <f t="shared" si="239"/>
        <v>0</v>
      </c>
      <c r="AG773" s="668">
        <f t="shared" si="240"/>
        <v>0</v>
      </c>
      <c r="AH773" s="668"/>
      <c r="AI773" s="668"/>
      <c r="AJ773" s="668"/>
      <c r="AK773" s="668"/>
      <c r="AL773" s="668"/>
      <c r="AM773" s="668">
        <f t="shared" si="241"/>
        <v>0</v>
      </c>
      <c r="AN773" s="668">
        <f t="shared" si="225"/>
        <v>0</v>
      </c>
      <c r="AO773" s="668">
        <f t="shared" si="226"/>
        <v>0</v>
      </c>
      <c r="AP773" s="668">
        <f t="shared" si="242"/>
        <v>0</v>
      </c>
      <c r="AQ773" s="668">
        <f t="shared" si="227"/>
        <v>0</v>
      </c>
      <c r="AR773" s="668">
        <f t="shared" si="228"/>
        <v>0</v>
      </c>
      <c r="AS773" s="668"/>
      <c r="AT773" s="668"/>
      <c r="AU773" s="668"/>
      <c r="AV773" s="668"/>
      <c r="AW773" s="668"/>
      <c r="AX773" s="668"/>
      <c r="AY773" s="668"/>
      <c r="AZ773" s="668"/>
      <c r="BA773" s="668"/>
      <c r="BB773" s="668">
        <f t="shared" si="243"/>
        <v>0</v>
      </c>
      <c r="BC773" s="668"/>
      <c r="BD773" s="668"/>
      <c r="BE773" s="668"/>
      <c r="BF773" s="668"/>
      <c r="BG773" s="668"/>
      <c r="BH773" s="668"/>
      <c r="BI773" s="668"/>
    </row>
    <row r="774" spans="1:61" x14ac:dyDescent="0.2">
      <c r="A774" s="1020">
        <v>4053</v>
      </c>
      <c r="B774" s="1020" t="s">
        <v>515</v>
      </c>
      <c r="C774" s="1020"/>
      <c r="D774" s="667">
        <v>270</v>
      </c>
      <c r="E774" s="667"/>
      <c r="F774" s="667">
        <v>90</v>
      </c>
      <c r="G774" s="667"/>
      <c r="H774" s="667"/>
      <c r="I774" s="667"/>
      <c r="J774" s="667"/>
      <c r="K774" s="667"/>
      <c r="L774" s="667"/>
      <c r="M774" s="667"/>
      <c r="N774" s="667"/>
      <c r="O774" s="667"/>
      <c r="P774" s="667"/>
      <c r="Q774" s="667"/>
      <c r="R774" s="667"/>
      <c r="S774" s="667"/>
      <c r="T774" s="667">
        <v>4597</v>
      </c>
      <c r="U774" s="1033">
        <v>12</v>
      </c>
      <c r="V774" s="668">
        <f t="shared" si="230"/>
        <v>3240</v>
      </c>
      <c r="W774" s="668">
        <f t="shared" si="231"/>
        <v>0</v>
      </c>
      <c r="X774" s="668">
        <f t="shared" si="232"/>
        <v>0</v>
      </c>
      <c r="Y774" s="668">
        <f t="shared" si="233"/>
        <v>0</v>
      </c>
      <c r="Z774" s="668">
        <f t="shared" si="234"/>
        <v>0</v>
      </c>
      <c r="AA774" s="668">
        <f t="shared" si="235"/>
        <v>0</v>
      </c>
      <c r="AB774" s="668">
        <f t="shared" si="236"/>
        <v>4597</v>
      </c>
      <c r="AC774" s="668">
        <f t="shared" si="229"/>
        <v>0</v>
      </c>
      <c r="AD774" s="668">
        <f t="shared" si="237"/>
        <v>0</v>
      </c>
      <c r="AE774" s="668">
        <f t="shared" si="238"/>
        <v>0</v>
      </c>
      <c r="AF774" s="668">
        <f t="shared" si="239"/>
        <v>0</v>
      </c>
      <c r="AG774" s="668">
        <f t="shared" si="240"/>
        <v>0</v>
      </c>
      <c r="AH774" s="668"/>
      <c r="AI774" s="668"/>
      <c r="AJ774" s="668"/>
      <c r="AK774" s="668"/>
      <c r="AL774" s="668"/>
      <c r="AM774" s="668">
        <f t="shared" si="241"/>
        <v>0</v>
      </c>
      <c r="AN774" s="668">
        <f t="shared" si="225"/>
        <v>0</v>
      </c>
      <c r="AO774" s="668">
        <f t="shared" si="226"/>
        <v>0</v>
      </c>
      <c r="AP774" s="668">
        <f t="shared" si="242"/>
        <v>1080</v>
      </c>
      <c r="AQ774" s="668">
        <f t="shared" si="227"/>
        <v>0</v>
      </c>
      <c r="AR774" s="668">
        <f t="shared" si="228"/>
        <v>0</v>
      </c>
      <c r="AS774" s="668"/>
      <c r="AT774" s="668"/>
      <c r="AU774" s="668"/>
      <c r="AV774" s="668"/>
      <c r="AW774" s="668"/>
      <c r="AX774" s="668"/>
      <c r="AY774" s="668"/>
      <c r="AZ774" s="668"/>
      <c r="BA774" s="668"/>
      <c r="BB774" s="668"/>
      <c r="BC774" s="668"/>
      <c r="BD774" s="668"/>
      <c r="BE774" s="668"/>
      <c r="BF774" s="668"/>
      <c r="BG774" s="668"/>
      <c r="BH774" s="668"/>
      <c r="BI774" s="668"/>
    </row>
    <row r="775" spans="1:61" x14ac:dyDescent="0.2">
      <c r="A775" s="1020">
        <v>4054</v>
      </c>
      <c r="B775" s="1020" t="s">
        <v>519</v>
      </c>
      <c r="C775" s="1020"/>
      <c r="D775" s="667">
        <v>35</v>
      </c>
      <c r="E775" s="667"/>
      <c r="F775" s="667">
        <v>15</v>
      </c>
      <c r="G775" s="667"/>
      <c r="H775" s="667"/>
      <c r="I775" s="667"/>
      <c r="J775" s="667"/>
      <c r="K775" s="667"/>
      <c r="L775" s="667"/>
      <c r="M775" s="667"/>
      <c r="N775" s="667"/>
      <c r="O775" s="667"/>
      <c r="P775" s="667"/>
      <c r="Q775" s="667"/>
      <c r="R775" s="667"/>
      <c r="S775" s="667"/>
      <c r="T775" s="667">
        <v>150</v>
      </c>
      <c r="U775" s="1033">
        <v>12</v>
      </c>
      <c r="V775" s="668">
        <f t="shared" si="230"/>
        <v>420</v>
      </c>
      <c r="W775" s="668">
        <f t="shared" si="231"/>
        <v>0</v>
      </c>
      <c r="X775" s="668">
        <f t="shared" si="232"/>
        <v>0</v>
      </c>
      <c r="Y775" s="668">
        <f t="shared" si="233"/>
        <v>0</v>
      </c>
      <c r="Z775" s="668">
        <f t="shared" si="234"/>
        <v>0</v>
      </c>
      <c r="AA775" s="668">
        <f t="shared" si="235"/>
        <v>0</v>
      </c>
      <c r="AB775" s="668">
        <f t="shared" si="236"/>
        <v>150</v>
      </c>
      <c r="AC775" s="668">
        <f t="shared" si="229"/>
        <v>0</v>
      </c>
      <c r="AD775" s="668">
        <f t="shared" si="237"/>
        <v>0</v>
      </c>
      <c r="AE775" s="668">
        <f t="shared" si="238"/>
        <v>0</v>
      </c>
      <c r="AF775" s="668">
        <f t="shared" si="239"/>
        <v>0</v>
      </c>
      <c r="AG775" s="668">
        <f t="shared" si="240"/>
        <v>0</v>
      </c>
      <c r="AH775" s="668"/>
      <c r="AI775" s="668"/>
      <c r="AJ775" s="668"/>
      <c r="AK775" s="668"/>
      <c r="AL775" s="668"/>
      <c r="AM775" s="668">
        <f t="shared" si="241"/>
        <v>0</v>
      </c>
      <c r="AN775" s="668">
        <f t="shared" ref="AN775:AN839" si="244">+U775*E775</f>
        <v>0</v>
      </c>
      <c r="AO775" s="668">
        <f t="shared" ref="AO775:AO839" si="245">+U775*O775</f>
        <v>0</v>
      </c>
      <c r="AP775" s="668">
        <f t="shared" si="242"/>
        <v>180</v>
      </c>
      <c r="AQ775" s="668">
        <f t="shared" si="227"/>
        <v>0</v>
      </c>
      <c r="AR775" s="668">
        <f t="shared" si="228"/>
        <v>0</v>
      </c>
      <c r="AS775" s="668"/>
      <c r="AT775" s="668"/>
      <c r="AU775" s="668"/>
      <c r="AV775" s="668"/>
      <c r="AW775" s="668"/>
      <c r="AX775" s="668"/>
      <c r="AY775" s="668"/>
      <c r="AZ775" s="668"/>
      <c r="BA775" s="668"/>
      <c r="BB775" s="668">
        <f t="shared" si="243"/>
        <v>180</v>
      </c>
      <c r="BC775" s="668"/>
      <c r="BD775" s="668"/>
      <c r="BE775" s="668"/>
      <c r="BF775" s="668"/>
      <c r="BG775" s="668"/>
      <c r="BH775" s="668"/>
      <c r="BI775" s="668"/>
    </row>
    <row r="776" spans="1:61" x14ac:dyDescent="0.2">
      <c r="A776" s="1020">
        <v>4055</v>
      </c>
      <c r="B776" s="1020" t="s">
        <v>519</v>
      </c>
      <c r="C776" s="1020"/>
      <c r="D776" s="667">
        <v>35</v>
      </c>
      <c r="E776" s="667"/>
      <c r="F776" s="667">
        <v>15</v>
      </c>
      <c r="G776" s="667"/>
      <c r="H776" s="667"/>
      <c r="I776" s="667"/>
      <c r="J776" s="667"/>
      <c r="K776" s="667"/>
      <c r="L776" s="667"/>
      <c r="M776" s="667"/>
      <c r="N776" s="667"/>
      <c r="O776" s="667"/>
      <c r="P776" s="667"/>
      <c r="Q776" s="667"/>
      <c r="R776" s="667"/>
      <c r="S776" s="667"/>
      <c r="T776" s="667">
        <v>150</v>
      </c>
      <c r="U776" s="1033">
        <v>12</v>
      </c>
      <c r="V776" s="668">
        <f t="shared" si="230"/>
        <v>420</v>
      </c>
      <c r="W776" s="668">
        <f t="shared" si="231"/>
        <v>0</v>
      </c>
      <c r="X776" s="668">
        <f t="shared" si="232"/>
        <v>0</v>
      </c>
      <c r="Y776" s="668">
        <f t="shared" si="233"/>
        <v>0</v>
      </c>
      <c r="Z776" s="668">
        <f t="shared" si="234"/>
        <v>0</v>
      </c>
      <c r="AA776" s="668">
        <f t="shared" si="235"/>
        <v>0</v>
      </c>
      <c r="AB776" s="668">
        <f t="shared" si="236"/>
        <v>150</v>
      </c>
      <c r="AC776" s="668">
        <f t="shared" si="229"/>
        <v>0</v>
      </c>
      <c r="AD776" s="668">
        <f t="shared" si="237"/>
        <v>0</v>
      </c>
      <c r="AE776" s="668">
        <f t="shared" si="238"/>
        <v>0</v>
      </c>
      <c r="AF776" s="668">
        <f t="shared" si="239"/>
        <v>0</v>
      </c>
      <c r="AG776" s="668">
        <f t="shared" si="240"/>
        <v>0</v>
      </c>
      <c r="AH776" s="668"/>
      <c r="AI776" s="668"/>
      <c r="AJ776" s="668"/>
      <c r="AK776" s="668"/>
      <c r="AL776" s="668"/>
      <c r="AM776" s="668">
        <f t="shared" si="241"/>
        <v>0</v>
      </c>
      <c r="AN776" s="668">
        <f t="shared" si="244"/>
        <v>0</v>
      </c>
      <c r="AO776" s="668">
        <f t="shared" si="245"/>
        <v>0</v>
      </c>
      <c r="AP776" s="668">
        <f t="shared" si="242"/>
        <v>180</v>
      </c>
      <c r="AQ776" s="668">
        <f t="shared" ref="AQ776:AQ839" si="246">+$AQ$4*K776</f>
        <v>0</v>
      </c>
      <c r="AR776" s="668">
        <f t="shared" ref="AR776:AR839" si="247">+$AR$4*K776</f>
        <v>0</v>
      </c>
      <c r="AS776" s="668"/>
      <c r="AT776" s="668"/>
      <c r="AU776" s="668"/>
      <c r="AV776" s="668"/>
      <c r="AW776" s="668"/>
      <c r="AX776" s="668"/>
      <c r="AY776" s="668"/>
      <c r="AZ776" s="668"/>
      <c r="BA776" s="668"/>
      <c r="BB776" s="668">
        <f t="shared" si="243"/>
        <v>180</v>
      </c>
      <c r="BC776" s="668"/>
      <c r="BD776" s="668"/>
      <c r="BE776" s="668"/>
      <c r="BF776" s="668"/>
      <c r="BG776" s="668"/>
      <c r="BH776" s="668"/>
      <c r="BI776" s="668"/>
    </row>
    <row r="777" spans="1:61" x14ac:dyDescent="0.2">
      <c r="A777" s="1020">
        <v>4056</v>
      </c>
      <c r="B777" s="1020" t="s">
        <v>467</v>
      </c>
      <c r="C777" s="1020"/>
      <c r="D777" s="667">
        <v>80</v>
      </c>
      <c r="E777" s="667"/>
      <c r="F777" s="667"/>
      <c r="G777" s="667"/>
      <c r="H777" s="667"/>
      <c r="I777" s="667"/>
      <c r="J777" s="667"/>
      <c r="K777" s="667"/>
      <c r="L777" s="667"/>
      <c r="M777" s="667"/>
      <c r="N777" s="667"/>
      <c r="O777" s="667"/>
      <c r="P777" s="667"/>
      <c r="Q777" s="667"/>
      <c r="R777" s="667"/>
      <c r="S777" s="667"/>
      <c r="T777" s="667"/>
      <c r="U777" s="1033">
        <v>3</v>
      </c>
      <c r="V777" s="668">
        <f t="shared" si="230"/>
        <v>240</v>
      </c>
      <c r="W777" s="668">
        <f t="shared" si="231"/>
        <v>0</v>
      </c>
      <c r="X777" s="668">
        <f t="shared" si="232"/>
        <v>0</v>
      </c>
      <c r="Y777" s="668">
        <f t="shared" si="233"/>
        <v>0</v>
      </c>
      <c r="Z777" s="668">
        <f t="shared" si="234"/>
        <v>0</v>
      </c>
      <c r="AA777" s="668">
        <f t="shared" si="235"/>
        <v>0</v>
      </c>
      <c r="AB777" s="668">
        <f t="shared" si="236"/>
        <v>0</v>
      </c>
      <c r="AC777" s="668">
        <f t="shared" ref="AC777:AC841" si="248">+U777*P777</f>
        <v>0</v>
      </c>
      <c r="AD777" s="668">
        <f t="shared" si="237"/>
        <v>0</v>
      </c>
      <c r="AE777" s="668">
        <f t="shared" si="238"/>
        <v>0</v>
      </c>
      <c r="AF777" s="668">
        <f t="shared" si="239"/>
        <v>0</v>
      </c>
      <c r="AG777" s="668">
        <f t="shared" si="240"/>
        <v>0</v>
      </c>
      <c r="AH777" s="668"/>
      <c r="AI777" s="668"/>
      <c r="AJ777" s="668"/>
      <c r="AK777" s="668"/>
      <c r="AL777" s="668"/>
      <c r="AM777" s="668">
        <f t="shared" si="241"/>
        <v>0</v>
      </c>
      <c r="AN777" s="668">
        <f t="shared" si="244"/>
        <v>0</v>
      </c>
      <c r="AO777" s="668">
        <f t="shared" si="245"/>
        <v>0</v>
      </c>
      <c r="AP777" s="668">
        <f t="shared" si="242"/>
        <v>0</v>
      </c>
      <c r="AQ777" s="668">
        <f t="shared" si="246"/>
        <v>0</v>
      </c>
      <c r="AR777" s="668">
        <f t="shared" si="247"/>
        <v>0</v>
      </c>
      <c r="AS777" s="668"/>
      <c r="AT777" s="668"/>
      <c r="AU777" s="668"/>
      <c r="AV777" s="668"/>
      <c r="AW777" s="668"/>
      <c r="AX777" s="668"/>
      <c r="AY777" s="668"/>
      <c r="AZ777" s="668"/>
      <c r="BA777" s="668"/>
      <c r="BB777" s="668">
        <f t="shared" si="243"/>
        <v>0</v>
      </c>
      <c r="BC777" s="668"/>
      <c r="BD777" s="668"/>
      <c r="BE777" s="668"/>
      <c r="BF777" s="668"/>
      <c r="BG777" s="668"/>
      <c r="BH777" s="668"/>
      <c r="BI777" s="668"/>
    </row>
    <row r="778" spans="1:61" x14ac:dyDescent="0.2">
      <c r="A778" s="1020">
        <v>4057</v>
      </c>
      <c r="B778" s="1020" t="s">
        <v>466</v>
      </c>
      <c r="C778" s="1020"/>
      <c r="D778" s="667">
        <v>80</v>
      </c>
      <c r="E778" s="667"/>
      <c r="F778" s="667"/>
      <c r="G778" s="667"/>
      <c r="H778" s="667"/>
      <c r="I778" s="667"/>
      <c r="J778" s="667"/>
      <c r="K778" s="667"/>
      <c r="L778" s="667"/>
      <c r="M778" s="667"/>
      <c r="N778" s="667"/>
      <c r="O778" s="667"/>
      <c r="P778" s="667"/>
      <c r="Q778" s="667"/>
      <c r="R778" s="667"/>
      <c r="S778" s="667"/>
      <c r="T778" s="667"/>
      <c r="U778" s="1033">
        <v>3</v>
      </c>
      <c r="V778" s="668">
        <f t="shared" si="230"/>
        <v>240</v>
      </c>
      <c r="W778" s="668">
        <f t="shared" si="231"/>
        <v>0</v>
      </c>
      <c r="X778" s="668">
        <f t="shared" si="232"/>
        <v>0</v>
      </c>
      <c r="Y778" s="668">
        <f t="shared" si="233"/>
        <v>0</v>
      </c>
      <c r="Z778" s="668">
        <f t="shared" si="234"/>
        <v>0</v>
      </c>
      <c r="AA778" s="668">
        <f t="shared" si="235"/>
        <v>0</v>
      </c>
      <c r="AB778" s="668">
        <f t="shared" si="236"/>
        <v>0</v>
      </c>
      <c r="AC778" s="668">
        <f t="shared" si="248"/>
        <v>0</v>
      </c>
      <c r="AD778" s="668">
        <f t="shared" si="237"/>
        <v>0</v>
      </c>
      <c r="AE778" s="668">
        <f t="shared" si="238"/>
        <v>0</v>
      </c>
      <c r="AF778" s="668">
        <f t="shared" si="239"/>
        <v>0</v>
      </c>
      <c r="AG778" s="668">
        <f t="shared" si="240"/>
        <v>0</v>
      </c>
      <c r="AH778" s="668"/>
      <c r="AI778" s="668"/>
      <c r="AJ778" s="668"/>
      <c r="AK778" s="668"/>
      <c r="AL778" s="668"/>
      <c r="AM778" s="668">
        <f t="shared" si="241"/>
        <v>0</v>
      </c>
      <c r="AN778" s="668">
        <f t="shared" si="244"/>
        <v>0</v>
      </c>
      <c r="AO778" s="668">
        <f t="shared" si="245"/>
        <v>0</v>
      </c>
      <c r="AP778" s="668">
        <f t="shared" si="242"/>
        <v>0</v>
      </c>
      <c r="AQ778" s="668">
        <f t="shared" si="246"/>
        <v>0</v>
      </c>
      <c r="AR778" s="668">
        <f t="shared" si="247"/>
        <v>0</v>
      </c>
      <c r="AS778" s="668"/>
      <c r="AT778" s="668"/>
      <c r="AU778" s="668"/>
      <c r="AV778" s="668"/>
      <c r="AW778" s="668"/>
      <c r="AX778" s="668"/>
      <c r="AY778" s="668"/>
      <c r="AZ778" s="668"/>
      <c r="BA778" s="668"/>
      <c r="BB778" s="668">
        <f t="shared" si="243"/>
        <v>0</v>
      </c>
      <c r="BC778" s="668"/>
      <c r="BD778" s="668"/>
      <c r="BE778" s="668"/>
      <c r="BF778" s="668"/>
      <c r="BG778" s="668"/>
      <c r="BH778" s="668"/>
      <c r="BI778" s="668"/>
    </row>
    <row r="779" spans="1:61" x14ac:dyDescent="0.2">
      <c r="A779" s="1020">
        <v>4058</v>
      </c>
      <c r="B779" s="1020" t="s">
        <v>685</v>
      </c>
      <c r="C779" s="1020"/>
      <c r="D779" s="667">
        <v>80</v>
      </c>
      <c r="E779" s="667"/>
      <c r="F779" s="667"/>
      <c r="G779" s="667"/>
      <c r="H779" s="667"/>
      <c r="I779" s="667"/>
      <c r="J779" s="667"/>
      <c r="K779" s="667"/>
      <c r="L779" s="667"/>
      <c r="M779" s="667"/>
      <c r="N779" s="667"/>
      <c r="O779" s="667"/>
      <c r="P779" s="667"/>
      <c r="Q779" s="667"/>
      <c r="R779" s="667"/>
      <c r="S779" s="667"/>
      <c r="T779" s="667"/>
      <c r="U779" s="1020">
        <v>10</v>
      </c>
      <c r="V779" s="668">
        <f t="shared" ref="V779:V843" si="249">+U779*D779</f>
        <v>800</v>
      </c>
      <c r="W779" s="668">
        <f t="shared" ref="W779:W843" si="250">+U779*G779</f>
        <v>0</v>
      </c>
      <c r="X779" s="668">
        <f t="shared" ref="X779:X843" si="251">+U779*H779</f>
        <v>0</v>
      </c>
      <c r="Y779" s="668">
        <f t="shared" ref="Y779:Y843" si="252">+U779*J779</f>
        <v>0</v>
      </c>
      <c r="Z779" s="668">
        <f t="shared" ref="Z779:Z843" si="253">IF(C779="y",V779+W779+X779+Y779,0)</f>
        <v>0</v>
      </c>
      <c r="AA779" s="668">
        <f t="shared" ref="AA779:AA843" si="254">+S779</f>
        <v>0</v>
      </c>
      <c r="AB779" s="668">
        <f t="shared" ref="AB779:AB843" si="255">+T779</f>
        <v>0</v>
      </c>
      <c r="AC779" s="668">
        <f t="shared" si="248"/>
        <v>0</v>
      </c>
      <c r="AD779" s="668">
        <f t="shared" ref="AD779:AD843" si="256">+Q779</f>
        <v>0</v>
      </c>
      <c r="AE779" s="668">
        <f t="shared" ref="AE779:AE843" si="257">+U779*M779</f>
        <v>0</v>
      </c>
      <c r="AF779" s="668">
        <f t="shared" ref="AF779:AF843" si="258">+L779*U779</f>
        <v>0</v>
      </c>
      <c r="AG779" s="668">
        <f t="shared" ref="AG779:AG843" si="259">+$AG$4*N779</f>
        <v>0</v>
      </c>
      <c r="AH779" s="668"/>
      <c r="AI779" s="668"/>
      <c r="AJ779" s="668"/>
      <c r="AK779" s="668"/>
      <c r="AL779" s="668"/>
      <c r="AM779" s="668">
        <f t="shared" si="241"/>
        <v>0</v>
      </c>
      <c r="AN779" s="668">
        <f t="shared" si="244"/>
        <v>0</v>
      </c>
      <c r="AO779" s="668">
        <f t="shared" si="245"/>
        <v>0</v>
      </c>
      <c r="AP779" s="668">
        <f t="shared" si="242"/>
        <v>0</v>
      </c>
      <c r="AQ779" s="668">
        <f t="shared" si="246"/>
        <v>0</v>
      </c>
      <c r="AR779" s="668">
        <f t="shared" si="247"/>
        <v>0</v>
      </c>
      <c r="AS779" s="668"/>
      <c r="AT779" s="668"/>
      <c r="AU779" s="668"/>
      <c r="AV779" s="668"/>
      <c r="AW779" s="668"/>
      <c r="AX779" s="668"/>
      <c r="AY779" s="668"/>
      <c r="AZ779" s="668"/>
      <c r="BA779" s="668"/>
      <c r="BB779" s="668">
        <f t="shared" si="243"/>
        <v>0</v>
      </c>
      <c r="BC779" s="668"/>
      <c r="BD779" s="668"/>
      <c r="BE779" s="668"/>
      <c r="BF779" s="668"/>
      <c r="BG779" s="668"/>
      <c r="BH779" s="668"/>
      <c r="BI779" s="668"/>
    </row>
    <row r="780" spans="1:61" x14ac:dyDescent="0.2">
      <c r="A780" s="1020">
        <v>4059</v>
      </c>
      <c r="B780" s="1020" t="s">
        <v>517</v>
      </c>
      <c r="C780" s="1020"/>
      <c r="D780" s="667">
        <v>44</v>
      </c>
      <c r="E780" s="667"/>
      <c r="F780" s="667"/>
      <c r="G780" s="667"/>
      <c r="H780" s="667"/>
      <c r="I780" s="667"/>
      <c r="J780" s="667"/>
      <c r="K780" s="667"/>
      <c r="L780" s="667"/>
      <c r="M780" s="667"/>
      <c r="N780" s="667"/>
      <c r="O780" s="667"/>
      <c r="P780" s="667"/>
      <c r="Q780" s="667"/>
      <c r="R780" s="667"/>
      <c r="S780" s="667"/>
      <c r="T780" s="667"/>
      <c r="U780" s="1020">
        <v>12</v>
      </c>
      <c r="V780" s="668">
        <f t="shared" si="249"/>
        <v>528</v>
      </c>
      <c r="W780" s="668">
        <f t="shared" si="250"/>
        <v>0</v>
      </c>
      <c r="X780" s="668">
        <f t="shared" si="251"/>
        <v>0</v>
      </c>
      <c r="Y780" s="668">
        <f t="shared" si="252"/>
        <v>0</v>
      </c>
      <c r="Z780" s="668">
        <f t="shared" si="253"/>
        <v>0</v>
      </c>
      <c r="AA780" s="668">
        <f t="shared" si="254"/>
        <v>0</v>
      </c>
      <c r="AB780" s="668">
        <f t="shared" si="255"/>
        <v>0</v>
      </c>
      <c r="AC780" s="668">
        <f t="shared" si="248"/>
        <v>0</v>
      </c>
      <c r="AD780" s="668">
        <f t="shared" si="256"/>
        <v>0</v>
      </c>
      <c r="AE780" s="668">
        <f t="shared" si="257"/>
        <v>0</v>
      </c>
      <c r="AF780" s="668">
        <f t="shared" si="258"/>
        <v>0</v>
      </c>
      <c r="AG780" s="668">
        <f t="shared" si="259"/>
        <v>0</v>
      </c>
      <c r="AH780" s="668"/>
      <c r="AI780" s="668"/>
      <c r="AJ780" s="668"/>
      <c r="AK780" s="668"/>
      <c r="AL780" s="668"/>
      <c r="AM780" s="668">
        <f t="shared" si="241"/>
        <v>0</v>
      </c>
      <c r="AN780" s="668">
        <f t="shared" si="244"/>
        <v>0</v>
      </c>
      <c r="AO780" s="668">
        <f t="shared" si="245"/>
        <v>0</v>
      </c>
      <c r="AP780" s="668">
        <f t="shared" si="242"/>
        <v>0</v>
      </c>
      <c r="AQ780" s="668">
        <f t="shared" si="246"/>
        <v>0</v>
      </c>
      <c r="AR780" s="668">
        <f t="shared" si="247"/>
        <v>0</v>
      </c>
      <c r="AS780" s="668"/>
      <c r="AT780" s="668"/>
      <c r="AU780" s="668"/>
      <c r="AV780" s="668"/>
      <c r="AW780" s="668"/>
      <c r="AX780" s="668"/>
      <c r="AY780" s="668"/>
      <c r="AZ780" s="668"/>
      <c r="BA780" s="668"/>
      <c r="BB780" s="668">
        <f t="shared" si="243"/>
        <v>0</v>
      </c>
      <c r="BC780" s="668"/>
      <c r="BD780" s="668"/>
      <c r="BE780" s="668"/>
      <c r="BF780" s="668"/>
      <c r="BG780" s="668"/>
      <c r="BH780" s="668"/>
      <c r="BI780" s="668"/>
    </row>
    <row r="781" spans="1:61" x14ac:dyDescent="0.2">
      <c r="A781" s="1020">
        <v>4060</v>
      </c>
      <c r="B781" s="1020" t="s">
        <v>625</v>
      </c>
      <c r="C781" s="1020"/>
      <c r="D781" s="667">
        <v>44</v>
      </c>
      <c r="E781" s="667"/>
      <c r="F781" s="667"/>
      <c r="G781" s="667"/>
      <c r="H781" s="667"/>
      <c r="I781" s="667"/>
      <c r="J781" s="667"/>
      <c r="K781" s="667"/>
      <c r="L781" s="667"/>
      <c r="M781" s="667"/>
      <c r="N781" s="667"/>
      <c r="O781" s="667"/>
      <c r="P781" s="667"/>
      <c r="Q781" s="667"/>
      <c r="R781" s="667"/>
      <c r="S781" s="667"/>
      <c r="T781" s="667"/>
      <c r="U781" s="1020">
        <v>10</v>
      </c>
      <c r="V781" s="668">
        <f t="shared" si="249"/>
        <v>440</v>
      </c>
      <c r="W781" s="668">
        <f t="shared" si="250"/>
        <v>0</v>
      </c>
      <c r="X781" s="668">
        <f t="shared" si="251"/>
        <v>0</v>
      </c>
      <c r="Y781" s="668">
        <f t="shared" si="252"/>
        <v>0</v>
      </c>
      <c r="Z781" s="668">
        <f t="shared" si="253"/>
        <v>0</v>
      </c>
      <c r="AA781" s="668">
        <f t="shared" si="254"/>
        <v>0</v>
      </c>
      <c r="AB781" s="668">
        <f t="shared" si="255"/>
        <v>0</v>
      </c>
      <c r="AC781" s="668">
        <f t="shared" si="248"/>
        <v>0</v>
      </c>
      <c r="AD781" s="668">
        <f t="shared" si="256"/>
        <v>0</v>
      </c>
      <c r="AE781" s="668">
        <f t="shared" si="257"/>
        <v>0</v>
      </c>
      <c r="AF781" s="668">
        <f t="shared" si="258"/>
        <v>0</v>
      </c>
      <c r="AG781" s="668">
        <f t="shared" si="259"/>
        <v>0</v>
      </c>
      <c r="AH781" s="668"/>
      <c r="AI781" s="668"/>
      <c r="AJ781" s="668"/>
      <c r="AK781" s="668"/>
      <c r="AL781" s="668"/>
      <c r="AM781" s="668">
        <f t="shared" si="241"/>
        <v>0</v>
      </c>
      <c r="AN781" s="668">
        <f t="shared" si="244"/>
        <v>0</v>
      </c>
      <c r="AO781" s="668">
        <f t="shared" si="245"/>
        <v>0</v>
      </c>
      <c r="AP781" s="668">
        <f t="shared" si="242"/>
        <v>0</v>
      </c>
      <c r="AQ781" s="668">
        <f t="shared" si="246"/>
        <v>0</v>
      </c>
      <c r="AR781" s="668">
        <f t="shared" si="247"/>
        <v>0</v>
      </c>
      <c r="AS781" s="668"/>
      <c r="AT781" s="668"/>
      <c r="AU781" s="668"/>
      <c r="AV781" s="668"/>
      <c r="AW781" s="668"/>
      <c r="AX781" s="668"/>
      <c r="AY781" s="668"/>
      <c r="AZ781" s="668"/>
      <c r="BA781" s="668"/>
      <c r="BB781" s="668">
        <f t="shared" si="243"/>
        <v>0</v>
      </c>
      <c r="BC781" s="668"/>
      <c r="BD781" s="668"/>
      <c r="BE781" s="668"/>
      <c r="BF781" s="668"/>
      <c r="BG781" s="668"/>
      <c r="BH781" s="668"/>
      <c r="BI781" s="668"/>
    </row>
    <row r="782" spans="1:61" x14ac:dyDescent="0.2">
      <c r="A782" s="1020">
        <v>4061</v>
      </c>
      <c r="B782" s="1020" t="s">
        <v>519</v>
      </c>
      <c r="C782" s="1020"/>
      <c r="D782" s="667">
        <v>35</v>
      </c>
      <c r="E782" s="667"/>
      <c r="F782" s="667">
        <v>15</v>
      </c>
      <c r="G782" s="667"/>
      <c r="H782" s="667"/>
      <c r="I782" s="667"/>
      <c r="J782" s="667"/>
      <c r="K782" s="667"/>
      <c r="L782" s="667"/>
      <c r="M782" s="667"/>
      <c r="N782" s="667"/>
      <c r="O782" s="667"/>
      <c r="P782" s="667"/>
      <c r="Q782" s="667"/>
      <c r="R782" s="667"/>
      <c r="S782" s="667"/>
      <c r="T782" s="667">
        <v>150</v>
      </c>
      <c r="U782" s="1020">
        <v>12</v>
      </c>
      <c r="V782" s="668">
        <f t="shared" si="249"/>
        <v>420</v>
      </c>
      <c r="W782" s="668">
        <f t="shared" si="250"/>
        <v>0</v>
      </c>
      <c r="X782" s="668">
        <f t="shared" si="251"/>
        <v>0</v>
      </c>
      <c r="Y782" s="668">
        <f t="shared" si="252"/>
        <v>0</v>
      </c>
      <c r="Z782" s="668">
        <f t="shared" si="253"/>
        <v>0</v>
      </c>
      <c r="AA782" s="668">
        <f t="shared" si="254"/>
        <v>0</v>
      </c>
      <c r="AB782" s="668">
        <f t="shared" si="255"/>
        <v>150</v>
      </c>
      <c r="AC782" s="668">
        <f t="shared" si="248"/>
        <v>0</v>
      </c>
      <c r="AD782" s="668">
        <f t="shared" si="256"/>
        <v>0</v>
      </c>
      <c r="AE782" s="668">
        <f t="shared" si="257"/>
        <v>0</v>
      </c>
      <c r="AF782" s="668">
        <f t="shared" si="258"/>
        <v>0</v>
      </c>
      <c r="AG782" s="668">
        <f t="shared" si="259"/>
        <v>0</v>
      </c>
      <c r="AH782" s="668"/>
      <c r="AI782" s="668"/>
      <c r="AJ782" s="668"/>
      <c r="AK782" s="668"/>
      <c r="AL782" s="668"/>
      <c r="AM782" s="668">
        <f t="shared" si="241"/>
        <v>0</v>
      </c>
      <c r="AN782" s="668">
        <f t="shared" si="244"/>
        <v>0</v>
      </c>
      <c r="AO782" s="668">
        <f t="shared" si="245"/>
        <v>0</v>
      </c>
      <c r="AP782" s="668">
        <f t="shared" si="242"/>
        <v>180</v>
      </c>
      <c r="AQ782" s="668">
        <f t="shared" si="246"/>
        <v>0</v>
      </c>
      <c r="AR782" s="668">
        <f t="shared" si="247"/>
        <v>0</v>
      </c>
      <c r="AS782" s="668"/>
      <c r="AT782" s="668"/>
      <c r="AU782" s="668"/>
      <c r="AV782" s="668"/>
      <c r="AW782" s="668"/>
      <c r="AX782" s="668"/>
      <c r="AY782" s="668"/>
      <c r="AZ782" s="668"/>
      <c r="BA782" s="668"/>
      <c r="BB782" s="668">
        <f t="shared" si="243"/>
        <v>180</v>
      </c>
      <c r="BC782" s="668"/>
      <c r="BD782" s="668"/>
      <c r="BE782" s="668"/>
      <c r="BF782" s="668"/>
      <c r="BG782" s="668"/>
      <c r="BH782" s="668"/>
      <c r="BI782" s="668"/>
    </row>
    <row r="783" spans="1:61" x14ac:dyDescent="0.2">
      <c r="A783" s="1020">
        <v>4062</v>
      </c>
      <c r="B783" s="1020" t="s">
        <v>519</v>
      </c>
      <c r="C783" s="1020"/>
      <c r="D783" s="667">
        <v>35</v>
      </c>
      <c r="E783" s="667"/>
      <c r="F783" s="667">
        <v>15</v>
      </c>
      <c r="G783" s="667"/>
      <c r="H783" s="667"/>
      <c r="I783" s="667"/>
      <c r="J783" s="667"/>
      <c r="K783" s="667"/>
      <c r="L783" s="667"/>
      <c r="M783" s="667"/>
      <c r="N783" s="667"/>
      <c r="O783" s="667"/>
      <c r="P783" s="667"/>
      <c r="Q783" s="667"/>
      <c r="R783" s="667"/>
      <c r="S783" s="667"/>
      <c r="T783" s="667">
        <v>150</v>
      </c>
      <c r="U783" s="1020">
        <v>12</v>
      </c>
      <c r="V783" s="668">
        <f t="shared" si="249"/>
        <v>420</v>
      </c>
      <c r="W783" s="668">
        <f t="shared" si="250"/>
        <v>0</v>
      </c>
      <c r="X783" s="668">
        <f t="shared" si="251"/>
        <v>0</v>
      </c>
      <c r="Y783" s="668">
        <f t="shared" si="252"/>
        <v>0</v>
      </c>
      <c r="Z783" s="668">
        <f t="shared" si="253"/>
        <v>0</v>
      </c>
      <c r="AA783" s="668">
        <f t="shared" si="254"/>
        <v>0</v>
      </c>
      <c r="AB783" s="668">
        <f t="shared" si="255"/>
        <v>150</v>
      </c>
      <c r="AC783" s="668">
        <f t="shared" si="248"/>
        <v>0</v>
      </c>
      <c r="AD783" s="668">
        <f t="shared" si="256"/>
        <v>0</v>
      </c>
      <c r="AE783" s="668">
        <f t="shared" si="257"/>
        <v>0</v>
      </c>
      <c r="AF783" s="668">
        <f t="shared" si="258"/>
        <v>0</v>
      </c>
      <c r="AG783" s="668">
        <f t="shared" si="259"/>
        <v>0</v>
      </c>
      <c r="AH783" s="668"/>
      <c r="AI783" s="668"/>
      <c r="AJ783" s="668"/>
      <c r="AK783" s="668"/>
      <c r="AL783" s="668"/>
      <c r="AM783" s="668">
        <f t="shared" si="241"/>
        <v>0</v>
      </c>
      <c r="AN783" s="668">
        <f t="shared" si="244"/>
        <v>0</v>
      </c>
      <c r="AO783" s="668">
        <f t="shared" si="245"/>
        <v>0</v>
      </c>
      <c r="AP783" s="668">
        <f t="shared" si="242"/>
        <v>180</v>
      </c>
      <c r="AQ783" s="668">
        <f t="shared" si="246"/>
        <v>0</v>
      </c>
      <c r="AR783" s="668">
        <f t="shared" si="247"/>
        <v>0</v>
      </c>
      <c r="AS783" s="668"/>
      <c r="AT783" s="668"/>
      <c r="AU783" s="668"/>
      <c r="AV783" s="668"/>
      <c r="AW783" s="668"/>
      <c r="AX783" s="668"/>
      <c r="AY783" s="668"/>
      <c r="AZ783" s="668"/>
      <c r="BA783" s="668"/>
      <c r="BB783" s="668">
        <f t="shared" si="243"/>
        <v>180</v>
      </c>
      <c r="BC783" s="668"/>
      <c r="BD783" s="668"/>
      <c r="BE783" s="668"/>
      <c r="BF783" s="668"/>
      <c r="BG783" s="668"/>
      <c r="BH783" s="668"/>
      <c r="BI783" s="668"/>
    </row>
    <row r="784" spans="1:61" x14ac:dyDescent="0.2">
      <c r="A784" s="1020">
        <v>4068</v>
      </c>
      <c r="B784" s="1020" t="s">
        <v>515</v>
      </c>
      <c r="C784" s="1020"/>
      <c r="D784" s="667">
        <v>77</v>
      </c>
      <c r="E784" s="667"/>
      <c r="F784" s="667">
        <v>61</v>
      </c>
      <c r="G784" s="667"/>
      <c r="H784" s="667"/>
      <c r="I784" s="667"/>
      <c r="J784" s="667"/>
      <c r="K784" s="667"/>
      <c r="L784" s="667"/>
      <c r="M784" s="667"/>
      <c r="N784" s="667"/>
      <c r="O784" s="667"/>
      <c r="P784" s="667"/>
      <c r="Q784" s="667"/>
      <c r="R784" s="667"/>
      <c r="S784" s="667"/>
      <c r="T784" s="667">
        <v>2020</v>
      </c>
      <c r="U784" s="1033">
        <v>12</v>
      </c>
      <c r="V784" s="668">
        <f t="shared" si="249"/>
        <v>924</v>
      </c>
      <c r="W784" s="668">
        <f t="shared" si="250"/>
        <v>0</v>
      </c>
      <c r="X784" s="668">
        <f t="shared" si="251"/>
        <v>0</v>
      </c>
      <c r="Y784" s="668">
        <f t="shared" si="252"/>
        <v>0</v>
      </c>
      <c r="Z784" s="668">
        <f t="shared" si="253"/>
        <v>0</v>
      </c>
      <c r="AA784" s="668">
        <f t="shared" si="254"/>
        <v>0</v>
      </c>
      <c r="AB784" s="668">
        <f t="shared" si="255"/>
        <v>2020</v>
      </c>
      <c r="AC784" s="668">
        <f t="shared" si="248"/>
        <v>0</v>
      </c>
      <c r="AD784" s="668">
        <f t="shared" si="256"/>
        <v>0</v>
      </c>
      <c r="AE784" s="668">
        <f t="shared" si="257"/>
        <v>0</v>
      </c>
      <c r="AF784" s="668">
        <f t="shared" si="258"/>
        <v>0</v>
      </c>
      <c r="AG784" s="668">
        <f t="shared" si="259"/>
        <v>0</v>
      </c>
      <c r="AH784" s="668"/>
      <c r="AI784" s="668"/>
      <c r="AJ784" s="668"/>
      <c r="AK784" s="668"/>
      <c r="AL784" s="668"/>
      <c r="AM784" s="668">
        <f t="shared" ref="AM784:AM848" si="260">+I784</f>
        <v>0</v>
      </c>
      <c r="AN784" s="668">
        <f t="shared" si="244"/>
        <v>0</v>
      </c>
      <c r="AO784" s="668">
        <f t="shared" si="245"/>
        <v>0</v>
      </c>
      <c r="AP784" s="668">
        <f t="shared" si="242"/>
        <v>732</v>
      </c>
      <c r="AQ784" s="668">
        <f t="shared" si="246"/>
        <v>0</v>
      </c>
      <c r="AR784" s="668">
        <f t="shared" si="247"/>
        <v>0</v>
      </c>
      <c r="AS784" s="668"/>
      <c r="AT784" s="668"/>
      <c r="AU784" s="668"/>
      <c r="AV784" s="668"/>
      <c r="AW784" s="668"/>
      <c r="AX784" s="668"/>
      <c r="AY784" s="668"/>
      <c r="AZ784" s="668"/>
      <c r="BA784" s="668"/>
      <c r="BB784" s="668"/>
      <c r="BC784" s="668"/>
      <c r="BD784" s="668"/>
      <c r="BE784" s="668"/>
      <c r="BF784" s="668"/>
      <c r="BG784" s="668"/>
      <c r="BH784" s="668"/>
      <c r="BI784" s="668"/>
    </row>
    <row r="785" spans="1:61" x14ac:dyDescent="0.2">
      <c r="A785" s="1020">
        <v>4069</v>
      </c>
      <c r="B785" s="1020" t="s">
        <v>515</v>
      </c>
      <c r="C785" s="1020"/>
      <c r="D785" s="667">
        <v>132</v>
      </c>
      <c r="E785" s="667"/>
      <c r="F785" s="667"/>
      <c r="G785" s="667"/>
      <c r="H785" s="667"/>
      <c r="I785" s="667"/>
      <c r="J785" s="667"/>
      <c r="K785" s="667"/>
      <c r="L785" s="667"/>
      <c r="M785" s="667"/>
      <c r="N785" s="667"/>
      <c r="O785" s="667"/>
      <c r="P785" s="667"/>
      <c r="Q785" s="667"/>
      <c r="R785" s="667"/>
      <c r="S785" s="667"/>
      <c r="T785" s="667">
        <v>4000</v>
      </c>
      <c r="U785" s="1033">
        <v>12</v>
      </c>
      <c r="V785" s="668">
        <f t="shared" si="249"/>
        <v>1584</v>
      </c>
      <c r="W785" s="668">
        <f t="shared" si="250"/>
        <v>0</v>
      </c>
      <c r="X785" s="668">
        <f t="shared" si="251"/>
        <v>0</v>
      </c>
      <c r="Y785" s="668">
        <f t="shared" si="252"/>
        <v>0</v>
      </c>
      <c r="Z785" s="668">
        <f t="shared" si="253"/>
        <v>0</v>
      </c>
      <c r="AA785" s="668">
        <f t="shared" si="254"/>
        <v>0</v>
      </c>
      <c r="AB785" s="668">
        <f t="shared" si="255"/>
        <v>4000</v>
      </c>
      <c r="AC785" s="668">
        <f t="shared" si="248"/>
        <v>0</v>
      </c>
      <c r="AD785" s="668">
        <f t="shared" si="256"/>
        <v>0</v>
      </c>
      <c r="AE785" s="668">
        <f t="shared" si="257"/>
        <v>0</v>
      </c>
      <c r="AF785" s="668">
        <f t="shared" si="258"/>
        <v>0</v>
      </c>
      <c r="AG785" s="668">
        <f t="shared" si="259"/>
        <v>0</v>
      </c>
      <c r="AH785" s="668"/>
      <c r="AI785" s="668"/>
      <c r="AJ785" s="668"/>
      <c r="AK785" s="668"/>
      <c r="AL785" s="668"/>
      <c r="AM785" s="668">
        <f t="shared" si="260"/>
        <v>0</v>
      </c>
      <c r="AN785" s="668">
        <f t="shared" si="244"/>
        <v>0</v>
      </c>
      <c r="AO785" s="668">
        <f t="shared" si="245"/>
        <v>0</v>
      </c>
      <c r="AP785" s="668">
        <f t="shared" ref="AP785:AP849" si="261">+U785*F785</f>
        <v>0</v>
      </c>
      <c r="AQ785" s="668">
        <f t="shared" si="246"/>
        <v>0</v>
      </c>
      <c r="AR785" s="668">
        <f t="shared" si="247"/>
        <v>0</v>
      </c>
      <c r="AS785" s="668"/>
      <c r="AT785" s="668"/>
      <c r="AU785" s="668"/>
      <c r="AV785" s="668"/>
      <c r="AW785" s="668"/>
      <c r="AX785" s="668"/>
      <c r="AY785" s="668"/>
      <c r="AZ785" s="668"/>
      <c r="BA785" s="668"/>
      <c r="BB785" s="668">
        <f t="shared" si="243"/>
        <v>0</v>
      </c>
      <c r="BC785" s="668"/>
      <c r="BD785" s="668"/>
      <c r="BE785" s="668"/>
      <c r="BF785" s="668"/>
      <c r="BG785" s="668"/>
      <c r="BH785" s="668"/>
      <c r="BI785" s="668"/>
    </row>
    <row r="786" spans="1:61" x14ac:dyDescent="0.2">
      <c r="A786" s="1020">
        <v>4070</v>
      </c>
      <c r="B786" s="1020" t="s">
        <v>519</v>
      </c>
      <c r="C786" s="1020"/>
      <c r="D786" s="667">
        <v>35</v>
      </c>
      <c r="E786" s="667"/>
      <c r="F786" s="667">
        <v>15</v>
      </c>
      <c r="G786" s="667"/>
      <c r="H786" s="667"/>
      <c r="I786" s="667"/>
      <c r="J786" s="667"/>
      <c r="K786" s="667"/>
      <c r="L786" s="667"/>
      <c r="M786" s="667"/>
      <c r="N786" s="667"/>
      <c r="O786" s="667"/>
      <c r="P786" s="667"/>
      <c r="Q786" s="667"/>
      <c r="R786" s="667"/>
      <c r="S786" s="667"/>
      <c r="T786" s="667">
        <v>150</v>
      </c>
      <c r="U786" s="1033">
        <v>12</v>
      </c>
      <c r="V786" s="668">
        <f t="shared" si="249"/>
        <v>420</v>
      </c>
      <c r="W786" s="668">
        <f t="shared" si="250"/>
        <v>0</v>
      </c>
      <c r="X786" s="668">
        <f t="shared" si="251"/>
        <v>0</v>
      </c>
      <c r="Y786" s="668">
        <f t="shared" si="252"/>
        <v>0</v>
      </c>
      <c r="Z786" s="668">
        <f t="shared" si="253"/>
        <v>0</v>
      </c>
      <c r="AA786" s="668">
        <f t="shared" si="254"/>
        <v>0</v>
      </c>
      <c r="AB786" s="668">
        <f t="shared" si="255"/>
        <v>150</v>
      </c>
      <c r="AC786" s="668">
        <f t="shared" si="248"/>
        <v>0</v>
      </c>
      <c r="AD786" s="668">
        <f t="shared" si="256"/>
        <v>0</v>
      </c>
      <c r="AE786" s="668">
        <f t="shared" si="257"/>
        <v>0</v>
      </c>
      <c r="AF786" s="668">
        <f t="shared" si="258"/>
        <v>0</v>
      </c>
      <c r="AG786" s="668">
        <f t="shared" si="259"/>
        <v>0</v>
      </c>
      <c r="AH786" s="668"/>
      <c r="AI786" s="668"/>
      <c r="AJ786" s="668"/>
      <c r="AK786" s="668"/>
      <c r="AL786" s="668"/>
      <c r="AM786" s="668">
        <f t="shared" si="260"/>
        <v>0</v>
      </c>
      <c r="AN786" s="668">
        <f t="shared" si="244"/>
        <v>0</v>
      </c>
      <c r="AO786" s="668">
        <f t="shared" si="245"/>
        <v>0</v>
      </c>
      <c r="AP786" s="668">
        <f t="shared" si="261"/>
        <v>180</v>
      </c>
      <c r="AQ786" s="668">
        <f t="shared" si="246"/>
        <v>0</v>
      </c>
      <c r="AR786" s="668">
        <f t="shared" si="247"/>
        <v>0</v>
      </c>
      <c r="AS786" s="668"/>
      <c r="AT786" s="668"/>
      <c r="AU786" s="668"/>
      <c r="AV786" s="668"/>
      <c r="AW786" s="668"/>
      <c r="AX786" s="668"/>
      <c r="AY786" s="668"/>
      <c r="AZ786" s="668"/>
      <c r="BA786" s="668"/>
      <c r="BB786" s="668">
        <f t="shared" ref="BB786:BB849" si="262">+AP786</f>
        <v>180</v>
      </c>
      <c r="BC786" s="668"/>
      <c r="BD786" s="668"/>
      <c r="BE786" s="668"/>
      <c r="BF786" s="668"/>
      <c r="BG786" s="668"/>
      <c r="BH786" s="668"/>
      <c r="BI786" s="668"/>
    </row>
    <row r="787" spans="1:61" x14ac:dyDescent="0.2">
      <c r="A787" s="1020">
        <v>4071</v>
      </c>
      <c r="B787" s="1020" t="s">
        <v>519</v>
      </c>
      <c r="C787" s="1020"/>
      <c r="D787" s="667">
        <v>35</v>
      </c>
      <c r="E787" s="667"/>
      <c r="F787" s="667">
        <v>15</v>
      </c>
      <c r="G787" s="667"/>
      <c r="H787" s="667"/>
      <c r="I787" s="667"/>
      <c r="J787" s="667"/>
      <c r="K787" s="667"/>
      <c r="L787" s="667"/>
      <c r="M787" s="667"/>
      <c r="N787" s="667"/>
      <c r="O787" s="667"/>
      <c r="P787" s="667"/>
      <c r="Q787" s="667"/>
      <c r="R787" s="667"/>
      <c r="S787" s="667"/>
      <c r="T787" s="667">
        <v>150</v>
      </c>
      <c r="U787" s="1033">
        <v>12</v>
      </c>
      <c r="V787" s="668">
        <f t="shared" si="249"/>
        <v>420</v>
      </c>
      <c r="W787" s="668">
        <f t="shared" si="250"/>
        <v>0</v>
      </c>
      <c r="X787" s="668">
        <f t="shared" si="251"/>
        <v>0</v>
      </c>
      <c r="Y787" s="668">
        <f t="shared" si="252"/>
        <v>0</v>
      </c>
      <c r="Z787" s="668">
        <f t="shared" si="253"/>
        <v>0</v>
      </c>
      <c r="AA787" s="668">
        <f t="shared" si="254"/>
        <v>0</v>
      </c>
      <c r="AB787" s="668">
        <f t="shared" si="255"/>
        <v>150</v>
      </c>
      <c r="AC787" s="668">
        <f t="shared" si="248"/>
        <v>0</v>
      </c>
      <c r="AD787" s="668">
        <f t="shared" si="256"/>
        <v>0</v>
      </c>
      <c r="AE787" s="668">
        <f t="shared" si="257"/>
        <v>0</v>
      </c>
      <c r="AF787" s="668">
        <f t="shared" si="258"/>
        <v>0</v>
      </c>
      <c r="AG787" s="668">
        <f t="shared" si="259"/>
        <v>0</v>
      </c>
      <c r="AH787" s="668"/>
      <c r="AI787" s="668"/>
      <c r="AJ787" s="668"/>
      <c r="AK787" s="668"/>
      <c r="AL787" s="668"/>
      <c r="AM787" s="668">
        <f t="shared" si="260"/>
        <v>0</v>
      </c>
      <c r="AN787" s="668">
        <f t="shared" si="244"/>
        <v>0</v>
      </c>
      <c r="AO787" s="668">
        <f t="shared" si="245"/>
        <v>0</v>
      </c>
      <c r="AP787" s="668">
        <f t="shared" si="261"/>
        <v>180</v>
      </c>
      <c r="AQ787" s="668">
        <f t="shared" si="246"/>
        <v>0</v>
      </c>
      <c r="AR787" s="668">
        <f t="shared" si="247"/>
        <v>0</v>
      </c>
      <c r="AS787" s="668"/>
      <c r="AT787" s="668"/>
      <c r="AU787" s="668"/>
      <c r="AV787" s="668"/>
      <c r="AW787" s="668"/>
      <c r="AX787" s="668"/>
      <c r="AY787" s="668"/>
      <c r="AZ787" s="668"/>
      <c r="BA787" s="668"/>
      <c r="BB787" s="668">
        <f t="shared" si="262"/>
        <v>180</v>
      </c>
      <c r="BC787" s="668"/>
      <c r="BD787" s="668"/>
      <c r="BE787" s="668"/>
      <c r="BF787" s="668"/>
      <c r="BG787" s="668"/>
      <c r="BH787" s="668"/>
      <c r="BI787" s="668"/>
    </row>
    <row r="788" spans="1:61" x14ac:dyDescent="0.2">
      <c r="A788" s="1020">
        <v>4072</v>
      </c>
      <c r="B788" s="1020" t="s">
        <v>476</v>
      </c>
      <c r="C788" s="1020"/>
      <c r="D788" s="667">
        <v>54</v>
      </c>
      <c r="E788" s="667"/>
      <c r="F788" s="667"/>
      <c r="G788" s="667"/>
      <c r="H788" s="667"/>
      <c r="I788" s="667"/>
      <c r="J788" s="667"/>
      <c r="K788" s="667"/>
      <c r="L788" s="667"/>
      <c r="M788" s="667"/>
      <c r="N788" s="667"/>
      <c r="O788" s="667"/>
      <c r="P788" s="667"/>
      <c r="Q788" s="667"/>
      <c r="R788" s="667"/>
      <c r="S788" s="667"/>
      <c r="T788" s="667"/>
      <c r="U788" s="1033">
        <v>12</v>
      </c>
      <c r="V788" s="668">
        <f t="shared" si="249"/>
        <v>648</v>
      </c>
      <c r="W788" s="668">
        <f t="shared" si="250"/>
        <v>0</v>
      </c>
      <c r="X788" s="668">
        <f t="shared" si="251"/>
        <v>0</v>
      </c>
      <c r="Y788" s="668">
        <f t="shared" si="252"/>
        <v>0</v>
      </c>
      <c r="Z788" s="668">
        <f t="shared" si="253"/>
        <v>0</v>
      </c>
      <c r="AA788" s="668">
        <f t="shared" si="254"/>
        <v>0</v>
      </c>
      <c r="AB788" s="668">
        <f t="shared" si="255"/>
        <v>0</v>
      </c>
      <c r="AC788" s="668">
        <f t="shared" si="248"/>
        <v>0</v>
      </c>
      <c r="AD788" s="668">
        <f t="shared" si="256"/>
        <v>0</v>
      </c>
      <c r="AE788" s="668">
        <f t="shared" si="257"/>
        <v>0</v>
      </c>
      <c r="AF788" s="668">
        <f t="shared" si="258"/>
        <v>0</v>
      </c>
      <c r="AG788" s="668">
        <f t="shared" si="259"/>
        <v>0</v>
      </c>
      <c r="AH788" s="668"/>
      <c r="AI788" s="668"/>
      <c r="AJ788" s="668"/>
      <c r="AK788" s="668"/>
      <c r="AL788" s="668"/>
      <c r="AM788" s="668">
        <f t="shared" si="260"/>
        <v>0</v>
      </c>
      <c r="AN788" s="668">
        <f t="shared" si="244"/>
        <v>0</v>
      </c>
      <c r="AO788" s="668">
        <f t="shared" si="245"/>
        <v>0</v>
      </c>
      <c r="AP788" s="668">
        <f t="shared" si="261"/>
        <v>0</v>
      </c>
      <c r="AQ788" s="668">
        <f t="shared" si="246"/>
        <v>0</v>
      </c>
      <c r="AR788" s="668">
        <f t="shared" si="247"/>
        <v>0</v>
      </c>
      <c r="AS788" s="668"/>
      <c r="AT788" s="668"/>
      <c r="AU788" s="668"/>
      <c r="AV788" s="668"/>
      <c r="AW788" s="668"/>
      <c r="AX788" s="668"/>
      <c r="AY788" s="668"/>
      <c r="AZ788" s="668"/>
      <c r="BA788" s="668"/>
      <c r="BB788" s="668">
        <f t="shared" si="262"/>
        <v>0</v>
      </c>
      <c r="BC788" s="668"/>
      <c r="BD788" s="668"/>
      <c r="BE788" s="668"/>
      <c r="BF788" s="668"/>
      <c r="BG788" s="668"/>
      <c r="BH788" s="668"/>
      <c r="BI788" s="668"/>
    </row>
    <row r="789" spans="1:61" x14ac:dyDescent="0.2">
      <c r="A789" s="1020">
        <v>4073</v>
      </c>
      <c r="B789" s="1020" t="s">
        <v>579</v>
      </c>
      <c r="C789" s="1020"/>
      <c r="D789" s="667">
        <v>48</v>
      </c>
      <c r="E789" s="667"/>
      <c r="F789" s="667"/>
      <c r="G789" s="667"/>
      <c r="H789" s="667"/>
      <c r="I789" s="667"/>
      <c r="J789" s="667"/>
      <c r="K789" s="667"/>
      <c r="L789" s="667"/>
      <c r="M789" s="667"/>
      <c r="N789" s="667"/>
      <c r="O789" s="667"/>
      <c r="P789" s="667"/>
      <c r="Q789" s="667"/>
      <c r="R789" s="667"/>
      <c r="S789" s="667"/>
      <c r="T789" s="667"/>
      <c r="U789" s="1033">
        <v>12</v>
      </c>
      <c r="V789" s="668">
        <f t="shared" si="249"/>
        <v>576</v>
      </c>
      <c r="W789" s="668">
        <f t="shared" si="250"/>
        <v>0</v>
      </c>
      <c r="X789" s="668">
        <f t="shared" si="251"/>
        <v>0</v>
      </c>
      <c r="Y789" s="668">
        <f t="shared" si="252"/>
        <v>0</v>
      </c>
      <c r="Z789" s="668">
        <f t="shared" si="253"/>
        <v>0</v>
      </c>
      <c r="AA789" s="668">
        <f t="shared" si="254"/>
        <v>0</v>
      </c>
      <c r="AB789" s="668">
        <f t="shared" si="255"/>
        <v>0</v>
      </c>
      <c r="AC789" s="668">
        <f t="shared" si="248"/>
        <v>0</v>
      </c>
      <c r="AD789" s="668">
        <f t="shared" si="256"/>
        <v>0</v>
      </c>
      <c r="AE789" s="668">
        <f t="shared" si="257"/>
        <v>0</v>
      </c>
      <c r="AF789" s="668">
        <f t="shared" si="258"/>
        <v>0</v>
      </c>
      <c r="AG789" s="668">
        <f t="shared" si="259"/>
        <v>0</v>
      </c>
      <c r="AH789" s="668"/>
      <c r="AI789" s="668"/>
      <c r="AJ789" s="668"/>
      <c r="AK789" s="668"/>
      <c r="AL789" s="668"/>
      <c r="AM789" s="668">
        <f t="shared" si="260"/>
        <v>0</v>
      </c>
      <c r="AN789" s="668">
        <f t="shared" si="244"/>
        <v>0</v>
      </c>
      <c r="AO789" s="668">
        <f t="shared" si="245"/>
        <v>0</v>
      </c>
      <c r="AP789" s="668">
        <f t="shared" si="261"/>
        <v>0</v>
      </c>
      <c r="AQ789" s="668">
        <f t="shared" si="246"/>
        <v>0</v>
      </c>
      <c r="AR789" s="668">
        <f t="shared" si="247"/>
        <v>0</v>
      </c>
      <c r="AS789" s="668"/>
      <c r="AT789" s="668"/>
      <c r="AU789" s="668"/>
      <c r="AV789" s="668"/>
      <c r="AW789" s="668"/>
      <c r="AX789" s="668"/>
      <c r="AY789" s="668"/>
      <c r="AZ789" s="668"/>
      <c r="BA789" s="668"/>
      <c r="BB789" s="668">
        <f t="shared" si="262"/>
        <v>0</v>
      </c>
      <c r="BC789" s="668"/>
      <c r="BD789" s="668"/>
      <c r="BE789" s="668"/>
      <c r="BF789" s="668"/>
      <c r="BG789" s="668"/>
      <c r="BH789" s="668"/>
      <c r="BI789" s="668"/>
    </row>
    <row r="790" spans="1:61" x14ac:dyDescent="0.2">
      <c r="A790" s="1020">
        <v>4074</v>
      </c>
      <c r="B790" s="1020" t="s">
        <v>686</v>
      </c>
      <c r="C790" s="1020"/>
      <c r="D790" s="667">
        <v>68</v>
      </c>
      <c r="E790" s="667"/>
      <c r="F790" s="667"/>
      <c r="G790" s="667"/>
      <c r="H790" s="667"/>
      <c r="I790" s="667"/>
      <c r="J790" s="667"/>
      <c r="K790" s="667"/>
      <c r="L790" s="667"/>
      <c r="M790" s="667"/>
      <c r="N790" s="667"/>
      <c r="O790" s="667"/>
      <c r="P790" s="667"/>
      <c r="Q790" s="667"/>
      <c r="R790" s="667"/>
      <c r="S790" s="667"/>
      <c r="T790" s="667"/>
      <c r="U790" s="1033">
        <v>10</v>
      </c>
      <c r="V790" s="668">
        <f t="shared" si="249"/>
        <v>680</v>
      </c>
      <c r="W790" s="668">
        <f t="shared" si="250"/>
        <v>0</v>
      </c>
      <c r="X790" s="668">
        <f t="shared" si="251"/>
        <v>0</v>
      </c>
      <c r="Y790" s="668">
        <f t="shared" si="252"/>
        <v>0</v>
      </c>
      <c r="Z790" s="668">
        <f t="shared" si="253"/>
        <v>0</v>
      </c>
      <c r="AA790" s="668">
        <f t="shared" si="254"/>
        <v>0</v>
      </c>
      <c r="AB790" s="668">
        <f t="shared" si="255"/>
        <v>0</v>
      </c>
      <c r="AC790" s="668">
        <f t="shared" si="248"/>
        <v>0</v>
      </c>
      <c r="AD790" s="668">
        <f t="shared" si="256"/>
        <v>0</v>
      </c>
      <c r="AE790" s="668">
        <f t="shared" si="257"/>
        <v>0</v>
      </c>
      <c r="AF790" s="668">
        <f t="shared" si="258"/>
        <v>0</v>
      </c>
      <c r="AG790" s="668">
        <f t="shared" si="259"/>
        <v>0</v>
      </c>
      <c r="AH790" s="668"/>
      <c r="AI790" s="668"/>
      <c r="AJ790" s="668"/>
      <c r="AK790" s="668"/>
      <c r="AL790" s="668"/>
      <c r="AM790" s="668">
        <f t="shared" si="260"/>
        <v>0</v>
      </c>
      <c r="AN790" s="668">
        <f t="shared" si="244"/>
        <v>0</v>
      </c>
      <c r="AO790" s="668">
        <f t="shared" si="245"/>
        <v>0</v>
      </c>
      <c r="AP790" s="668">
        <f t="shared" si="261"/>
        <v>0</v>
      </c>
      <c r="AQ790" s="668">
        <f t="shared" si="246"/>
        <v>0</v>
      </c>
      <c r="AR790" s="668">
        <f t="shared" si="247"/>
        <v>0</v>
      </c>
      <c r="AS790" s="668"/>
      <c r="AT790" s="668"/>
      <c r="AU790" s="668"/>
      <c r="AV790" s="668"/>
      <c r="AW790" s="668"/>
      <c r="AX790" s="668"/>
      <c r="AY790" s="668"/>
      <c r="AZ790" s="668"/>
      <c r="BA790" s="668"/>
      <c r="BB790" s="668">
        <f t="shared" si="262"/>
        <v>0</v>
      </c>
      <c r="BC790" s="668"/>
      <c r="BD790" s="668"/>
      <c r="BE790" s="668"/>
      <c r="BF790" s="668"/>
      <c r="BG790" s="668"/>
      <c r="BH790" s="668"/>
      <c r="BI790" s="668"/>
    </row>
    <row r="791" spans="1:61" x14ac:dyDescent="0.2">
      <c r="A791" s="1033" t="s">
        <v>991</v>
      </c>
      <c r="B791" s="1033" t="s">
        <v>696</v>
      </c>
      <c r="C791" s="1033"/>
      <c r="D791" s="667">
        <v>32</v>
      </c>
      <c r="E791" s="667"/>
      <c r="F791" s="667"/>
      <c r="G791" s="667"/>
      <c r="H791" s="667"/>
      <c r="I791" s="667"/>
      <c r="J791" s="667"/>
      <c r="K791" s="667"/>
      <c r="L791" s="667"/>
      <c r="M791" s="667"/>
      <c r="N791" s="667"/>
      <c r="O791" s="667"/>
      <c r="P791" s="667"/>
      <c r="Q791" s="667"/>
      <c r="R791" s="667"/>
      <c r="S791" s="667"/>
      <c r="T791" s="667"/>
      <c r="U791" s="1033">
        <v>10</v>
      </c>
      <c r="V791" s="668">
        <f t="shared" si="249"/>
        <v>320</v>
      </c>
      <c r="W791" s="668">
        <f t="shared" si="250"/>
        <v>0</v>
      </c>
      <c r="X791" s="668">
        <f t="shared" si="251"/>
        <v>0</v>
      </c>
      <c r="Y791" s="668">
        <f t="shared" si="252"/>
        <v>0</v>
      </c>
      <c r="Z791" s="668">
        <f t="shared" si="253"/>
        <v>0</v>
      </c>
      <c r="AA791" s="668"/>
      <c r="AB791" s="668"/>
      <c r="AC791" s="668">
        <f t="shared" si="248"/>
        <v>0</v>
      </c>
      <c r="AD791" s="668"/>
      <c r="AE791" s="668">
        <f t="shared" si="257"/>
        <v>0</v>
      </c>
      <c r="AF791" s="668">
        <f t="shared" si="258"/>
        <v>0</v>
      </c>
      <c r="AG791" s="668"/>
      <c r="AH791" s="668"/>
      <c r="AI791" s="668"/>
      <c r="AJ791" s="668"/>
      <c r="AK791" s="668"/>
      <c r="AL791" s="668"/>
      <c r="AM791" s="668"/>
      <c r="AN791" s="668">
        <f t="shared" si="244"/>
        <v>0</v>
      </c>
      <c r="AO791" s="668">
        <f t="shared" si="245"/>
        <v>0</v>
      </c>
      <c r="AP791" s="668">
        <f t="shared" si="261"/>
        <v>0</v>
      </c>
      <c r="AQ791" s="668">
        <f t="shared" si="246"/>
        <v>0</v>
      </c>
      <c r="AR791" s="668">
        <f t="shared" si="247"/>
        <v>0</v>
      </c>
      <c r="AS791" s="668"/>
      <c r="AT791" s="668"/>
      <c r="AU791" s="668"/>
      <c r="AV791" s="668"/>
      <c r="AW791" s="668"/>
      <c r="AX791" s="668"/>
      <c r="AY791" s="668"/>
      <c r="AZ791" s="668"/>
      <c r="BA791" s="668"/>
      <c r="BB791" s="668">
        <f t="shared" si="262"/>
        <v>0</v>
      </c>
      <c r="BC791" s="668"/>
      <c r="BD791" s="668"/>
      <c r="BE791" s="668"/>
      <c r="BF791" s="668"/>
      <c r="BG791" s="668"/>
      <c r="BH791" s="668"/>
      <c r="BI791" s="668"/>
    </row>
    <row r="792" spans="1:61" x14ac:dyDescent="0.2">
      <c r="A792" s="1020">
        <v>4075</v>
      </c>
      <c r="B792" s="1020" t="s">
        <v>684</v>
      </c>
      <c r="C792" s="1020"/>
      <c r="D792" s="667">
        <v>42</v>
      </c>
      <c r="E792" s="667"/>
      <c r="F792" s="667">
        <v>42</v>
      </c>
      <c r="G792" s="667"/>
      <c r="H792" s="667"/>
      <c r="I792" s="667"/>
      <c r="J792" s="667"/>
      <c r="K792" s="667"/>
      <c r="L792" s="667"/>
      <c r="M792" s="667"/>
      <c r="N792" s="667"/>
      <c r="O792" s="667"/>
      <c r="P792" s="667"/>
      <c r="Q792" s="667"/>
      <c r="R792" s="667"/>
      <c r="S792" s="667"/>
      <c r="T792" s="667"/>
      <c r="U792" s="1033">
        <v>10</v>
      </c>
      <c r="V792" s="668">
        <f t="shared" si="249"/>
        <v>420</v>
      </c>
      <c r="W792" s="668">
        <f t="shared" si="250"/>
        <v>0</v>
      </c>
      <c r="X792" s="668">
        <f t="shared" si="251"/>
        <v>0</v>
      </c>
      <c r="Y792" s="668">
        <f t="shared" si="252"/>
        <v>0</v>
      </c>
      <c r="Z792" s="668">
        <f t="shared" si="253"/>
        <v>0</v>
      </c>
      <c r="AA792" s="668">
        <f t="shared" si="254"/>
        <v>0</v>
      </c>
      <c r="AB792" s="668">
        <f t="shared" si="255"/>
        <v>0</v>
      </c>
      <c r="AC792" s="668">
        <f t="shared" si="248"/>
        <v>0</v>
      </c>
      <c r="AD792" s="668">
        <f t="shared" si="256"/>
        <v>0</v>
      </c>
      <c r="AE792" s="668">
        <f t="shared" si="257"/>
        <v>0</v>
      </c>
      <c r="AF792" s="668">
        <f t="shared" si="258"/>
        <v>0</v>
      </c>
      <c r="AG792" s="668">
        <f t="shared" si="259"/>
        <v>0</v>
      </c>
      <c r="AH792" s="668"/>
      <c r="AI792" s="668"/>
      <c r="AJ792" s="668"/>
      <c r="AK792" s="668"/>
      <c r="AL792" s="668"/>
      <c r="AM792" s="668">
        <f t="shared" si="260"/>
        <v>0</v>
      </c>
      <c r="AN792" s="668">
        <f t="shared" si="244"/>
        <v>0</v>
      </c>
      <c r="AO792" s="668">
        <f t="shared" si="245"/>
        <v>0</v>
      </c>
      <c r="AP792" s="668">
        <f t="shared" si="261"/>
        <v>420</v>
      </c>
      <c r="AQ792" s="668">
        <f t="shared" si="246"/>
        <v>0</v>
      </c>
      <c r="AR792" s="668">
        <f t="shared" si="247"/>
        <v>0</v>
      </c>
      <c r="AS792" s="668"/>
      <c r="AT792" s="668"/>
      <c r="AU792" s="668"/>
      <c r="AV792" s="668"/>
      <c r="AW792" s="668"/>
      <c r="AX792" s="668"/>
      <c r="AY792" s="668"/>
      <c r="AZ792" s="668"/>
      <c r="BA792" s="668"/>
      <c r="BB792" s="668"/>
      <c r="BC792" s="668"/>
      <c r="BD792" s="668"/>
      <c r="BE792" s="668"/>
      <c r="BF792" s="668"/>
      <c r="BG792" s="668"/>
      <c r="BH792" s="668"/>
      <c r="BI792" s="668"/>
    </row>
    <row r="793" spans="1:61" x14ac:dyDescent="0.2">
      <c r="A793" s="1020" t="s">
        <v>776</v>
      </c>
      <c r="B793" s="1020" t="s">
        <v>516</v>
      </c>
      <c r="C793" s="1020"/>
      <c r="D793" s="667">
        <v>32</v>
      </c>
      <c r="E793" s="667"/>
      <c r="F793" s="667">
        <v>32</v>
      </c>
      <c r="G793" s="667"/>
      <c r="H793" s="667"/>
      <c r="I793" s="667"/>
      <c r="J793" s="667"/>
      <c r="K793" s="667"/>
      <c r="L793" s="667"/>
      <c r="M793" s="667"/>
      <c r="N793" s="667"/>
      <c r="O793" s="667"/>
      <c r="P793" s="667"/>
      <c r="Q793" s="667"/>
      <c r="R793" s="667"/>
      <c r="S793" s="667"/>
      <c r="T793" s="667"/>
      <c r="U793" s="1020">
        <v>10</v>
      </c>
      <c r="V793" s="668">
        <f t="shared" si="249"/>
        <v>320</v>
      </c>
      <c r="W793" s="668">
        <f t="shared" si="250"/>
        <v>0</v>
      </c>
      <c r="X793" s="668">
        <f t="shared" si="251"/>
        <v>0</v>
      </c>
      <c r="Y793" s="668">
        <f t="shared" si="252"/>
        <v>0</v>
      </c>
      <c r="Z793" s="668">
        <f t="shared" si="253"/>
        <v>0</v>
      </c>
      <c r="AA793" s="668">
        <f t="shared" si="254"/>
        <v>0</v>
      </c>
      <c r="AB793" s="668">
        <f t="shared" si="255"/>
        <v>0</v>
      </c>
      <c r="AC793" s="668">
        <f t="shared" si="248"/>
        <v>0</v>
      </c>
      <c r="AD793" s="668">
        <f t="shared" si="256"/>
        <v>0</v>
      </c>
      <c r="AE793" s="668">
        <f t="shared" si="257"/>
        <v>0</v>
      </c>
      <c r="AF793" s="668">
        <f t="shared" si="258"/>
        <v>0</v>
      </c>
      <c r="AG793" s="668">
        <f t="shared" si="259"/>
        <v>0</v>
      </c>
      <c r="AH793" s="668"/>
      <c r="AI793" s="668"/>
      <c r="AJ793" s="668"/>
      <c r="AK793" s="668"/>
      <c r="AL793" s="668"/>
      <c r="AM793" s="668">
        <f t="shared" si="260"/>
        <v>0</v>
      </c>
      <c r="AN793" s="668">
        <f t="shared" si="244"/>
        <v>0</v>
      </c>
      <c r="AO793" s="668">
        <f t="shared" si="245"/>
        <v>0</v>
      </c>
      <c r="AP793" s="668">
        <f t="shared" si="261"/>
        <v>320</v>
      </c>
      <c r="AQ793" s="668">
        <f t="shared" si="246"/>
        <v>0</v>
      </c>
      <c r="AR793" s="668">
        <f t="shared" si="247"/>
        <v>0</v>
      </c>
      <c r="AS793" s="668"/>
      <c r="AT793" s="668"/>
      <c r="AU793" s="668"/>
      <c r="AV793" s="668"/>
      <c r="AW793" s="668"/>
      <c r="AX793" s="668"/>
      <c r="AY793" s="668"/>
      <c r="AZ793" s="668"/>
      <c r="BA793" s="668"/>
      <c r="BB793" s="668"/>
      <c r="BC793" s="668"/>
      <c r="BD793" s="668"/>
      <c r="BE793" s="668"/>
      <c r="BF793" s="668"/>
      <c r="BG793" s="668"/>
      <c r="BH793" s="668"/>
      <c r="BI793" s="668"/>
    </row>
    <row r="794" spans="1:61" x14ac:dyDescent="0.2">
      <c r="A794" s="1020" t="s">
        <v>777</v>
      </c>
      <c r="B794" s="1020" t="s">
        <v>517</v>
      </c>
      <c r="C794" s="1020"/>
      <c r="D794" s="667">
        <v>50</v>
      </c>
      <c r="E794" s="667"/>
      <c r="F794" s="667"/>
      <c r="G794" s="667"/>
      <c r="H794" s="667"/>
      <c r="I794" s="667"/>
      <c r="J794" s="667"/>
      <c r="K794" s="667"/>
      <c r="L794" s="667"/>
      <c r="M794" s="667"/>
      <c r="N794" s="667"/>
      <c r="O794" s="667"/>
      <c r="P794" s="667"/>
      <c r="Q794" s="667"/>
      <c r="R794" s="667"/>
      <c r="S794" s="667"/>
      <c r="T794" s="667"/>
      <c r="U794" s="1020">
        <v>12</v>
      </c>
      <c r="V794" s="668">
        <f t="shared" si="249"/>
        <v>600</v>
      </c>
      <c r="W794" s="668">
        <f t="shared" si="250"/>
        <v>0</v>
      </c>
      <c r="X794" s="668">
        <f t="shared" si="251"/>
        <v>0</v>
      </c>
      <c r="Y794" s="668">
        <f t="shared" si="252"/>
        <v>0</v>
      </c>
      <c r="Z794" s="668">
        <f t="shared" si="253"/>
        <v>0</v>
      </c>
      <c r="AA794" s="668">
        <f t="shared" si="254"/>
        <v>0</v>
      </c>
      <c r="AB794" s="668">
        <f t="shared" si="255"/>
        <v>0</v>
      </c>
      <c r="AC794" s="668">
        <f t="shared" si="248"/>
        <v>0</v>
      </c>
      <c r="AD794" s="668">
        <f t="shared" si="256"/>
        <v>0</v>
      </c>
      <c r="AE794" s="668">
        <f t="shared" si="257"/>
        <v>0</v>
      </c>
      <c r="AF794" s="668">
        <f t="shared" si="258"/>
        <v>0</v>
      </c>
      <c r="AG794" s="668">
        <f t="shared" si="259"/>
        <v>0</v>
      </c>
      <c r="AH794" s="668"/>
      <c r="AI794" s="668"/>
      <c r="AJ794" s="668"/>
      <c r="AK794" s="668"/>
      <c r="AL794" s="668"/>
      <c r="AM794" s="668">
        <f t="shared" si="260"/>
        <v>0</v>
      </c>
      <c r="AN794" s="668">
        <f t="shared" si="244"/>
        <v>0</v>
      </c>
      <c r="AO794" s="668">
        <f t="shared" si="245"/>
        <v>0</v>
      </c>
      <c r="AP794" s="668">
        <f t="shared" si="261"/>
        <v>0</v>
      </c>
      <c r="AQ794" s="668">
        <f t="shared" si="246"/>
        <v>0</v>
      </c>
      <c r="AR794" s="668">
        <f t="shared" si="247"/>
        <v>0</v>
      </c>
      <c r="AS794" s="668"/>
      <c r="AT794" s="668"/>
      <c r="AU794" s="668"/>
      <c r="AV794" s="668"/>
      <c r="AW794" s="668"/>
      <c r="AX794" s="668"/>
      <c r="AY794" s="668"/>
      <c r="AZ794" s="668"/>
      <c r="BA794" s="668"/>
      <c r="BB794" s="668">
        <f t="shared" si="262"/>
        <v>0</v>
      </c>
      <c r="BC794" s="668"/>
      <c r="BD794" s="668"/>
      <c r="BE794" s="668"/>
      <c r="BF794" s="668"/>
      <c r="BG794" s="668"/>
      <c r="BH794" s="668"/>
      <c r="BI794" s="668"/>
    </row>
    <row r="795" spans="1:61" x14ac:dyDescent="0.2">
      <c r="A795" s="1020">
        <v>4077</v>
      </c>
      <c r="B795" s="1020" t="s">
        <v>672</v>
      </c>
      <c r="C795" s="1020"/>
      <c r="D795" s="667">
        <v>35</v>
      </c>
      <c r="E795" s="667"/>
      <c r="F795" s="667">
        <v>15</v>
      </c>
      <c r="G795" s="667"/>
      <c r="H795" s="667"/>
      <c r="I795" s="667"/>
      <c r="J795" s="667"/>
      <c r="K795" s="667"/>
      <c r="L795" s="667"/>
      <c r="M795" s="667"/>
      <c r="N795" s="667"/>
      <c r="O795" s="667"/>
      <c r="P795" s="667"/>
      <c r="Q795" s="667"/>
      <c r="R795" s="667"/>
      <c r="S795" s="667"/>
      <c r="T795" s="667"/>
      <c r="U795" s="1020">
        <v>10</v>
      </c>
      <c r="V795" s="668">
        <f t="shared" si="249"/>
        <v>350</v>
      </c>
      <c r="W795" s="668">
        <f t="shared" si="250"/>
        <v>0</v>
      </c>
      <c r="X795" s="668">
        <f t="shared" si="251"/>
        <v>0</v>
      </c>
      <c r="Y795" s="668">
        <f t="shared" si="252"/>
        <v>0</v>
      </c>
      <c r="Z795" s="668">
        <f t="shared" si="253"/>
        <v>0</v>
      </c>
      <c r="AA795" s="668">
        <f t="shared" si="254"/>
        <v>0</v>
      </c>
      <c r="AB795" s="668">
        <f t="shared" si="255"/>
        <v>0</v>
      </c>
      <c r="AC795" s="668">
        <f t="shared" si="248"/>
        <v>0</v>
      </c>
      <c r="AD795" s="668">
        <f t="shared" si="256"/>
        <v>0</v>
      </c>
      <c r="AE795" s="668">
        <f t="shared" si="257"/>
        <v>0</v>
      </c>
      <c r="AF795" s="668">
        <f t="shared" si="258"/>
        <v>0</v>
      </c>
      <c r="AG795" s="668">
        <f t="shared" si="259"/>
        <v>0</v>
      </c>
      <c r="AH795" s="668"/>
      <c r="AI795" s="668"/>
      <c r="AJ795" s="668"/>
      <c r="AK795" s="668"/>
      <c r="AL795" s="668"/>
      <c r="AM795" s="668">
        <f t="shared" si="260"/>
        <v>0</v>
      </c>
      <c r="AN795" s="668">
        <f t="shared" si="244"/>
        <v>0</v>
      </c>
      <c r="AO795" s="668">
        <f t="shared" si="245"/>
        <v>0</v>
      </c>
      <c r="AP795" s="668">
        <f t="shared" si="261"/>
        <v>150</v>
      </c>
      <c r="AQ795" s="668">
        <f t="shared" si="246"/>
        <v>0</v>
      </c>
      <c r="AR795" s="668">
        <f t="shared" si="247"/>
        <v>0</v>
      </c>
      <c r="AS795" s="668"/>
      <c r="AT795" s="668"/>
      <c r="AU795" s="668"/>
      <c r="AV795" s="668"/>
      <c r="AW795" s="668"/>
      <c r="AX795" s="668"/>
      <c r="AY795" s="668"/>
      <c r="AZ795" s="668"/>
      <c r="BA795" s="668"/>
      <c r="BB795" s="668">
        <f t="shared" si="262"/>
        <v>150</v>
      </c>
      <c r="BC795" s="668"/>
      <c r="BD795" s="668"/>
      <c r="BE795" s="668"/>
      <c r="BF795" s="668"/>
      <c r="BG795" s="668"/>
      <c r="BH795" s="668"/>
      <c r="BI795" s="668"/>
    </row>
    <row r="796" spans="1:61" x14ac:dyDescent="0.2">
      <c r="A796" s="1020">
        <v>4078</v>
      </c>
      <c r="B796" s="1020" t="s">
        <v>672</v>
      </c>
      <c r="C796" s="1020"/>
      <c r="D796" s="667">
        <v>35</v>
      </c>
      <c r="E796" s="667"/>
      <c r="F796" s="667">
        <v>15</v>
      </c>
      <c r="G796" s="667"/>
      <c r="H796" s="667"/>
      <c r="I796" s="667"/>
      <c r="J796" s="667"/>
      <c r="K796" s="667"/>
      <c r="L796" s="667"/>
      <c r="M796" s="667"/>
      <c r="N796" s="667"/>
      <c r="O796" s="667"/>
      <c r="P796" s="667"/>
      <c r="Q796" s="667"/>
      <c r="R796" s="667"/>
      <c r="S796" s="667"/>
      <c r="T796" s="667"/>
      <c r="U796" s="1020">
        <v>10</v>
      </c>
      <c r="V796" s="668">
        <f t="shared" si="249"/>
        <v>350</v>
      </c>
      <c r="W796" s="668">
        <f t="shared" si="250"/>
        <v>0</v>
      </c>
      <c r="X796" s="668">
        <f t="shared" si="251"/>
        <v>0</v>
      </c>
      <c r="Y796" s="668">
        <f t="shared" si="252"/>
        <v>0</v>
      </c>
      <c r="Z796" s="668">
        <f t="shared" si="253"/>
        <v>0</v>
      </c>
      <c r="AA796" s="668">
        <f t="shared" si="254"/>
        <v>0</v>
      </c>
      <c r="AB796" s="668">
        <f t="shared" si="255"/>
        <v>0</v>
      </c>
      <c r="AC796" s="668">
        <f t="shared" si="248"/>
        <v>0</v>
      </c>
      <c r="AD796" s="668">
        <f t="shared" si="256"/>
        <v>0</v>
      </c>
      <c r="AE796" s="668">
        <f t="shared" si="257"/>
        <v>0</v>
      </c>
      <c r="AF796" s="668">
        <f t="shared" si="258"/>
        <v>0</v>
      </c>
      <c r="AG796" s="668">
        <f t="shared" si="259"/>
        <v>0</v>
      </c>
      <c r="AH796" s="668"/>
      <c r="AI796" s="668"/>
      <c r="AJ796" s="668"/>
      <c r="AK796" s="668"/>
      <c r="AL796" s="668"/>
      <c r="AM796" s="668">
        <f t="shared" si="260"/>
        <v>0</v>
      </c>
      <c r="AN796" s="668">
        <f t="shared" si="244"/>
        <v>0</v>
      </c>
      <c r="AO796" s="668">
        <f t="shared" si="245"/>
        <v>0</v>
      </c>
      <c r="AP796" s="668">
        <f t="shared" si="261"/>
        <v>150</v>
      </c>
      <c r="AQ796" s="668">
        <f t="shared" si="246"/>
        <v>0</v>
      </c>
      <c r="AR796" s="668">
        <f t="shared" si="247"/>
        <v>0</v>
      </c>
      <c r="AS796" s="668"/>
      <c r="AT796" s="668"/>
      <c r="AU796" s="668"/>
      <c r="AV796" s="668"/>
      <c r="AW796" s="668"/>
      <c r="AX796" s="668"/>
      <c r="AY796" s="668"/>
      <c r="AZ796" s="668"/>
      <c r="BA796" s="668"/>
      <c r="BB796" s="668">
        <f t="shared" si="262"/>
        <v>150</v>
      </c>
      <c r="BC796" s="668"/>
      <c r="BD796" s="668"/>
      <c r="BE796" s="668"/>
      <c r="BF796" s="668"/>
      <c r="BG796" s="668"/>
      <c r="BH796" s="668"/>
      <c r="BI796" s="668"/>
    </row>
    <row r="797" spans="1:61" x14ac:dyDescent="0.2">
      <c r="A797" s="1020">
        <v>4079</v>
      </c>
      <c r="B797" s="1020" t="s">
        <v>519</v>
      </c>
      <c r="C797" s="1020"/>
      <c r="D797" s="667">
        <v>35</v>
      </c>
      <c r="E797" s="667"/>
      <c r="F797" s="667">
        <v>15</v>
      </c>
      <c r="G797" s="667"/>
      <c r="H797" s="667"/>
      <c r="I797" s="667"/>
      <c r="J797" s="667"/>
      <c r="K797" s="667"/>
      <c r="L797" s="667"/>
      <c r="M797" s="667"/>
      <c r="N797" s="667"/>
      <c r="O797" s="667"/>
      <c r="P797" s="667"/>
      <c r="Q797" s="667"/>
      <c r="R797" s="667"/>
      <c r="S797" s="667"/>
      <c r="T797" s="667">
        <v>150</v>
      </c>
      <c r="U797" s="1020">
        <v>12</v>
      </c>
      <c r="V797" s="668">
        <f t="shared" si="249"/>
        <v>420</v>
      </c>
      <c r="W797" s="668">
        <f t="shared" si="250"/>
        <v>0</v>
      </c>
      <c r="X797" s="668">
        <f t="shared" si="251"/>
        <v>0</v>
      </c>
      <c r="Y797" s="668">
        <f t="shared" si="252"/>
        <v>0</v>
      </c>
      <c r="Z797" s="668">
        <f t="shared" si="253"/>
        <v>0</v>
      </c>
      <c r="AA797" s="668">
        <f t="shared" si="254"/>
        <v>0</v>
      </c>
      <c r="AB797" s="668">
        <f t="shared" si="255"/>
        <v>150</v>
      </c>
      <c r="AC797" s="668">
        <f t="shared" si="248"/>
        <v>0</v>
      </c>
      <c r="AD797" s="668">
        <f t="shared" si="256"/>
        <v>0</v>
      </c>
      <c r="AE797" s="668">
        <f t="shared" si="257"/>
        <v>0</v>
      </c>
      <c r="AF797" s="668">
        <f t="shared" si="258"/>
        <v>0</v>
      </c>
      <c r="AG797" s="668">
        <f t="shared" si="259"/>
        <v>0</v>
      </c>
      <c r="AH797" s="668"/>
      <c r="AI797" s="668"/>
      <c r="AJ797" s="668"/>
      <c r="AK797" s="668"/>
      <c r="AL797" s="668"/>
      <c r="AM797" s="668">
        <f t="shared" si="260"/>
        <v>0</v>
      </c>
      <c r="AN797" s="668">
        <f t="shared" si="244"/>
        <v>0</v>
      </c>
      <c r="AO797" s="668">
        <f t="shared" si="245"/>
        <v>0</v>
      </c>
      <c r="AP797" s="668">
        <f t="shared" si="261"/>
        <v>180</v>
      </c>
      <c r="AQ797" s="668">
        <f t="shared" si="246"/>
        <v>0</v>
      </c>
      <c r="AR797" s="668">
        <f t="shared" si="247"/>
        <v>0</v>
      </c>
      <c r="AS797" s="668"/>
      <c r="AT797" s="668"/>
      <c r="AU797" s="668"/>
      <c r="AV797" s="668"/>
      <c r="AW797" s="668"/>
      <c r="AX797" s="668"/>
      <c r="AY797" s="668"/>
      <c r="AZ797" s="668"/>
      <c r="BA797" s="668"/>
      <c r="BB797" s="668">
        <f t="shared" si="262"/>
        <v>180</v>
      </c>
      <c r="BC797" s="668"/>
      <c r="BD797" s="668"/>
      <c r="BE797" s="668"/>
      <c r="BF797" s="668"/>
      <c r="BG797" s="668"/>
      <c r="BH797" s="668"/>
      <c r="BI797" s="668"/>
    </row>
    <row r="798" spans="1:61" x14ac:dyDescent="0.2">
      <c r="A798" s="1020">
        <v>4080</v>
      </c>
      <c r="B798" s="1020" t="s">
        <v>519</v>
      </c>
      <c r="C798" s="1020"/>
      <c r="D798" s="667">
        <v>35</v>
      </c>
      <c r="E798" s="667"/>
      <c r="F798" s="667">
        <v>15</v>
      </c>
      <c r="G798" s="667"/>
      <c r="H798" s="667"/>
      <c r="I798" s="667"/>
      <c r="J798" s="667"/>
      <c r="K798" s="667"/>
      <c r="L798" s="667"/>
      <c r="M798" s="667"/>
      <c r="N798" s="667"/>
      <c r="O798" s="667"/>
      <c r="P798" s="667"/>
      <c r="Q798" s="667"/>
      <c r="R798" s="667"/>
      <c r="S798" s="667"/>
      <c r="T798" s="667">
        <v>150</v>
      </c>
      <c r="U798" s="1020">
        <v>12</v>
      </c>
      <c r="V798" s="668">
        <f t="shared" si="249"/>
        <v>420</v>
      </c>
      <c r="W798" s="668">
        <f t="shared" si="250"/>
        <v>0</v>
      </c>
      <c r="X798" s="668">
        <f t="shared" si="251"/>
        <v>0</v>
      </c>
      <c r="Y798" s="668">
        <f t="shared" si="252"/>
        <v>0</v>
      </c>
      <c r="Z798" s="668">
        <f t="shared" si="253"/>
        <v>0</v>
      </c>
      <c r="AA798" s="668">
        <f t="shared" si="254"/>
        <v>0</v>
      </c>
      <c r="AB798" s="668">
        <f t="shared" si="255"/>
        <v>150</v>
      </c>
      <c r="AC798" s="668">
        <f t="shared" si="248"/>
        <v>0</v>
      </c>
      <c r="AD798" s="668">
        <f t="shared" si="256"/>
        <v>0</v>
      </c>
      <c r="AE798" s="668">
        <f t="shared" si="257"/>
        <v>0</v>
      </c>
      <c r="AF798" s="668">
        <f t="shared" si="258"/>
        <v>0</v>
      </c>
      <c r="AG798" s="668">
        <f t="shared" si="259"/>
        <v>0</v>
      </c>
      <c r="AH798" s="668"/>
      <c r="AI798" s="668"/>
      <c r="AJ798" s="668"/>
      <c r="AK798" s="668"/>
      <c r="AL798" s="668"/>
      <c r="AM798" s="668">
        <f t="shared" si="260"/>
        <v>0</v>
      </c>
      <c r="AN798" s="668">
        <f t="shared" si="244"/>
        <v>0</v>
      </c>
      <c r="AO798" s="668">
        <f t="shared" si="245"/>
        <v>0</v>
      </c>
      <c r="AP798" s="668">
        <f t="shared" si="261"/>
        <v>180</v>
      </c>
      <c r="AQ798" s="668">
        <f t="shared" si="246"/>
        <v>0</v>
      </c>
      <c r="AR798" s="668">
        <f t="shared" si="247"/>
        <v>0</v>
      </c>
      <c r="AS798" s="668"/>
      <c r="AT798" s="668"/>
      <c r="AU798" s="668"/>
      <c r="AV798" s="668"/>
      <c r="AW798" s="668"/>
      <c r="AX798" s="668"/>
      <c r="AY798" s="668"/>
      <c r="AZ798" s="668"/>
      <c r="BA798" s="668"/>
      <c r="BB798" s="668">
        <f t="shared" si="262"/>
        <v>180</v>
      </c>
      <c r="BC798" s="668"/>
      <c r="BD798" s="668"/>
      <c r="BE798" s="668"/>
      <c r="BF798" s="668"/>
      <c r="BG798" s="668"/>
      <c r="BH798" s="668"/>
      <c r="BI798" s="668"/>
    </row>
    <row r="799" spans="1:61" x14ac:dyDescent="0.2">
      <c r="A799" s="1020">
        <v>4081</v>
      </c>
      <c r="B799" s="1020" t="s">
        <v>515</v>
      </c>
      <c r="C799" s="1020"/>
      <c r="D799" s="667">
        <v>77</v>
      </c>
      <c r="E799" s="667"/>
      <c r="F799" s="667">
        <v>60</v>
      </c>
      <c r="G799" s="667"/>
      <c r="H799" s="667"/>
      <c r="I799" s="667"/>
      <c r="J799" s="667"/>
      <c r="K799" s="667"/>
      <c r="L799" s="667"/>
      <c r="M799" s="667"/>
      <c r="N799" s="667"/>
      <c r="O799" s="667"/>
      <c r="P799" s="667"/>
      <c r="Q799" s="667"/>
      <c r="R799" s="667"/>
      <c r="S799" s="667"/>
      <c r="T799" s="667">
        <v>2020</v>
      </c>
      <c r="U799" s="1033">
        <v>12</v>
      </c>
      <c r="V799" s="668">
        <f t="shared" si="249"/>
        <v>924</v>
      </c>
      <c r="W799" s="668">
        <f t="shared" si="250"/>
        <v>0</v>
      </c>
      <c r="X799" s="668">
        <f t="shared" si="251"/>
        <v>0</v>
      </c>
      <c r="Y799" s="668">
        <f t="shared" si="252"/>
        <v>0</v>
      </c>
      <c r="Z799" s="668">
        <f t="shared" si="253"/>
        <v>0</v>
      </c>
      <c r="AA799" s="668">
        <f t="shared" si="254"/>
        <v>0</v>
      </c>
      <c r="AB799" s="668">
        <f t="shared" si="255"/>
        <v>2020</v>
      </c>
      <c r="AC799" s="668">
        <f t="shared" si="248"/>
        <v>0</v>
      </c>
      <c r="AD799" s="668">
        <f t="shared" si="256"/>
        <v>0</v>
      </c>
      <c r="AE799" s="668">
        <f t="shared" si="257"/>
        <v>0</v>
      </c>
      <c r="AF799" s="668">
        <f t="shared" si="258"/>
        <v>0</v>
      </c>
      <c r="AG799" s="668">
        <f t="shared" si="259"/>
        <v>0</v>
      </c>
      <c r="AH799" s="668"/>
      <c r="AI799" s="668"/>
      <c r="AJ799" s="668"/>
      <c r="AK799" s="668"/>
      <c r="AL799" s="668"/>
      <c r="AM799" s="668">
        <f t="shared" si="260"/>
        <v>0</v>
      </c>
      <c r="AN799" s="668">
        <f t="shared" si="244"/>
        <v>0</v>
      </c>
      <c r="AO799" s="668">
        <f t="shared" si="245"/>
        <v>0</v>
      </c>
      <c r="AP799" s="668">
        <f t="shared" si="261"/>
        <v>720</v>
      </c>
      <c r="AQ799" s="668">
        <f t="shared" si="246"/>
        <v>0</v>
      </c>
      <c r="AR799" s="668">
        <f t="shared" si="247"/>
        <v>0</v>
      </c>
      <c r="AS799" s="668"/>
      <c r="AT799" s="668"/>
      <c r="AU799" s="668"/>
      <c r="AV799" s="668"/>
      <c r="AW799" s="668"/>
      <c r="AX799" s="668"/>
      <c r="AY799" s="668"/>
      <c r="AZ799" s="668"/>
      <c r="BA799" s="668"/>
      <c r="BB799" s="668"/>
      <c r="BC799" s="668"/>
      <c r="BD799" s="668"/>
      <c r="BE799" s="668"/>
      <c r="BF799" s="668"/>
      <c r="BG799" s="668"/>
      <c r="BH799" s="668"/>
      <c r="BI799" s="668"/>
    </row>
    <row r="800" spans="1:61" x14ac:dyDescent="0.2">
      <c r="A800" s="1020">
        <v>4082</v>
      </c>
      <c r="B800" s="1020" t="s">
        <v>515</v>
      </c>
      <c r="C800" s="1020"/>
      <c r="D800" s="667">
        <v>102</v>
      </c>
      <c r="E800" s="667"/>
      <c r="F800" s="667">
        <v>60</v>
      </c>
      <c r="G800" s="667"/>
      <c r="H800" s="667"/>
      <c r="I800" s="667"/>
      <c r="J800" s="667"/>
      <c r="K800" s="667"/>
      <c r="L800" s="667"/>
      <c r="M800" s="667"/>
      <c r="N800" s="667"/>
      <c r="O800" s="667"/>
      <c r="P800" s="667"/>
      <c r="Q800" s="667"/>
      <c r="R800" s="667"/>
      <c r="S800" s="667"/>
      <c r="T800" s="667">
        <v>3000</v>
      </c>
      <c r="U800" s="1033">
        <v>12</v>
      </c>
      <c r="V800" s="668">
        <f t="shared" si="249"/>
        <v>1224</v>
      </c>
      <c r="W800" s="668">
        <f t="shared" si="250"/>
        <v>0</v>
      </c>
      <c r="X800" s="668">
        <f t="shared" si="251"/>
        <v>0</v>
      </c>
      <c r="Y800" s="668">
        <f t="shared" si="252"/>
        <v>0</v>
      </c>
      <c r="Z800" s="668">
        <f t="shared" si="253"/>
        <v>0</v>
      </c>
      <c r="AA800" s="668">
        <f t="shared" si="254"/>
        <v>0</v>
      </c>
      <c r="AB800" s="668">
        <f t="shared" si="255"/>
        <v>3000</v>
      </c>
      <c r="AC800" s="668">
        <f t="shared" si="248"/>
        <v>0</v>
      </c>
      <c r="AD800" s="668">
        <f t="shared" si="256"/>
        <v>0</v>
      </c>
      <c r="AE800" s="668">
        <f t="shared" si="257"/>
        <v>0</v>
      </c>
      <c r="AF800" s="668">
        <f t="shared" si="258"/>
        <v>0</v>
      </c>
      <c r="AG800" s="668">
        <f t="shared" si="259"/>
        <v>0</v>
      </c>
      <c r="AH800" s="668"/>
      <c r="AI800" s="668"/>
      <c r="AJ800" s="668"/>
      <c r="AK800" s="668"/>
      <c r="AL800" s="668"/>
      <c r="AM800" s="668">
        <f t="shared" si="260"/>
        <v>0</v>
      </c>
      <c r="AN800" s="668">
        <f t="shared" si="244"/>
        <v>0</v>
      </c>
      <c r="AO800" s="668">
        <f t="shared" si="245"/>
        <v>0</v>
      </c>
      <c r="AP800" s="668">
        <f t="shared" si="261"/>
        <v>720</v>
      </c>
      <c r="AQ800" s="668">
        <f t="shared" si="246"/>
        <v>0</v>
      </c>
      <c r="AR800" s="668">
        <f t="shared" si="247"/>
        <v>0</v>
      </c>
      <c r="AS800" s="668"/>
      <c r="AT800" s="668"/>
      <c r="AU800" s="668"/>
      <c r="AV800" s="668"/>
      <c r="AW800" s="668"/>
      <c r="AX800" s="668"/>
      <c r="AY800" s="668"/>
      <c r="AZ800" s="668"/>
      <c r="BA800" s="668"/>
      <c r="BB800" s="668"/>
      <c r="BC800" s="668"/>
      <c r="BD800" s="668"/>
      <c r="BE800" s="668"/>
      <c r="BF800" s="668"/>
      <c r="BG800" s="668"/>
      <c r="BH800" s="668"/>
      <c r="BI800" s="668"/>
    </row>
    <row r="801" spans="1:61" x14ac:dyDescent="0.2">
      <c r="A801" s="1020">
        <v>4083</v>
      </c>
      <c r="B801" s="1020" t="s">
        <v>519</v>
      </c>
      <c r="C801" s="1020"/>
      <c r="D801" s="667">
        <v>35</v>
      </c>
      <c r="E801" s="667"/>
      <c r="F801" s="667">
        <v>15</v>
      </c>
      <c r="G801" s="667"/>
      <c r="H801" s="667"/>
      <c r="I801" s="667"/>
      <c r="J801" s="667"/>
      <c r="K801" s="667"/>
      <c r="L801" s="667"/>
      <c r="M801" s="667"/>
      <c r="N801" s="667"/>
      <c r="O801" s="667"/>
      <c r="P801" s="667"/>
      <c r="Q801" s="667"/>
      <c r="R801" s="667"/>
      <c r="S801" s="667"/>
      <c r="T801" s="667">
        <v>150</v>
      </c>
      <c r="U801" s="1033">
        <v>12</v>
      </c>
      <c r="V801" s="668">
        <f t="shared" si="249"/>
        <v>420</v>
      </c>
      <c r="W801" s="668">
        <f t="shared" si="250"/>
        <v>0</v>
      </c>
      <c r="X801" s="668">
        <f t="shared" si="251"/>
        <v>0</v>
      </c>
      <c r="Y801" s="668">
        <f t="shared" si="252"/>
        <v>0</v>
      </c>
      <c r="Z801" s="668">
        <f t="shared" si="253"/>
        <v>0</v>
      </c>
      <c r="AA801" s="668">
        <f t="shared" si="254"/>
        <v>0</v>
      </c>
      <c r="AB801" s="668">
        <f t="shared" si="255"/>
        <v>150</v>
      </c>
      <c r="AC801" s="668">
        <f t="shared" si="248"/>
        <v>0</v>
      </c>
      <c r="AD801" s="668">
        <f t="shared" si="256"/>
        <v>0</v>
      </c>
      <c r="AE801" s="668">
        <f t="shared" si="257"/>
        <v>0</v>
      </c>
      <c r="AF801" s="668">
        <f t="shared" si="258"/>
        <v>0</v>
      </c>
      <c r="AG801" s="668">
        <f t="shared" si="259"/>
        <v>0</v>
      </c>
      <c r="AH801" s="668"/>
      <c r="AI801" s="668"/>
      <c r="AJ801" s="668"/>
      <c r="AK801" s="668"/>
      <c r="AL801" s="668"/>
      <c r="AM801" s="668">
        <f t="shared" si="260"/>
        <v>0</v>
      </c>
      <c r="AN801" s="668">
        <f t="shared" si="244"/>
        <v>0</v>
      </c>
      <c r="AO801" s="668">
        <f t="shared" si="245"/>
        <v>0</v>
      </c>
      <c r="AP801" s="668">
        <f t="shared" si="261"/>
        <v>180</v>
      </c>
      <c r="AQ801" s="668">
        <f t="shared" si="246"/>
        <v>0</v>
      </c>
      <c r="AR801" s="668">
        <f t="shared" si="247"/>
        <v>0</v>
      </c>
      <c r="AS801" s="668"/>
      <c r="AT801" s="668"/>
      <c r="AU801" s="668"/>
      <c r="AV801" s="668"/>
      <c r="AW801" s="668"/>
      <c r="AX801" s="668"/>
      <c r="AY801" s="668"/>
      <c r="AZ801" s="668"/>
      <c r="BA801" s="668"/>
      <c r="BB801" s="668">
        <f t="shared" si="262"/>
        <v>180</v>
      </c>
      <c r="BC801" s="668"/>
      <c r="BD801" s="668"/>
      <c r="BE801" s="668"/>
      <c r="BF801" s="668"/>
      <c r="BG801" s="668"/>
      <c r="BH801" s="668"/>
      <c r="BI801" s="668"/>
    </row>
    <row r="802" spans="1:61" x14ac:dyDescent="0.2">
      <c r="A802" s="1020" t="s">
        <v>778</v>
      </c>
      <c r="B802" s="1020" t="s">
        <v>747</v>
      </c>
      <c r="C802" s="1020"/>
      <c r="D802" s="667">
        <v>80</v>
      </c>
      <c r="E802" s="667"/>
      <c r="F802" s="667"/>
      <c r="G802" s="667"/>
      <c r="H802" s="667"/>
      <c r="I802" s="667"/>
      <c r="J802" s="667"/>
      <c r="K802" s="667"/>
      <c r="L802" s="667"/>
      <c r="M802" s="667"/>
      <c r="N802" s="667"/>
      <c r="O802" s="667">
        <v>1</v>
      </c>
      <c r="P802" s="667"/>
      <c r="Q802" s="667"/>
      <c r="R802" s="667"/>
      <c r="S802" s="667"/>
      <c r="T802" s="667"/>
      <c r="U802" s="1033">
        <v>10</v>
      </c>
      <c r="V802" s="668">
        <f t="shared" si="249"/>
        <v>800</v>
      </c>
      <c r="W802" s="668">
        <f t="shared" si="250"/>
        <v>0</v>
      </c>
      <c r="X802" s="668">
        <f t="shared" si="251"/>
        <v>0</v>
      </c>
      <c r="Y802" s="668">
        <f t="shared" si="252"/>
        <v>0</v>
      </c>
      <c r="Z802" s="668">
        <f t="shared" si="253"/>
        <v>0</v>
      </c>
      <c r="AA802" s="668">
        <f t="shared" si="254"/>
        <v>0</v>
      </c>
      <c r="AB802" s="668">
        <f t="shared" si="255"/>
        <v>0</v>
      </c>
      <c r="AC802" s="668">
        <f t="shared" si="248"/>
        <v>0</v>
      </c>
      <c r="AD802" s="668">
        <f t="shared" si="256"/>
        <v>0</v>
      </c>
      <c r="AE802" s="668">
        <f t="shared" si="257"/>
        <v>0</v>
      </c>
      <c r="AF802" s="668">
        <f t="shared" si="258"/>
        <v>0</v>
      </c>
      <c r="AG802" s="668">
        <f t="shared" si="259"/>
        <v>0</v>
      </c>
      <c r="AH802" s="668"/>
      <c r="AI802" s="668"/>
      <c r="AJ802" s="668"/>
      <c r="AK802" s="668"/>
      <c r="AL802" s="668"/>
      <c r="AM802" s="668">
        <f t="shared" si="260"/>
        <v>0</v>
      </c>
      <c r="AN802" s="668">
        <f t="shared" si="244"/>
        <v>0</v>
      </c>
      <c r="AO802" s="668">
        <f t="shared" si="245"/>
        <v>10</v>
      </c>
      <c r="AP802" s="668">
        <f t="shared" si="261"/>
        <v>0</v>
      </c>
      <c r="AQ802" s="668">
        <f t="shared" si="246"/>
        <v>0</v>
      </c>
      <c r="AR802" s="668">
        <f t="shared" si="247"/>
        <v>0</v>
      </c>
      <c r="AS802" s="668"/>
      <c r="AT802" s="668"/>
      <c r="AU802" s="668"/>
      <c r="AV802" s="668"/>
      <c r="AW802" s="668"/>
      <c r="AX802" s="668"/>
      <c r="AY802" s="668"/>
      <c r="AZ802" s="668"/>
      <c r="BA802" s="668"/>
      <c r="BB802" s="668">
        <f t="shared" si="262"/>
        <v>0</v>
      </c>
      <c r="BC802" s="668"/>
      <c r="BD802" s="668"/>
      <c r="BE802" s="668"/>
      <c r="BF802" s="668"/>
      <c r="BG802" s="668"/>
      <c r="BH802" s="668"/>
      <c r="BI802" s="668"/>
    </row>
    <row r="803" spans="1:61" x14ac:dyDescent="0.2">
      <c r="A803" s="1020" t="s">
        <v>779</v>
      </c>
      <c r="B803" s="1020" t="s">
        <v>696</v>
      </c>
      <c r="C803" s="1020"/>
      <c r="D803" s="667">
        <v>51</v>
      </c>
      <c r="E803" s="667"/>
      <c r="F803" s="667"/>
      <c r="G803" s="667"/>
      <c r="H803" s="667"/>
      <c r="I803" s="667"/>
      <c r="J803" s="667"/>
      <c r="K803" s="667"/>
      <c r="L803" s="667"/>
      <c r="M803" s="667"/>
      <c r="N803" s="667"/>
      <c r="O803" s="667"/>
      <c r="P803" s="667"/>
      <c r="Q803" s="667"/>
      <c r="R803" s="667"/>
      <c r="S803" s="667"/>
      <c r="T803" s="667"/>
      <c r="U803" s="1033">
        <v>10</v>
      </c>
      <c r="V803" s="668">
        <f t="shared" si="249"/>
        <v>510</v>
      </c>
      <c r="W803" s="668">
        <f t="shared" si="250"/>
        <v>0</v>
      </c>
      <c r="X803" s="668">
        <f t="shared" si="251"/>
        <v>0</v>
      </c>
      <c r="Y803" s="668">
        <f t="shared" si="252"/>
        <v>0</v>
      </c>
      <c r="Z803" s="668">
        <f t="shared" si="253"/>
        <v>0</v>
      </c>
      <c r="AA803" s="668">
        <f t="shared" si="254"/>
        <v>0</v>
      </c>
      <c r="AB803" s="668">
        <f t="shared" si="255"/>
        <v>0</v>
      </c>
      <c r="AC803" s="668">
        <f t="shared" si="248"/>
        <v>0</v>
      </c>
      <c r="AD803" s="668">
        <f t="shared" si="256"/>
        <v>0</v>
      </c>
      <c r="AE803" s="668">
        <f t="shared" si="257"/>
        <v>0</v>
      </c>
      <c r="AF803" s="668">
        <f t="shared" si="258"/>
        <v>0</v>
      </c>
      <c r="AG803" s="668">
        <f t="shared" si="259"/>
        <v>0</v>
      </c>
      <c r="AH803" s="668"/>
      <c r="AI803" s="668"/>
      <c r="AJ803" s="668"/>
      <c r="AK803" s="668"/>
      <c r="AL803" s="668"/>
      <c r="AM803" s="668">
        <f t="shared" si="260"/>
        <v>0</v>
      </c>
      <c r="AN803" s="668">
        <f t="shared" si="244"/>
        <v>0</v>
      </c>
      <c r="AO803" s="668">
        <f t="shared" si="245"/>
        <v>0</v>
      </c>
      <c r="AP803" s="668">
        <f t="shared" si="261"/>
        <v>0</v>
      </c>
      <c r="AQ803" s="668">
        <f t="shared" si="246"/>
        <v>0</v>
      </c>
      <c r="AR803" s="668">
        <f t="shared" si="247"/>
        <v>0</v>
      </c>
      <c r="AS803" s="668"/>
      <c r="AT803" s="668"/>
      <c r="AU803" s="668"/>
      <c r="AV803" s="668"/>
      <c r="AW803" s="668"/>
      <c r="AX803" s="668"/>
      <c r="AY803" s="668"/>
      <c r="AZ803" s="668"/>
      <c r="BA803" s="668"/>
      <c r="BB803" s="668">
        <f t="shared" si="262"/>
        <v>0</v>
      </c>
      <c r="BC803" s="668"/>
      <c r="BD803" s="668"/>
      <c r="BE803" s="668"/>
      <c r="BF803" s="668"/>
      <c r="BG803" s="668"/>
      <c r="BH803" s="668"/>
      <c r="BI803" s="668"/>
    </row>
    <row r="804" spans="1:61" x14ac:dyDescent="0.2">
      <c r="A804" s="1020">
        <v>4085</v>
      </c>
      <c r="B804" s="1020" t="s">
        <v>780</v>
      </c>
      <c r="C804" s="1020"/>
      <c r="D804" s="667">
        <v>80</v>
      </c>
      <c r="E804" s="667"/>
      <c r="F804" s="667"/>
      <c r="G804" s="667"/>
      <c r="H804" s="667"/>
      <c r="I804" s="667"/>
      <c r="J804" s="667"/>
      <c r="K804" s="667"/>
      <c r="L804" s="667"/>
      <c r="M804" s="667"/>
      <c r="N804" s="667"/>
      <c r="O804" s="667"/>
      <c r="P804" s="667"/>
      <c r="Q804" s="667"/>
      <c r="R804" s="667"/>
      <c r="S804" s="667"/>
      <c r="T804" s="667"/>
      <c r="U804" s="1033">
        <v>10</v>
      </c>
      <c r="V804" s="668">
        <f t="shared" si="249"/>
        <v>800</v>
      </c>
      <c r="W804" s="668">
        <f t="shared" si="250"/>
        <v>0</v>
      </c>
      <c r="X804" s="668">
        <f t="shared" si="251"/>
        <v>0</v>
      </c>
      <c r="Y804" s="668">
        <f t="shared" si="252"/>
        <v>0</v>
      </c>
      <c r="Z804" s="668">
        <f t="shared" si="253"/>
        <v>0</v>
      </c>
      <c r="AA804" s="668">
        <f t="shared" si="254"/>
        <v>0</v>
      </c>
      <c r="AB804" s="668">
        <f t="shared" si="255"/>
        <v>0</v>
      </c>
      <c r="AC804" s="668">
        <f t="shared" si="248"/>
        <v>0</v>
      </c>
      <c r="AD804" s="668">
        <f t="shared" si="256"/>
        <v>0</v>
      </c>
      <c r="AE804" s="668">
        <f t="shared" si="257"/>
        <v>0</v>
      </c>
      <c r="AF804" s="668">
        <f t="shared" si="258"/>
        <v>0</v>
      </c>
      <c r="AG804" s="668">
        <f t="shared" si="259"/>
        <v>0</v>
      </c>
      <c r="AH804" s="668"/>
      <c r="AI804" s="668"/>
      <c r="AJ804" s="668"/>
      <c r="AK804" s="668"/>
      <c r="AL804" s="668"/>
      <c r="AM804" s="668">
        <f t="shared" si="260"/>
        <v>0</v>
      </c>
      <c r="AN804" s="668">
        <f t="shared" si="244"/>
        <v>0</v>
      </c>
      <c r="AO804" s="668">
        <f t="shared" si="245"/>
        <v>0</v>
      </c>
      <c r="AP804" s="668">
        <f t="shared" si="261"/>
        <v>0</v>
      </c>
      <c r="AQ804" s="668">
        <f t="shared" si="246"/>
        <v>0</v>
      </c>
      <c r="AR804" s="668">
        <f t="shared" si="247"/>
        <v>0</v>
      </c>
      <c r="AS804" s="668"/>
      <c r="AT804" s="668"/>
      <c r="AU804" s="668"/>
      <c r="AV804" s="668"/>
      <c r="AW804" s="668"/>
      <c r="AX804" s="668"/>
      <c r="AY804" s="668"/>
      <c r="AZ804" s="668"/>
      <c r="BA804" s="668"/>
      <c r="BB804" s="668">
        <f t="shared" si="262"/>
        <v>0</v>
      </c>
      <c r="BC804" s="668"/>
      <c r="BD804" s="668"/>
      <c r="BE804" s="668"/>
      <c r="BF804" s="668"/>
      <c r="BG804" s="668"/>
      <c r="BH804" s="668"/>
      <c r="BI804" s="668"/>
    </row>
    <row r="805" spans="1:61" x14ac:dyDescent="0.2">
      <c r="A805" s="1020">
        <v>4086</v>
      </c>
      <c r="B805" s="1020" t="s">
        <v>517</v>
      </c>
      <c r="C805" s="1020"/>
      <c r="D805" s="667">
        <v>50</v>
      </c>
      <c r="E805" s="667"/>
      <c r="F805" s="667"/>
      <c r="G805" s="667"/>
      <c r="H805" s="667"/>
      <c r="I805" s="667"/>
      <c r="J805" s="667"/>
      <c r="K805" s="667"/>
      <c r="L805" s="667"/>
      <c r="M805" s="667"/>
      <c r="N805" s="667"/>
      <c r="O805" s="667"/>
      <c r="P805" s="667"/>
      <c r="Q805" s="667"/>
      <c r="R805" s="667"/>
      <c r="S805" s="667"/>
      <c r="T805" s="667"/>
      <c r="U805" s="1033">
        <v>12</v>
      </c>
      <c r="V805" s="668">
        <f t="shared" si="249"/>
        <v>600</v>
      </c>
      <c r="W805" s="668">
        <f t="shared" si="250"/>
        <v>0</v>
      </c>
      <c r="X805" s="668">
        <f t="shared" si="251"/>
        <v>0</v>
      </c>
      <c r="Y805" s="668">
        <f t="shared" si="252"/>
        <v>0</v>
      </c>
      <c r="Z805" s="668">
        <f t="shared" si="253"/>
        <v>0</v>
      </c>
      <c r="AA805" s="668">
        <f t="shared" si="254"/>
        <v>0</v>
      </c>
      <c r="AB805" s="668">
        <f t="shared" si="255"/>
        <v>0</v>
      </c>
      <c r="AC805" s="668">
        <f t="shared" si="248"/>
        <v>0</v>
      </c>
      <c r="AD805" s="668">
        <f t="shared" si="256"/>
        <v>0</v>
      </c>
      <c r="AE805" s="668">
        <f t="shared" si="257"/>
        <v>0</v>
      </c>
      <c r="AF805" s="668">
        <f t="shared" si="258"/>
        <v>0</v>
      </c>
      <c r="AG805" s="668">
        <f t="shared" si="259"/>
        <v>0</v>
      </c>
      <c r="AH805" s="668"/>
      <c r="AI805" s="668"/>
      <c r="AJ805" s="668"/>
      <c r="AK805" s="668"/>
      <c r="AL805" s="668"/>
      <c r="AM805" s="668">
        <f t="shared" si="260"/>
        <v>0</v>
      </c>
      <c r="AN805" s="668">
        <f t="shared" si="244"/>
        <v>0</v>
      </c>
      <c r="AO805" s="668">
        <f t="shared" si="245"/>
        <v>0</v>
      </c>
      <c r="AP805" s="668">
        <f t="shared" si="261"/>
        <v>0</v>
      </c>
      <c r="AQ805" s="668">
        <f t="shared" si="246"/>
        <v>0</v>
      </c>
      <c r="AR805" s="668">
        <f t="shared" si="247"/>
        <v>0</v>
      </c>
      <c r="AS805" s="668"/>
      <c r="AT805" s="668"/>
      <c r="AU805" s="668"/>
      <c r="AV805" s="668"/>
      <c r="AW805" s="668"/>
      <c r="AX805" s="668"/>
      <c r="AY805" s="668"/>
      <c r="AZ805" s="668"/>
      <c r="BA805" s="668"/>
      <c r="BB805" s="668">
        <f t="shared" si="262"/>
        <v>0</v>
      </c>
      <c r="BC805" s="668"/>
      <c r="BD805" s="668"/>
      <c r="BE805" s="668"/>
      <c r="BF805" s="668"/>
      <c r="BG805" s="668"/>
      <c r="BH805" s="668"/>
      <c r="BI805" s="668"/>
    </row>
    <row r="806" spans="1:61" x14ac:dyDescent="0.2">
      <c r="A806" s="1020">
        <v>4087</v>
      </c>
      <c r="B806" s="1020" t="s">
        <v>519</v>
      </c>
      <c r="C806" s="1020"/>
      <c r="D806" s="667">
        <v>35</v>
      </c>
      <c r="E806" s="667"/>
      <c r="F806" s="667">
        <v>15</v>
      </c>
      <c r="G806" s="667"/>
      <c r="H806" s="667"/>
      <c r="I806" s="667"/>
      <c r="J806" s="667"/>
      <c r="K806" s="667"/>
      <c r="L806" s="667"/>
      <c r="M806" s="667"/>
      <c r="N806" s="667"/>
      <c r="O806" s="667"/>
      <c r="P806" s="667"/>
      <c r="Q806" s="667"/>
      <c r="R806" s="667"/>
      <c r="S806" s="667"/>
      <c r="T806" s="667">
        <v>150</v>
      </c>
      <c r="U806" s="1033">
        <v>12</v>
      </c>
      <c r="V806" s="668">
        <f t="shared" si="249"/>
        <v>420</v>
      </c>
      <c r="W806" s="668">
        <f t="shared" si="250"/>
        <v>0</v>
      </c>
      <c r="X806" s="668">
        <f t="shared" si="251"/>
        <v>0</v>
      </c>
      <c r="Y806" s="668">
        <f t="shared" si="252"/>
        <v>0</v>
      </c>
      <c r="Z806" s="668">
        <f t="shared" si="253"/>
        <v>0</v>
      </c>
      <c r="AA806" s="668">
        <f t="shared" si="254"/>
        <v>0</v>
      </c>
      <c r="AB806" s="668">
        <f t="shared" si="255"/>
        <v>150</v>
      </c>
      <c r="AC806" s="668">
        <f t="shared" si="248"/>
        <v>0</v>
      </c>
      <c r="AD806" s="668">
        <f t="shared" si="256"/>
        <v>0</v>
      </c>
      <c r="AE806" s="668">
        <f t="shared" si="257"/>
        <v>0</v>
      </c>
      <c r="AF806" s="668">
        <f t="shared" si="258"/>
        <v>0</v>
      </c>
      <c r="AG806" s="668">
        <f t="shared" si="259"/>
        <v>0</v>
      </c>
      <c r="AH806" s="668"/>
      <c r="AI806" s="668"/>
      <c r="AJ806" s="668"/>
      <c r="AK806" s="668"/>
      <c r="AL806" s="668"/>
      <c r="AM806" s="668">
        <f t="shared" si="260"/>
        <v>0</v>
      </c>
      <c r="AN806" s="668">
        <f t="shared" si="244"/>
        <v>0</v>
      </c>
      <c r="AO806" s="668">
        <f t="shared" si="245"/>
        <v>0</v>
      </c>
      <c r="AP806" s="668">
        <f t="shared" si="261"/>
        <v>180</v>
      </c>
      <c r="AQ806" s="668">
        <f t="shared" si="246"/>
        <v>0</v>
      </c>
      <c r="AR806" s="668">
        <f t="shared" si="247"/>
        <v>0</v>
      </c>
      <c r="AS806" s="668"/>
      <c r="AT806" s="668"/>
      <c r="AU806" s="668"/>
      <c r="AV806" s="668"/>
      <c r="AW806" s="668"/>
      <c r="AX806" s="668"/>
      <c r="AY806" s="668"/>
      <c r="AZ806" s="668"/>
      <c r="BA806" s="668"/>
      <c r="BB806" s="668">
        <f t="shared" si="262"/>
        <v>180</v>
      </c>
      <c r="BC806" s="668"/>
      <c r="BD806" s="668"/>
      <c r="BE806" s="668"/>
      <c r="BF806" s="668"/>
      <c r="BG806" s="668"/>
      <c r="BH806" s="668"/>
      <c r="BI806" s="668"/>
    </row>
    <row r="807" spans="1:61" x14ac:dyDescent="0.2">
      <c r="A807" s="1020">
        <v>4088</v>
      </c>
      <c r="B807" s="1020" t="s">
        <v>795</v>
      </c>
      <c r="C807" s="1020"/>
      <c r="D807" s="667">
        <v>80</v>
      </c>
      <c r="E807" s="667"/>
      <c r="F807" s="667">
        <v>40</v>
      </c>
      <c r="G807" s="667"/>
      <c r="H807" s="667"/>
      <c r="I807" s="667"/>
      <c r="J807" s="667"/>
      <c r="K807" s="667"/>
      <c r="L807" s="667"/>
      <c r="M807" s="667"/>
      <c r="N807" s="667"/>
      <c r="O807" s="667">
        <v>2</v>
      </c>
      <c r="P807" s="667"/>
      <c r="Q807" s="667"/>
      <c r="R807" s="667"/>
      <c r="S807" s="667"/>
      <c r="T807" s="667"/>
      <c r="U807" s="1033">
        <v>10</v>
      </c>
      <c r="V807" s="668">
        <f t="shared" si="249"/>
        <v>800</v>
      </c>
      <c r="W807" s="668">
        <f t="shared" si="250"/>
        <v>0</v>
      </c>
      <c r="X807" s="668">
        <f t="shared" si="251"/>
        <v>0</v>
      </c>
      <c r="Y807" s="668">
        <f t="shared" si="252"/>
        <v>0</v>
      </c>
      <c r="Z807" s="668">
        <f t="shared" si="253"/>
        <v>0</v>
      </c>
      <c r="AA807" s="668">
        <f t="shared" si="254"/>
        <v>0</v>
      </c>
      <c r="AB807" s="668">
        <f t="shared" si="255"/>
        <v>0</v>
      </c>
      <c r="AC807" s="668">
        <f t="shared" si="248"/>
        <v>0</v>
      </c>
      <c r="AD807" s="668">
        <f t="shared" si="256"/>
        <v>0</v>
      </c>
      <c r="AE807" s="668">
        <f t="shared" si="257"/>
        <v>0</v>
      </c>
      <c r="AF807" s="668">
        <f t="shared" si="258"/>
        <v>0</v>
      </c>
      <c r="AG807" s="668">
        <f t="shared" si="259"/>
        <v>0</v>
      </c>
      <c r="AH807" s="668"/>
      <c r="AI807" s="668"/>
      <c r="AJ807" s="668"/>
      <c r="AK807" s="668"/>
      <c r="AL807" s="668"/>
      <c r="AM807" s="668">
        <f t="shared" si="260"/>
        <v>0</v>
      </c>
      <c r="AN807" s="668">
        <f t="shared" si="244"/>
        <v>0</v>
      </c>
      <c r="AO807" s="668">
        <f t="shared" si="245"/>
        <v>20</v>
      </c>
      <c r="AP807" s="668">
        <f t="shared" si="261"/>
        <v>400</v>
      </c>
      <c r="AQ807" s="668">
        <f t="shared" si="246"/>
        <v>0</v>
      </c>
      <c r="AR807" s="668">
        <f t="shared" si="247"/>
        <v>0</v>
      </c>
      <c r="AS807" s="668"/>
      <c r="AT807" s="668"/>
      <c r="AU807" s="668"/>
      <c r="AV807" s="668"/>
      <c r="AW807" s="668"/>
      <c r="AX807" s="668"/>
      <c r="AY807" s="668"/>
      <c r="AZ807" s="668"/>
      <c r="BA807" s="668"/>
      <c r="BB807" s="668">
        <f t="shared" si="262"/>
        <v>400</v>
      </c>
      <c r="BC807" s="668"/>
      <c r="BD807" s="668"/>
      <c r="BE807" s="668"/>
      <c r="BF807" s="668"/>
      <c r="BG807" s="668"/>
      <c r="BH807" s="668"/>
      <c r="BI807" s="668"/>
    </row>
    <row r="808" spans="1:61" x14ac:dyDescent="0.2">
      <c r="A808" s="1020">
        <v>4089</v>
      </c>
      <c r="B808" s="1020"/>
      <c r="C808" s="1020"/>
      <c r="D808" s="667"/>
      <c r="E808" s="667"/>
      <c r="F808" s="667"/>
      <c r="G808" s="667"/>
      <c r="H808" s="667"/>
      <c r="I808" s="667"/>
      <c r="J808" s="667"/>
      <c r="K808" s="667"/>
      <c r="L808" s="667"/>
      <c r="M808" s="667"/>
      <c r="N808" s="667"/>
      <c r="O808" s="667"/>
      <c r="P808" s="667"/>
      <c r="Q808" s="667"/>
      <c r="R808" s="667"/>
      <c r="S808" s="667"/>
      <c r="T808" s="667"/>
      <c r="U808" s="1020"/>
      <c r="V808" s="668">
        <f t="shared" si="249"/>
        <v>0</v>
      </c>
      <c r="W808" s="668">
        <f t="shared" si="250"/>
        <v>0</v>
      </c>
      <c r="X808" s="668">
        <f t="shared" si="251"/>
        <v>0</v>
      </c>
      <c r="Y808" s="668">
        <f t="shared" si="252"/>
        <v>0</v>
      </c>
      <c r="Z808" s="668">
        <f t="shared" si="253"/>
        <v>0</v>
      </c>
      <c r="AA808" s="668">
        <f t="shared" si="254"/>
        <v>0</v>
      </c>
      <c r="AB808" s="668">
        <f t="shared" si="255"/>
        <v>0</v>
      </c>
      <c r="AC808" s="668">
        <f t="shared" si="248"/>
        <v>0</v>
      </c>
      <c r="AD808" s="668">
        <f t="shared" si="256"/>
        <v>0</v>
      </c>
      <c r="AE808" s="668">
        <f t="shared" si="257"/>
        <v>0</v>
      </c>
      <c r="AF808" s="668">
        <f t="shared" si="258"/>
        <v>0</v>
      </c>
      <c r="AG808" s="668">
        <f t="shared" si="259"/>
        <v>0</v>
      </c>
      <c r="AH808" s="668"/>
      <c r="AI808" s="668"/>
      <c r="AJ808" s="668"/>
      <c r="AK808" s="668"/>
      <c r="AL808" s="668"/>
      <c r="AM808" s="668">
        <f t="shared" si="260"/>
        <v>0</v>
      </c>
      <c r="AN808" s="668">
        <f t="shared" si="244"/>
        <v>0</v>
      </c>
      <c r="AO808" s="668">
        <f t="shared" si="245"/>
        <v>0</v>
      </c>
      <c r="AP808" s="668">
        <f t="shared" si="261"/>
        <v>0</v>
      </c>
      <c r="AQ808" s="668">
        <f t="shared" si="246"/>
        <v>0</v>
      </c>
      <c r="AR808" s="668">
        <f t="shared" si="247"/>
        <v>0</v>
      </c>
      <c r="AS808" s="668"/>
      <c r="AT808" s="668"/>
      <c r="AU808" s="668"/>
      <c r="AV808" s="668"/>
      <c r="AW808" s="668"/>
      <c r="AX808" s="668"/>
      <c r="AY808" s="668"/>
      <c r="AZ808" s="668"/>
      <c r="BA808" s="668"/>
      <c r="BB808" s="668">
        <f t="shared" si="262"/>
        <v>0</v>
      </c>
      <c r="BC808" s="668"/>
      <c r="BD808" s="668"/>
      <c r="BE808" s="668"/>
      <c r="BF808" s="668"/>
      <c r="BG808" s="668"/>
      <c r="BH808" s="668"/>
      <c r="BI808" s="668"/>
    </row>
    <row r="809" spans="1:61" x14ac:dyDescent="0.2">
      <c r="A809" s="1020">
        <v>4090</v>
      </c>
      <c r="B809" s="1020" t="s">
        <v>782</v>
      </c>
      <c r="C809" s="1020"/>
      <c r="D809" s="667"/>
      <c r="E809" s="667"/>
      <c r="F809" s="667"/>
      <c r="G809" s="667"/>
      <c r="H809" s="667"/>
      <c r="I809" s="667"/>
      <c r="J809" s="667"/>
      <c r="K809" s="667"/>
      <c r="L809" s="667"/>
      <c r="M809" s="667"/>
      <c r="N809" s="667"/>
      <c r="O809" s="667"/>
      <c r="P809" s="667"/>
      <c r="Q809" s="667"/>
      <c r="R809" s="667"/>
      <c r="S809" s="667"/>
      <c r="T809" s="667"/>
      <c r="U809" s="1020"/>
      <c r="V809" s="668">
        <f t="shared" si="249"/>
        <v>0</v>
      </c>
      <c r="W809" s="668">
        <f t="shared" si="250"/>
        <v>0</v>
      </c>
      <c r="X809" s="668">
        <f t="shared" si="251"/>
        <v>0</v>
      </c>
      <c r="Y809" s="668">
        <f t="shared" si="252"/>
        <v>0</v>
      </c>
      <c r="Z809" s="668">
        <f t="shared" si="253"/>
        <v>0</v>
      </c>
      <c r="AA809" s="668">
        <f t="shared" si="254"/>
        <v>0</v>
      </c>
      <c r="AB809" s="668">
        <f t="shared" si="255"/>
        <v>0</v>
      </c>
      <c r="AC809" s="668">
        <f t="shared" si="248"/>
        <v>0</v>
      </c>
      <c r="AD809" s="668">
        <f t="shared" si="256"/>
        <v>0</v>
      </c>
      <c r="AE809" s="668">
        <f t="shared" si="257"/>
        <v>0</v>
      </c>
      <c r="AF809" s="668">
        <f t="shared" si="258"/>
        <v>0</v>
      </c>
      <c r="AG809" s="668">
        <f t="shared" si="259"/>
        <v>0</v>
      </c>
      <c r="AH809" s="668"/>
      <c r="AI809" s="668"/>
      <c r="AJ809" s="668"/>
      <c r="AK809" s="668"/>
      <c r="AL809" s="668"/>
      <c r="AM809" s="668">
        <f t="shared" si="260"/>
        <v>0</v>
      </c>
      <c r="AN809" s="668">
        <f t="shared" si="244"/>
        <v>0</v>
      </c>
      <c r="AO809" s="668">
        <f t="shared" si="245"/>
        <v>0</v>
      </c>
      <c r="AP809" s="668">
        <f t="shared" si="261"/>
        <v>0</v>
      </c>
      <c r="AQ809" s="668">
        <f t="shared" si="246"/>
        <v>0</v>
      </c>
      <c r="AR809" s="668">
        <f t="shared" si="247"/>
        <v>0</v>
      </c>
      <c r="AS809" s="668"/>
      <c r="AT809" s="668"/>
      <c r="AU809" s="668"/>
      <c r="AV809" s="668"/>
      <c r="AW809" s="668"/>
      <c r="AX809" s="668"/>
      <c r="AY809" s="668"/>
      <c r="AZ809" s="668"/>
      <c r="BA809" s="668"/>
      <c r="BB809" s="668">
        <f t="shared" si="262"/>
        <v>0</v>
      </c>
      <c r="BC809" s="668"/>
      <c r="BD809" s="668"/>
      <c r="BE809" s="668"/>
      <c r="BF809" s="668"/>
      <c r="BG809" s="668"/>
      <c r="BH809" s="668"/>
      <c r="BI809" s="668"/>
    </row>
    <row r="810" spans="1:61" x14ac:dyDescent="0.2">
      <c r="A810" s="1020">
        <v>4091</v>
      </c>
      <c r="B810" s="1020" t="s">
        <v>687</v>
      </c>
      <c r="C810" s="1020"/>
      <c r="D810" s="667">
        <v>56</v>
      </c>
      <c r="E810" s="667"/>
      <c r="F810" s="667"/>
      <c r="G810" s="667"/>
      <c r="H810" s="667"/>
      <c r="I810" s="667"/>
      <c r="J810" s="667"/>
      <c r="K810" s="667"/>
      <c r="L810" s="667"/>
      <c r="M810" s="667"/>
      <c r="N810" s="667"/>
      <c r="O810" s="667"/>
      <c r="P810" s="667"/>
      <c r="Q810" s="667"/>
      <c r="R810" s="667"/>
      <c r="S810" s="667"/>
      <c r="T810" s="667"/>
      <c r="U810" s="1020">
        <v>10</v>
      </c>
      <c r="V810" s="668">
        <f t="shared" si="249"/>
        <v>560</v>
      </c>
      <c r="W810" s="668">
        <f t="shared" si="250"/>
        <v>0</v>
      </c>
      <c r="X810" s="668">
        <f t="shared" si="251"/>
        <v>0</v>
      </c>
      <c r="Y810" s="668">
        <f t="shared" si="252"/>
        <v>0</v>
      </c>
      <c r="Z810" s="668">
        <f t="shared" si="253"/>
        <v>0</v>
      </c>
      <c r="AA810" s="668">
        <f t="shared" si="254"/>
        <v>0</v>
      </c>
      <c r="AB810" s="668">
        <f t="shared" si="255"/>
        <v>0</v>
      </c>
      <c r="AC810" s="668">
        <f t="shared" si="248"/>
        <v>0</v>
      </c>
      <c r="AD810" s="668">
        <f t="shared" si="256"/>
        <v>0</v>
      </c>
      <c r="AE810" s="668">
        <f t="shared" si="257"/>
        <v>0</v>
      </c>
      <c r="AF810" s="668">
        <f t="shared" si="258"/>
        <v>0</v>
      </c>
      <c r="AG810" s="668">
        <f t="shared" si="259"/>
        <v>0</v>
      </c>
      <c r="AH810" s="668"/>
      <c r="AI810" s="668"/>
      <c r="AJ810" s="668"/>
      <c r="AK810" s="668"/>
      <c r="AL810" s="668"/>
      <c r="AM810" s="668">
        <f t="shared" si="260"/>
        <v>0</v>
      </c>
      <c r="AN810" s="668">
        <f t="shared" si="244"/>
        <v>0</v>
      </c>
      <c r="AO810" s="668">
        <f t="shared" si="245"/>
        <v>0</v>
      </c>
      <c r="AP810" s="668">
        <f t="shared" si="261"/>
        <v>0</v>
      </c>
      <c r="AQ810" s="668">
        <f t="shared" si="246"/>
        <v>0</v>
      </c>
      <c r="AR810" s="668">
        <f t="shared" si="247"/>
        <v>0</v>
      </c>
      <c r="AS810" s="668"/>
      <c r="AT810" s="668"/>
      <c r="AU810" s="668"/>
      <c r="AV810" s="668"/>
      <c r="AW810" s="668"/>
      <c r="AX810" s="668"/>
      <c r="AY810" s="668"/>
      <c r="AZ810" s="668"/>
      <c r="BA810" s="668"/>
      <c r="BB810" s="668">
        <f t="shared" si="262"/>
        <v>0</v>
      </c>
      <c r="BC810" s="668"/>
      <c r="BD810" s="668"/>
      <c r="BE810" s="668"/>
      <c r="BF810" s="668"/>
      <c r="BG810" s="668"/>
      <c r="BH810" s="668"/>
      <c r="BI810" s="668"/>
    </row>
    <row r="811" spans="1:61" x14ac:dyDescent="0.2">
      <c r="A811" s="1020">
        <v>4092</v>
      </c>
      <c r="B811" s="1020" t="s">
        <v>687</v>
      </c>
      <c r="C811" s="1020"/>
      <c r="D811" s="667">
        <v>45</v>
      </c>
      <c r="E811" s="667"/>
      <c r="F811" s="667"/>
      <c r="G811" s="667"/>
      <c r="H811" s="667"/>
      <c r="I811" s="667"/>
      <c r="J811" s="667"/>
      <c r="K811" s="667"/>
      <c r="L811" s="667"/>
      <c r="M811" s="667"/>
      <c r="N811" s="667"/>
      <c r="O811" s="667"/>
      <c r="P811" s="667"/>
      <c r="Q811" s="667"/>
      <c r="R811" s="667"/>
      <c r="S811" s="667"/>
      <c r="T811" s="667"/>
      <c r="U811" s="1020">
        <v>10</v>
      </c>
      <c r="V811" s="668">
        <f t="shared" si="249"/>
        <v>450</v>
      </c>
      <c r="W811" s="668">
        <f t="shared" si="250"/>
        <v>0</v>
      </c>
      <c r="X811" s="668">
        <f t="shared" si="251"/>
        <v>0</v>
      </c>
      <c r="Y811" s="668">
        <f t="shared" si="252"/>
        <v>0</v>
      </c>
      <c r="Z811" s="668">
        <f t="shared" si="253"/>
        <v>0</v>
      </c>
      <c r="AA811" s="668">
        <f t="shared" si="254"/>
        <v>0</v>
      </c>
      <c r="AB811" s="668">
        <f t="shared" si="255"/>
        <v>0</v>
      </c>
      <c r="AC811" s="668">
        <f t="shared" si="248"/>
        <v>0</v>
      </c>
      <c r="AD811" s="668">
        <f t="shared" si="256"/>
        <v>0</v>
      </c>
      <c r="AE811" s="668">
        <f t="shared" si="257"/>
        <v>0</v>
      </c>
      <c r="AF811" s="668">
        <f t="shared" si="258"/>
        <v>0</v>
      </c>
      <c r="AG811" s="668">
        <f t="shared" si="259"/>
        <v>0</v>
      </c>
      <c r="AH811" s="668"/>
      <c r="AI811" s="668"/>
      <c r="AJ811" s="668"/>
      <c r="AK811" s="668"/>
      <c r="AL811" s="668"/>
      <c r="AM811" s="668">
        <f t="shared" si="260"/>
        <v>0</v>
      </c>
      <c r="AN811" s="668">
        <f t="shared" si="244"/>
        <v>0</v>
      </c>
      <c r="AO811" s="668">
        <f t="shared" si="245"/>
        <v>0</v>
      </c>
      <c r="AP811" s="668">
        <f t="shared" si="261"/>
        <v>0</v>
      </c>
      <c r="AQ811" s="668">
        <f t="shared" si="246"/>
        <v>0</v>
      </c>
      <c r="AR811" s="668">
        <f t="shared" si="247"/>
        <v>0</v>
      </c>
      <c r="AS811" s="668"/>
      <c r="AT811" s="668"/>
      <c r="AU811" s="668"/>
      <c r="AV811" s="668"/>
      <c r="AW811" s="668"/>
      <c r="AX811" s="668"/>
      <c r="AY811" s="668"/>
      <c r="AZ811" s="668"/>
      <c r="BA811" s="668"/>
      <c r="BB811" s="668">
        <f t="shared" si="262"/>
        <v>0</v>
      </c>
      <c r="BC811" s="668"/>
      <c r="BD811" s="668"/>
      <c r="BE811" s="668"/>
      <c r="BF811" s="668"/>
      <c r="BG811" s="668"/>
      <c r="BH811" s="668"/>
      <c r="BI811" s="668"/>
    </row>
    <row r="812" spans="1:61" x14ac:dyDescent="0.2">
      <c r="A812" s="1020">
        <v>4093</v>
      </c>
      <c r="B812" s="1020" t="s">
        <v>783</v>
      </c>
      <c r="C812" s="1020"/>
      <c r="D812" s="667">
        <v>95</v>
      </c>
      <c r="E812" s="667"/>
      <c r="F812" s="667"/>
      <c r="G812" s="667"/>
      <c r="H812" s="667"/>
      <c r="I812" s="667"/>
      <c r="J812" s="667"/>
      <c r="K812" s="667"/>
      <c r="L812" s="667"/>
      <c r="M812" s="667"/>
      <c r="N812" s="667"/>
      <c r="O812" s="667"/>
      <c r="P812" s="667"/>
      <c r="Q812" s="667"/>
      <c r="R812" s="667"/>
      <c r="S812" s="667"/>
      <c r="T812" s="667"/>
      <c r="U812" s="1020">
        <v>10</v>
      </c>
      <c r="V812" s="668">
        <f t="shared" si="249"/>
        <v>950</v>
      </c>
      <c r="W812" s="668">
        <f t="shared" si="250"/>
        <v>0</v>
      </c>
      <c r="X812" s="668">
        <f t="shared" si="251"/>
        <v>0</v>
      </c>
      <c r="Y812" s="668">
        <f t="shared" si="252"/>
        <v>0</v>
      </c>
      <c r="Z812" s="668">
        <f t="shared" si="253"/>
        <v>0</v>
      </c>
      <c r="AA812" s="668">
        <f t="shared" si="254"/>
        <v>0</v>
      </c>
      <c r="AB812" s="668">
        <f t="shared" si="255"/>
        <v>0</v>
      </c>
      <c r="AC812" s="668">
        <f t="shared" si="248"/>
        <v>0</v>
      </c>
      <c r="AD812" s="668">
        <f t="shared" si="256"/>
        <v>0</v>
      </c>
      <c r="AE812" s="668">
        <f t="shared" si="257"/>
        <v>0</v>
      </c>
      <c r="AF812" s="668">
        <f t="shared" si="258"/>
        <v>0</v>
      </c>
      <c r="AG812" s="668">
        <f t="shared" si="259"/>
        <v>0</v>
      </c>
      <c r="AH812" s="668"/>
      <c r="AI812" s="668"/>
      <c r="AJ812" s="668"/>
      <c r="AK812" s="668"/>
      <c r="AL812" s="668"/>
      <c r="AM812" s="668">
        <f t="shared" si="260"/>
        <v>0</v>
      </c>
      <c r="AN812" s="668">
        <f t="shared" si="244"/>
        <v>0</v>
      </c>
      <c r="AO812" s="668">
        <f t="shared" si="245"/>
        <v>0</v>
      </c>
      <c r="AP812" s="668">
        <f t="shared" si="261"/>
        <v>0</v>
      </c>
      <c r="AQ812" s="668">
        <f t="shared" si="246"/>
        <v>0</v>
      </c>
      <c r="AR812" s="668">
        <f t="shared" si="247"/>
        <v>0</v>
      </c>
      <c r="AS812" s="668"/>
      <c r="AT812" s="668"/>
      <c r="AU812" s="668"/>
      <c r="AV812" s="668"/>
      <c r="AW812" s="668"/>
      <c r="AX812" s="668"/>
      <c r="AY812" s="668"/>
      <c r="AZ812" s="668"/>
      <c r="BA812" s="668"/>
      <c r="BB812" s="668">
        <f t="shared" si="262"/>
        <v>0</v>
      </c>
      <c r="BC812" s="668"/>
      <c r="BD812" s="668"/>
      <c r="BE812" s="668"/>
      <c r="BF812" s="668"/>
      <c r="BG812" s="668"/>
      <c r="BH812" s="668"/>
      <c r="BI812" s="668"/>
    </row>
    <row r="813" spans="1:61" x14ac:dyDescent="0.2">
      <c r="A813" s="1020">
        <v>4100</v>
      </c>
      <c r="B813" s="1020" t="s">
        <v>784</v>
      </c>
      <c r="C813" s="1020"/>
      <c r="D813" s="667">
        <v>218</v>
      </c>
      <c r="E813" s="667"/>
      <c r="F813" s="667"/>
      <c r="G813" s="667"/>
      <c r="H813" s="667"/>
      <c r="I813" s="667"/>
      <c r="J813" s="667"/>
      <c r="K813" s="667"/>
      <c r="L813" s="667"/>
      <c r="M813" s="667"/>
      <c r="N813" s="667"/>
      <c r="O813" s="667"/>
      <c r="P813" s="667"/>
      <c r="Q813" s="667"/>
      <c r="R813" s="667"/>
      <c r="S813" s="667"/>
      <c r="T813" s="667"/>
      <c r="U813" s="1020">
        <v>14</v>
      </c>
      <c r="V813" s="668">
        <f t="shared" si="249"/>
        <v>3052</v>
      </c>
      <c r="W813" s="668">
        <f t="shared" si="250"/>
        <v>0</v>
      </c>
      <c r="X813" s="668">
        <f t="shared" si="251"/>
        <v>0</v>
      </c>
      <c r="Y813" s="668">
        <f t="shared" si="252"/>
        <v>0</v>
      </c>
      <c r="Z813" s="668">
        <f t="shared" si="253"/>
        <v>0</v>
      </c>
      <c r="AA813" s="668">
        <f t="shared" si="254"/>
        <v>0</v>
      </c>
      <c r="AB813" s="668">
        <f t="shared" si="255"/>
        <v>0</v>
      </c>
      <c r="AC813" s="668">
        <f t="shared" si="248"/>
        <v>0</v>
      </c>
      <c r="AD813" s="668">
        <f t="shared" si="256"/>
        <v>0</v>
      </c>
      <c r="AE813" s="668">
        <f t="shared" si="257"/>
        <v>0</v>
      </c>
      <c r="AF813" s="668">
        <f t="shared" si="258"/>
        <v>0</v>
      </c>
      <c r="AG813" s="668">
        <f t="shared" si="259"/>
        <v>0</v>
      </c>
      <c r="AH813" s="668"/>
      <c r="AI813" s="668"/>
      <c r="AJ813" s="668"/>
      <c r="AK813" s="668"/>
      <c r="AL813" s="668"/>
      <c r="AM813" s="668">
        <f t="shared" si="260"/>
        <v>0</v>
      </c>
      <c r="AN813" s="668">
        <f t="shared" si="244"/>
        <v>0</v>
      </c>
      <c r="AO813" s="668">
        <f t="shared" si="245"/>
        <v>0</v>
      </c>
      <c r="AP813" s="668">
        <f t="shared" si="261"/>
        <v>0</v>
      </c>
      <c r="AQ813" s="668">
        <f t="shared" si="246"/>
        <v>0</v>
      </c>
      <c r="AR813" s="668">
        <f t="shared" si="247"/>
        <v>0</v>
      </c>
      <c r="AS813" s="668"/>
      <c r="AT813" s="668"/>
      <c r="AU813" s="668"/>
      <c r="AV813" s="668"/>
      <c r="AW813" s="668"/>
      <c r="AX813" s="668"/>
      <c r="AY813" s="668"/>
      <c r="AZ813" s="668"/>
      <c r="BA813" s="668"/>
      <c r="BB813" s="668">
        <f t="shared" si="262"/>
        <v>0</v>
      </c>
      <c r="BC813" s="668"/>
      <c r="BD813" s="668"/>
      <c r="BE813" s="668"/>
      <c r="BF813" s="668"/>
      <c r="BG813" s="668"/>
      <c r="BH813" s="668"/>
      <c r="BI813" s="668"/>
    </row>
    <row r="814" spans="1:61" x14ac:dyDescent="0.2">
      <c r="A814" s="1020">
        <v>4101</v>
      </c>
      <c r="B814" s="1020" t="s">
        <v>785</v>
      </c>
      <c r="C814" s="1020"/>
      <c r="D814" s="667">
        <v>28</v>
      </c>
      <c r="E814" s="667"/>
      <c r="F814" s="667"/>
      <c r="G814" s="667">
        <v>48</v>
      </c>
      <c r="H814" s="667"/>
      <c r="I814" s="667"/>
      <c r="J814" s="667"/>
      <c r="K814" s="667"/>
      <c r="L814" s="667"/>
      <c r="M814" s="667"/>
      <c r="N814" s="667"/>
      <c r="O814" s="667"/>
      <c r="P814" s="667"/>
      <c r="Q814" s="667"/>
      <c r="R814" s="667"/>
      <c r="S814" s="667"/>
      <c r="T814" s="667"/>
      <c r="U814" s="1020">
        <v>12</v>
      </c>
      <c r="V814" s="668">
        <f t="shared" si="249"/>
        <v>336</v>
      </c>
      <c r="W814" s="668">
        <f t="shared" si="250"/>
        <v>576</v>
      </c>
      <c r="X814" s="668">
        <f t="shared" si="251"/>
        <v>0</v>
      </c>
      <c r="Y814" s="668">
        <f t="shared" si="252"/>
        <v>0</v>
      </c>
      <c r="Z814" s="668">
        <f t="shared" si="253"/>
        <v>0</v>
      </c>
      <c r="AA814" s="668">
        <f t="shared" si="254"/>
        <v>0</v>
      </c>
      <c r="AB814" s="668">
        <f t="shared" si="255"/>
        <v>0</v>
      </c>
      <c r="AC814" s="668">
        <f t="shared" si="248"/>
        <v>0</v>
      </c>
      <c r="AD814" s="668">
        <f t="shared" si="256"/>
        <v>0</v>
      </c>
      <c r="AE814" s="668">
        <f t="shared" si="257"/>
        <v>0</v>
      </c>
      <c r="AF814" s="668">
        <f t="shared" si="258"/>
        <v>0</v>
      </c>
      <c r="AG814" s="668">
        <f t="shared" si="259"/>
        <v>0</v>
      </c>
      <c r="AH814" s="668"/>
      <c r="AI814" s="668"/>
      <c r="AJ814" s="668"/>
      <c r="AK814" s="668"/>
      <c r="AL814" s="668"/>
      <c r="AM814" s="668">
        <f t="shared" si="260"/>
        <v>0</v>
      </c>
      <c r="AN814" s="668">
        <f t="shared" si="244"/>
        <v>0</v>
      </c>
      <c r="AO814" s="668">
        <f t="shared" si="245"/>
        <v>0</v>
      </c>
      <c r="AP814" s="668">
        <f t="shared" si="261"/>
        <v>0</v>
      </c>
      <c r="AQ814" s="668">
        <f t="shared" si="246"/>
        <v>0</v>
      </c>
      <c r="AR814" s="668">
        <f t="shared" si="247"/>
        <v>0</v>
      </c>
      <c r="AS814" s="668"/>
      <c r="AT814" s="668"/>
      <c r="AU814" s="668"/>
      <c r="AV814" s="668"/>
      <c r="AW814" s="668"/>
      <c r="AX814" s="668"/>
      <c r="AY814" s="668"/>
      <c r="AZ814" s="668"/>
      <c r="BA814" s="668"/>
      <c r="BB814" s="668">
        <f t="shared" si="262"/>
        <v>0</v>
      </c>
      <c r="BC814" s="668"/>
      <c r="BD814" s="668"/>
      <c r="BE814" s="668"/>
      <c r="BF814" s="668"/>
      <c r="BG814" s="668"/>
      <c r="BH814" s="668"/>
      <c r="BI814" s="668"/>
    </row>
    <row r="815" spans="1:61" x14ac:dyDescent="0.2">
      <c r="A815" s="1020">
        <v>4102</v>
      </c>
      <c r="B815" s="1020" t="s">
        <v>748</v>
      </c>
      <c r="C815" s="1020"/>
      <c r="D815" s="667">
        <v>50</v>
      </c>
      <c r="E815" s="667"/>
      <c r="F815" s="667"/>
      <c r="G815" s="667"/>
      <c r="H815" s="667"/>
      <c r="I815" s="667"/>
      <c r="J815" s="667"/>
      <c r="K815" s="667"/>
      <c r="L815" s="667"/>
      <c r="M815" s="667"/>
      <c r="N815" s="667"/>
      <c r="O815" s="667"/>
      <c r="P815" s="667"/>
      <c r="Q815" s="667"/>
      <c r="R815" s="667"/>
      <c r="S815" s="667"/>
      <c r="T815" s="667"/>
      <c r="U815" s="1020">
        <v>10</v>
      </c>
      <c r="V815" s="668">
        <f t="shared" si="249"/>
        <v>500</v>
      </c>
      <c r="W815" s="668">
        <f t="shared" si="250"/>
        <v>0</v>
      </c>
      <c r="X815" s="668">
        <f t="shared" si="251"/>
        <v>0</v>
      </c>
      <c r="Y815" s="668">
        <f t="shared" si="252"/>
        <v>0</v>
      </c>
      <c r="Z815" s="668">
        <f t="shared" si="253"/>
        <v>0</v>
      </c>
      <c r="AA815" s="668">
        <f t="shared" si="254"/>
        <v>0</v>
      </c>
      <c r="AB815" s="668">
        <f t="shared" si="255"/>
        <v>0</v>
      </c>
      <c r="AC815" s="668">
        <f t="shared" si="248"/>
        <v>0</v>
      </c>
      <c r="AD815" s="668">
        <f t="shared" si="256"/>
        <v>0</v>
      </c>
      <c r="AE815" s="668">
        <f t="shared" si="257"/>
        <v>0</v>
      </c>
      <c r="AF815" s="668">
        <f t="shared" si="258"/>
        <v>0</v>
      </c>
      <c r="AG815" s="668">
        <f t="shared" si="259"/>
        <v>0</v>
      </c>
      <c r="AH815" s="668"/>
      <c r="AI815" s="668"/>
      <c r="AJ815" s="668"/>
      <c r="AK815" s="668"/>
      <c r="AL815" s="668"/>
      <c r="AM815" s="668">
        <f t="shared" si="260"/>
        <v>0</v>
      </c>
      <c r="AN815" s="668">
        <f t="shared" si="244"/>
        <v>0</v>
      </c>
      <c r="AO815" s="668">
        <f t="shared" si="245"/>
        <v>0</v>
      </c>
      <c r="AP815" s="668">
        <f t="shared" si="261"/>
        <v>0</v>
      </c>
      <c r="AQ815" s="668">
        <f t="shared" si="246"/>
        <v>0</v>
      </c>
      <c r="AR815" s="668">
        <f t="shared" si="247"/>
        <v>0</v>
      </c>
      <c r="AS815" s="668"/>
      <c r="AT815" s="668"/>
      <c r="AU815" s="668"/>
      <c r="AV815" s="668"/>
      <c r="AW815" s="668"/>
      <c r="AX815" s="668"/>
      <c r="AY815" s="668"/>
      <c r="AZ815" s="668"/>
      <c r="BA815" s="668"/>
      <c r="BB815" s="668">
        <f t="shared" si="262"/>
        <v>0</v>
      </c>
      <c r="BC815" s="668"/>
      <c r="BD815" s="668"/>
      <c r="BE815" s="668"/>
      <c r="BF815" s="668"/>
      <c r="BG815" s="668"/>
      <c r="BH815" s="668"/>
      <c r="BI815" s="668"/>
    </row>
    <row r="816" spans="1:61" x14ac:dyDescent="0.2">
      <c r="A816" s="1020" t="s">
        <v>787</v>
      </c>
      <c r="B816" s="1020" t="s">
        <v>788</v>
      </c>
      <c r="C816" s="1020"/>
      <c r="D816" s="667">
        <v>60</v>
      </c>
      <c r="E816" s="667"/>
      <c r="F816" s="667"/>
      <c r="G816" s="667"/>
      <c r="H816" s="667"/>
      <c r="I816" s="667"/>
      <c r="J816" s="667"/>
      <c r="K816" s="667"/>
      <c r="L816" s="667"/>
      <c r="M816" s="667"/>
      <c r="N816" s="667"/>
      <c r="O816" s="667"/>
      <c r="P816" s="667"/>
      <c r="Q816" s="667"/>
      <c r="R816" s="667"/>
      <c r="S816" s="667"/>
      <c r="T816" s="667"/>
      <c r="U816" s="1020">
        <v>10</v>
      </c>
      <c r="V816" s="668">
        <f t="shared" si="249"/>
        <v>600</v>
      </c>
      <c r="W816" s="668">
        <f t="shared" si="250"/>
        <v>0</v>
      </c>
      <c r="X816" s="668">
        <f t="shared" si="251"/>
        <v>0</v>
      </c>
      <c r="Y816" s="668">
        <f t="shared" si="252"/>
        <v>0</v>
      </c>
      <c r="Z816" s="668">
        <f t="shared" si="253"/>
        <v>0</v>
      </c>
      <c r="AA816" s="668">
        <f t="shared" si="254"/>
        <v>0</v>
      </c>
      <c r="AB816" s="668">
        <f t="shared" si="255"/>
        <v>0</v>
      </c>
      <c r="AC816" s="668">
        <f t="shared" si="248"/>
        <v>0</v>
      </c>
      <c r="AD816" s="668">
        <f t="shared" si="256"/>
        <v>0</v>
      </c>
      <c r="AE816" s="668">
        <f t="shared" si="257"/>
        <v>0</v>
      </c>
      <c r="AF816" s="668">
        <f t="shared" si="258"/>
        <v>0</v>
      </c>
      <c r="AG816" s="668">
        <f t="shared" si="259"/>
        <v>0</v>
      </c>
      <c r="AH816" s="668"/>
      <c r="AI816" s="668"/>
      <c r="AJ816" s="668"/>
      <c r="AK816" s="668"/>
      <c r="AL816" s="668"/>
      <c r="AM816" s="668">
        <f t="shared" si="260"/>
        <v>0</v>
      </c>
      <c r="AN816" s="668">
        <f t="shared" si="244"/>
        <v>0</v>
      </c>
      <c r="AO816" s="668">
        <f t="shared" si="245"/>
        <v>0</v>
      </c>
      <c r="AP816" s="668">
        <f t="shared" si="261"/>
        <v>0</v>
      </c>
      <c r="AQ816" s="668">
        <f t="shared" si="246"/>
        <v>0</v>
      </c>
      <c r="AR816" s="668">
        <f t="shared" si="247"/>
        <v>0</v>
      </c>
      <c r="AS816" s="668"/>
      <c r="AT816" s="668"/>
      <c r="AU816" s="668"/>
      <c r="AV816" s="668"/>
      <c r="AW816" s="668"/>
      <c r="AX816" s="668"/>
      <c r="AY816" s="668"/>
      <c r="AZ816" s="668"/>
      <c r="BA816" s="668"/>
      <c r="BB816" s="668">
        <f t="shared" si="262"/>
        <v>0</v>
      </c>
      <c r="BC816" s="668"/>
      <c r="BD816" s="668"/>
      <c r="BE816" s="668"/>
      <c r="BF816" s="668"/>
      <c r="BG816" s="668"/>
      <c r="BH816" s="668"/>
      <c r="BI816" s="668"/>
    </row>
    <row r="817" spans="1:61" x14ac:dyDescent="0.2">
      <c r="A817" s="1020" t="s">
        <v>786</v>
      </c>
      <c r="B817" s="1020" t="s">
        <v>682</v>
      </c>
      <c r="C817" s="1020"/>
      <c r="D817" s="667">
        <v>30</v>
      </c>
      <c r="E817" s="667"/>
      <c r="F817" s="667">
        <v>30</v>
      </c>
      <c r="G817" s="667"/>
      <c r="H817" s="667"/>
      <c r="I817" s="667"/>
      <c r="J817" s="667"/>
      <c r="K817" s="667"/>
      <c r="L817" s="667"/>
      <c r="M817" s="667"/>
      <c r="N817" s="667"/>
      <c r="O817" s="667"/>
      <c r="P817" s="667"/>
      <c r="Q817" s="667"/>
      <c r="R817" s="667"/>
      <c r="S817" s="667"/>
      <c r="T817" s="667"/>
      <c r="U817" s="1020">
        <v>10</v>
      </c>
      <c r="V817" s="668">
        <f t="shared" si="249"/>
        <v>300</v>
      </c>
      <c r="W817" s="668">
        <f t="shared" si="250"/>
        <v>0</v>
      </c>
      <c r="X817" s="668">
        <f t="shared" si="251"/>
        <v>0</v>
      </c>
      <c r="Y817" s="668">
        <f t="shared" si="252"/>
        <v>0</v>
      </c>
      <c r="Z817" s="668">
        <f t="shared" si="253"/>
        <v>0</v>
      </c>
      <c r="AA817" s="668">
        <f t="shared" si="254"/>
        <v>0</v>
      </c>
      <c r="AB817" s="668">
        <f t="shared" si="255"/>
        <v>0</v>
      </c>
      <c r="AC817" s="668">
        <f t="shared" si="248"/>
        <v>0</v>
      </c>
      <c r="AD817" s="668">
        <f t="shared" si="256"/>
        <v>0</v>
      </c>
      <c r="AE817" s="668">
        <f t="shared" si="257"/>
        <v>0</v>
      </c>
      <c r="AF817" s="668">
        <f t="shared" si="258"/>
        <v>0</v>
      </c>
      <c r="AG817" s="668">
        <f t="shared" si="259"/>
        <v>0</v>
      </c>
      <c r="AH817" s="668"/>
      <c r="AI817" s="668"/>
      <c r="AJ817" s="668"/>
      <c r="AK817" s="668"/>
      <c r="AL817" s="668"/>
      <c r="AM817" s="668">
        <f t="shared" si="260"/>
        <v>0</v>
      </c>
      <c r="AN817" s="668">
        <f t="shared" si="244"/>
        <v>0</v>
      </c>
      <c r="AO817" s="668">
        <f t="shared" si="245"/>
        <v>0</v>
      </c>
      <c r="AP817" s="668">
        <f t="shared" si="261"/>
        <v>300</v>
      </c>
      <c r="AQ817" s="668">
        <f t="shared" si="246"/>
        <v>0</v>
      </c>
      <c r="AR817" s="668">
        <f t="shared" si="247"/>
        <v>0</v>
      </c>
      <c r="AS817" s="668"/>
      <c r="AT817" s="668"/>
      <c r="AU817" s="668"/>
      <c r="AV817" s="668"/>
      <c r="AW817" s="668"/>
      <c r="AX817" s="668"/>
      <c r="AY817" s="668"/>
      <c r="AZ817" s="668"/>
      <c r="BA817" s="668"/>
      <c r="BB817" s="668">
        <f t="shared" si="262"/>
        <v>300</v>
      </c>
      <c r="BC817" s="668"/>
      <c r="BD817" s="668"/>
      <c r="BE817" s="668"/>
      <c r="BF817" s="668"/>
      <c r="BG817" s="668"/>
      <c r="BH817" s="668"/>
      <c r="BI817" s="668"/>
    </row>
    <row r="818" spans="1:61" x14ac:dyDescent="0.2">
      <c r="A818" s="1020">
        <v>4104</v>
      </c>
      <c r="B818" s="1020" t="s">
        <v>686</v>
      </c>
      <c r="C818" s="1020"/>
      <c r="D818" s="667">
        <v>90</v>
      </c>
      <c r="E818" s="667"/>
      <c r="F818" s="667"/>
      <c r="G818" s="667"/>
      <c r="H818" s="667"/>
      <c r="I818" s="667"/>
      <c r="J818" s="667"/>
      <c r="K818" s="667"/>
      <c r="L818" s="667"/>
      <c r="M818" s="667"/>
      <c r="N818" s="667"/>
      <c r="O818" s="667"/>
      <c r="P818" s="667"/>
      <c r="Q818" s="667"/>
      <c r="R818" s="667"/>
      <c r="S818" s="667"/>
      <c r="T818" s="667"/>
      <c r="U818" s="1020">
        <v>10</v>
      </c>
      <c r="V818" s="668">
        <f t="shared" si="249"/>
        <v>900</v>
      </c>
      <c r="W818" s="668">
        <f t="shared" si="250"/>
        <v>0</v>
      </c>
      <c r="X818" s="668">
        <f t="shared" si="251"/>
        <v>0</v>
      </c>
      <c r="Y818" s="668">
        <f t="shared" si="252"/>
        <v>0</v>
      </c>
      <c r="Z818" s="668">
        <f t="shared" si="253"/>
        <v>0</v>
      </c>
      <c r="AA818" s="668">
        <f t="shared" si="254"/>
        <v>0</v>
      </c>
      <c r="AB818" s="668">
        <f t="shared" si="255"/>
        <v>0</v>
      </c>
      <c r="AC818" s="668">
        <f t="shared" si="248"/>
        <v>0</v>
      </c>
      <c r="AD818" s="668">
        <f t="shared" si="256"/>
        <v>0</v>
      </c>
      <c r="AE818" s="668">
        <f t="shared" si="257"/>
        <v>0</v>
      </c>
      <c r="AF818" s="668">
        <f t="shared" si="258"/>
        <v>0</v>
      </c>
      <c r="AG818" s="668">
        <f t="shared" si="259"/>
        <v>0</v>
      </c>
      <c r="AH818" s="668"/>
      <c r="AI818" s="668"/>
      <c r="AJ818" s="668"/>
      <c r="AK818" s="668"/>
      <c r="AL818" s="668"/>
      <c r="AM818" s="668">
        <f t="shared" si="260"/>
        <v>0</v>
      </c>
      <c r="AN818" s="668">
        <f t="shared" si="244"/>
        <v>0</v>
      </c>
      <c r="AO818" s="668">
        <f t="shared" si="245"/>
        <v>0</v>
      </c>
      <c r="AP818" s="668">
        <f t="shared" si="261"/>
        <v>0</v>
      </c>
      <c r="AQ818" s="668">
        <f t="shared" si="246"/>
        <v>0</v>
      </c>
      <c r="AR818" s="668">
        <f t="shared" si="247"/>
        <v>0</v>
      </c>
      <c r="AS818" s="668"/>
      <c r="AT818" s="668"/>
      <c r="AU818" s="668"/>
      <c r="AV818" s="668"/>
      <c r="AW818" s="668"/>
      <c r="AX818" s="668"/>
      <c r="AY818" s="668"/>
      <c r="AZ818" s="668"/>
      <c r="BA818" s="668"/>
      <c r="BB818" s="668">
        <f t="shared" si="262"/>
        <v>0</v>
      </c>
      <c r="BC818" s="668"/>
      <c r="BD818" s="668"/>
      <c r="BE818" s="668"/>
      <c r="BF818" s="668"/>
      <c r="BG818" s="668"/>
      <c r="BH818" s="668"/>
      <c r="BI818" s="668"/>
    </row>
    <row r="819" spans="1:61" x14ac:dyDescent="0.2">
      <c r="A819" s="1020">
        <v>4105</v>
      </c>
      <c r="B819" s="1020" t="s">
        <v>476</v>
      </c>
      <c r="C819" s="1020"/>
      <c r="D819" s="667">
        <v>59</v>
      </c>
      <c r="E819" s="667"/>
      <c r="F819" s="667"/>
      <c r="G819" s="667"/>
      <c r="H819" s="667"/>
      <c r="I819" s="667"/>
      <c r="J819" s="667"/>
      <c r="K819" s="667"/>
      <c r="L819" s="667"/>
      <c r="M819" s="667"/>
      <c r="N819" s="667"/>
      <c r="O819" s="667"/>
      <c r="P819" s="667"/>
      <c r="Q819" s="667"/>
      <c r="R819" s="667"/>
      <c r="S819" s="667"/>
      <c r="T819" s="667"/>
      <c r="U819" s="1020">
        <v>12</v>
      </c>
      <c r="V819" s="668">
        <f t="shared" si="249"/>
        <v>708</v>
      </c>
      <c r="W819" s="668">
        <f t="shared" si="250"/>
        <v>0</v>
      </c>
      <c r="X819" s="668">
        <f t="shared" si="251"/>
        <v>0</v>
      </c>
      <c r="Y819" s="668">
        <f t="shared" si="252"/>
        <v>0</v>
      </c>
      <c r="Z819" s="668">
        <f t="shared" si="253"/>
        <v>0</v>
      </c>
      <c r="AA819" s="668">
        <f t="shared" si="254"/>
        <v>0</v>
      </c>
      <c r="AB819" s="668">
        <f t="shared" si="255"/>
        <v>0</v>
      </c>
      <c r="AC819" s="668">
        <f t="shared" si="248"/>
        <v>0</v>
      </c>
      <c r="AD819" s="668">
        <f t="shared" si="256"/>
        <v>0</v>
      </c>
      <c r="AE819" s="668">
        <f t="shared" si="257"/>
        <v>0</v>
      </c>
      <c r="AF819" s="668">
        <f t="shared" si="258"/>
        <v>0</v>
      </c>
      <c r="AG819" s="668">
        <f t="shared" si="259"/>
        <v>0</v>
      </c>
      <c r="AH819" s="668"/>
      <c r="AI819" s="668"/>
      <c r="AJ819" s="668"/>
      <c r="AK819" s="668"/>
      <c r="AL819" s="668"/>
      <c r="AM819" s="668">
        <f t="shared" si="260"/>
        <v>0</v>
      </c>
      <c r="AN819" s="668">
        <f t="shared" si="244"/>
        <v>0</v>
      </c>
      <c r="AO819" s="668">
        <f t="shared" si="245"/>
        <v>0</v>
      </c>
      <c r="AP819" s="668">
        <f t="shared" si="261"/>
        <v>0</v>
      </c>
      <c r="AQ819" s="668">
        <f t="shared" si="246"/>
        <v>0</v>
      </c>
      <c r="AR819" s="668">
        <f t="shared" si="247"/>
        <v>0</v>
      </c>
      <c r="AS819" s="668"/>
      <c r="AT819" s="668"/>
      <c r="AU819" s="668"/>
      <c r="AV819" s="668"/>
      <c r="AW819" s="668"/>
      <c r="AX819" s="668"/>
      <c r="AY819" s="668"/>
      <c r="AZ819" s="668"/>
      <c r="BA819" s="668"/>
      <c r="BB819" s="668">
        <f t="shared" si="262"/>
        <v>0</v>
      </c>
      <c r="BC819" s="668"/>
      <c r="BD819" s="668"/>
      <c r="BE819" s="668"/>
      <c r="BF819" s="668"/>
      <c r="BG819" s="668"/>
      <c r="BH819" s="668"/>
      <c r="BI819" s="668"/>
    </row>
    <row r="820" spans="1:61" x14ac:dyDescent="0.2">
      <c r="A820" s="1020">
        <v>4106</v>
      </c>
      <c r="B820" s="1020" t="s">
        <v>579</v>
      </c>
      <c r="C820" s="1020"/>
      <c r="D820" s="667">
        <v>50</v>
      </c>
      <c r="E820" s="667"/>
      <c r="F820" s="667"/>
      <c r="G820" s="667"/>
      <c r="H820" s="667"/>
      <c r="I820" s="667"/>
      <c r="J820" s="667"/>
      <c r="K820" s="667"/>
      <c r="L820" s="667"/>
      <c r="M820" s="667"/>
      <c r="N820" s="667"/>
      <c r="O820" s="667"/>
      <c r="P820" s="667"/>
      <c r="Q820" s="667"/>
      <c r="R820" s="667"/>
      <c r="S820" s="667"/>
      <c r="T820" s="667"/>
      <c r="U820" s="1020">
        <v>12</v>
      </c>
      <c r="V820" s="668">
        <f t="shared" si="249"/>
        <v>600</v>
      </c>
      <c r="W820" s="668">
        <f t="shared" si="250"/>
        <v>0</v>
      </c>
      <c r="X820" s="668">
        <f t="shared" si="251"/>
        <v>0</v>
      </c>
      <c r="Y820" s="668">
        <f t="shared" si="252"/>
        <v>0</v>
      </c>
      <c r="Z820" s="668">
        <f t="shared" si="253"/>
        <v>0</v>
      </c>
      <c r="AA820" s="668">
        <f t="shared" si="254"/>
        <v>0</v>
      </c>
      <c r="AB820" s="668">
        <f t="shared" si="255"/>
        <v>0</v>
      </c>
      <c r="AC820" s="668">
        <f t="shared" si="248"/>
        <v>0</v>
      </c>
      <c r="AD820" s="668">
        <f t="shared" si="256"/>
        <v>0</v>
      </c>
      <c r="AE820" s="668">
        <f t="shared" si="257"/>
        <v>0</v>
      </c>
      <c r="AF820" s="668">
        <f t="shared" si="258"/>
        <v>0</v>
      </c>
      <c r="AG820" s="668">
        <f t="shared" si="259"/>
        <v>0</v>
      </c>
      <c r="AH820" s="668"/>
      <c r="AI820" s="668"/>
      <c r="AJ820" s="668"/>
      <c r="AK820" s="668"/>
      <c r="AL820" s="668"/>
      <c r="AM820" s="668">
        <f t="shared" si="260"/>
        <v>0</v>
      </c>
      <c r="AN820" s="668">
        <f t="shared" si="244"/>
        <v>0</v>
      </c>
      <c r="AO820" s="668">
        <f t="shared" si="245"/>
        <v>0</v>
      </c>
      <c r="AP820" s="668">
        <f t="shared" si="261"/>
        <v>0</v>
      </c>
      <c r="AQ820" s="668">
        <f t="shared" si="246"/>
        <v>0</v>
      </c>
      <c r="AR820" s="668">
        <f t="shared" si="247"/>
        <v>0</v>
      </c>
      <c r="AS820" s="668"/>
      <c r="AT820" s="668"/>
      <c r="AU820" s="668"/>
      <c r="AV820" s="668"/>
      <c r="AW820" s="668"/>
      <c r="AX820" s="668"/>
      <c r="AY820" s="668"/>
      <c r="AZ820" s="668"/>
      <c r="BA820" s="668"/>
      <c r="BB820" s="668">
        <f t="shared" si="262"/>
        <v>0</v>
      </c>
      <c r="BC820" s="668"/>
      <c r="BD820" s="668"/>
      <c r="BE820" s="668"/>
      <c r="BF820" s="668"/>
      <c r="BG820" s="668"/>
      <c r="BH820" s="668"/>
      <c r="BI820" s="668"/>
    </row>
    <row r="821" spans="1:61" x14ac:dyDescent="0.2">
      <c r="A821" s="1020">
        <v>4107</v>
      </c>
      <c r="B821" s="1020" t="s">
        <v>736</v>
      </c>
      <c r="C821" s="1020"/>
      <c r="D821" s="667">
        <v>113</v>
      </c>
      <c r="E821" s="667"/>
      <c r="F821" s="667"/>
      <c r="G821" s="667"/>
      <c r="H821" s="667"/>
      <c r="I821" s="667"/>
      <c r="J821" s="667"/>
      <c r="K821" s="667"/>
      <c r="L821" s="667"/>
      <c r="M821" s="667"/>
      <c r="N821" s="667"/>
      <c r="O821" s="667"/>
      <c r="P821" s="667"/>
      <c r="Q821" s="667"/>
      <c r="R821" s="667"/>
      <c r="S821" s="667"/>
      <c r="T821" s="667"/>
      <c r="U821" s="1020">
        <v>10</v>
      </c>
      <c r="V821" s="668">
        <f t="shared" si="249"/>
        <v>1130</v>
      </c>
      <c r="W821" s="668">
        <f t="shared" si="250"/>
        <v>0</v>
      </c>
      <c r="X821" s="668">
        <f t="shared" si="251"/>
        <v>0</v>
      </c>
      <c r="Y821" s="668">
        <f t="shared" si="252"/>
        <v>0</v>
      </c>
      <c r="Z821" s="668">
        <f t="shared" si="253"/>
        <v>0</v>
      </c>
      <c r="AA821" s="668">
        <f t="shared" si="254"/>
        <v>0</v>
      </c>
      <c r="AB821" s="668">
        <f t="shared" si="255"/>
        <v>0</v>
      </c>
      <c r="AC821" s="668">
        <f t="shared" si="248"/>
        <v>0</v>
      </c>
      <c r="AD821" s="668">
        <f t="shared" si="256"/>
        <v>0</v>
      </c>
      <c r="AE821" s="668">
        <f t="shared" si="257"/>
        <v>0</v>
      </c>
      <c r="AF821" s="668">
        <f t="shared" si="258"/>
        <v>0</v>
      </c>
      <c r="AG821" s="668">
        <f t="shared" si="259"/>
        <v>0</v>
      </c>
      <c r="AH821" s="668"/>
      <c r="AI821" s="668"/>
      <c r="AJ821" s="668"/>
      <c r="AK821" s="668"/>
      <c r="AL821" s="668"/>
      <c r="AM821" s="668">
        <f t="shared" si="260"/>
        <v>0</v>
      </c>
      <c r="AN821" s="668">
        <f t="shared" si="244"/>
        <v>0</v>
      </c>
      <c r="AO821" s="668">
        <f t="shared" si="245"/>
        <v>0</v>
      </c>
      <c r="AP821" s="668">
        <f t="shared" si="261"/>
        <v>0</v>
      </c>
      <c r="AQ821" s="668">
        <f t="shared" si="246"/>
        <v>0</v>
      </c>
      <c r="AR821" s="668">
        <f t="shared" si="247"/>
        <v>0</v>
      </c>
      <c r="AS821" s="668"/>
      <c r="AT821" s="668"/>
      <c r="AU821" s="668"/>
      <c r="AV821" s="668"/>
      <c r="AW821" s="668"/>
      <c r="AX821" s="668"/>
      <c r="AY821" s="668"/>
      <c r="AZ821" s="668"/>
      <c r="BA821" s="668"/>
      <c r="BB821" s="668">
        <f t="shared" si="262"/>
        <v>0</v>
      </c>
      <c r="BC821" s="668"/>
      <c r="BD821" s="668"/>
      <c r="BE821" s="668"/>
      <c r="BF821" s="668"/>
      <c r="BG821" s="668"/>
      <c r="BH821" s="668"/>
      <c r="BI821" s="668"/>
    </row>
    <row r="822" spans="1:61" x14ac:dyDescent="0.2">
      <c r="A822" s="1020">
        <v>4108</v>
      </c>
      <c r="B822" s="1020" t="s">
        <v>737</v>
      </c>
      <c r="C822" s="1020" t="s">
        <v>984</v>
      </c>
      <c r="D822" s="667">
        <v>93</v>
      </c>
      <c r="E822" s="667">
        <v>63</v>
      </c>
      <c r="F822" s="667"/>
      <c r="G822" s="667"/>
      <c r="H822" s="667"/>
      <c r="I822" s="667">
        <v>262</v>
      </c>
      <c r="J822" s="667"/>
      <c r="K822" s="667"/>
      <c r="L822" s="667"/>
      <c r="M822" s="667"/>
      <c r="N822" s="667"/>
      <c r="O822" s="667"/>
      <c r="P822" s="667"/>
      <c r="Q822" s="667"/>
      <c r="R822" s="667"/>
      <c r="S822" s="667"/>
      <c r="T822" s="667"/>
      <c r="U822" s="1031">
        <v>11</v>
      </c>
      <c r="V822" s="668">
        <f t="shared" si="249"/>
        <v>1023</v>
      </c>
      <c r="W822" s="668">
        <f t="shared" si="250"/>
        <v>0</v>
      </c>
      <c r="X822" s="668">
        <f t="shared" si="251"/>
        <v>0</v>
      </c>
      <c r="Y822" s="668">
        <f t="shared" si="252"/>
        <v>0</v>
      </c>
      <c r="Z822" s="668">
        <f t="shared" si="253"/>
        <v>1023</v>
      </c>
      <c r="AA822" s="668">
        <f t="shared" si="254"/>
        <v>0</v>
      </c>
      <c r="AB822" s="668">
        <f t="shared" si="255"/>
        <v>0</v>
      </c>
      <c r="AC822" s="668">
        <f t="shared" si="248"/>
        <v>0</v>
      </c>
      <c r="AD822" s="668">
        <f t="shared" si="256"/>
        <v>0</v>
      </c>
      <c r="AE822" s="668">
        <f t="shared" si="257"/>
        <v>0</v>
      </c>
      <c r="AF822" s="668">
        <f t="shared" si="258"/>
        <v>0</v>
      </c>
      <c r="AG822" s="668">
        <f t="shared" si="259"/>
        <v>0</v>
      </c>
      <c r="AH822" s="668"/>
      <c r="AI822" s="668"/>
      <c r="AJ822" s="668"/>
      <c r="AK822" s="668"/>
      <c r="AL822" s="668"/>
      <c r="AM822" s="668">
        <f t="shared" si="260"/>
        <v>262</v>
      </c>
      <c r="AN822" s="668">
        <f t="shared" si="244"/>
        <v>693</v>
      </c>
      <c r="AO822" s="668">
        <f t="shared" si="245"/>
        <v>0</v>
      </c>
      <c r="AP822" s="668">
        <f t="shared" si="261"/>
        <v>0</v>
      </c>
      <c r="AQ822" s="668">
        <f t="shared" si="246"/>
        <v>0</v>
      </c>
      <c r="AR822" s="668">
        <f t="shared" si="247"/>
        <v>0</v>
      </c>
      <c r="AS822" s="668"/>
      <c r="AT822" s="668"/>
      <c r="AU822" s="668"/>
      <c r="AV822" s="668"/>
      <c r="AW822" s="668"/>
      <c r="AX822" s="668"/>
      <c r="AY822" s="668"/>
      <c r="AZ822" s="668"/>
      <c r="BA822" s="668"/>
      <c r="BB822" s="668">
        <f t="shared" si="262"/>
        <v>0</v>
      </c>
      <c r="BC822" s="668"/>
      <c r="BD822" s="668"/>
      <c r="BE822" s="668"/>
      <c r="BF822" s="668"/>
      <c r="BG822" s="668"/>
      <c r="BH822" s="668"/>
      <c r="BI822" s="668"/>
    </row>
    <row r="823" spans="1:61" x14ac:dyDescent="0.2">
      <c r="A823" s="1020">
        <v>4109</v>
      </c>
      <c r="B823" s="1020" t="s">
        <v>515</v>
      </c>
      <c r="C823" s="1020"/>
      <c r="D823" s="667">
        <v>80</v>
      </c>
      <c r="E823" s="667"/>
      <c r="F823" s="667">
        <v>45</v>
      </c>
      <c r="G823" s="667"/>
      <c r="H823" s="667"/>
      <c r="I823" s="667"/>
      <c r="J823" s="667"/>
      <c r="K823" s="667"/>
      <c r="L823" s="667"/>
      <c r="M823" s="667"/>
      <c r="N823" s="667"/>
      <c r="O823" s="667"/>
      <c r="P823" s="667"/>
      <c r="Q823" s="667"/>
      <c r="R823" s="667"/>
      <c r="S823" s="667"/>
      <c r="T823" s="667">
        <v>2000</v>
      </c>
      <c r="U823" s="1020">
        <v>12</v>
      </c>
      <c r="V823" s="668">
        <f t="shared" si="249"/>
        <v>960</v>
      </c>
      <c r="W823" s="668">
        <f t="shared" si="250"/>
        <v>0</v>
      </c>
      <c r="X823" s="668">
        <f t="shared" si="251"/>
        <v>0</v>
      </c>
      <c r="Y823" s="668">
        <f t="shared" si="252"/>
        <v>0</v>
      </c>
      <c r="Z823" s="668">
        <f t="shared" si="253"/>
        <v>0</v>
      </c>
      <c r="AA823" s="668">
        <f t="shared" si="254"/>
        <v>0</v>
      </c>
      <c r="AB823" s="668">
        <f t="shared" si="255"/>
        <v>2000</v>
      </c>
      <c r="AC823" s="668">
        <f t="shared" si="248"/>
        <v>0</v>
      </c>
      <c r="AD823" s="668">
        <f t="shared" si="256"/>
        <v>0</v>
      </c>
      <c r="AE823" s="668">
        <f t="shared" si="257"/>
        <v>0</v>
      </c>
      <c r="AF823" s="668">
        <f t="shared" si="258"/>
        <v>0</v>
      </c>
      <c r="AG823" s="668">
        <f t="shared" si="259"/>
        <v>0</v>
      </c>
      <c r="AH823" s="668"/>
      <c r="AI823" s="668"/>
      <c r="AJ823" s="668"/>
      <c r="AK823" s="668"/>
      <c r="AL823" s="668"/>
      <c r="AM823" s="668">
        <f t="shared" si="260"/>
        <v>0</v>
      </c>
      <c r="AN823" s="668">
        <f t="shared" si="244"/>
        <v>0</v>
      </c>
      <c r="AO823" s="668">
        <f t="shared" si="245"/>
        <v>0</v>
      </c>
      <c r="AP823" s="668">
        <f t="shared" si="261"/>
        <v>540</v>
      </c>
      <c r="AQ823" s="668">
        <f t="shared" si="246"/>
        <v>0</v>
      </c>
      <c r="AR823" s="668">
        <f t="shared" si="247"/>
        <v>0</v>
      </c>
      <c r="AS823" s="668"/>
      <c r="AT823" s="668"/>
      <c r="AU823" s="668"/>
      <c r="AV823" s="668"/>
      <c r="AW823" s="668"/>
      <c r="AX823" s="668"/>
      <c r="AY823" s="668"/>
      <c r="AZ823" s="668"/>
      <c r="BA823" s="668"/>
      <c r="BB823" s="668"/>
      <c r="BC823" s="668"/>
      <c r="BD823" s="668"/>
      <c r="BE823" s="668"/>
      <c r="BF823" s="668"/>
      <c r="BG823" s="668"/>
      <c r="BH823" s="668"/>
      <c r="BI823" s="668"/>
    </row>
    <row r="824" spans="1:61" x14ac:dyDescent="0.2">
      <c r="A824" s="1020">
        <v>4110</v>
      </c>
      <c r="B824" s="1020" t="s">
        <v>515</v>
      </c>
      <c r="C824" s="1020"/>
      <c r="D824" s="667">
        <v>116</v>
      </c>
      <c r="E824" s="667"/>
      <c r="F824" s="667">
        <v>40</v>
      </c>
      <c r="G824" s="667"/>
      <c r="H824" s="667"/>
      <c r="I824" s="667"/>
      <c r="J824" s="667"/>
      <c r="K824" s="667"/>
      <c r="L824" s="667"/>
      <c r="M824" s="667"/>
      <c r="N824" s="667"/>
      <c r="O824" s="667"/>
      <c r="P824" s="667"/>
      <c r="Q824" s="667"/>
      <c r="R824" s="667"/>
      <c r="S824" s="667"/>
      <c r="T824" s="667">
        <v>2793</v>
      </c>
      <c r="U824" s="1020">
        <v>12</v>
      </c>
      <c r="V824" s="668">
        <f t="shared" si="249"/>
        <v>1392</v>
      </c>
      <c r="W824" s="668">
        <f t="shared" si="250"/>
        <v>0</v>
      </c>
      <c r="X824" s="668">
        <f t="shared" si="251"/>
        <v>0</v>
      </c>
      <c r="Y824" s="668">
        <f t="shared" si="252"/>
        <v>0</v>
      </c>
      <c r="Z824" s="668">
        <f t="shared" si="253"/>
        <v>0</v>
      </c>
      <c r="AA824" s="668">
        <f t="shared" si="254"/>
        <v>0</v>
      </c>
      <c r="AB824" s="668">
        <f t="shared" si="255"/>
        <v>2793</v>
      </c>
      <c r="AC824" s="668">
        <f t="shared" si="248"/>
        <v>0</v>
      </c>
      <c r="AD824" s="668">
        <f t="shared" si="256"/>
        <v>0</v>
      </c>
      <c r="AE824" s="668">
        <f t="shared" si="257"/>
        <v>0</v>
      </c>
      <c r="AF824" s="668">
        <f t="shared" si="258"/>
        <v>0</v>
      </c>
      <c r="AG824" s="668">
        <f t="shared" si="259"/>
        <v>0</v>
      </c>
      <c r="AH824" s="668"/>
      <c r="AI824" s="668"/>
      <c r="AJ824" s="668"/>
      <c r="AK824" s="668"/>
      <c r="AL824" s="668"/>
      <c r="AM824" s="668">
        <f t="shared" si="260"/>
        <v>0</v>
      </c>
      <c r="AN824" s="668">
        <f t="shared" si="244"/>
        <v>0</v>
      </c>
      <c r="AO824" s="668">
        <f t="shared" si="245"/>
        <v>0</v>
      </c>
      <c r="AP824" s="668">
        <f t="shared" si="261"/>
        <v>480</v>
      </c>
      <c r="AQ824" s="668">
        <f t="shared" si="246"/>
        <v>0</v>
      </c>
      <c r="AR824" s="668">
        <f t="shared" si="247"/>
        <v>0</v>
      </c>
      <c r="AS824" s="668"/>
      <c r="AT824" s="668"/>
      <c r="AU824" s="668"/>
      <c r="AV824" s="668"/>
      <c r="AW824" s="668"/>
      <c r="AX824" s="668"/>
      <c r="AY824" s="668"/>
      <c r="AZ824" s="668"/>
      <c r="BA824" s="668"/>
      <c r="BB824" s="668"/>
      <c r="BC824" s="668"/>
      <c r="BD824" s="668"/>
      <c r="BE824" s="668"/>
      <c r="BF824" s="668"/>
      <c r="BG824" s="668"/>
      <c r="BH824" s="668"/>
      <c r="BI824" s="668"/>
    </row>
    <row r="825" spans="1:61" x14ac:dyDescent="0.2">
      <c r="A825" s="1020">
        <v>4111</v>
      </c>
      <c r="B825" s="1020" t="s">
        <v>519</v>
      </c>
      <c r="C825" s="1020"/>
      <c r="D825" s="667">
        <v>35</v>
      </c>
      <c r="E825" s="667"/>
      <c r="F825" s="667">
        <v>15</v>
      </c>
      <c r="G825" s="667"/>
      <c r="H825" s="667"/>
      <c r="I825" s="667"/>
      <c r="J825" s="667"/>
      <c r="K825" s="667"/>
      <c r="L825" s="667"/>
      <c r="M825" s="667"/>
      <c r="N825" s="667"/>
      <c r="O825" s="667"/>
      <c r="P825" s="667"/>
      <c r="Q825" s="667"/>
      <c r="R825" s="667"/>
      <c r="S825" s="667"/>
      <c r="T825" s="667">
        <v>150</v>
      </c>
      <c r="U825" s="1020">
        <v>12</v>
      </c>
      <c r="V825" s="668">
        <f t="shared" si="249"/>
        <v>420</v>
      </c>
      <c r="W825" s="668">
        <f t="shared" si="250"/>
        <v>0</v>
      </c>
      <c r="X825" s="668">
        <f t="shared" si="251"/>
        <v>0</v>
      </c>
      <c r="Y825" s="668">
        <f t="shared" si="252"/>
        <v>0</v>
      </c>
      <c r="Z825" s="668">
        <f t="shared" si="253"/>
        <v>0</v>
      </c>
      <c r="AA825" s="668">
        <f t="shared" si="254"/>
        <v>0</v>
      </c>
      <c r="AB825" s="668">
        <f t="shared" si="255"/>
        <v>150</v>
      </c>
      <c r="AC825" s="668">
        <f t="shared" si="248"/>
        <v>0</v>
      </c>
      <c r="AD825" s="668">
        <f t="shared" si="256"/>
        <v>0</v>
      </c>
      <c r="AE825" s="668">
        <f t="shared" si="257"/>
        <v>0</v>
      </c>
      <c r="AF825" s="668">
        <f t="shared" si="258"/>
        <v>0</v>
      </c>
      <c r="AG825" s="668">
        <f t="shared" si="259"/>
        <v>0</v>
      </c>
      <c r="AH825" s="668"/>
      <c r="AI825" s="668"/>
      <c r="AJ825" s="668"/>
      <c r="AK825" s="668"/>
      <c r="AL825" s="668"/>
      <c r="AM825" s="668">
        <f t="shared" si="260"/>
        <v>0</v>
      </c>
      <c r="AN825" s="668">
        <f t="shared" si="244"/>
        <v>0</v>
      </c>
      <c r="AO825" s="668">
        <f t="shared" si="245"/>
        <v>0</v>
      </c>
      <c r="AP825" s="668">
        <f t="shared" si="261"/>
        <v>180</v>
      </c>
      <c r="AQ825" s="668">
        <f t="shared" si="246"/>
        <v>0</v>
      </c>
      <c r="AR825" s="668">
        <f t="shared" si="247"/>
        <v>0</v>
      </c>
      <c r="AS825" s="668"/>
      <c r="AT825" s="668"/>
      <c r="AU825" s="668"/>
      <c r="AV825" s="668"/>
      <c r="AW825" s="668"/>
      <c r="AX825" s="668"/>
      <c r="AY825" s="668"/>
      <c r="AZ825" s="668"/>
      <c r="BA825" s="668"/>
      <c r="BB825" s="668">
        <f t="shared" si="262"/>
        <v>180</v>
      </c>
      <c r="BC825" s="668"/>
      <c r="BD825" s="668"/>
      <c r="BE825" s="668"/>
      <c r="BF825" s="668"/>
      <c r="BG825" s="668"/>
      <c r="BH825" s="668"/>
      <c r="BI825" s="668"/>
    </row>
    <row r="826" spans="1:61" x14ac:dyDescent="0.2">
      <c r="A826" s="1020">
        <v>4112</v>
      </c>
      <c r="B826" s="1020" t="s">
        <v>519</v>
      </c>
      <c r="C826" s="1020"/>
      <c r="D826" s="667">
        <v>35</v>
      </c>
      <c r="E826" s="667"/>
      <c r="F826" s="667">
        <v>15</v>
      </c>
      <c r="G826" s="667"/>
      <c r="H826" s="667"/>
      <c r="I826" s="667"/>
      <c r="J826" s="667"/>
      <c r="K826" s="667"/>
      <c r="L826" s="667"/>
      <c r="M826" s="667"/>
      <c r="N826" s="667"/>
      <c r="O826" s="667"/>
      <c r="P826" s="667"/>
      <c r="Q826" s="667"/>
      <c r="R826" s="667"/>
      <c r="S826" s="667"/>
      <c r="T826" s="667">
        <v>150</v>
      </c>
      <c r="U826" s="1020">
        <v>12</v>
      </c>
      <c r="V826" s="668">
        <f t="shared" si="249"/>
        <v>420</v>
      </c>
      <c r="W826" s="668">
        <f t="shared" si="250"/>
        <v>0</v>
      </c>
      <c r="X826" s="668">
        <f t="shared" si="251"/>
        <v>0</v>
      </c>
      <c r="Y826" s="668">
        <f t="shared" si="252"/>
        <v>0</v>
      </c>
      <c r="Z826" s="668">
        <f t="shared" si="253"/>
        <v>0</v>
      </c>
      <c r="AA826" s="668">
        <f t="shared" si="254"/>
        <v>0</v>
      </c>
      <c r="AB826" s="668">
        <f t="shared" si="255"/>
        <v>150</v>
      </c>
      <c r="AC826" s="668">
        <f t="shared" si="248"/>
        <v>0</v>
      </c>
      <c r="AD826" s="668">
        <f t="shared" si="256"/>
        <v>0</v>
      </c>
      <c r="AE826" s="668">
        <f t="shared" si="257"/>
        <v>0</v>
      </c>
      <c r="AF826" s="668">
        <f t="shared" si="258"/>
        <v>0</v>
      </c>
      <c r="AG826" s="668">
        <f t="shared" si="259"/>
        <v>0</v>
      </c>
      <c r="AH826" s="668"/>
      <c r="AI826" s="668"/>
      <c r="AJ826" s="668"/>
      <c r="AK826" s="668"/>
      <c r="AL826" s="668"/>
      <c r="AM826" s="668">
        <f t="shared" si="260"/>
        <v>0</v>
      </c>
      <c r="AN826" s="668">
        <f t="shared" si="244"/>
        <v>0</v>
      </c>
      <c r="AO826" s="668">
        <f t="shared" si="245"/>
        <v>0</v>
      </c>
      <c r="AP826" s="668">
        <f t="shared" si="261"/>
        <v>180</v>
      </c>
      <c r="AQ826" s="668">
        <f t="shared" si="246"/>
        <v>0</v>
      </c>
      <c r="AR826" s="668">
        <f t="shared" si="247"/>
        <v>0</v>
      </c>
      <c r="AS826" s="668"/>
      <c r="AT826" s="668"/>
      <c r="AU826" s="668"/>
      <c r="AV826" s="668"/>
      <c r="AW826" s="668"/>
      <c r="AX826" s="668"/>
      <c r="AY826" s="668"/>
      <c r="AZ826" s="668"/>
      <c r="BA826" s="668"/>
      <c r="BB826" s="668">
        <f t="shared" si="262"/>
        <v>180</v>
      </c>
      <c r="BC826" s="668"/>
      <c r="BD826" s="668"/>
      <c r="BE826" s="668"/>
      <c r="BF826" s="668"/>
      <c r="BG826" s="668"/>
      <c r="BH826" s="668"/>
      <c r="BI826" s="668"/>
    </row>
    <row r="827" spans="1:61" x14ac:dyDescent="0.2">
      <c r="A827" s="1020">
        <v>4113</v>
      </c>
      <c r="B827" s="1020" t="s">
        <v>467</v>
      </c>
      <c r="C827" s="1020"/>
      <c r="D827" s="667">
        <v>80</v>
      </c>
      <c r="E827" s="667"/>
      <c r="F827" s="667"/>
      <c r="G827" s="667"/>
      <c r="H827" s="667"/>
      <c r="I827" s="667"/>
      <c r="J827" s="667"/>
      <c r="K827" s="667"/>
      <c r="L827" s="667"/>
      <c r="M827" s="667"/>
      <c r="N827" s="667"/>
      <c r="O827" s="667"/>
      <c r="P827" s="667"/>
      <c r="Q827" s="667"/>
      <c r="R827" s="667"/>
      <c r="S827" s="667"/>
      <c r="T827" s="667"/>
      <c r="U827" s="1020">
        <v>3</v>
      </c>
      <c r="V827" s="668">
        <f t="shared" si="249"/>
        <v>240</v>
      </c>
      <c r="W827" s="668">
        <f t="shared" si="250"/>
        <v>0</v>
      </c>
      <c r="X827" s="668">
        <f t="shared" si="251"/>
        <v>0</v>
      </c>
      <c r="Y827" s="668">
        <f t="shared" si="252"/>
        <v>0</v>
      </c>
      <c r="Z827" s="668">
        <f t="shared" si="253"/>
        <v>0</v>
      </c>
      <c r="AA827" s="668">
        <f t="shared" si="254"/>
        <v>0</v>
      </c>
      <c r="AB827" s="668">
        <f t="shared" si="255"/>
        <v>0</v>
      </c>
      <c r="AC827" s="668">
        <f t="shared" si="248"/>
        <v>0</v>
      </c>
      <c r="AD827" s="668">
        <f t="shared" si="256"/>
        <v>0</v>
      </c>
      <c r="AE827" s="668">
        <f t="shared" si="257"/>
        <v>0</v>
      </c>
      <c r="AF827" s="668">
        <f t="shared" si="258"/>
        <v>0</v>
      </c>
      <c r="AG827" s="668">
        <f t="shared" si="259"/>
        <v>0</v>
      </c>
      <c r="AH827" s="668"/>
      <c r="AI827" s="668"/>
      <c r="AJ827" s="668"/>
      <c r="AK827" s="668"/>
      <c r="AL827" s="668"/>
      <c r="AM827" s="668">
        <f t="shared" si="260"/>
        <v>0</v>
      </c>
      <c r="AN827" s="668">
        <f t="shared" si="244"/>
        <v>0</v>
      </c>
      <c r="AO827" s="668">
        <f t="shared" si="245"/>
        <v>0</v>
      </c>
      <c r="AP827" s="668">
        <f t="shared" si="261"/>
        <v>0</v>
      </c>
      <c r="AQ827" s="668">
        <f t="shared" si="246"/>
        <v>0</v>
      </c>
      <c r="AR827" s="668">
        <f t="shared" si="247"/>
        <v>0</v>
      </c>
      <c r="AS827" s="668"/>
      <c r="AT827" s="668"/>
      <c r="AU827" s="668"/>
      <c r="AV827" s="668"/>
      <c r="AW827" s="668"/>
      <c r="AX827" s="668"/>
      <c r="AY827" s="668"/>
      <c r="AZ827" s="668"/>
      <c r="BA827" s="668"/>
      <c r="BB827" s="668">
        <f t="shared" si="262"/>
        <v>0</v>
      </c>
      <c r="BC827" s="668"/>
      <c r="BD827" s="668"/>
      <c r="BE827" s="668"/>
      <c r="BF827" s="668"/>
      <c r="BG827" s="668"/>
      <c r="BH827" s="668"/>
      <c r="BI827" s="668"/>
    </row>
    <row r="828" spans="1:61" x14ac:dyDescent="0.2">
      <c r="A828" s="1020">
        <v>4114</v>
      </c>
      <c r="B828" s="1020" t="s">
        <v>466</v>
      </c>
      <c r="C828" s="1020"/>
      <c r="D828" s="667">
        <v>80</v>
      </c>
      <c r="E828" s="667"/>
      <c r="F828" s="667"/>
      <c r="G828" s="667"/>
      <c r="H828" s="667"/>
      <c r="I828" s="667"/>
      <c r="J828" s="667"/>
      <c r="K828" s="667"/>
      <c r="L828" s="667"/>
      <c r="M828" s="667"/>
      <c r="N828" s="667"/>
      <c r="O828" s="667"/>
      <c r="P828" s="667"/>
      <c r="Q828" s="667"/>
      <c r="R828" s="667"/>
      <c r="S828" s="667"/>
      <c r="T828" s="667"/>
      <c r="U828" s="1020">
        <v>3</v>
      </c>
      <c r="V828" s="668">
        <f t="shared" si="249"/>
        <v>240</v>
      </c>
      <c r="W828" s="668">
        <f t="shared" si="250"/>
        <v>0</v>
      </c>
      <c r="X828" s="668">
        <f t="shared" si="251"/>
        <v>0</v>
      </c>
      <c r="Y828" s="668">
        <f t="shared" si="252"/>
        <v>0</v>
      </c>
      <c r="Z828" s="668">
        <f t="shared" si="253"/>
        <v>0</v>
      </c>
      <c r="AA828" s="668">
        <f t="shared" si="254"/>
        <v>0</v>
      </c>
      <c r="AB828" s="668">
        <f t="shared" si="255"/>
        <v>0</v>
      </c>
      <c r="AC828" s="668">
        <f t="shared" si="248"/>
        <v>0</v>
      </c>
      <c r="AD828" s="668">
        <f t="shared" si="256"/>
        <v>0</v>
      </c>
      <c r="AE828" s="668">
        <f t="shared" si="257"/>
        <v>0</v>
      </c>
      <c r="AF828" s="668">
        <f t="shared" si="258"/>
        <v>0</v>
      </c>
      <c r="AG828" s="668">
        <f t="shared" si="259"/>
        <v>0</v>
      </c>
      <c r="AH828" s="668"/>
      <c r="AI828" s="668"/>
      <c r="AJ828" s="668"/>
      <c r="AK828" s="668"/>
      <c r="AL828" s="668"/>
      <c r="AM828" s="668">
        <f t="shared" si="260"/>
        <v>0</v>
      </c>
      <c r="AN828" s="668">
        <f t="shared" si="244"/>
        <v>0</v>
      </c>
      <c r="AO828" s="668">
        <f t="shared" si="245"/>
        <v>0</v>
      </c>
      <c r="AP828" s="668">
        <f t="shared" si="261"/>
        <v>0</v>
      </c>
      <c r="AQ828" s="668">
        <f t="shared" si="246"/>
        <v>0</v>
      </c>
      <c r="AR828" s="668">
        <f t="shared" si="247"/>
        <v>0</v>
      </c>
      <c r="AS828" s="668"/>
      <c r="AT828" s="668"/>
      <c r="AU828" s="668"/>
      <c r="AV828" s="668"/>
      <c r="AW828" s="668"/>
      <c r="AX828" s="668"/>
      <c r="AY828" s="668"/>
      <c r="AZ828" s="668"/>
      <c r="BA828" s="668"/>
      <c r="BB828" s="668">
        <f t="shared" si="262"/>
        <v>0</v>
      </c>
      <c r="BC828" s="668"/>
      <c r="BD828" s="668"/>
      <c r="BE828" s="668"/>
      <c r="BF828" s="668"/>
      <c r="BG828" s="668"/>
      <c r="BH828" s="668"/>
      <c r="BI828" s="668"/>
    </row>
    <row r="829" spans="1:61" x14ac:dyDescent="0.2">
      <c r="A829" s="1020">
        <v>4115</v>
      </c>
      <c r="B829" s="1020" t="s">
        <v>625</v>
      </c>
      <c r="C829" s="1020"/>
      <c r="D829" s="667">
        <v>39</v>
      </c>
      <c r="E829" s="667"/>
      <c r="F829" s="667"/>
      <c r="G829" s="667"/>
      <c r="H829" s="667"/>
      <c r="I829" s="667"/>
      <c r="J829" s="667"/>
      <c r="K829" s="667"/>
      <c r="L829" s="667"/>
      <c r="M829" s="667"/>
      <c r="N829" s="667"/>
      <c r="O829" s="667"/>
      <c r="P829" s="667"/>
      <c r="Q829" s="667"/>
      <c r="R829" s="667"/>
      <c r="S829" s="667"/>
      <c r="T829" s="667"/>
      <c r="U829" s="1020">
        <v>10</v>
      </c>
      <c r="V829" s="668">
        <f t="shared" si="249"/>
        <v>390</v>
      </c>
      <c r="W829" s="668">
        <f t="shared" si="250"/>
        <v>0</v>
      </c>
      <c r="X829" s="668">
        <f t="shared" si="251"/>
        <v>0</v>
      </c>
      <c r="Y829" s="668">
        <f t="shared" si="252"/>
        <v>0</v>
      </c>
      <c r="Z829" s="668">
        <f t="shared" si="253"/>
        <v>0</v>
      </c>
      <c r="AA829" s="668">
        <f t="shared" si="254"/>
        <v>0</v>
      </c>
      <c r="AB829" s="668">
        <f t="shared" si="255"/>
        <v>0</v>
      </c>
      <c r="AC829" s="668">
        <f t="shared" si="248"/>
        <v>0</v>
      </c>
      <c r="AD829" s="668">
        <f t="shared" si="256"/>
        <v>0</v>
      </c>
      <c r="AE829" s="668">
        <f t="shared" si="257"/>
        <v>0</v>
      </c>
      <c r="AF829" s="668">
        <f t="shared" si="258"/>
        <v>0</v>
      </c>
      <c r="AG829" s="668">
        <f t="shared" si="259"/>
        <v>0</v>
      </c>
      <c r="AH829" s="668"/>
      <c r="AI829" s="668"/>
      <c r="AJ829" s="668"/>
      <c r="AK829" s="668"/>
      <c r="AL829" s="668"/>
      <c r="AM829" s="668">
        <f t="shared" si="260"/>
        <v>0</v>
      </c>
      <c r="AN829" s="668">
        <f t="shared" si="244"/>
        <v>0</v>
      </c>
      <c r="AO829" s="668">
        <f t="shared" si="245"/>
        <v>0</v>
      </c>
      <c r="AP829" s="668">
        <f t="shared" si="261"/>
        <v>0</v>
      </c>
      <c r="AQ829" s="668">
        <f t="shared" si="246"/>
        <v>0</v>
      </c>
      <c r="AR829" s="668">
        <f t="shared" si="247"/>
        <v>0</v>
      </c>
      <c r="AS829" s="668"/>
      <c r="AT829" s="668"/>
      <c r="AU829" s="668"/>
      <c r="AV829" s="668"/>
      <c r="AW829" s="668"/>
      <c r="AX829" s="668"/>
      <c r="AY829" s="668"/>
      <c r="AZ829" s="668"/>
      <c r="BA829" s="668"/>
      <c r="BB829" s="668">
        <f t="shared" si="262"/>
        <v>0</v>
      </c>
      <c r="BC829" s="668"/>
      <c r="BD829" s="668"/>
      <c r="BE829" s="668"/>
      <c r="BF829" s="668"/>
      <c r="BG829" s="668"/>
      <c r="BH829" s="668"/>
      <c r="BI829" s="668"/>
    </row>
    <row r="830" spans="1:61" x14ac:dyDescent="0.2">
      <c r="A830" s="1020">
        <v>4116</v>
      </c>
      <c r="B830" s="1020" t="s">
        <v>686</v>
      </c>
      <c r="C830" s="1020"/>
      <c r="D830" s="667">
        <v>103</v>
      </c>
      <c r="E830" s="667"/>
      <c r="F830" s="667"/>
      <c r="G830" s="667"/>
      <c r="H830" s="667"/>
      <c r="I830" s="667"/>
      <c r="J830" s="667"/>
      <c r="K830" s="667"/>
      <c r="L830" s="667"/>
      <c r="M830" s="667"/>
      <c r="N830" s="667"/>
      <c r="O830" s="667"/>
      <c r="P830" s="667"/>
      <c r="Q830" s="667"/>
      <c r="R830" s="667"/>
      <c r="S830" s="667"/>
      <c r="T830" s="667"/>
      <c r="U830" s="1020">
        <v>12</v>
      </c>
      <c r="V830" s="668">
        <f t="shared" si="249"/>
        <v>1236</v>
      </c>
      <c r="W830" s="668">
        <f t="shared" si="250"/>
        <v>0</v>
      </c>
      <c r="X830" s="668">
        <f t="shared" si="251"/>
        <v>0</v>
      </c>
      <c r="Y830" s="668">
        <f t="shared" si="252"/>
        <v>0</v>
      </c>
      <c r="Z830" s="668">
        <f t="shared" si="253"/>
        <v>0</v>
      </c>
      <c r="AA830" s="668">
        <f t="shared" si="254"/>
        <v>0</v>
      </c>
      <c r="AB830" s="668">
        <f t="shared" si="255"/>
        <v>0</v>
      </c>
      <c r="AC830" s="668">
        <f t="shared" si="248"/>
        <v>0</v>
      </c>
      <c r="AD830" s="668">
        <f t="shared" si="256"/>
        <v>0</v>
      </c>
      <c r="AE830" s="668">
        <f t="shared" si="257"/>
        <v>0</v>
      </c>
      <c r="AF830" s="668">
        <f t="shared" si="258"/>
        <v>0</v>
      </c>
      <c r="AG830" s="668">
        <f t="shared" si="259"/>
        <v>0</v>
      </c>
      <c r="AH830" s="668"/>
      <c r="AI830" s="668"/>
      <c r="AJ830" s="668"/>
      <c r="AK830" s="668"/>
      <c r="AL830" s="668"/>
      <c r="AM830" s="668">
        <f t="shared" si="260"/>
        <v>0</v>
      </c>
      <c r="AN830" s="668">
        <f t="shared" si="244"/>
        <v>0</v>
      </c>
      <c r="AO830" s="668">
        <f t="shared" si="245"/>
        <v>0</v>
      </c>
      <c r="AP830" s="668">
        <f t="shared" si="261"/>
        <v>0</v>
      </c>
      <c r="AQ830" s="668">
        <f t="shared" si="246"/>
        <v>0</v>
      </c>
      <c r="AR830" s="668">
        <f t="shared" si="247"/>
        <v>0</v>
      </c>
      <c r="AS830" s="668"/>
      <c r="AT830" s="668"/>
      <c r="AU830" s="668"/>
      <c r="AV830" s="668"/>
      <c r="AW830" s="668"/>
      <c r="AX830" s="668"/>
      <c r="AY830" s="668"/>
      <c r="AZ830" s="668"/>
      <c r="BA830" s="668"/>
      <c r="BB830" s="668">
        <f t="shared" si="262"/>
        <v>0</v>
      </c>
      <c r="BC830" s="668"/>
      <c r="BD830" s="668"/>
      <c r="BE830" s="668"/>
      <c r="BF830" s="668"/>
      <c r="BG830" s="668"/>
      <c r="BH830" s="668"/>
      <c r="BI830" s="668"/>
    </row>
    <row r="831" spans="1:61" x14ac:dyDescent="0.2">
      <c r="A831" s="1020">
        <v>4117</v>
      </c>
      <c r="B831" s="1020" t="s">
        <v>682</v>
      </c>
      <c r="C831" s="1020"/>
      <c r="D831" s="667">
        <v>32</v>
      </c>
      <c r="E831" s="667"/>
      <c r="F831" s="667">
        <v>32</v>
      </c>
      <c r="G831" s="667"/>
      <c r="H831" s="667"/>
      <c r="I831" s="667"/>
      <c r="J831" s="667"/>
      <c r="K831" s="667"/>
      <c r="L831" s="667"/>
      <c r="M831" s="667"/>
      <c r="N831" s="667"/>
      <c r="O831" s="667"/>
      <c r="P831" s="667"/>
      <c r="Q831" s="667"/>
      <c r="R831" s="667"/>
      <c r="S831" s="667"/>
      <c r="T831" s="667"/>
      <c r="U831" s="1020">
        <v>10</v>
      </c>
      <c r="V831" s="668">
        <f t="shared" si="249"/>
        <v>320</v>
      </c>
      <c r="W831" s="668">
        <f t="shared" si="250"/>
        <v>0</v>
      </c>
      <c r="X831" s="668">
        <f t="shared" si="251"/>
        <v>0</v>
      </c>
      <c r="Y831" s="668">
        <f t="shared" si="252"/>
        <v>0</v>
      </c>
      <c r="Z831" s="668">
        <f t="shared" si="253"/>
        <v>0</v>
      </c>
      <c r="AA831" s="668">
        <f t="shared" si="254"/>
        <v>0</v>
      </c>
      <c r="AB831" s="668">
        <f t="shared" si="255"/>
        <v>0</v>
      </c>
      <c r="AC831" s="668">
        <f t="shared" si="248"/>
        <v>0</v>
      </c>
      <c r="AD831" s="668">
        <f t="shared" si="256"/>
        <v>0</v>
      </c>
      <c r="AE831" s="668">
        <f t="shared" si="257"/>
        <v>0</v>
      </c>
      <c r="AF831" s="668">
        <f t="shared" si="258"/>
        <v>0</v>
      </c>
      <c r="AG831" s="668">
        <f t="shared" si="259"/>
        <v>0</v>
      </c>
      <c r="AH831" s="668"/>
      <c r="AI831" s="668"/>
      <c r="AJ831" s="668"/>
      <c r="AK831" s="668"/>
      <c r="AL831" s="668"/>
      <c r="AM831" s="668">
        <f t="shared" si="260"/>
        <v>0</v>
      </c>
      <c r="AN831" s="668">
        <f t="shared" si="244"/>
        <v>0</v>
      </c>
      <c r="AO831" s="668">
        <f t="shared" si="245"/>
        <v>0</v>
      </c>
      <c r="AP831" s="668">
        <f t="shared" si="261"/>
        <v>320</v>
      </c>
      <c r="AQ831" s="668">
        <f t="shared" si="246"/>
        <v>0</v>
      </c>
      <c r="AR831" s="668">
        <f t="shared" si="247"/>
        <v>0</v>
      </c>
      <c r="AS831" s="668"/>
      <c r="AT831" s="668"/>
      <c r="AU831" s="668"/>
      <c r="AV831" s="668"/>
      <c r="AW831" s="668"/>
      <c r="AX831" s="668"/>
      <c r="AY831" s="668"/>
      <c r="AZ831" s="668"/>
      <c r="BA831" s="668"/>
      <c r="BB831" s="668">
        <f t="shared" si="262"/>
        <v>320</v>
      </c>
      <c r="BC831" s="668"/>
      <c r="BD831" s="668"/>
      <c r="BE831" s="668"/>
      <c r="BF831" s="668"/>
      <c r="BG831" s="668"/>
      <c r="BH831" s="668"/>
      <c r="BI831" s="668"/>
    </row>
    <row r="832" spans="1:61" x14ac:dyDescent="0.2">
      <c r="A832" s="1020">
        <v>4118</v>
      </c>
      <c r="B832" s="1020" t="s">
        <v>682</v>
      </c>
      <c r="C832" s="1020"/>
      <c r="D832" s="667">
        <v>32</v>
      </c>
      <c r="E832" s="667"/>
      <c r="F832" s="667">
        <v>32</v>
      </c>
      <c r="G832" s="667"/>
      <c r="H832" s="667"/>
      <c r="I832" s="667"/>
      <c r="J832" s="667"/>
      <c r="K832" s="667"/>
      <c r="L832" s="667"/>
      <c r="M832" s="667"/>
      <c r="N832" s="667"/>
      <c r="O832" s="667"/>
      <c r="P832" s="667"/>
      <c r="Q832" s="667"/>
      <c r="R832" s="667"/>
      <c r="S832" s="667"/>
      <c r="T832" s="667"/>
      <c r="U832" s="1020">
        <v>10</v>
      </c>
      <c r="V832" s="668">
        <f t="shared" si="249"/>
        <v>320</v>
      </c>
      <c r="W832" s="668">
        <f t="shared" si="250"/>
        <v>0</v>
      </c>
      <c r="X832" s="668">
        <f t="shared" si="251"/>
        <v>0</v>
      </c>
      <c r="Y832" s="668">
        <f t="shared" si="252"/>
        <v>0</v>
      </c>
      <c r="Z832" s="668">
        <f t="shared" si="253"/>
        <v>0</v>
      </c>
      <c r="AA832" s="668">
        <f t="shared" si="254"/>
        <v>0</v>
      </c>
      <c r="AB832" s="668">
        <f t="shared" si="255"/>
        <v>0</v>
      </c>
      <c r="AC832" s="668">
        <f t="shared" si="248"/>
        <v>0</v>
      </c>
      <c r="AD832" s="668">
        <f t="shared" si="256"/>
        <v>0</v>
      </c>
      <c r="AE832" s="668">
        <f t="shared" si="257"/>
        <v>0</v>
      </c>
      <c r="AF832" s="668">
        <f t="shared" si="258"/>
        <v>0</v>
      </c>
      <c r="AG832" s="668">
        <f t="shared" si="259"/>
        <v>0</v>
      </c>
      <c r="AH832" s="668"/>
      <c r="AI832" s="668"/>
      <c r="AJ832" s="668"/>
      <c r="AK832" s="668"/>
      <c r="AL832" s="668"/>
      <c r="AM832" s="668">
        <f t="shared" si="260"/>
        <v>0</v>
      </c>
      <c r="AN832" s="668">
        <f t="shared" si="244"/>
        <v>0</v>
      </c>
      <c r="AO832" s="668">
        <f t="shared" si="245"/>
        <v>0</v>
      </c>
      <c r="AP832" s="668">
        <f t="shared" si="261"/>
        <v>320</v>
      </c>
      <c r="AQ832" s="668">
        <f t="shared" si="246"/>
        <v>0</v>
      </c>
      <c r="AR832" s="668">
        <f t="shared" si="247"/>
        <v>0</v>
      </c>
      <c r="AS832" s="668"/>
      <c r="AT832" s="668"/>
      <c r="AU832" s="668"/>
      <c r="AV832" s="668"/>
      <c r="AW832" s="668"/>
      <c r="AX832" s="668"/>
      <c r="AY832" s="668"/>
      <c r="AZ832" s="668"/>
      <c r="BA832" s="668"/>
      <c r="BB832" s="668">
        <f t="shared" si="262"/>
        <v>320</v>
      </c>
      <c r="BC832" s="668"/>
      <c r="BD832" s="668"/>
      <c r="BE832" s="668"/>
      <c r="BF832" s="668"/>
      <c r="BG832" s="668"/>
      <c r="BH832" s="668"/>
      <c r="BI832" s="668"/>
    </row>
    <row r="833" spans="1:61" x14ac:dyDescent="0.2">
      <c r="A833" s="1020">
        <v>4119</v>
      </c>
      <c r="B833" s="1020" t="s">
        <v>685</v>
      </c>
      <c r="C833" s="1020"/>
      <c r="D833" s="667">
        <v>84</v>
      </c>
      <c r="E833" s="667"/>
      <c r="F833" s="667"/>
      <c r="G833" s="667"/>
      <c r="H833" s="667"/>
      <c r="I833" s="667"/>
      <c r="J833" s="667"/>
      <c r="K833" s="667"/>
      <c r="L833" s="667"/>
      <c r="M833" s="667"/>
      <c r="N833" s="667"/>
      <c r="O833" s="667"/>
      <c r="P833" s="667"/>
      <c r="Q833" s="667"/>
      <c r="R833" s="667"/>
      <c r="S833" s="667"/>
      <c r="T833" s="667"/>
      <c r="U833" s="1020">
        <v>10</v>
      </c>
      <c r="V833" s="668">
        <f t="shared" si="249"/>
        <v>840</v>
      </c>
      <c r="W833" s="668">
        <f t="shared" si="250"/>
        <v>0</v>
      </c>
      <c r="X833" s="668">
        <f t="shared" si="251"/>
        <v>0</v>
      </c>
      <c r="Y833" s="668">
        <f t="shared" si="252"/>
        <v>0</v>
      </c>
      <c r="Z833" s="668">
        <f t="shared" si="253"/>
        <v>0</v>
      </c>
      <c r="AA833" s="668">
        <f t="shared" si="254"/>
        <v>0</v>
      </c>
      <c r="AB833" s="668">
        <f t="shared" si="255"/>
        <v>0</v>
      </c>
      <c r="AC833" s="668">
        <f t="shared" si="248"/>
        <v>0</v>
      </c>
      <c r="AD833" s="668">
        <f t="shared" si="256"/>
        <v>0</v>
      </c>
      <c r="AE833" s="668">
        <f t="shared" si="257"/>
        <v>0</v>
      </c>
      <c r="AF833" s="668">
        <f t="shared" si="258"/>
        <v>0</v>
      </c>
      <c r="AG833" s="668">
        <f t="shared" si="259"/>
        <v>0</v>
      </c>
      <c r="AH833" s="668"/>
      <c r="AI833" s="668"/>
      <c r="AJ833" s="668"/>
      <c r="AK833" s="668"/>
      <c r="AL833" s="668"/>
      <c r="AM833" s="668">
        <f t="shared" si="260"/>
        <v>0</v>
      </c>
      <c r="AN833" s="668">
        <f t="shared" si="244"/>
        <v>0</v>
      </c>
      <c r="AO833" s="668">
        <f t="shared" si="245"/>
        <v>0</v>
      </c>
      <c r="AP833" s="668">
        <f t="shared" si="261"/>
        <v>0</v>
      </c>
      <c r="AQ833" s="668">
        <f t="shared" si="246"/>
        <v>0</v>
      </c>
      <c r="AR833" s="668">
        <f t="shared" si="247"/>
        <v>0</v>
      </c>
      <c r="AS833" s="668"/>
      <c r="AT833" s="668"/>
      <c r="AU833" s="668"/>
      <c r="AV833" s="668"/>
      <c r="AW833" s="668"/>
      <c r="AX833" s="668"/>
      <c r="AY833" s="668"/>
      <c r="AZ833" s="668"/>
      <c r="BA833" s="668"/>
      <c r="BB833" s="668">
        <f t="shared" si="262"/>
        <v>0</v>
      </c>
      <c r="BC833" s="668"/>
      <c r="BD833" s="668"/>
      <c r="BE833" s="668"/>
      <c r="BF833" s="668"/>
      <c r="BG833" s="668"/>
      <c r="BH833" s="668"/>
      <c r="BI833" s="668"/>
    </row>
    <row r="834" spans="1:61" x14ac:dyDescent="0.2">
      <c r="A834" s="1020">
        <v>4120</v>
      </c>
      <c r="B834" s="1020" t="s">
        <v>517</v>
      </c>
      <c r="C834" s="1020"/>
      <c r="D834" s="667">
        <v>82</v>
      </c>
      <c r="E834" s="667"/>
      <c r="F834" s="667"/>
      <c r="G834" s="667"/>
      <c r="H834" s="667"/>
      <c r="I834" s="667"/>
      <c r="J834" s="667"/>
      <c r="K834" s="667"/>
      <c r="L834" s="667"/>
      <c r="M834" s="667"/>
      <c r="N834" s="667"/>
      <c r="O834" s="667"/>
      <c r="P834" s="667"/>
      <c r="Q834" s="667"/>
      <c r="R834" s="667"/>
      <c r="S834" s="667"/>
      <c r="T834" s="667"/>
      <c r="U834" s="1020">
        <v>12</v>
      </c>
      <c r="V834" s="668">
        <f t="shared" si="249"/>
        <v>984</v>
      </c>
      <c r="W834" s="668">
        <f t="shared" si="250"/>
        <v>0</v>
      </c>
      <c r="X834" s="668">
        <f t="shared" si="251"/>
        <v>0</v>
      </c>
      <c r="Y834" s="668">
        <f t="shared" si="252"/>
        <v>0</v>
      </c>
      <c r="Z834" s="668">
        <f t="shared" si="253"/>
        <v>0</v>
      </c>
      <c r="AA834" s="668">
        <f t="shared" si="254"/>
        <v>0</v>
      </c>
      <c r="AB834" s="668">
        <f t="shared" si="255"/>
        <v>0</v>
      </c>
      <c r="AC834" s="668">
        <f t="shared" si="248"/>
        <v>0</v>
      </c>
      <c r="AD834" s="668">
        <f t="shared" si="256"/>
        <v>0</v>
      </c>
      <c r="AE834" s="668">
        <f t="shared" si="257"/>
        <v>0</v>
      </c>
      <c r="AF834" s="668">
        <f t="shared" si="258"/>
        <v>0</v>
      </c>
      <c r="AG834" s="668">
        <f t="shared" si="259"/>
        <v>0</v>
      </c>
      <c r="AH834" s="668"/>
      <c r="AI834" s="668"/>
      <c r="AJ834" s="668"/>
      <c r="AK834" s="668"/>
      <c r="AL834" s="668"/>
      <c r="AM834" s="668">
        <f t="shared" si="260"/>
        <v>0</v>
      </c>
      <c r="AN834" s="668">
        <f t="shared" si="244"/>
        <v>0</v>
      </c>
      <c r="AO834" s="668">
        <f t="shared" si="245"/>
        <v>0</v>
      </c>
      <c r="AP834" s="668">
        <f t="shared" si="261"/>
        <v>0</v>
      </c>
      <c r="AQ834" s="668">
        <f t="shared" si="246"/>
        <v>0</v>
      </c>
      <c r="AR834" s="668">
        <f t="shared" si="247"/>
        <v>0</v>
      </c>
      <c r="AS834" s="668"/>
      <c r="AT834" s="668"/>
      <c r="AU834" s="668"/>
      <c r="AV834" s="668"/>
      <c r="AW834" s="668"/>
      <c r="AX834" s="668"/>
      <c r="AY834" s="668"/>
      <c r="AZ834" s="668"/>
      <c r="BA834" s="668"/>
      <c r="BB834" s="668">
        <f t="shared" si="262"/>
        <v>0</v>
      </c>
      <c r="BC834" s="668"/>
      <c r="BD834" s="668"/>
      <c r="BE834" s="668"/>
      <c r="BF834" s="668"/>
      <c r="BG834" s="668"/>
      <c r="BH834" s="668"/>
      <c r="BI834" s="668"/>
    </row>
    <row r="835" spans="1:61" x14ac:dyDescent="0.2">
      <c r="A835" s="1020">
        <v>4121</v>
      </c>
      <c r="B835" s="1020" t="s">
        <v>519</v>
      </c>
      <c r="C835" s="1020"/>
      <c r="D835" s="667">
        <v>35</v>
      </c>
      <c r="E835" s="667"/>
      <c r="F835" s="667">
        <v>15</v>
      </c>
      <c r="G835" s="667"/>
      <c r="H835" s="667"/>
      <c r="I835" s="667"/>
      <c r="J835" s="667"/>
      <c r="K835" s="667"/>
      <c r="L835" s="667"/>
      <c r="M835" s="667"/>
      <c r="N835" s="667"/>
      <c r="O835" s="667"/>
      <c r="P835" s="667"/>
      <c r="Q835" s="667"/>
      <c r="R835" s="667"/>
      <c r="S835" s="667"/>
      <c r="T835" s="667">
        <v>150</v>
      </c>
      <c r="U835" s="1020">
        <v>12</v>
      </c>
      <c r="V835" s="668">
        <f t="shared" si="249"/>
        <v>420</v>
      </c>
      <c r="W835" s="668">
        <f t="shared" si="250"/>
        <v>0</v>
      </c>
      <c r="X835" s="668">
        <f t="shared" si="251"/>
        <v>0</v>
      </c>
      <c r="Y835" s="668">
        <f t="shared" si="252"/>
        <v>0</v>
      </c>
      <c r="Z835" s="668">
        <f t="shared" si="253"/>
        <v>0</v>
      </c>
      <c r="AA835" s="668">
        <f t="shared" si="254"/>
        <v>0</v>
      </c>
      <c r="AB835" s="668">
        <f t="shared" si="255"/>
        <v>150</v>
      </c>
      <c r="AC835" s="668">
        <f t="shared" si="248"/>
        <v>0</v>
      </c>
      <c r="AD835" s="668">
        <f t="shared" si="256"/>
        <v>0</v>
      </c>
      <c r="AE835" s="668">
        <f t="shared" si="257"/>
        <v>0</v>
      </c>
      <c r="AF835" s="668">
        <f t="shared" si="258"/>
        <v>0</v>
      </c>
      <c r="AG835" s="668">
        <f t="shared" si="259"/>
        <v>0</v>
      </c>
      <c r="AH835" s="668"/>
      <c r="AI835" s="668"/>
      <c r="AJ835" s="668"/>
      <c r="AK835" s="668"/>
      <c r="AL835" s="668"/>
      <c r="AM835" s="668">
        <f t="shared" si="260"/>
        <v>0</v>
      </c>
      <c r="AN835" s="668">
        <f t="shared" si="244"/>
        <v>0</v>
      </c>
      <c r="AO835" s="668">
        <f t="shared" si="245"/>
        <v>0</v>
      </c>
      <c r="AP835" s="668">
        <f t="shared" si="261"/>
        <v>180</v>
      </c>
      <c r="AQ835" s="668">
        <f t="shared" si="246"/>
        <v>0</v>
      </c>
      <c r="AR835" s="668">
        <f t="shared" si="247"/>
        <v>0</v>
      </c>
      <c r="AS835" s="668"/>
      <c r="AT835" s="668"/>
      <c r="AU835" s="668"/>
      <c r="AV835" s="668"/>
      <c r="AW835" s="668"/>
      <c r="AX835" s="668"/>
      <c r="AY835" s="668"/>
      <c r="AZ835" s="668"/>
      <c r="BA835" s="668"/>
      <c r="BB835" s="668">
        <f t="shared" si="262"/>
        <v>180</v>
      </c>
      <c r="BC835" s="668"/>
      <c r="BD835" s="668"/>
      <c r="BE835" s="668"/>
      <c r="BF835" s="668"/>
      <c r="BG835" s="668"/>
      <c r="BH835" s="668"/>
      <c r="BI835" s="668"/>
    </row>
    <row r="836" spans="1:61" x14ac:dyDescent="0.2">
      <c r="A836" s="1020">
        <v>4122</v>
      </c>
      <c r="B836" s="1020" t="s">
        <v>519</v>
      </c>
      <c r="C836" s="1020"/>
      <c r="D836" s="667">
        <v>35</v>
      </c>
      <c r="E836" s="667"/>
      <c r="F836" s="667">
        <v>15</v>
      </c>
      <c r="G836" s="667"/>
      <c r="H836" s="667"/>
      <c r="I836" s="667"/>
      <c r="J836" s="667"/>
      <c r="K836" s="667"/>
      <c r="L836" s="667"/>
      <c r="M836" s="667"/>
      <c r="N836" s="667"/>
      <c r="O836" s="667"/>
      <c r="P836" s="667"/>
      <c r="Q836" s="667"/>
      <c r="R836" s="667"/>
      <c r="S836" s="667"/>
      <c r="T836" s="667">
        <v>150</v>
      </c>
      <c r="U836" s="1020">
        <v>12</v>
      </c>
      <c r="V836" s="668">
        <f t="shared" si="249"/>
        <v>420</v>
      </c>
      <c r="W836" s="668">
        <f t="shared" si="250"/>
        <v>0</v>
      </c>
      <c r="X836" s="668">
        <f t="shared" si="251"/>
        <v>0</v>
      </c>
      <c r="Y836" s="668">
        <f t="shared" si="252"/>
        <v>0</v>
      </c>
      <c r="Z836" s="668">
        <f t="shared" si="253"/>
        <v>0</v>
      </c>
      <c r="AA836" s="668">
        <f t="shared" si="254"/>
        <v>0</v>
      </c>
      <c r="AB836" s="668">
        <f t="shared" si="255"/>
        <v>150</v>
      </c>
      <c r="AC836" s="668">
        <f t="shared" si="248"/>
        <v>0</v>
      </c>
      <c r="AD836" s="668">
        <f t="shared" si="256"/>
        <v>0</v>
      </c>
      <c r="AE836" s="668">
        <f t="shared" si="257"/>
        <v>0</v>
      </c>
      <c r="AF836" s="668">
        <f t="shared" si="258"/>
        <v>0</v>
      </c>
      <c r="AG836" s="668">
        <f t="shared" si="259"/>
        <v>0</v>
      </c>
      <c r="AH836" s="668"/>
      <c r="AI836" s="668"/>
      <c r="AJ836" s="668"/>
      <c r="AK836" s="668"/>
      <c r="AL836" s="668"/>
      <c r="AM836" s="668">
        <f t="shared" si="260"/>
        <v>0</v>
      </c>
      <c r="AN836" s="668">
        <f t="shared" si="244"/>
        <v>0</v>
      </c>
      <c r="AO836" s="668">
        <f t="shared" si="245"/>
        <v>0</v>
      </c>
      <c r="AP836" s="668">
        <f t="shared" si="261"/>
        <v>180</v>
      </c>
      <c r="AQ836" s="668">
        <f t="shared" si="246"/>
        <v>0</v>
      </c>
      <c r="AR836" s="668">
        <f t="shared" si="247"/>
        <v>0</v>
      </c>
      <c r="AS836" s="668"/>
      <c r="AT836" s="668"/>
      <c r="AU836" s="668"/>
      <c r="AV836" s="668"/>
      <c r="AW836" s="668"/>
      <c r="AX836" s="668"/>
      <c r="AY836" s="668"/>
      <c r="AZ836" s="668"/>
      <c r="BA836" s="668"/>
      <c r="BB836" s="668">
        <f t="shared" si="262"/>
        <v>180</v>
      </c>
      <c r="BC836" s="668"/>
      <c r="BD836" s="668"/>
      <c r="BE836" s="668"/>
      <c r="BF836" s="668"/>
      <c r="BG836" s="668"/>
      <c r="BH836" s="668"/>
      <c r="BI836" s="668"/>
    </row>
    <row r="837" spans="1:61" x14ac:dyDescent="0.2">
      <c r="A837" s="1020">
        <v>4123</v>
      </c>
      <c r="B837" s="1020" t="s">
        <v>515</v>
      </c>
      <c r="C837" s="1020"/>
      <c r="D837" s="667">
        <v>86</v>
      </c>
      <c r="E837" s="667"/>
      <c r="F837" s="667">
        <v>43</v>
      </c>
      <c r="G837" s="667"/>
      <c r="H837" s="667"/>
      <c r="I837" s="667"/>
      <c r="J837" s="667"/>
      <c r="K837" s="667"/>
      <c r="L837" s="667"/>
      <c r="M837" s="667"/>
      <c r="N837" s="667"/>
      <c r="O837" s="667"/>
      <c r="P837" s="667"/>
      <c r="Q837" s="667"/>
      <c r="R837" s="667"/>
      <c r="S837" s="667"/>
      <c r="T837" s="667">
        <v>1527</v>
      </c>
      <c r="U837" s="1020">
        <v>12</v>
      </c>
      <c r="V837" s="668">
        <f t="shared" si="249"/>
        <v>1032</v>
      </c>
      <c r="W837" s="668">
        <f t="shared" si="250"/>
        <v>0</v>
      </c>
      <c r="X837" s="668">
        <f t="shared" si="251"/>
        <v>0</v>
      </c>
      <c r="Y837" s="668">
        <f t="shared" si="252"/>
        <v>0</v>
      </c>
      <c r="Z837" s="668">
        <f t="shared" si="253"/>
        <v>0</v>
      </c>
      <c r="AA837" s="668">
        <f t="shared" si="254"/>
        <v>0</v>
      </c>
      <c r="AB837" s="668">
        <f t="shared" si="255"/>
        <v>1527</v>
      </c>
      <c r="AC837" s="668">
        <f t="shared" si="248"/>
        <v>0</v>
      </c>
      <c r="AD837" s="668">
        <f t="shared" si="256"/>
        <v>0</v>
      </c>
      <c r="AE837" s="668">
        <f t="shared" si="257"/>
        <v>0</v>
      </c>
      <c r="AF837" s="668">
        <f t="shared" si="258"/>
        <v>0</v>
      </c>
      <c r="AG837" s="668">
        <f t="shared" si="259"/>
        <v>0</v>
      </c>
      <c r="AH837" s="668"/>
      <c r="AI837" s="668"/>
      <c r="AJ837" s="668"/>
      <c r="AK837" s="668"/>
      <c r="AL837" s="668"/>
      <c r="AM837" s="668">
        <f t="shared" si="260"/>
        <v>0</v>
      </c>
      <c r="AN837" s="668">
        <f t="shared" si="244"/>
        <v>0</v>
      </c>
      <c r="AO837" s="668">
        <f t="shared" si="245"/>
        <v>0</v>
      </c>
      <c r="AP837" s="668">
        <f t="shared" si="261"/>
        <v>516</v>
      </c>
      <c r="AQ837" s="668">
        <f t="shared" si="246"/>
        <v>0</v>
      </c>
      <c r="AR837" s="668">
        <f t="shared" si="247"/>
        <v>0</v>
      </c>
      <c r="AS837" s="668"/>
      <c r="AT837" s="668"/>
      <c r="AU837" s="668"/>
      <c r="AV837" s="668"/>
      <c r="AW837" s="668"/>
      <c r="AX837" s="668"/>
      <c r="AY837" s="668"/>
      <c r="AZ837" s="668"/>
      <c r="BA837" s="668"/>
      <c r="BB837" s="668"/>
      <c r="BC837" s="668"/>
      <c r="BD837" s="668"/>
      <c r="BE837" s="668"/>
      <c r="BF837" s="668"/>
      <c r="BG837" s="668"/>
      <c r="BH837" s="668"/>
      <c r="BI837" s="668"/>
    </row>
    <row r="838" spans="1:61" x14ac:dyDescent="0.2">
      <c r="A838" s="1020">
        <v>4124</v>
      </c>
      <c r="B838" s="1020" t="s">
        <v>534</v>
      </c>
      <c r="C838" s="1020"/>
      <c r="D838" s="667">
        <v>32</v>
      </c>
      <c r="E838" s="667"/>
      <c r="F838" s="667"/>
      <c r="G838" s="667"/>
      <c r="H838" s="667"/>
      <c r="I838" s="667"/>
      <c r="J838" s="667"/>
      <c r="K838" s="667"/>
      <c r="L838" s="667"/>
      <c r="M838" s="667"/>
      <c r="N838" s="667"/>
      <c r="O838" s="667"/>
      <c r="P838" s="667"/>
      <c r="Q838" s="667"/>
      <c r="R838" s="667"/>
      <c r="S838" s="667"/>
      <c r="T838" s="667"/>
      <c r="U838" s="1020">
        <v>12</v>
      </c>
      <c r="V838" s="668">
        <f t="shared" si="249"/>
        <v>384</v>
      </c>
      <c r="W838" s="668">
        <f t="shared" si="250"/>
        <v>0</v>
      </c>
      <c r="X838" s="668">
        <f t="shared" si="251"/>
        <v>0</v>
      </c>
      <c r="Y838" s="668">
        <f t="shared" si="252"/>
        <v>0</v>
      </c>
      <c r="Z838" s="668">
        <f t="shared" si="253"/>
        <v>0</v>
      </c>
      <c r="AA838" s="668">
        <f t="shared" si="254"/>
        <v>0</v>
      </c>
      <c r="AB838" s="668">
        <f t="shared" si="255"/>
        <v>0</v>
      </c>
      <c r="AC838" s="668">
        <f t="shared" si="248"/>
        <v>0</v>
      </c>
      <c r="AD838" s="668">
        <f t="shared" si="256"/>
        <v>0</v>
      </c>
      <c r="AE838" s="668">
        <f t="shared" si="257"/>
        <v>0</v>
      </c>
      <c r="AF838" s="668">
        <f t="shared" si="258"/>
        <v>0</v>
      </c>
      <c r="AG838" s="668">
        <f t="shared" si="259"/>
        <v>0</v>
      </c>
      <c r="AH838" s="668"/>
      <c r="AI838" s="668"/>
      <c r="AJ838" s="668"/>
      <c r="AK838" s="668"/>
      <c r="AL838" s="668"/>
      <c r="AM838" s="668">
        <f t="shared" si="260"/>
        <v>0</v>
      </c>
      <c r="AN838" s="668">
        <f t="shared" si="244"/>
        <v>0</v>
      </c>
      <c r="AO838" s="668">
        <f t="shared" si="245"/>
        <v>0</v>
      </c>
      <c r="AP838" s="668">
        <f t="shared" si="261"/>
        <v>0</v>
      </c>
      <c r="AQ838" s="668">
        <f t="shared" si="246"/>
        <v>0</v>
      </c>
      <c r="AR838" s="668">
        <f t="shared" si="247"/>
        <v>0</v>
      </c>
      <c r="AS838" s="668"/>
      <c r="AT838" s="668"/>
      <c r="AU838" s="668"/>
      <c r="AV838" s="668"/>
      <c r="AW838" s="668"/>
      <c r="AX838" s="668"/>
      <c r="AY838" s="668"/>
      <c r="AZ838" s="668"/>
      <c r="BA838" s="668"/>
      <c r="BB838" s="668">
        <f t="shared" si="262"/>
        <v>0</v>
      </c>
      <c r="BC838" s="668"/>
      <c r="BD838" s="668"/>
      <c r="BE838" s="668"/>
      <c r="BF838" s="668"/>
      <c r="BG838" s="668"/>
      <c r="BH838" s="668"/>
      <c r="BI838" s="668"/>
    </row>
    <row r="839" spans="1:61" x14ac:dyDescent="0.2">
      <c r="A839" s="1020">
        <v>4125</v>
      </c>
      <c r="B839" s="1020" t="s">
        <v>515</v>
      </c>
      <c r="C839" s="1020"/>
      <c r="D839" s="667">
        <v>120</v>
      </c>
      <c r="E839" s="667"/>
      <c r="F839" s="667">
        <v>40</v>
      </c>
      <c r="G839" s="667"/>
      <c r="H839" s="667"/>
      <c r="I839" s="667"/>
      <c r="J839" s="667"/>
      <c r="K839" s="667"/>
      <c r="L839" s="667"/>
      <c r="M839" s="667"/>
      <c r="N839" s="667"/>
      <c r="O839" s="667"/>
      <c r="P839" s="667"/>
      <c r="Q839" s="667"/>
      <c r="R839" s="667"/>
      <c r="S839" s="667"/>
      <c r="T839" s="667">
        <v>2200</v>
      </c>
      <c r="U839" s="1020">
        <v>12</v>
      </c>
      <c r="V839" s="668">
        <f t="shared" si="249"/>
        <v>1440</v>
      </c>
      <c r="W839" s="668">
        <f t="shared" si="250"/>
        <v>0</v>
      </c>
      <c r="X839" s="668">
        <f t="shared" si="251"/>
        <v>0</v>
      </c>
      <c r="Y839" s="668">
        <f t="shared" si="252"/>
        <v>0</v>
      </c>
      <c r="Z839" s="668">
        <f t="shared" si="253"/>
        <v>0</v>
      </c>
      <c r="AA839" s="668">
        <f t="shared" si="254"/>
        <v>0</v>
      </c>
      <c r="AB839" s="668">
        <f t="shared" si="255"/>
        <v>2200</v>
      </c>
      <c r="AC839" s="668">
        <f t="shared" si="248"/>
        <v>0</v>
      </c>
      <c r="AD839" s="668">
        <f t="shared" si="256"/>
        <v>0</v>
      </c>
      <c r="AE839" s="668">
        <f t="shared" si="257"/>
        <v>0</v>
      </c>
      <c r="AF839" s="668">
        <f t="shared" si="258"/>
        <v>0</v>
      </c>
      <c r="AG839" s="668">
        <f t="shared" si="259"/>
        <v>0</v>
      </c>
      <c r="AH839" s="668"/>
      <c r="AI839" s="668"/>
      <c r="AJ839" s="668"/>
      <c r="AK839" s="668"/>
      <c r="AL839" s="668"/>
      <c r="AM839" s="668">
        <f t="shared" si="260"/>
        <v>0</v>
      </c>
      <c r="AN839" s="668">
        <f t="shared" si="244"/>
        <v>0</v>
      </c>
      <c r="AO839" s="668">
        <f t="shared" si="245"/>
        <v>0</v>
      </c>
      <c r="AP839" s="668">
        <f t="shared" si="261"/>
        <v>480</v>
      </c>
      <c r="AQ839" s="668">
        <f t="shared" si="246"/>
        <v>0</v>
      </c>
      <c r="AR839" s="668">
        <f t="shared" si="247"/>
        <v>0</v>
      </c>
      <c r="AS839" s="668"/>
      <c r="AT839" s="668"/>
      <c r="AU839" s="668"/>
      <c r="AV839" s="668"/>
      <c r="AW839" s="668"/>
      <c r="AX839" s="668"/>
      <c r="AY839" s="668"/>
      <c r="AZ839" s="668"/>
      <c r="BA839" s="668"/>
      <c r="BB839" s="668"/>
      <c r="BC839" s="668"/>
      <c r="BD839" s="668"/>
      <c r="BE839" s="668"/>
      <c r="BF839" s="668"/>
      <c r="BG839" s="668"/>
      <c r="BH839" s="668"/>
      <c r="BI839" s="668"/>
    </row>
    <row r="840" spans="1:61" x14ac:dyDescent="0.2">
      <c r="A840" s="1020">
        <v>4127</v>
      </c>
      <c r="B840" s="1020" t="s">
        <v>519</v>
      </c>
      <c r="C840" s="1020"/>
      <c r="D840" s="667">
        <v>55</v>
      </c>
      <c r="E840" s="667"/>
      <c r="F840" s="667">
        <v>15</v>
      </c>
      <c r="G840" s="667"/>
      <c r="H840" s="667"/>
      <c r="I840" s="667"/>
      <c r="J840" s="667"/>
      <c r="K840" s="667"/>
      <c r="L840" s="667"/>
      <c r="M840" s="667"/>
      <c r="N840" s="667"/>
      <c r="O840" s="667"/>
      <c r="P840" s="667"/>
      <c r="Q840" s="667"/>
      <c r="R840" s="667"/>
      <c r="S840" s="667"/>
      <c r="T840" s="667">
        <v>244</v>
      </c>
      <c r="U840" s="1020">
        <v>12</v>
      </c>
      <c r="V840" s="668">
        <f t="shared" si="249"/>
        <v>660</v>
      </c>
      <c r="W840" s="668">
        <f t="shared" si="250"/>
        <v>0</v>
      </c>
      <c r="X840" s="668">
        <f t="shared" si="251"/>
        <v>0</v>
      </c>
      <c r="Y840" s="668">
        <f t="shared" si="252"/>
        <v>0</v>
      </c>
      <c r="Z840" s="668">
        <f t="shared" si="253"/>
        <v>0</v>
      </c>
      <c r="AA840" s="668">
        <f t="shared" si="254"/>
        <v>0</v>
      </c>
      <c r="AB840" s="668">
        <f t="shared" si="255"/>
        <v>244</v>
      </c>
      <c r="AC840" s="668">
        <f t="shared" si="248"/>
        <v>0</v>
      </c>
      <c r="AD840" s="668">
        <f t="shared" si="256"/>
        <v>0</v>
      </c>
      <c r="AE840" s="668">
        <f t="shared" si="257"/>
        <v>0</v>
      </c>
      <c r="AF840" s="668">
        <f t="shared" si="258"/>
        <v>0</v>
      </c>
      <c r="AG840" s="668">
        <f t="shared" si="259"/>
        <v>0</v>
      </c>
      <c r="AH840" s="668"/>
      <c r="AI840" s="668"/>
      <c r="AJ840" s="668"/>
      <c r="AK840" s="668"/>
      <c r="AL840" s="668"/>
      <c r="AM840" s="668">
        <f t="shared" si="260"/>
        <v>0</v>
      </c>
      <c r="AN840" s="668">
        <f t="shared" ref="AN840:AN903" si="263">+U840*E840</f>
        <v>0</v>
      </c>
      <c r="AO840" s="668">
        <f t="shared" ref="AO840:AO903" si="264">+U840*O840</f>
        <v>0</v>
      </c>
      <c r="AP840" s="668">
        <f t="shared" si="261"/>
        <v>180</v>
      </c>
      <c r="AQ840" s="668">
        <f t="shared" ref="AQ840:AQ903" si="265">+$AQ$4*K840</f>
        <v>0</v>
      </c>
      <c r="AR840" s="668">
        <f t="shared" ref="AR840:AR903" si="266">+$AR$4*K840</f>
        <v>0</v>
      </c>
      <c r="AS840" s="668"/>
      <c r="AT840" s="668"/>
      <c r="AU840" s="668"/>
      <c r="AV840" s="668"/>
      <c r="AW840" s="668"/>
      <c r="AX840" s="668"/>
      <c r="AY840" s="668"/>
      <c r="AZ840" s="668"/>
      <c r="BA840" s="668"/>
      <c r="BB840" s="668">
        <f t="shared" si="262"/>
        <v>180</v>
      </c>
      <c r="BC840" s="668"/>
      <c r="BD840" s="668"/>
      <c r="BE840" s="668"/>
      <c r="BF840" s="668"/>
      <c r="BG840" s="668"/>
      <c r="BH840" s="668"/>
      <c r="BI840" s="668"/>
    </row>
    <row r="841" spans="1:61" x14ac:dyDescent="0.2">
      <c r="A841" s="1020">
        <v>4128</v>
      </c>
      <c r="B841" s="1020" t="s">
        <v>476</v>
      </c>
      <c r="C841" s="1020"/>
      <c r="D841" s="667">
        <v>49</v>
      </c>
      <c r="E841" s="667"/>
      <c r="F841" s="667"/>
      <c r="G841" s="667"/>
      <c r="H841" s="667"/>
      <c r="I841" s="667"/>
      <c r="J841" s="667"/>
      <c r="K841" s="667"/>
      <c r="L841" s="667"/>
      <c r="M841" s="667"/>
      <c r="N841" s="667"/>
      <c r="O841" s="667"/>
      <c r="P841" s="667"/>
      <c r="Q841" s="667"/>
      <c r="R841" s="667"/>
      <c r="S841" s="667"/>
      <c r="T841" s="667"/>
      <c r="U841" s="1020">
        <v>12</v>
      </c>
      <c r="V841" s="668">
        <f t="shared" si="249"/>
        <v>588</v>
      </c>
      <c r="W841" s="668">
        <f t="shared" si="250"/>
        <v>0</v>
      </c>
      <c r="X841" s="668">
        <f t="shared" si="251"/>
        <v>0</v>
      </c>
      <c r="Y841" s="668">
        <f t="shared" si="252"/>
        <v>0</v>
      </c>
      <c r="Z841" s="668">
        <f t="shared" si="253"/>
        <v>0</v>
      </c>
      <c r="AA841" s="668">
        <f t="shared" si="254"/>
        <v>0</v>
      </c>
      <c r="AB841" s="668">
        <f t="shared" si="255"/>
        <v>0</v>
      </c>
      <c r="AC841" s="668">
        <f t="shared" si="248"/>
        <v>0</v>
      </c>
      <c r="AD841" s="668">
        <f t="shared" si="256"/>
        <v>0</v>
      </c>
      <c r="AE841" s="668">
        <f t="shared" si="257"/>
        <v>0</v>
      </c>
      <c r="AF841" s="668">
        <f t="shared" si="258"/>
        <v>0</v>
      </c>
      <c r="AG841" s="668">
        <f t="shared" si="259"/>
        <v>0</v>
      </c>
      <c r="AH841" s="668"/>
      <c r="AI841" s="668"/>
      <c r="AJ841" s="668"/>
      <c r="AK841" s="668"/>
      <c r="AL841" s="668"/>
      <c r="AM841" s="668">
        <f t="shared" si="260"/>
        <v>0</v>
      </c>
      <c r="AN841" s="668">
        <f t="shared" si="263"/>
        <v>0</v>
      </c>
      <c r="AO841" s="668">
        <f t="shared" si="264"/>
        <v>0</v>
      </c>
      <c r="AP841" s="668">
        <f t="shared" si="261"/>
        <v>0</v>
      </c>
      <c r="AQ841" s="668">
        <f t="shared" si="265"/>
        <v>0</v>
      </c>
      <c r="AR841" s="668">
        <f t="shared" si="266"/>
        <v>0</v>
      </c>
      <c r="AS841" s="668"/>
      <c r="AT841" s="668"/>
      <c r="AU841" s="668"/>
      <c r="AV841" s="668"/>
      <c r="AW841" s="668"/>
      <c r="AX841" s="668"/>
      <c r="AY841" s="668"/>
      <c r="AZ841" s="668"/>
      <c r="BA841" s="668"/>
      <c r="BB841" s="668">
        <f t="shared" si="262"/>
        <v>0</v>
      </c>
      <c r="BC841" s="668"/>
      <c r="BD841" s="668"/>
      <c r="BE841" s="668"/>
      <c r="BF841" s="668"/>
      <c r="BG841" s="668"/>
      <c r="BH841" s="668"/>
      <c r="BI841" s="668"/>
    </row>
    <row r="842" spans="1:61" x14ac:dyDescent="0.2">
      <c r="A842" s="1020">
        <v>4129</v>
      </c>
      <c r="B842" s="1020" t="s">
        <v>579</v>
      </c>
      <c r="C842" s="1020"/>
      <c r="D842" s="667">
        <v>45</v>
      </c>
      <c r="E842" s="667"/>
      <c r="F842" s="667"/>
      <c r="G842" s="667"/>
      <c r="H842" s="667"/>
      <c r="I842" s="667"/>
      <c r="J842" s="667"/>
      <c r="K842" s="667"/>
      <c r="L842" s="667"/>
      <c r="M842" s="667"/>
      <c r="N842" s="667"/>
      <c r="O842" s="667"/>
      <c r="P842" s="667"/>
      <c r="Q842" s="667"/>
      <c r="R842" s="667"/>
      <c r="S842" s="667"/>
      <c r="T842" s="667"/>
      <c r="U842" s="1020">
        <v>12</v>
      </c>
      <c r="V842" s="668">
        <f t="shared" si="249"/>
        <v>540</v>
      </c>
      <c r="W842" s="668">
        <f t="shared" si="250"/>
        <v>0</v>
      </c>
      <c r="X842" s="668">
        <f t="shared" si="251"/>
        <v>0</v>
      </c>
      <c r="Y842" s="668">
        <f t="shared" si="252"/>
        <v>0</v>
      </c>
      <c r="Z842" s="668">
        <f t="shared" si="253"/>
        <v>0</v>
      </c>
      <c r="AA842" s="668">
        <f t="shared" si="254"/>
        <v>0</v>
      </c>
      <c r="AB842" s="668">
        <f t="shared" si="255"/>
        <v>0</v>
      </c>
      <c r="AC842" s="668">
        <f t="shared" ref="AC842:AC905" si="267">+U842*P842</f>
        <v>0</v>
      </c>
      <c r="AD842" s="668">
        <f t="shared" si="256"/>
        <v>0</v>
      </c>
      <c r="AE842" s="668">
        <f t="shared" si="257"/>
        <v>0</v>
      </c>
      <c r="AF842" s="668">
        <f t="shared" si="258"/>
        <v>0</v>
      </c>
      <c r="AG842" s="668">
        <f t="shared" si="259"/>
        <v>0</v>
      </c>
      <c r="AH842" s="668"/>
      <c r="AI842" s="668"/>
      <c r="AJ842" s="668"/>
      <c r="AK842" s="668"/>
      <c r="AL842" s="668"/>
      <c r="AM842" s="668">
        <f t="shared" si="260"/>
        <v>0</v>
      </c>
      <c r="AN842" s="668">
        <f t="shared" si="263"/>
        <v>0</v>
      </c>
      <c r="AO842" s="668">
        <f t="shared" si="264"/>
        <v>0</v>
      </c>
      <c r="AP842" s="668">
        <f t="shared" si="261"/>
        <v>0</v>
      </c>
      <c r="AQ842" s="668">
        <f t="shared" si="265"/>
        <v>0</v>
      </c>
      <c r="AR842" s="668">
        <f t="shared" si="266"/>
        <v>0</v>
      </c>
      <c r="AS842" s="668"/>
      <c r="AT842" s="668"/>
      <c r="AU842" s="668"/>
      <c r="AV842" s="668"/>
      <c r="AW842" s="668"/>
      <c r="AX842" s="668"/>
      <c r="AY842" s="668"/>
      <c r="AZ842" s="668"/>
      <c r="BA842" s="668"/>
      <c r="BB842" s="668">
        <f t="shared" si="262"/>
        <v>0</v>
      </c>
      <c r="BC842" s="668"/>
      <c r="BD842" s="668"/>
      <c r="BE842" s="668"/>
      <c r="BF842" s="668"/>
      <c r="BG842" s="668"/>
      <c r="BH842" s="668"/>
      <c r="BI842" s="668"/>
    </row>
    <row r="843" spans="1:61" x14ac:dyDescent="0.2">
      <c r="A843" s="1020">
        <v>4130</v>
      </c>
      <c r="B843" s="1020" t="s">
        <v>517</v>
      </c>
      <c r="C843" s="1020"/>
      <c r="D843" s="667">
        <v>50</v>
      </c>
      <c r="E843" s="667"/>
      <c r="F843" s="667"/>
      <c r="G843" s="667"/>
      <c r="H843" s="667"/>
      <c r="I843" s="667"/>
      <c r="J843" s="667"/>
      <c r="K843" s="667"/>
      <c r="L843" s="667"/>
      <c r="M843" s="667"/>
      <c r="N843" s="667"/>
      <c r="O843" s="667"/>
      <c r="P843" s="667"/>
      <c r="Q843" s="667"/>
      <c r="R843" s="667"/>
      <c r="S843" s="667"/>
      <c r="T843" s="667"/>
      <c r="U843" s="1020">
        <v>12</v>
      </c>
      <c r="V843" s="668">
        <f t="shared" si="249"/>
        <v>600</v>
      </c>
      <c r="W843" s="668">
        <f t="shared" si="250"/>
        <v>0</v>
      </c>
      <c r="X843" s="668">
        <f t="shared" si="251"/>
        <v>0</v>
      </c>
      <c r="Y843" s="668">
        <f t="shared" si="252"/>
        <v>0</v>
      </c>
      <c r="Z843" s="668">
        <f t="shared" si="253"/>
        <v>0</v>
      </c>
      <c r="AA843" s="668">
        <f t="shared" si="254"/>
        <v>0</v>
      </c>
      <c r="AB843" s="668">
        <f t="shared" si="255"/>
        <v>0</v>
      </c>
      <c r="AC843" s="668">
        <f t="shared" si="267"/>
        <v>0</v>
      </c>
      <c r="AD843" s="668">
        <f t="shared" si="256"/>
        <v>0</v>
      </c>
      <c r="AE843" s="668">
        <f t="shared" si="257"/>
        <v>0</v>
      </c>
      <c r="AF843" s="668">
        <f t="shared" si="258"/>
        <v>0</v>
      </c>
      <c r="AG843" s="668">
        <f t="shared" si="259"/>
        <v>0</v>
      </c>
      <c r="AH843" s="668"/>
      <c r="AI843" s="668"/>
      <c r="AJ843" s="668"/>
      <c r="AK843" s="668"/>
      <c r="AL843" s="668"/>
      <c r="AM843" s="668">
        <f t="shared" si="260"/>
        <v>0</v>
      </c>
      <c r="AN843" s="668">
        <f t="shared" si="263"/>
        <v>0</v>
      </c>
      <c r="AO843" s="668">
        <f t="shared" si="264"/>
        <v>0</v>
      </c>
      <c r="AP843" s="668">
        <f t="shared" si="261"/>
        <v>0</v>
      </c>
      <c r="AQ843" s="668">
        <f t="shared" si="265"/>
        <v>0</v>
      </c>
      <c r="AR843" s="668">
        <f t="shared" si="266"/>
        <v>0</v>
      </c>
      <c r="AS843" s="668"/>
      <c r="AT843" s="668"/>
      <c r="AU843" s="668"/>
      <c r="AV843" s="668"/>
      <c r="AW843" s="668"/>
      <c r="AX843" s="668"/>
      <c r="AY843" s="668"/>
      <c r="AZ843" s="668"/>
      <c r="BA843" s="668"/>
      <c r="BB843" s="668">
        <f t="shared" si="262"/>
        <v>0</v>
      </c>
      <c r="BC843" s="668"/>
      <c r="BD843" s="668"/>
      <c r="BE843" s="668"/>
      <c r="BF843" s="668"/>
      <c r="BG843" s="668"/>
      <c r="BH843" s="668"/>
      <c r="BI843" s="668"/>
    </row>
    <row r="844" spans="1:61" x14ac:dyDescent="0.2">
      <c r="A844" s="1020">
        <v>4131</v>
      </c>
      <c r="B844" s="1020" t="s">
        <v>684</v>
      </c>
      <c r="C844" s="1020"/>
      <c r="D844" s="667">
        <v>42</v>
      </c>
      <c r="E844" s="667"/>
      <c r="F844" s="667">
        <v>42</v>
      </c>
      <c r="G844" s="667"/>
      <c r="H844" s="667"/>
      <c r="I844" s="667"/>
      <c r="J844" s="667"/>
      <c r="K844" s="667"/>
      <c r="L844" s="667"/>
      <c r="M844" s="667"/>
      <c r="N844" s="667"/>
      <c r="O844" s="667"/>
      <c r="P844" s="667"/>
      <c r="Q844" s="667"/>
      <c r="R844" s="667"/>
      <c r="S844" s="667"/>
      <c r="T844" s="667"/>
      <c r="U844" s="1020">
        <v>10</v>
      </c>
      <c r="V844" s="668">
        <f t="shared" ref="V844:V907" si="268">+U844*D844</f>
        <v>420</v>
      </c>
      <c r="W844" s="668">
        <f t="shared" ref="W844:W907" si="269">+U844*G844</f>
        <v>0</v>
      </c>
      <c r="X844" s="668">
        <f t="shared" ref="X844:X907" si="270">+U844*H844</f>
        <v>0</v>
      </c>
      <c r="Y844" s="668">
        <f t="shared" ref="Y844:Y907" si="271">+U844*J844</f>
        <v>0</v>
      </c>
      <c r="Z844" s="668">
        <f t="shared" ref="Z844:Z907" si="272">IF(C844="y",V844+W844+X844+Y844,0)</f>
        <v>0</v>
      </c>
      <c r="AA844" s="668">
        <f t="shared" ref="AA844:AA907" si="273">+S844</f>
        <v>0</v>
      </c>
      <c r="AB844" s="668">
        <f t="shared" ref="AB844:AB907" si="274">+T844</f>
        <v>0</v>
      </c>
      <c r="AC844" s="668">
        <f t="shared" si="267"/>
        <v>0</v>
      </c>
      <c r="AD844" s="668">
        <f t="shared" ref="AD844:AD907" si="275">+Q844</f>
        <v>0</v>
      </c>
      <c r="AE844" s="668">
        <f t="shared" ref="AE844:AE907" si="276">+U844*M844</f>
        <v>0</v>
      </c>
      <c r="AF844" s="668">
        <f t="shared" ref="AF844:AF907" si="277">+L844*U844</f>
        <v>0</v>
      </c>
      <c r="AG844" s="668">
        <f t="shared" ref="AG844:AG907" si="278">+$AG$4*N844</f>
        <v>0</v>
      </c>
      <c r="AH844" s="668"/>
      <c r="AI844" s="668"/>
      <c r="AJ844" s="668"/>
      <c r="AK844" s="668"/>
      <c r="AL844" s="668"/>
      <c r="AM844" s="668">
        <f t="shared" si="260"/>
        <v>0</v>
      </c>
      <c r="AN844" s="668">
        <f t="shared" si="263"/>
        <v>0</v>
      </c>
      <c r="AO844" s="668">
        <f t="shared" si="264"/>
        <v>0</v>
      </c>
      <c r="AP844" s="668">
        <f t="shared" si="261"/>
        <v>420</v>
      </c>
      <c r="AQ844" s="668">
        <f t="shared" si="265"/>
        <v>0</v>
      </c>
      <c r="AR844" s="668">
        <f t="shared" si="266"/>
        <v>0</v>
      </c>
      <c r="AS844" s="668"/>
      <c r="AT844" s="668"/>
      <c r="AU844" s="668"/>
      <c r="AV844" s="668"/>
      <c r="AW844" s="668"/>
      <c r="AX844" s="668"/>
      <c r="AY844" s="668"/>
      <c r="AZ844" s="668"/>
      <c r="BA844" s="668"/>
      <c r="BB844" s="668"/>
      <c r="BC844" s="668"/>
      <c r="BD844" s="668"/>
      <c r="BE844" s="668"/>
      <c r="BF844" s="668"/>
      <c r="BG844" s="668"/>
      <c r="BH844" s="668"/>
      <c r="BI844" s="668"/>
    </row>
    <row r="845" spans="1:61" x14ac:dyDescent="0.2">
      <c r="A845" s="1020" t="s">
        <v>789</v>
      </c>
      <c r="B845" s="1020" t="s">
        <v>516</v>
      </c>
      <c r="C845" s="1020"/>
      <c r="D845" s="667">
        <v>63</v>
      </c>
      <c r="E845" s="667"/>
      <c r="F845" s="667"/>
      <c r="G845" s="667"/>
      <c r="H845" s="667"/>
      <c r="I845" s="667"/>
      <c r="J845" s="667"/>
      <c r="K845" s="667"/>
      <c r="L845" s="667"/>
      <c r="M845" s="667"/>
      <c r="N845" s="667"/>
      <c r="O845" s="667"/>
      <c r="P845" s="667"/>
      <c r="Q845" s="667"/>
      <c r="R845" s="667"/>
      <c r="S845" s="667"/>
      <c r="T845" s="667"/>
      <c r="U845" s="1020">
        <v>10</v>
      </c>
      <c r="V845" s="668">
        <f t="shared" si="268"/>
        <v>630</v>
      </c>
      <c r="W845" s="668">
        <f t="shared" si="269"/>
        <v>0</v>
      </c>
      <c r="X845" s="668">
        <f t="shared" si="270"/>
        <v>0</v>
      </c>
      <c r="Y845" s="668">
        <f t="shared" si="271"/>
        <v>0</v>
      </c>
      <c r="Z845" s="668">
        <f t="shared" si="272"/>
        <v>0</v>
      </c>
      <c r="AA845" s="668">
        <f t="shared" si="273"/>
        <v>0</v>
      </c>
      <c r="AB845" s="668">
        <f t="shared" si="274"/>
        <v>0</v>
      </c>
      <c r="AC845" s="668">
        <f t="shared" si="267"/>
        <v>0</v>
      </c>
      <c r="AD845" s="668">
        <f t="shared" si="275"/>
        <v>0</v>
      </c>
      <c r="AE845" s="668">
        <f t="shared" si="276"/>
        <v>0</v>
      </c>
      <c r="AF845" s="668">
        <f t="shared" si="277"/>
        <v>0</v>
      </c>
      <c r="AG845" s="668">
        <f t="shared" si="278"/>
        <v>0</v>
      </c>
      <c r="AH845" s="668"/>
      <c r="AI845" s="668"/>
      <c r="AJ845" s="668"/>
      <c r="AK845" s="668"/>
      <c r="AL845" s="668"/>
      <c r="AM845" s="668">
        <f t="shared" si="260"/>
        <v>0</v>
      </c>
      <c r="AN845" s="668">
        <f t="shared" si="263"/>
        <v>0</v>
      </c>
      <c r="AO845" s="668">
        <f t="shared" si="264"/>
        <v>0</v>
      </c>
      <c r="AP845" s="668">
        <f t="shared" si="261"/>
        <v>0</v>
      </c>
      <c r="AQ845" s="668">
        <f t="shared" si="265"/>
        <v>0</v>
      </c>
      <c r="AR845" s="668">
        <f t="shared" si="266"/>
        <v>0</v>
      </c>
      <c r="AS845" s="668"/>
      <c r="AT845" s="668"/>
      <c r="AU845" s="668"/>
      <c r="AV845" s="668"/>
      <c r="AW845" s="668"/>
      <c r="AX845" s="668"/>
      <c r="AY845" s="668"/>
      <c r="AZ845" s="668"/>
      <c r="BA845" s="668"/>
      <c r="BB845" s="668">
        <f t="shared" si="262"/>
        <v>0</v>
      </c>
      <c r="BC845" s="668"/>
      <c r="BD845" s="668"/>
      <c r="BE845" s="668"/>
      <c r="BF845" s="668"/>
      <c r="BG845" s="668"/>
      <c r="BH845" s="668"/>
      <c r="BI845" s="668"/>
    </row>
    <row r="846" spans="1:61" x14ac:dyDescent="0.2">
      <c r="A846" s="1020" t="s">
        <v>790</v>
      </c>
      <c r="B846" s="1020" t="s">
        <v>517</v>
      </c>
      <c r="C846" s="1020"/>
      <c r="D846" s="667">
        <v>25</v>
      </c>
      <c r="E846" s="667"/>
      <c r="F846" s="667">
        <v>25</v>
      </c>
      <c r="G846" s="667"/>
      <c r="H846" s="667"/>
      <c r="I846" s="667"/>
      <c r="J846" s="667"/>
      <c r="K846" s="667"/>
      <c r="L846" s="667"/>
      <c r="M846" s="667"/>
      <c r="N846" s="667"/>
      <c r="O846" s="667"/>
      <c r="P846" s="667"/>
      <c r="Q846" s="667"/>
      <c r="R846" s="667"/>
      <c r="S846" s="667"/>
      <c r="T846" s="667"/>
      <c r="U846" s="1020">
        <v>12</v>
      </c>
      <c r="V846" s="668">
        <f t="shared" si="268"/>
        <v>300</v>
      </c>
      <c r="W846" s="668">
        <f t="shared" si="269"/>
        <v>0</v>
      </c>
      <c r="X846" s="668">
        <f t="shared" si="270"/>
        <v>0</v>
      </c>
      <c r="Y846" s="668">
        <f t="shared" si="271"/>
        <v>0</v>
      </c>
      <c r="Z846" s="668">
        <f t="shared" si="272"/>
        <v>0</v>
      </c>
      <c r="AA846" s="668">
        <f t="shared" si="273"/>
        <v>0</v>
      </c>
      <c r="AB846" s="668">
        <f t="shared" si="274"/>
        <v>0</v>
      </c>
      <c r="AC846" s="668">
        <f t="shared" si="267"/>
        <v>0</v>
      </c>
      <c r="AD846" s="668">
        <f t="shared" si="275"/>
        <v>0</v>
      </c>
      <c r="AE846" s="668">
        <f t="shared" si="276"/>
        <v>0</v>
      </c>
      <c r="AF846" s="668">
        <f t="shared" si="277"/>
        <v>0</v>
      </c>
      <c r="AG846" s="668">
        <f t="shared" si="278"/>
        <v>0</v>
      </c>
      <c r="AH846" s="668"/>
      <c r="AI846" s="668"/>
      <c r="AJ846" s="668"/>
      <c r="AK846" s="668"/>
      <c r="AL846" s="668"/>
      <c r="AM846" s="668">
        <f t="shared" si="260"/>
        <v>0</v>
      </c>
      <c r="AN846" s="668">
        <f t="shared" si="263"/>
        <v>0</v>
      </c>
      <c r="AO846" s="668">
        <f t="shared" si="264"/>
        <v>0</v>
      </c>
      <c r="AP846" s="668">
        <f t="shared" si="261"/>
        <v>300</v>
      </c>
      <c r="AQ846" s="668">
        <f t="shared" si="265"/>
        <v>0</v>
      </c>
      <c r="AR846" s="668">
        <f t="shared" si="266"/>
        <v>0</v>
      </c>
      <c r="AS846" s="668"/>
      <c r="AT846" s="668"/>
      <c r="AU846" s="668"/>
      <c r="AV846" s="668"/>
      <c r="AW846" s="668"/>
      <c r="AX846" s="668"/>
      <c r="AY846" s="668"/>
      <c r="AZ846" s="668"/>
      <c r="BA846" s="668"/>
      <c r="BB846" s="668"/>
      <c r="BC846" s="668"/>
      <c r="BD846" s="668"/>
      <c r="BE846" s="668"/>
      <c r="BF846" s="668"/>
      <c r="BG846" s="668"/>
      <c r="BH846" s="668"/>
      <c r="BI846" s="668"/>
    </row>
    <row r="847" spans="1:61" x14ac:dyDescent="0.2">
      <c r="A847" s="1020">
        <v>4133</v>
      </c>
      <c r="B847" s="1020" t="s">
        <v>672</v>
      </c>
      <c r="C847" s="1020"/>
      <c r="D847" s="667">
        <v>35</v>
      </c>
      <c r="E847" s="667"/>
      <c r="F847" s="667">
        <v>15</v>
      </c>
      <c r="G847" s="667"/>
      <c r="H847" s="667"/>
      <c r="I847" s="667"/>
      <c r="J847" s="667"/>
      <c r="K847" s="667"/>
      <c r="L847" s="667"/>
      <c r="M847" s="667"/>
      <c r="N847" s="667"/>
      <c r="O847" s="667"/>
      <c r="P847" s="667"/>
      <c r="Q847" s="667"/>
      <c r="R847" s="667"/>
      <c r="S847" s="667"/>
      <c r="T847" s="667"/>
      <c r="U847" s="1020">
        <v>10</v>
      </c>
      <c r="V847" s="668">
        <f t="shared" si="268"/>
        <v>350</v>
      </c>
      <c r="W847" s="668">
        <f t="shared" si="269"/>
        <v>0</v>
      </c>
      <c r="X847" s="668">
        <f t="shared" si="270"/>
        <v>0</v>
      </c>
      <c r="Y847" s="668">
        <f t="shared" si="271"/>
        <v>0</v>
      </c>
      <c r="Z847" s="668">
        <f t="shared" si="272"/>
        <v>0</v>
      </c>
      <c r="AA847" s="668">
        <f t="shared" si="273"/>
        <v>0</v>
      </c>
      <c r="AB847" s="668">
        <f t="shared" si="274"/>
        <v>0</v>
      </c>
      <c r="AC847" s="668">
        <f t="shared" si="267"/>
        <v>0</v>
      </c>
      <c r="AD847" s="668">
        <f t="shared" si="275"/>
        <v>0</v>
      </c>
      <c r="AE847" s="668">
        <f t="shared" si="276"/>
        <v>0</v>
      </c>
      <c r="AF847" s="668">
        <f t="shared" si="277"/>
        <v>0</v>
      </c>
      <c r="AG847" s="668">
        <f t="shared" si="278"/>
        <v>0</v>
      </c>
      <c r="AH847" s="668"/>
      <c r="AI847" s="668"/>
      <c r="AJ847" s="668"/>
      <c r="AK847" s="668"/>
      <c r="AL847" s="668"/>
      <c r="AM847" s="668">
        <f t="shared" si="260"/>
        <v>0</v>
      </c>
      <c r="AN847" s="668">
        <f t="shared" si="263"/>
        <v>0</v>
      </c>
      <c r="AO847" s="668">
        <f t="shared" si="264"/>
        <v>0</v>
      </c>
      <c r="AP847" s="668">
        <f t="shared" si="261"/>
        <v>150</v>
      </c>
      <c r="AQ847" s="668">
        <f t="shared" si="265"/>
        <v>0</v>
      </c>
      <c r="AR847" s="668">
        <f t="shared" si="266"/>
        <v>0</v>
      </c>
      <c r="AS847" s="668"/>
      <c r="AT847" s="668"/>
      <c r="AU847" s="668"/>
      <c r="AV847" s="668"/>
      <c r="AW847" s="668"/>
      <c r="AX847" s="668"/>
      <c r="AY847" s="668"/>
      <c r="AZ847" s="668"/>
      <c r="BA847" s="668"/>
      <c r="BB847" s="668">
        <f t="shared" si="262"/>
        <v>150</v>
      </c>
      <c r="BC847" s="668"/>
      <c r="BD847" s="668"/>
      <c r="BE847" s="668"/>
      <c r="BF847" s="668"/>
      <c r="BG847" s="668"/>
      <c r="BH847" s="668"/>
      <c r="BI847" s="668"/>
    </row>
    <row r="848" spans="1:61" x14ac:dyDescent="0.2">
      <c r="A848" s="1020">
        <v>4134</v>
      </c>
      <c r="B848" s="1020" t="s">
        <v>672</v>
      </c>
      <c r="C848" s="1020"/>
      <c r="D848" s="667">
        <v>35</v>
      </c>
      <c r="E848" s="667"/>
      <c r="F848" s="667">
        <v>15</v>
      </c>
      <c r="G848" s="667"/>
      <c r="H848" s="667"/>
      <c r="I848" s="667"/>
      <c r="J848" s="667"/>
      <c r="K848" s="667"/>
      <c r="L848" s="667"/>
      <c r="M848" s="667"/>
      <c r="N848" s="667"/>
      <c r="O848" s="667"/>
      <c r="P848" s="667"/>
      <c r="Q848" s="667"/>
      <c r="R848" s="667"/>
      <c r="S848" s="667"/>
      <c r="T848" s="667"/>
      <c r="U848" s="1020">
        <v>10</v>
      </c>
      <c r="V848" s="668">
        <f t="shared" si="268"/>
        <v>350</v>
      </c>
      <c r="W848" s="668">
        <f t="shared" si="269"/>
        <v>0</v>
      </c>
      <c r="X848" s="668">
        <f t="shared" si="270"/>
        <v>0</v>
      </c>
      <c r="Y848" s="668">
        <f t="shared" si="271"/>
        <v>0</v>
      </c>
      <c r="Z848" s="668">
        <f t="shared" si="272"/>
        <v>0</v>
      </c>
      <c r="AA848" s="668">
        <f t="shared" si="273"/>
        <v>0</v>
      </c>
      <c r="AB848" s="668">
        <f t="shared" si="274"/>
        <v>0</v>
      </c>
      <c r="AC848" s="668">
        <f t="shared" si="267"/>
        <v>0</v>
      </c>
      <c r="AD848" s="668">
        <f t="shared" si="275"/>
        <v>0</v>
      </c>
      <c r="AE848" s="668">
        <f t="shared" si="276"/>
        <v>0</v>
      </c>
      <c r="AF848" s="668">
        <f t="shared" si="277"/>
        <v>0</v>
      </c>
      <c r="AG848" s="668">
        <f t="shared" si="278"/>
        <v>0</v>
      </c>
      <c r="AH848" s="668"/>
      <c r="AI848" s="668"/>
      <c r="AJ848" s="668"/>
      <c r="AK848" s="668"/>
      <c r="AL848" s="668"/>
      <c r="AM848" s="668">
        <f t="shared" si="260"/>
        <v>0</v>
      </c>
      <c r="AN848" s="668">
        <f t="shared" si="263"/>
        <v>0</v>
      </c>
      <c r="AO848" s="668">
        <f t="shared" si="264"/>
        <v>0</v>
      </c>
      <c r="AP848" s="668">
        <f t="shared" si="261"/>
        <v>150</v>
      </c>
      <c r="AQ848" s="668">
        <f t="shared" si="265"/>
        <v>0</v>
      </c>
      <c r="AR848" s="668">
        <f t="shared" si="266"/>
        <v>0</v>
      </c>
      <c r="AS848" s="668"/>
      <c r="AT848" s="668"/>
      <c r="AU848" s="668"/>
      <c r="AV848" s="668"/>
      <c r="AW848" s="668"/>
      <c r="AX848" s="668"/>
      <c r="AY848" s="668"/>
      <c r="AZ848" s="668"/>
      <c r="BA848" s="668"/>
      <c r="BB848" s="668">
        <f t="shared" si="262"/>
        <v>150</v>
      </c>
      <c r="BC848" s="668"/>
      <c r="BD848" s="668"/>
      <c r="BE848" s="668"/>
      <c r="BF848" s="668"/>
      <c r="BG848" s="668"/>
      <c r="BH848" s="668"/>
      <c r="BI848" s="668"/>
    </row>
    <row r="849" spans="1:61" x14ac:dyDescent="0.2">
      <c r="A849" s="1020">
        <v>4135</v>
      </c>
      <c r="B849" s="1020" t="s">
        <v>517</v>
      </c>
      <c r="C849" s="1020"/>
      <c r="D849" s="667">
        <v>83</v>
      </c>
      <c r="E849" s="667"/>
      <c r="F849" s="667"/>
      <c r="G849" s="667"/>
      <c r="H849" s="667"/>
      <c r="I849" s="667"/>
      <c r="J849" s="667"/>
      <c r="K849" s="667"/>
      <c r="L849" s="667">
        <v>2</v>
      </c>
      <c r="M849" s="667"/>
      <c r="N849" s="667"/>
      <c r="O849" s="667"/>
      <c r="P849" s="667"/>
      <c r="Q849" s="667"/>
      <c r="R849" s="667"/>
      <c r="S849" s="667"/>
      <c r="T849" s="667"/>
      <c r="U849" s="1020">
        <v>12</v>
      </c>
      <c r="V849" s="668">
        <f t="shared" si="268"/>
        <v>996</v>
      </c>
      <c r="W849" s="668">
        <f t="shared" si="269"/>
        <v>0</v>
      </c>
      <c r="X849" s="668">
        <f t="shared" si="270"/>
        <v>0</v>
      </c>
      <c r="Y849" s="668">
        <f t="shared" si="271"/>
        <v>0</v>
      </c>
      <c r="Z849" s="668">
        <f t="shared" si="272"/>
        <v>0</v>
      </c>
      <c r="AA849" s="668">
        <f t="shared" si="273"/>
        <v>0</v>
      </c>
      <c r="AB849" s="668">
        <f t="shared" si="274"/>
        <v>0</v>
      </c>
      <c r="AC849" s="668">
        <f t="shared" si="267"/>
        <v>0</v>
      </c>
      <c r="AD849" s="668">
        <f t="shared" si="275"/>
        <v>0</v>
      </c>
      <c r="AE849" s="668">
        <f t="shared" si="276"/>
        <v>0</v>
      </c>
      <c r="AF849" s="668">
        <f t="shared" si="277"/>
        <v>24</v>
      </c>
      <c r="AG849" s="668">
        <f t="shared" si="278"/>
        <v>0</v>
      </c>
      <c r="AH849" s="668"/>
      <c r="AI849" s="668"/>
      <c r="AJ849" s="668"/>
      <c r="AK849" s="668"/>
      <c r="AL849" s="668"/>
      <c r="AM849" s="668">
        <f t="shared" ref="AM849:AM912" si="279">+I849</f>
        <v>0</v>
      </c>
      <c r="AN849" s="668">
        <f t="shared" si="263"/>
        <v>0</v>
      </c>
      <c r="AO849" s="668">
        <f t="shared" si="264"/>
        <v>0</v>
      </c>
      <c r="AP849" s="668">
        <f t="shared" si="261"/>
        <v>0</v>
      </c>
      <c r="AQ849" s="668">
        <f t="shared" si="265"/>
        <v>0</v>
      </c>
      <c r="AR849" s="668">
        <f t="shared" si="266"/>
        <v>0</v>
      </c>
      <c r="AS849" s="668"/>
      <c r="AT849" s="668"/>
      <c r="AU849" s="668"/>
      <c r="AV849" s="668"/>
      <c r="AW849" s="668"/>
      <c r="AX849" s="668"/>
      <c r="AY849" s="668"/>
      <c r="AZ849" s="668"/>
      <c r="BA849" s="668"/>
      <c r="BB849" s="668">
        <f t="shared" si="262"/>
        <v>0</v>
      </c>
      <c r="BC849" s="668"/>
      <c r="BD849" s="668"/>
      <c r="BE849" s="668"/>
      <c r="BF849" s="668"/>
      <c r="BG849" s="668"/>
      <c r="BH849" s="668"/>
      <c r="BI849" s="668"/>
    </row>
    <row r="850" spans="1:61" x14ac:dyDescent="0.2">
      <c r="A850" s="1020">
        <v>4136</v>
      </c>
      <c r="B850" s="1020" t="s">
        <v>467</v>
      </c>
      <c r="C850" s="1020"/>
      <c r="D850" s="667">
        <v>80</v>
      </c>
      <c r="E850" s="667"/>
      <c r="F850" s="667"/>
      <c r="G850" s="667"/>
      <c r="H850" s="667"/>
      <c r="I850" s="667"/>
      <c r="J850" s="667"/>
      <c r="K850" s="667"/>
      <c r="L850" s="667"/>
      <c r="M850" s="667"/>
      <c r="N850" s="667"/>
      <c r="O850" s="667"/>
      <c r="P850" s="667"/>
      <c r="Q850" s="667"/>
      <c r="R850" s="667"/>
      <c r="S850" s="667"/>
      <c r="T850" s="667"/>
      <c r="U850" s="1020">
        <v>3</v>
      </c>
      <c r="V850" s="668">
        <f t="shared" si="268"/>
        <v>240</v>
      </c>
      <c r="W850" s="668">
        <f t="shared" si="269"/>
        <v>0</v>
      </c>
      <c r="X850" s="668">
        <f t="shared" si="270"/>
        <v>0</v>
      </c>
      <c r="Y850" s="668">
        <f t="shared" si="271"/>
        <v>0</v>
      </c>
      <c r="Z850" s="668">
        <f t="shared" si="272"/>
        <v>0</v>
      </c>
      <c r="AA850" s="668">
        <f t="shared" si="273"/>
        <v>0</v>
      </c>
      <c r="AB850" s="668">
        <f t="shared" si="274"/>
        <v>0</v>
      </c>
      <c r="AC850" s="668">
        <f t="shared" si="267"/>
        <v>0</v>
      </c>
      <c r="AD850" s="668">
        <f t="shared" si="275"/>
        <v>0</v>
      </c>
      <c r="AE850" s="668">
        <f t="shared" si="276"/>
        <v>0</v>
      </c>
      <c r="AF850" s="668">
        <f t="shared" si="277"/>
        <v>0</v>
      </c>
      <c r="AG850" s="668">
        <f t="shared" si="278"/>
        <v>0</v>
      </c>
      <c r="AH850" s="668"/>
      <c r="AI850" s="668"/>
      <c r="AJ850" s="668"/>
      <c r="AK850" s="668"/>
      <c r="AL850" s="668"/>
      <c r="AM850" s="668">
        <f t="shared" si="279"/>
        <v>0</v>
      </c>
      <c r="AN850" s="668">
        <f t="shared" si="263"/>
        <v>0</v>
      </c>
      <c r="AO850" s="668">
        <f t="shared" si="264"/>
        <v>0</v>
      </c>
      <c r="AP850" s="668">
        <f t="shared" ref="AP850:AP913" si="280">+U850*F850</f>
        <v>0</v>
      </c>
      <c r="AQ850" s="668">
        <f t="shared" si="265"/>
        <v>0</v>
      </c>
      <c r="AR850" s="668">
        <f t="shared" si="266"/>
        <v>0</v>
      </c>
      <c r="AS850" s="668"/>
      <c r="AT850" s="668"/>
      <c r="AU850" s="668"/>
      <c r="AV850" s="668"/>
      <c r="AW850" s="668"/>
      <c r="AX850" s="668"/>
      <c r="AY850" s="668"/>
      <c r="AZ850" s="668"/>
      <c r="BA850" s="668"/>
      <c r="BB850" s="668">
        <f t="shared" ref="BB850:BB913" si="281">+AP850</f>
        <v>0</v>
      </c>
      <c r="BC850" s="668"/>
      <c r="BD850" s="668"/>
      <c r="BE850" s="668"/>
      <c r="BF850" s="668"/>
      <c r="BG850" s="668"/>
      <c r="BH850" s="668"/>
      <c r="BI850" s="668"/>
    </row>
    <row r="851" spans="1:61" x14ac:dyDescent="0.2">
      <c r="A851" s="1020">
        <v>4137</v>
      </c>
      <c r="B851" s="1020" t="s">
        <v>466</v>
      </c>
      <c r="C851" s="1020"/>
      <c r="D851" s="667">
        <v>80</v>
      </c>
      <c r="E851" s="667"/>
      <c r="F851" s="667"/>
      <c r="G851" s="667"/>
      <c r="H851" s="667"/>
      <c r="I851" s="667"/>
      <c r="J851" s="667"/>
      <c r="K851" s="667"/>
      <c r="L851" s="667"/>
      <c r="M851" s="667"/>
      <c r="N851" s="667"/>
      <c r="O851" s="667"/>
      <c r="P851" s="667"/>
      <c r="Q851" s="667"/>
      <c r="R851" s="667"/>
      <c r="S851" s="667"/>
      <c r="T851" s="667"/>
      <c r="U851" s="1020">
        <v>3</v>
      </c>
      <c r="V851" s="668">
        <f t="shared" si="268"/>
        <v>240</v>
      </c>
      <c r="W851" s="668">
        <f t="shared" si="269"/>
        <v>0</v>
      </c>
      <c r="X851" s="668">
        <f t="shared" si="270"/>
        <v>0</v>
      </c>
      <c r="Y851" s="668">
        <f t="shared" si="271"/>
        <v>0</v>
      </c>
      <c r="Z851" s="668">
        <f t="shared" si="272"/>
        <v>0</v>
      </c>
      <c r="AA851" s="668">
        <f t="shared" si="273"/>
        <v>0</v>
      </c>
      <c r="AB851" s="668">
        <f t="shared" si="274"/>
        <v>0</v>
      </c>
      <c r="AC851" s="668">
        <f t="shared" si="267"/>
        <v>0</v>
      </c>
      <c r="AD851" s="668">
        <f t="shared" si="275"/>
        <v>0</v>
      </c>
      <c r="AE851" s="668">
        <f t="shared" si="276"/>
        <v>0</v>
      </c>
      <c r="AF851" s="668">
        <f t="shared" si="277"/>
        <v>0</v>
      </c>
      <c r="AG851" s="668">
        <f t="shared" si="278"/>
        <v>0</v>
      </c>
      <c r="AH851" s="668"/>
      <c r="AI851" s="668"/>
      <c r="AJ851" s="668"/>
      <c r="AK851" s="668"/>
      <c r="AL851" s="668"/>
      <c r="AM851" s="668">
        <f t="shared" si="279"/>
        <v>0</v>
      </c>
      <c r="AN851" s="668">
        <f t="shared" si="263"/>
        <v>0</v>
      </c>
      <c r="AO851" s="668">
        <f t="shared" si="264"/>
        <v>0</v>
      </c>
      <c r="AP851" s="668">
        <f t="shared" si="280"/>
        <v>0</v>
      </c>
      <c r="AQ851" s="668">
        <f t="shared" si="265"/>
        <v>0</v>
      </c>
      <c r="AR851" s="668">
        <f t="shared" si="266"/>
        <v>0</v>
      </c>
      <c r="AS851" s="668"/>
      <c r="AT851" s="668"/>
      <c r="AU851" s="668"/>
      <c r="AV851" s="668"/>
      <c r="AW851" s="668"/>
      <c r="AX851" s="668"/>
      <c r="AY851" s="668"/>
      <c r="AZ851" s="668"/>
      <c r="BA851" s="668"/>
      <c r="BB851" s="668">
        <f t="shared" si="281"/>
        <v>0</v>
      </c>
      <c r="BC851" s="668"/>
      <c r="BD851" s="668"/>
      <c r="BE851" s="668"/>
      <c r="BF851" s="668"/>
      <c r="BG851" s="668"/>
      <c r="BH851" s="668"/>
      <c r="BI851" s="668"/>
    </row>
    <row r="852" spans="1:61" x14ac:dyDescent="0.2">
      <c r="A852" s="1020">
        <v>4138</v>
      </c>
      <c r="B852" s="1020" t="s">
        <v>684</v>
      </c>
      <c r="C852" s="1020"/>
      <c r="D852" s="667">
        <v>42</v>
      </c>
      <c r="E852" s="667"/>
      <c r="F852" s="667">
        <v>42</v>
      </c>
      <c r="G852" s="667"/>
      <c r="H852" s="667"/>
      <c r="I852" s="667"/>
      <c r="J852" s="667"/>
      <c r="K852" s="667"/>
      <c r="L852" s="667"/>
      <c r="M852" s="667"/>
      <c r="N852" s="667"/>
      <c r="O852" s="667"/>
      <c r="P852" s="667"/>
      <c r="Q852" s="667"/>
      <c r="R852" s="667"/>
      <c r="S852" s="667"/>
      <c r="T852" s="667"/>
      <c r="U852" s="1020">
        <v>10</v>
      </c>
      <c r="V852" s="668">
        <f t="shared" si="268"/>
        <v>420</v>
      </c>
      <c r="W852" s="668">
        <f t="shared" si="269"/>
        <v>0</v>
      </c>
      <c r="X852" s="668">
        <f t="shared" si="270"/>
        <v>0</v>
      </c>
      <c r="Y852" s="668">
        <f t="shared" si="271"/>
        <v>0</v>
      </c>
      <c r="Z852" s="668">
        <f t="shared" si="272"/>
        <v>0</v>
      </c>
      <c r="AA852" s="668">
        <f t="shared" si="273"/>
        <v>0</v>
      </c>
      <c r="AB852" s="668">
        <f t="shared" si="274"/>
        <v>0</v>
      </c>
      <c r="AC852" s="668">
        <f t="shared" si="267"/>
        <v>0</v>
      </c>
      <c r="AD852" s="668">
        <f t="shared" si="275"/>
        <v>0</v>
      </c>
      <c r="AE852" s="668">
        <f t="shared" si="276"/>
        <v>0</v>
      </c>
      <c r="AF852" s="668">
        <f t="shared" si="277"/>
        <v>0</v>
      </c>
      <c r="AG852" s="668">
        <f t="shared" si="278"/>
        <v>0</v>
      </c>
      <c r="AH852" s="668"/>
      <c r="AI852" s="668"/>
      <c r="AJ852" s="668"/>
      <c r="AK852" s="668"/>
      <c r="AL852" s="668"/>
      <c r="AM852" s="668">
        <f t="shared" si="279"/>
        <v>0</v>
      </c>
      <c r="AN852" s="668">
        <f t="shared" si="263"/>
        <v>0</v>
      </c>
      <c r="AO852" s="668">
        <f t="shared" si="264"/>
        <v>0</v>
      </c>
      <c r="AP852" s="668">
        <f t="shared" si="280"/>
        <v>420</v>
      </c>
      <c r="AQ852" s="668">
        <f t="shared" si="265"/>
        <v>0</v>
      </c>
      <c r="AR852" s="668">
        <f t="shared" si="266"/>
        <v>0</v>
      </c>
      <c r="AS852" s="668"/>
      <c r="AT852" s="668"/>
      <c r="AU852" s="668"/>
      <c r="AV852" s="668"/>
      <c r="AW852" s="668"/>
      <c r="AX852" s="668"/>
      <c r="AY852" s="668"/>
      <c r="AZ852" s="668"/>
      <c r="BA852" s="668"/>
      <c r="BB852" s="668"/>
      <c r="BC852" s="668"/>
      <c r="BD852" s="668"/>
      <c r="BE852" s="668"/>
      <c r="BF852" s="668"/>
      <c r="BG852" s="668"/>
      <c r="BH852" s="668"/>
      <c r="BI852" s="668"/>
    </row>
    <row r="853" spans="1:61" x14ac:dyDescent="0.2">
      <c r="A853" s="1020">
        <v>4139</v>
      </c>
      <c r="B853" s="1020" t="s">
        <v>579</v>
      </c>
      <c r="C853" s="1020"/>
      <c r="D853" s="667">
        <v>69</v>
      </c>
      <c r="E853" s="667"/>
      <c r="F853" s="667"/>
      <c r="G853" s="667"/>
      <c r="H853" s="667"/>
      <c r="I853" s="667"/>
      <c r="J853" s="667"/>
      <c r="K853" s="667"/>
      <c r="L853" s="667"/>
      <c r="M853" s="667"/>
      <c r="N853" s="667"/>
      <c r="O853" s="667"/>
      <c r="P853" s="667"/>
      <c r="Q853" s="667"/>
      <c r="R853" s="667"/>
      <c r="S853" s="667"/>
      <c r="T853" s="667"/>
      <c r="U853" s="1020">
        <v>12</v>
      </c>
      <c r="V853" s="668">
        <f t="shared" si="268"/>
        <v>828</v>
      </c>
      <c r="W853" s="668">
        <f t="shared" si="269"/>
        <v>0</v>
      </c>
      <c r="X853" s="668">
        <f t="shared" si="270"/>
        <v>0</v>
      </c>
      <c r="Y853" s="668">
        <f t="shared" si="271"/>
        <v>0</v>
      </c>
      <c r="Z853" s="668">
        <f t="shared" si="272"/>
        <v>0</v>
      </c>
      <c r="AA853" s="668">
        <f t="shared" si="273"/>
        <v>0</v>
      </c>
      <c r="AB853" s="668">
        <f t="shared" si="274"/>
        <v>0</v>
      </c>
      <c r="AC853" s="668">
        <f t="shared" si="267"/>
        <v>0</v>
      </c>
      <c r="AD853" s="668">
        <f t="shared" si="275"/>
        <v>0</v>
      </c>
      <c r="AE853" s="668">
        <f t="shared" si="276"/>
        <v>0</v>
      </c>
      <c r="AF853" s="668">
        <f t="shared" si="277"/>
        <v>0</v>
      </c>
      <c r="AG853" s="668">
        <f t="shared" si="278"/>
        <v>0</v>
      </c>
      <c r="AH853" s="668"/>
      <c r="AI853" s="668"/>
      <c r="AJ853" s="668"/>
      <c r="AK853" s="668"/>
      <c r="AL853" s="668"/>
      <c r="AM853" s="668">
        <f t="shared" si="279"/>
        <v>0</v>
      </c>
      <c r="AN853" s="668">
        <f t="shared" si="263"/>
        <v>0</v>
      </c>
      <c r="AO853" s="668">
        <f t="shared" si="264"/>
        <v>0</v>
      </c>
      <c r="AP853" s="668">
        <f t="shared" si="280"/>
        <v>0</v>
      </c>
      <c r="AQ853" s="668">
        <f t="shared" si="265"/>
        <v>0</v>
      </c>
      <c r="AR853" s="668">
        <f t="shared" si="266"/>
        <v>0</v>
      </c>
      <c r="AS853" s="668"/>
      <c r="AT853" s="668"/>
      <c r="AU853" s="668"/>
      <c r="AV853" s="668"/>
      <c r="AW853" s="668"/>
      <c r="AX853" s="668"/>
      <c r="AY853" s="668"/>
      <c r="AZ853" s="668"/>
      <c r="BA853" s="668"/>
      <c r="BB853" s="668">
        <f t="shared" si="281"/>
        <v>0</v>
      </c>
      <c r="BC853" s="668"/>
      <c r="BD853" s="668"/>
      <c r="BE853" s="668"/>
      <c r="BF853" s="668"/>
      <c r="BG853" s="668"/>
      <c r="BH853" s="668"/>
      <c r="BI853" s="668"/>
    </row>
    <row r="854" spans="1:61" x14ac:dyDescent="0.2">
      <c r="A854" s="1020">
        <v>4140</v>
      </c>
      <c r="B854" s="1020" t="s">
        <v>476</v>
      </c>
      <c r="C854" s="1020"/>
      <c r="D854" s="667">
        <v>52</v>
      </c>
      <c r="E854" s="667"/>
      <c r="F854" s="667"/>
      <c r="G854" s="667"/>
      <c r="H854" s="667"/>
      <c r="I854" s="667"/>
      <c r="J854" s="667"/>
      <c r="K854" s="667"/>
      <c r="L854" s="667">
        <v>2</v>
      </c>
      <c r="M854" s="667"/>
      <c r="N854" s="667"/>
      <c r="O854" s="667"/>
      <c r="P854" s="667"/>
      <c r="Q854" s="667"/>
      <c r="R854" s="667"/>
      <c r="S854" s="667"/>
      <c r="T854" s="667"/>
      <c r="U854" s="1020">
        <v>12</v>
      </c>
      <c r="V854" s="668">
        <f t="shared" si="268"/>
        <v>624</v>
      </c>
      <c r="W854" s="668">
        <f t="shared" si="269"/>
        <v>0</v>
      </c>
      <c r="X854" s="668">
        <f t="shared" si="270"/>
        <v>0</v>
      </c>
      <c r="Y854" s="668">
        <f t="shared" si="271"/>
        <v>0</v>
      </c>
      <c r="Z854" s="668">
        <f t="shared" si="272"/>
        <v>0</v>
      </c>
      <c r="AA854" s="668">
        <f t="shared" si="273"/>
        <v>0</v>
      </c>
      <c r="AB854" s="668">
        <f t="shared" si="274"/>
        <v>0</v>
      </c>
      <c r="AC854" s="668">
        <f t="shared" si="267"/>
        <v>0</v>
      </c>
      <c r="AD854" s="668">
        <f t="shared" si="275"/>
        <v>0</v>
      </c>
      <c r="AE854" s="668">
        <f t="shared" si="276"/>
        <v>0</v>
      </c>
      <c r="AF854" s="668">
        <f t="shared" si="277"/>
        <v>24</v>
      </c>
      <c r="AG854" s="668">
        <f t="shared" si="278"/>
        <v>0</v>
      </c>
      <c r="AH854" s="668"/>
      <c r="AI854" s="668"/>
      <c r="AJ854" s="668"/>
      <c r="AK854" s="668"/>
      <c r="AL854" s="668"/>
      <c r="AM854" s="668">
        <f t="shared" si="279"/>
        <v>0</v>
      </c>
      <c r="AN854" s="668">
        <f t="shared" si="263"/>
        <v>0</v>
      </c>
      <c r="AO854" s="668">
        <f t="shared" si="264"/>
        <v>0</v>
      </c>
      <c r="AP854" s="668">
        <f t="shared" si="280"/>
        <v>0</v>
      </c>
      <c r="AQ854" s="668">
        <f t="shared" si="265"/>
        <v>0</v>
      </c>
      <c r="AR854" s="668">
        <f t="shared" si="266"/>
        <v>0</v>
      </c>
      <c r="AS854" s="668"/>
      <c r="AT854" s="668"/>
      <c r="AU854" s="668"/>
      <c r="AV854" s="668"/>
      <c r="AW854" s="668"/>
      <c r="AX854" s="668"/>
      <c r="AY854" s="668"/>
      <c r="AZ854" s="668"/>
      <c r="BA854" s="668"/>
      <c r="BB854" s="668">
        <f t="shared" si="281"/>
        <v>0</v>
      </c>
      <c r="BC854" s="668"/>
      <c r="BD854" s="668"/>
      <c r="BE854" s="668"/>
      <c r="BF854" s="668"/>
      <c r="BG854" s="668"/>
      <c r="BH854" s="668"/>
      <c r="BI854" s="668"/>
    </row>
    <row r="855" spans="1:61" x14ac:dyDescent="0.2">
      <c r="A855" s="1020">
        <v>4141</v>
      </c>
      <c r="B855" s="1020" t="s">
        <v>515</v>
      </c>
      <c r="C855" s="1020"/>
      <c r="D855" s="667">
        <v>78</v>
      </c>
      <c r="E855" s="667"/>
      <c r="F855" s="667">
        <v>60</v>
      </c>
      <c r="G855" s="667"/>
      <c r="H855" s="667"/>
      <c r="I855" s="667"/>
      <c r="J855" s="667"/>
      <c r="K855" s="667"/>
      <c r="L855" s="667"/>
      <c r="M855" s="667"/>
      <c r="N855" s="667"/>
      <c r="O855" s="667"/>
      <c r="P855" s="667"/>
      <c r="Q855" s="667"/>
      <c r="R855" s="667"/>
      <c r="S855" s="667"/>
      <c r="T855" s="667">
        <v>2036</v>
      </c>
      <c r="U855" s="1020">
        <v>12</v>
      </c>
      <c r="V855" s="668">
        <f t="shared" si="268"/>
        <v>936</v>
      </c>
      <c r="W855" s="668">
        <f t="shared" si="269"/>
        <v>0</v>
      </c>
      <c r="X855" s="668">
        <f t="shared" si="270"/>
        <v>0</v>
      </c>
      <c r="Y855" s="668">
        <f t="shared" si="271"/>
        <v>0</v>
      </c>
      <c r="Z855" s="668">
        <f t="shared" si="272"/>
        <v>0</v>
      </c>
      <c r="AA855" s="668">
        <f t="shared" si="273"/>
        <v>0</v>
      </c>
      <c r="AB855" s="668">
        <f t="shared" si="274"/>
        <v>2036</v>
      </c>
      <c r="AC855" s="668">
        <f t="shared" si="267"/>
        <v>0</v>
      </c>
      <c r="AD855" s="668">
        <f t="shared" si="275"/>
        <v>0</v>
      </c>
      <c r="AE855" s="668">
        <f t="shared" si="276"/>
        <v>0</v>
      </c>
      <c r="AF855" s="668">
        <f t="shared" si="277"/>
        <v>0</v>
      </c>
      <c r="AG855" s="668">
        <f t="shared" si="278"/>
        <v>0</v>
      </c>
      <c r="AH855" s="668"/>
      <c r="AI855" s="668"/>
      <c r="AJ855" s="668"/>
      <c r="AK855" s="668"/>
      <c r="AL855" s="668"/>
      <c r="AM855" s="668">
        <f t="shared" si="279"/>
        <v>0</v>
      </c>
      <c r="AN855" s="668">
        <f t="shared" si="263"/>
        <v>0</v>
      </c>
      <c r="AO855" s="668">
        <f t="shared" si="264"/>
        <v>0</v>
      </c>
      <c r="AP855" s="668">
        <f t="shared" si="280"/>
        <v>720</v>
      </c>
      <c r="AQ855" s="668">
        <f t="shared" si="265"/>
        <v>0</v>
      </c>
      <c r="AR855" s="668">
        <f t="shared" si="266"/>
        <v>0</v>
      </c>
      <c r="AS855" s="668"/>
      <c r="AT855" s="668"/>
      <c r="AU855" s="668"/>
      <c r="AV855" s="668"/>
      <c r="AW855" s="668"/>
      <c r="AX855" s="668"/>
      <c r="AY855" s="668"/>
      <c r="AZ855" s="668"/>
      <c r="BA855" s="668"/>
      <c r="BB855" s="668"/>
      <c r="BC855" s="668"/>
      <c r="BD855" s="668"/>
      <c r="BE855" s="668"/>
      <c r="BF855" s="668"/>
      <c r="BG855" s="668"/>
      <c r="BH855" s="668"/>
      <c r="BI855" s="668"/>
    </row>
    <row r="856" spans="1:61" x14ac:dyDescent="0.2">
      <c r="A856" s="1020">
        <v>4142</v>
      </c>
      <c r="B856" s="1020" t="s">
        <v>515</v>
      </c>
      <c r="C856" s="1020"/>
      <c r="D856" s="667">
        <v>92</v>
      </c>
      <c r="E856" s="667"/>
      <c r="F856" s="667">
        <v>50</v>
      </c>
      <c r="G856" s="667"/>
      <c r="H856" s="667"/>
      <c r="I856" s="667"/>
      <c r="J856" s="667"/>
      <c r="K856" s="667"/>
      <c r="L856" s="667"/>
      <c r="M856" s="667"/>
      <c r="N856" s="667"/>
      <c r="O856" s="667"/>
      <c r="P856" s="667"/>
      <c r="Q856" s="667"/>
      <c r="R856" s="667"/>
      <c r="S856" s="667"/>
      <c r="T856" s="667">
        <v>3265</v>
      </c>
      <c r="U856" s="1020">
        <v>12</v>
      </c>
      <c r="V856" s="668">
        <f t="shared" si="268"/>
        <v>1104</v>
      </c>
      <c r="W856" s="668">
        <f t="shared" si="269"/>
        <v>0</v>
      </c>
      <c r="X856" s="668">
        <f t="shared" si="270"/>
        <v>0</v>
      </c>
      <c r="Y856" s="668">
        <f t="shared" si="271"/>
        <v>0</v>
      </c>
      <c r="Z856" s="668">
        <f t="shared" si="272"/>
        <v>0</v>
      </c>
      <c r="AA856" s="668">
        <f t="shared" si="273"/>
        <v>0</v>
      </c>
      <c r="AB856" s="668">
        <f t="shared" si="274"/>
        <v>3265</v>
      </c>
      <c r="AC856" s="668">
        <f t="shared" si="267"/>
        <v>0</v>
      </c>
      <c r="AD856" s="668">
        <f t="shared" si="275"/>
        <v>0</v>
      </c>
      <c r="AE856" s="668">
        <f t="shared" si="276"/>
        <v>0</v>
      </c>
      <c r="AF856" s="668">
        <f t="shared" si="277"/>
        <v>0</v>
      </c>
      <c r="AG856" s="668">
        <f t="shared" si="278"/>
        <v>0</v>
      </c>
      <c r="AH856" s="668"/>
      <c r="AI856" s="668"/>
      <c r="AJ856" s="668"/>
      <c r="AK856" s="668"/>
      <c r="AL856" s="668"/>
      <c r="AM856" s="668">
        <f t="shared" si="279"/>
        <v>0</v>
      </c>
      <c r="AN856" s="668">
        <f t="shared" si="263"/>
        <v>0</v>
      </c>
      <c r="AO856" s="668">
        <f t="shared" si="264"/>
        <v>0</v>
      </c>
      <c r="AP856" s="668">
        <f t="shared" si="280"/>
        <v>600</v>
      </c>
      <c r="AQ856" s="668">
        <f t="shared" si="265"/>
        <v>0</v>
      </c>
      <c r="AR856" s="668">
        <f t="shared" si="266"/>
        <v>0</v>
      </c>
      <c r="AS856" s="668"/>
      <c r="AT856" s="668"/>
      <c r="AU856" s="668"/>
      <c r="AV856" s="668"/>
      <c r="AW856" s="668"/>
      <c r="AX856" s="668"/>
      <c r="AY856" s="668"/>
      <c r="AZ856" s="668"/>
      <c r="BA856" s="668"/>
      <c r="BB856" s="668"/>
      <c r="BC856" s="668"/>
      <c r="BD856" s="668"/>
      <c r="BE856" s="668"/>
      <c r="BF856" s="668"/>
      <c r="BG856" s="668"/>
      <c r="BH856" s="668"/>
      <c r="BI856" s="668"/>
    </row>
    <row r="857" spans="1:61" x14ac:dyDescent="0.2">
      <c r="A857" s="1020">
        <v>4143</v>
      </c>
      <c r="B857" s="1020" t="s">
        <v>519</v>
      </c>
      <c r="C857" s="1020"/>
      <c r="D857" s="667">
        <v>35</v>
      </c>
      <c r="E857" s="667"/>
      <c r="F857" s="667">
        <v>15</v>
      </c>
      <c r="G857" s="667"/>
      <c r="H857" s="667"/>
      <c r="I857" s="667"/>
      <c r="J857" s="667"/>
      <c r="K857" s="667"/>
      <c r="L857" s="667"/>
      <c r="M857" s="667"/>
      <c r="N857" s="667"/>
      <c r="O857" s="667"/>
      <c r="P857" s="667"/>
      <c r="Q857" s="667"/>
      <c r="R857" s="667"/>
      <c r="S857" s="667"/>
      <c r="T857" s="667">
        <v>150</v>
      </c>
      <c r="U857" s="1020">
        <v>12</v>
      </c>
      <c r="V857" s="668">
        <f t="shared" si="268"/>
        <v>420</v>
      </c>
      <c r="W857" s="668">
        <f t="shared" si="269"/>
        <v>0</v>
      </c>
      <c r="X857" s="668">
        <f t="shared" si="270"/>
        <v>0</v>
      </c>
      <c r="Y857" s="668">
        <f t="shared" si="271"/>
        <v>0</v>
      </c>
      <c r="Z857" s="668">
        <f t="shared" si="272"/>
        <v>0</v>
      </c>
      <c r="AA857" s="668">
        <f t="shared" si="273"/>
        <v>0</v>
      </c>
      <c r="AB857" s="668">
        <f t="shared" si="274"/>
        <v>150</v>
      </c>
      <c r="AC857" s="668">
        <f t="shared" si="267"/>
        <v>0</v>
      </c>
      <c r="AD857" s="668">
        <f t="shared" si="275"/>
        <v>0</v>
      </c>
      <c r="AE857" s="668">
        <f t="shared" si="276"/>
        <v>0</v>
      </c>
      <c r="AF857" s="668">
        <f t="shared" si="277"/>
        <v>0</v>
      </c>
      <c r="AG857" s="668">
        <f t="shared" si="278"/>
        <v>0</v>
      </c>
      <c r="AH857" s="668"/>
      <c r="AI857" s="668"/>
      <c r="AJ857" s="668"/>
      <c r="AK857" s="668"/>
      <c r="AL857" s="668"/>
      <c r="AM857" s="668">
        <f t="shared" si="279"/>
        <v>0</v>
      </c>
      <c r="AN857" s="668">
        <f t="shared" si="263"/>
        <v>0</v>
      </c>
      <c r="AO857" s="668">
        <f t="shared" si="264"/>
        <v>0</v>
      </c>
      <c r="AP857" s="668">
        <f t="shared" si="280"/>
        <v>180</v>
      </c>
      <c r="AQ857" s="668">
        <f t="shared" si="265"/>
        <v>0</v>
      </c>
      <c r="AR857" s="668">
        <f t="shared" si="266"/>
        <v>0</v>
      </c>
      <c r="AS857" s="668"/>
      <c r="AT857" s="668"/>
      <c r="AU857" s="668"/>
      <c r="AV857" s="668"/>
      <c r="AW857" s="668"/>
      <c r="AX857" s="668"/>
      <c r="AY857" s="668"/>
      <c r="AZ857" s="668"/>
      <c r="BA857" s="668"/>
      <c r="BB857" s="668">
        <f t="shared" si="281"/>
        <v>180</v>
      </c>
      <c r="BC857" s="668"/>
      <c r="BD857" s="668"/>
      <c r="BE857" s="668"/>
      <c r="BF857" s="668"/>
      <c r="BG857" s="668"/>
      <c r="BH857" s="668"/>
      <c r="BI857" s="668"/>
    </row>
    <row r="858" spans="1:61" x14ac:dyDescent="0.2">
      <c r="A858" s="1020" t="s">
        <v>792</v>
      </c>
      <c r="B858" s="1020" t="s">
        <v>747</v>
      </c>
      <c r="C858" s="1020"/>
      <c r="D858" s="667">
        <v>85</v>
      </c>
      <c r="E858" s="667"/>
      <c r="F858" s="667"/>
      <c r="G858" s="667"/>
      <c r="H858" s="667"/>
      <c r="I858" s="667"/>
      <c r="J858" s="667"/>
      <c r="K858" s="667"/>
      <c r="L858" s="667"/>
      <c r="M858" s="667"/>
      <c r="N858" s="667"/>
      <c r="O858" s="667"/>
      <c r="P858" s="667"/>
      <c r="Q858" s="667"/>
      <c r="R858" s="667"/>
      <c r="S858" s="667"/>
      <c r="T858" s="667"/>
      <c r="U858" s="1031">
        <v>10</v>
      </c>
      <c r="V858" s="668">
        <f t="shared" si="268"/>
        <v>850</v>
      </c>
      <c r="W858" s="668">
        <f t="shared" si="269"/>
        <v>0</v>
      </c>
      <c r="X858" s="668">
        <f t="shared" si="270"/>
        <v>0</v>
      </c>
      <c r="Y858" s="668">
        <f t="shared" si="271"/>
        <v>0</v>
      </c>
      <c r="Z858" s="668">
        <f t="shared" si="272"/>
        <v>0</v>
      </c>
      <c r="AA858" s="668">
        <f t="shared" si="273"/>
        <v>0</v>
      </c>
      <c r="AB858" s="668">
        <f t="shared" si="274"/>
        <v>0</v>
      </c>
      <c r="AC858" s="668">
        <f t="shared" si="267"/>
        <v>0</v>
      </c>
      <c r="AD858" s="668">
        <f t="shared" si="275"/>
        <v>0</v>
      </c>
      <c r="AE858" s="668">
        <f t="shared" si="276"/>
        <v>0</v>
      </c>
      <c r="AF858" s="668">
        <f t="shared" si="277"/>
        <v>0</v>
      </c>
      <c r="AG858" s="668">
        <f t="shared" si="278"/>
        <v>0</v>
      </c>
      <c r="AH858" s="668"/>
      <c r="AI858" s="668"/>
      <c r="AJ858" s="668"/>
      <c r="AK858" s="668"/>
      <c r="AL858" s="668"/>
      <c r="AM858" s="668">
        <f t="shared" si="279"/>
        <v>0</v>
      </c>
      <c r="AN858" s="668">
        <f t="shared" si="263"/>
        <v>0</v>
      </c>
      <c r="AO858" s="668">
        <f t="shared" si="264"/>
        <v>0</v>
      </c>
      <c r="AP858" s="668">
        <f t="shared" si="280"/>
        <v>0</v>
      </c>
      <c r="AQ858" s="668">
        <f t="shared" si="265"/>
        <v>0</v>
      </c>
      <c r="AR858" s="668">
        <f t="shared" si="266"/>
        <v>0</v>
      </c>
      <c r="AS858" s="668"/>
      <c r="AT858" s="668"/>
      <c r="AU858" s="668"/>
      <c r="AV858" s="668"/>
      <c r="AW858" s="668"/>
      <c r="AX858" s="668"/>
      <c r="AY858" s="668"/>
      <c r="AZ858" s="668"/>
      <c r="BA858" s="668"/>
      <c r="BB858" s="668">
        <f t="shared" si="281"/>
        <v>0</v>
      </c>
      <c r="BC858" s="668"/>
      <c r="BD858" s="668"/>
      <c r="BE858" s="668"/>
      <c r="BF858" s="668"/>
      <c r="BG858" s="668"/>
      <c r="BH858" s="668"/>
      <c r="BI858" s="668"/>
    </row>
    <row r="859" spans="1:61" x14ac:dyDescent="0.2">
      <c r="A859" s="1020" t="s">
        <v>791</v>
      </c>
      <c r="B859" s="1020" t="s">
        <v>696</v>
      </c>
      <c r="C859" s="1020"/>
      <c r="D859" s="667">
        <v>53</v>
      </c>
      <c r="E859" s="667"/>
      <c r="F859" s="667"/>
      <c r="G859" s="667"/>
      <c r="H859" s="667"/>
      <c r="I859" s="667"/>
      <c r="J859" s="667"/>
      <c r="K859" s="667"/>
      <c r="L859" s="667"/>
      <c r="M859" s="667"/>
      <c r="N859" s="667"/>
      <c r="O859" s="667"/>
      <c r="P859" s="667"/>
      <c r="Q859" s="667"/>
      <c r="R859" s="667"/>
      <c r="S859" s="667"/>
      <c r="T859" s="667"/>
      <c r="U859" s="1031">
        <v>10</v>
      </c>
      <c r="V859" s="668">
        <f t="shared" si="268"/>
        <v>530</v>
      </c>
      <c r="W859" s="668">
        <f t="shared" si="269"/>
        <v>0</v>
      </c>
      <c r="X859" s="668">
        <f t="shared" si="270"/>
        <v>0</v>
      </c>
      <c r="Y859" s="668">
        <f t="shared" si="271"/>
        <v>0</v>
      </c>
      <c r="Z859" s="668">
        <f t="shared" si="272"/>
        <v>0</v>
      </c>
      <c r="AA859" s="668">
        <f t="shared" si="273"/>
        <v>0</v>
      </c>
      <c r="AB859" s="668">
        <f t="shared" si="274"/>
        <v>0</v>
      </c>
      <c r="AC859" s="668">
        <f t="shared" si="267"/>
        <v>0</v>
      </c>
      <c r="AD859" s="668">
        <f t="shared" si="275"/>
        <v>0</v>
      </c>
      <c r="AE859" s="668">
        <f t="shared" si="276"/>
        <v>0</v>
      </c>
      <c r="AF859" s="668">
        <f t="shared" si="277"/>
        <v>0</v>
      </c>
      <c r="AG859" s="668">
        <f t="shared" si="278"/>
        <v>0</v>
      </c>
      <c r="AH859" s="668"/>
      <c r="AI859" s="668"/>
      <c r="AJ859" s="668"/>
      <c r="AK859" s="668"/>
      <c r="AL859" s="668"/>
      <c r="AM859" s="668">
        <f t="shared" si="279"/>
        <v>0</v>
      </c>
      <c r="AN859" s="668">
        <f t="shared" si="263"/>
        <v>0</v>
      </c>
      <c r="AO859" s="668">
        <f t="shared" si="264"/>
        <v>0</v>
      </c>
      <c r="AP859" s="668">
        <f t="shared" si="280"/>
        <v>0</v>
      </c>
      <c r="AQ859" s="668">
        <f t="shared" si="265"/>
        <v>0</v>
      </c>
      <c r="AR859" s="668">
        <f t="shared" si="266"/>
        <v>0</v>
      </c>
      <c r="AS859" s="668"/>
      <c r="AT859" s="668"/>
      <c r="AU859" s="668"/>
      <c r="AV859" s="668"/>
      <c r="AW859" s="668"/>
      <c r="AX859" s="668"/>
      <c r="AY859" s="668"/>
      <c r="AZ859" s="668"/>
      <c r="BA859" s="668"/>
      <c r="BB859" s="668">
        <f t="shared" si="281"/>
        <v>0</v>
      </c>
      <c r="BC859" s="668"/>
      <c r="BD859" s="668"/>
      <c r="BE859" s="668"/>
      <c r="BF859" s="668"/>
      <c r="BG859" s="668"/>
      <c r="BH859" s="668"/>
      <c r="BI859" s="668"/>
    </row>
    <row r="860" spans="1:61" x14ac:dyDescent="0.2">
      <c r="A860" s="1020">
        <v>4145</v>
      </c>
      <c r="B860" s="1020" t="s">
        <v>780</v>
      </c>
      <c r="C860" s="1020"/>
      <c r="D860" s="667">
        <v>80</v>
      </c>
      <c r="E860" s="667"/>
      <c r="F860" s="667"/>
      <c r="G860" s="667"/>
      <c r="H860" s="667"/>
      <c r="I860" s="667"/>
      <c r="J860" s="667"/>
      <c r="K860" s="667"/>
      <c r="L860" s="667"/>
      <c r="M860" s="667"/>
      <c r="N860" s="667"/>
      <c r="O860" s="667"/>
      <c r="P860" s="667"/>
      <c r="Q860" s="667"/>
      <c r="R860" s="667"/>
      <c r="S860" s="667"/>
      <c r="T860" s="667"/>
      <c r="U860" s="1031">
        <v>10</v>
      </c>
      <c r="V860" s="668">
        <f t="shared" si="268"/>
        <v>800</v>
      </c>
      <c r="W860" s="668">
        <f t="shared" si="269"/>
        <v>0</v>
      </c>
      <c r="X860" s="668">
        <f t="shared" si="270"/>
        <v>0</v>
      </c>
      <c r="Y860" s="668">
        <f t="shared" si="271"/>
        <v>0</v>
      </c>
      <c r="Z860" s="668">
        <f t="shared" si="272"/>
        <v>0</v>
      </c>
      <c r="AA860" s="668">
        <f t="shared" si="273"/>
        <v>0</v>
      </c>
      <c r="AB860" s="668">
        <f t="shared" si="274"/>
        <v>0</v>
      </c>
      <c r="AC860" s="668">
        <f t="shared" si="267"/>
        <v>0</v>
      </c>
      <c r="AD860" s="668">
        <f t="shared" si="275"/>
        <v>0</v>
      </c>
      <c r="AE860" s="668">
        <f t="shared" si="276"/>
        <v>0</v>
      </c>
      <c r="AF860" s="668">
        <f t="shared" si="277"/>
        <v>0</v>
      </c>
      <c r="AG860" s="668">
        <f t="shared" si="278"/>
        <v>0</v>
      </c>
      <c r="AH860" s="668"/>
      <c r="AI860" s="668"/>
      <c r="AJ860" s="668"/>
      <c r="AK860" s="668"/>
      <c r="AL860" s="668"/>
      <c r="AM860" s="668">
        <f t="shared" si="279"/>
        <v>0</v>
      </c>
      <c r="AN860" s="668">
        <f t="shared" si="263"/>
        <v>0</v>
      </c>
      <c r="AO860" s="668">
        <f t="shared" si="264"/>
        <v>0</v>
      </c>
      <c r="AP860" s="668">
        <f t="shared" si="280"/>
        <v>0</v>
      </c>
      <c r="AQ860" s="668">
        <f t="shared" si="265"/>
        <v>0</v>
      </c>
      <c r="AR860" s="668">
        <f t="shared" si="266"/>
        <v>0</v>
      </c>
      <c r="AS860" s="668"/>
      <c r="AT860" s="668"/>
      <c r="AU860" s="668"/>
      <c r="AV860" s="668"/>
      <c r="AW860" s="668"/>
      <c r="AX860" s="668"/>
      <c r="AY860" s="668"/>
      <c r="AZ860" s="668"/>
      <c r="BA860" s="668"/>
      <c r="BB860" s="668">
        <f t="shared" si="281"/>
        <v>0</v>
      </c>
      <c r="BC860" s="668"/>
      <c r="BD860" s="668"/>
      <c r="BE860" s="668"/>
      <c r="BF860" s="668"/>
      <c r="BG860" s="668"/>
      <c r="BH860" s="668"/>
      <c r="BI860" s="668"/>
    </row>
    <row r="861" spans="1:61" x14ac:dyDescent="0.2">
      <c r="A861" s="1020">
        <v>4146</v>
      </c>
      <c r="B861" s="1020" t="s">
        <v>517</v>
      </c>
      <c r="C861" s="1020"/>
      <c r="D861" s="667">
        <v>50</v>
      </c>
      <c r="E861" s="667"/>
      <c r="F861" s="667"/>
      <c r="G861" s="667"/>
      <c r="H861" s="667"/>
      <c r="I861" s="667"/>
      <c r="J861" s="667"/>
      <c r="K861" s="667"/>
      <c r="L861" s="667"/>
      <c r="M861" s="667"/>
      <c r="N861" s="667"/>
      <c r="O861" s="667"/>
      <c r="P861" s="667"/>
      <c r="Q861" s="667"/>
      <c r="R861" s="667"/>
      <c r="S861" s="667"/>
      <c r="T861" s="667"/>
      <c r="U861" s="1031">
        <v>12</v>
      </c>
      <c r="V861" s="668">
        <f t="shared" si="268"/>
        <v>600</v>
      </c>
      <c r="W861" s="668">
        <f t="shared" si="269"/>
        <v>0</v>
      </c>
      <c r="X861" s="668">
        <f t="shared" si="270"/>
        <v>0</v>
      </c>
      <c r="Y861" s="668">
        <f t="shared" si="271"/>
        <v>0</v>
      </c>
      <c r="Z861" s="668">
        <f t="shared" si="272"/>
        <v>0</v>
      </c>
      <c r="AA861" s="668">
        <f t="shared" si="273"/>
        <v>0</v>
      </c>
      <c r="AB861" s="668">
        <f t="shared" si="274"/>
        <v>0</v>
      </c>
      <c r="AC861" s="668">
        <f t="shared" si="267"/>
        <v>0</v>
      </c>
      <c r="AD861" s="668">
        <f t="shared" si="275"/>
        <v>0</v>
      </c>
      <c r="AE861" s="668">
        <f t="shared" si="276"/>
        <v>0</v>
      </c>
      <c r="AF861" s="668">
        <f t="shared" si="277"/>
        <v>0</v>
      </c>
      <c r="AG861" s="668">
        <f t="shared" si="278"/>
        <v>0</v>
      </c>
      <c r="AH861" s="668"/>
      <c r="AI861" s="668"/>
      <c r="AJ861" s="668"/>
      <c r="AK861" s="668"/>
      <c r="AL861" s="668"/>
      <c r="AM861" s="668">
        <f t="shared" si="279"/>
        <v>0</v>
      </c>
      <c r="AN861" s="668">
        <f t="shared" si="263"/>
        <v>0</v>
      </c>
      <c r="AO861" s="668">
        <f t="shared" si="264"/>
        <v>0</v>
      </c>
      <c r="AP861" s="668">
        <f t="shared" si="280"/>
        <v>0</v>
      </c>
      <c r="AQ861" s="668">
        <f t="shared" si="265"/>
        <v>0</v>
      </c>
      <c r="AR861" s="668">
        <f t="shared" si="266"/>
        <v>0</v>
      </c>
      <c r="AS861" s="668"/>
      <c r="AT861" s="668"/>
      <c r="AU861" s="668"/>
      <c r="AV861" s="668"/>
      <c r="AW861" s="668"/>
      <c r="AX861" s="668"/>
      <c r="AY861" s="668"/>
      <c r="AZ861" s="668"/>
      <c r="BA861" s="668"/>
      <c r="BB861" s="668">
        <f t="shared" si="281"/>
        <v>0</v>
      </c>
      <c r="BC861" s="668"/>
      <c r="BD861" s="668"/>
      <c r="BE861" s="668"/>
      <c r="BF861" s="668"/>
      <c r="BG861" s="668"/>
      <c r="BH861" s="668"/>
      <c r="BI861" s="668"/>
    </row>
    <row r="862" spans="1:61" x14ac:dyDescent="0.2">
      <c r="A862" s="1020">
        <v>4147</v>
      </c>
      <c r="B862" s="1020" t="s">
        <v>519</v>
      </c>
      <c r="C862" s="1020"/>
      <c r="D862" s="667">
        <v>35</v>
      </c>
      <c r="E862" s="667"/>
      <c r="F862" s="667">
        <v>15</v>
      </c>
      <c r="G862" s="667"/>
      <c r="H862" s="667"/>
      <c r="I862" s="667"/>
      <c r="J862" s="667"/>
      <c r="K862" s="667"/>
      <c r="L862" s="667"/>
      <c r="M862" s="667"/>
      <c r="N862" s="667"/>
      <c r="O862" s="667"/>
      <c r="P862" s="667"/>
      <c r="Q862" s="667"/>
      <c r="R862" s="667"/>
      <c r="S862" s="667"/>
      <c r="T862" s="667">
        <v>150</v>
      </c>
      <c r="U862" s="1031">
        <v>12</v>
      </c>
      <c r="V862" s="668">
        <f t="shared" si="268"/>
        <v>420</v>
      </c>
      <c r="W862" s="668">
        <f t="shared" si="269"/>
        <v>0</v>
      </c>
      <c r="X862" s="668">
        <f t="shared" si="270"/>
        <v>0</v>
      </c>
      <c r="Y862" s="668">
        <f t="shared" si="271"/>
        <v>0</v>
      </c>
      <c r="Z862" s="668">
        <f t="shared" si="272"/>
        <v>0</v>
      </c>
      <c r="AA862" s="668">
        <f t="shared" si="273"/>
        <v>0</v>
      </c>
      <c r="AB862" s="668">
        <f t="shared" si="274"/>
        <v>150</v>
      </c>
      <c r="AC862" s="668">
        <f t="shared" si="267"/>
        <v>0</v>
      </c>
      <c r="AD862" s="668">
        <f t="shared" si="275"/>
        <v>0</v>
      </c>
      <c r="AE862" s="668">
        <f t="shared" si="276"/>
        <v>0</v>
      </c>
      <c r="AF862" s="668">
        <f t="shared" si="277"/>
        <v>0</v>
      </c>
      <c r="AG862" s="668">
        <f t="shared" si="278"/>
        <v>0</v>
      </c>
      <c r="AH862" s="668"/>
      <c r="AI862" s="668"/>
      <c r="AJ862" s="668"/>
      <c r="AK862" s="668"/>
      <c r="AL862" s="668"/>
      <c r="AM862" s="668">
        <f t="shared" si="279"/>
        <v>0</v>
      </c>
      <c r="AN862" s="668">
        <f t="shared" si="263"/>
        <v>0</v>
      </c>
      <c r="AO862" s="668">
        <f t="shared" si="264"/>
        <v>0</v>
      </c>
      <c r="AP862" s="668">
        <f t="shared" si="280"/>
        <v>180</v>
      </c>
      <c r="AQ862" s="668">
        <f t="shared" si="265"/>
        <v>0</v>
      </c>
      <c r="AR862" s="668">
        <f t="shared" si="266"/>
        <v>0</v>
      </c>
      <c r="AS862" s="668"/>
      <c r="AT862" s="668"/>
      <c r="AU862" s="668"/>
      <c r="AV862" s="668"/>
      <c r="AW862" s="668"/>
      <c r="AX862" s="668"/>
      <c r="AY862" s="668"/>
      <c r="AZ862" s="668"/>
      <c r="BA862" s="668"/>
      <c r="BB862" s="668">
        <f t="shared" si="281"/>
        <v>180</v>
      </c>
      <c r="BC862" s="668"/>
      <c r="BD862" s="668"/>
      <c r="BE862" s="668"/>
      <c r="BF862" s="668"/>
      <c r="BG862" s="668"/>
      <c r="BH862" s="668"/>
      <c r="BI862" s="668"/>
    </row>
    <row r="863" spans="1:61" x14ac:dyDescent="0.2">
      <c r="A863" s="1020">
        <v>4148</v>
      </c>
      <c r="B863" s="1020" t="s">
        <v>515</v>
      </c>
      <c r="C863" s="1020"/>
      <c r="D863" s="667">
        <v>73</v>
      </c>
      <c r="E863" s="667"/>
      <c r="F863" s="667">
        <v>32</v>
      </c>
      <c r="G863" s="667"/>
      <c r="H863" s="667"/>
      <c r="I863" s="667"/>
      <c r="J863" s="667"/>
      <c r="K863" s="667"/>
      <c r="L863" s="667"/>
      <c r="M863" s="667"/>
      <c r="N863" s="667"/>
      <c r="O863" s="667"/>
      <c r="P863" s="667"/>
      <c r="Q863" s="667"/>
      <c r="R863" s="667"/>
      <c r="S863" s="667"/>
      <c r="T863" s="667">
        <v>2129</v>
      </c>
      <c r="U863" s="1020">
        <v>12</v>
      </c>
      <c r="V863" s="668">
        <f t="shared" si="268"/>
        <v>876</v>
      </c>
      <c r="W863" s="668">
        <f t="shared" si="269"/>
        <v>0</v>
      </c>
      <c r="X863" s="668">
        <f t="shared" si="270"/>
        <v>0</v>
      </c>
      <c r="Y863" s="668">
        <f t="shared" si="271"/>
        <v>0</v>
      </c>
      <c r="Z863" s="668">
        <f t="shared" si="272"/>
        <v>0</v>
      </c>
      <c r="AA863" s="668">
        <f t="shared" si="273"/>
        <v>0</v>
      </c>
      <c r="AB863" s="668">
        <f t="shared" si="274"/>
        <v>2129</v>
      </c>
      <c r="AC863" s="668">
        <f t="shared" si="267"/>
        <v>0</v>
      </c>
      <c r="AD863" s="668">
        <f t="shared" si="275"/>
        <v>0</v>
      </c>
      <c r="AE863" s="668">
        <f t="shared" si="276"/>
        <v>0</v>
      </c>
      <c r="AF863" s="668">
        <f t="shared" si="277"/>
        <v>0</v>
      </c>
      <c r="AG863" s="668">
        <f t="shared" si="278"/>
        <v>0</v>
      </c>
      <c r="AH863" s="668"/>
      <c r="AI863" s="668"/>
      <c r="AJ863" s="668"/>
      <c r="AK863" s="668"/>
      <c r="AL863" s="668"/>
      <c r="AM863" s="668">
        <f t="shared" si="279"/>
        <v>0</v>
      </c>
      <c r="AN863" s="668">
        <f t="shared" si="263"/>
        <v>0</v>
      </c>
      <c r="AO863" s="668">
        <f t="shared" si="264"/>
        <v>0</v>
      </c>
      <c r="AP863" s="668">
        <f t="shared" si="280"/>
        <v>384</v>
      </c>
      <c r="AQ863" s="668">
        <f t="shared" si="265"/>
        <v>0</v>
      </c>
      <c r="AR863" s="668">
        <f t="shared" si="266"/>
        <v>0</v>
      </c>
      <c r="AS863" s="668"/>
      <c r="AT863" s="668"/>
      <c r="AU863" s="668"/>
      <c r="AV863" s="668"/>
      <c r="AW863" s="668"/>
      <c r="AX863" s="668"/>
      <c r="AY863" s="668"/>
      <c r="AZ863" s="668"/>
      <c r="BA863" s="668"/>
      <c r="BB863" s="668"/>
      <c r="BC863" s="668"/>
      <c r="BD863" s="668"/>
      <c r="BE863" s="668"/>
      <c r="BF863" s="668"/>
      <c r="BG863" s="668"/>
      <c r="BH863" s="668"/>
      <c r="BI863" s="668"/>
    </row>
    <row r="864" spans="1:61" x14ac:dyDescent="0.2">
      <c r="A864" s="1020">
        <v>4149</v>
      </c>
      <c r="B864" s="1020" t="s">
        <v>515</v>
      </c>
      <c r="C864" s="1020"/>
      <c r="D864" s="667">
        <v>118</v>
      </c>
      <c r="E864" s="667"/>
      <c r="F864" s="667">
        <v>60</v>
      </c>
      <c r="G864" s="667"/>
      <c r="H864" s="667"/>
      <c r="I864" s="667"/>
      <c r="J864" s="667"/>
      <c r="K864" s="667"/>
      <c r="L864" s="667"/>
      <c r="M864" s="667"/>
      <c r="N864" s="667"/>
      <c r="O864" s="667"/>
      <c r="P864" s="667"/>
      <c r="Q864" s="667"/>
      <c r="R864" s="667"/>
      <c r="S864" s="667"/>
      <c r="T864" s="667">
        <v>3000</v>
      </c>
      <c r="U864" s="1020">
        <v>12</v>
      </c>
      <c r="V864" s="668">
        <f t="shared" si="268"/>
        <v>1416</v>
      </c>
      <c r="W864" s="668">
        <f t="shared" si="269"/>
        <v>0</v>
      </c>
      <c r="X864" s="668">
        <f t="shared" si="270"/>
        <v>0</v>
      </c>
      <c r="Y864" s="668">
        <f t="shared" si="271"/>
        <v>0</v>
      </c>
      <c r="Z864" s="668">
        <f t="shared" si="272"/>
        <v>0</v>
      </c>
      <c r="AA864" s="668">
        <f t="shared" si="273"/>
        <v>0</v>
      </c>
      <c r="AB864" s="668">
        <f t="shared" si="274"/>
        <v>3000</v>
      </c>
      <c r="AC864" s="668">
        <f t="shared" si="267"/>
        <v>0</v>
      </c>
      <c r="AD864" s="668">
        <f t="shared" si="275"/>
        <v>0</v>
      </c>
      <c r="AE864" s="668">
        <f t="shared" si="276"/>
        <v>0</v>
      </c>
      <c r="AF864" s="668">
        <f t="shared" si="277"/>
        <v>0</v>
      </c>
      <c r="AG864" s="668">
        <f t="shared" si="278"/>
        <v>0</v>
      </c>
      <c r="AH864" s="668"/>
      <c r="AI864" s="668"/>
      <c r="AJ864" s="668"/>
      <c r="AK864" s="668"/>
      <c r="AL864" s="668"/>
      <c r="AM864" s="668">
        <f t="shared" si="279"/>
        <v>0</v>
      </c>
      <c r="AN864" s="668">
        <f t="shared" si="263"/>
        <v>0</v>
      </c>
      <c r="AO864" s="668">
        <f t="shared" si="264"/>
        <v>0</v>
      </c>
      <c r="AP864" s="668">
        <f t="shared" si="280"/>
        <v>720</v>
      </c>
      <c r="AQ864" s="668">
        <f t="shared" si="265"/>
        <v>0</v>
      </c>
      <c r="AR864" s="668">
        <f t="shared" si="266"/>
        <v>0</v>
      </c>
      <c r="AS864" s="668"/>
      <c r="AT864" s="668"/>
      <c r="AU864" s="668"/>
      <c r="AV864" s="668"/>
      <c r="AW864" s="668"/>
      <c r="AX864" s="668"/>
      <c r="AY864" s="668"/>
      <c r="AZ864" s="668"/>
      <c r="BA864" s="668"/>
      <c r="BB864" s="668"/>
      <c r="BC864" s="668"/>
      <c r="BD864" s="668"/>
      <c r="BE864" s="668"/>
      <c r="BF864" s="668"/>
      <c r="BG864" s="668"/>
      <c r="BH864" s="668"/>
      <c r="BI864" s="668"/>
    </row>
    <row r="865" spans="1:61" x14ac:dyDescent="0.2">
      <c r="A865" s="1020">
        <v>4150</v>
      </c>
      <c r="B865" s="1020" t="s">
        <v>519</v>
      </c>
      <c r="C865" s="1020"/>
      <c r="D865" s="667">
        <v>35</v>
      </c>
      <c r="E865" s="667"/>
      <c r="F865" s="667">
        <v>15</v>
      </c>
      <c r="G865" s="667"/>
      <c r="H865" s="667"/>
      <c r="I865" s="667"/>
      <c r="J865" s="667"/>
      <c r="K865" s="667"/>
      <c r="L865" s="667"/>
      <c r="M865" s="667"/>
      <c r="N865" s="667"/>
      <c r="O865" s="667"/>
      <c r="P865" s="667"/>
      <c r="Q865" s="667"/>
      <c r="R865" s="667"/>
      <c r="S865" s="667"/>
      <c r="T865" s="667">
        <v>150</v>
      </c>
      <c r="U865" s="1020">
        <v>50</v>
      </c>
      <c r="V865" s="668">
        <f t="shared" si="268"/>
        <v>1750</v>
      </c>
      <c r="W865" s="668">
        <f t="shared" si="269"/>
        <v>0</v>
      </c>
      <c r="X865" s="668">
        <f t="shared" si="270"/>
        <v>0</v>
      </c>
      <c r="Y865" s="668">
        <f t="shared" si="271"/>
        <v>0</v>
      </c>
      <c r="Z865" s="668">
        <f t="shared" si="272"/>
        <v>0</v>
      </c>
      <c r="AA865" s="668">
        <f t="shared" si="273"/>
        <v>0</v>
      </c>
      <c r="AB865" s="668">
        <f t="shared" si="274"/>
        <v>150</v>
      </c>
      <c r="AC865" s="668">
        <f t="shared" si="267"/>
        <v>0</v>
      </c>
      <c r="AD865" s="668">
        <f t="shared" si="275"/>
        <v>0</v>
      </c>
      <c r="AE865" s="668">
        <f t="shared" si="276"/>
        <v>0</v>
      </c>
      <c r="AF865" s="668">
        <f t="shared" si="277"/>
        <v>0</v>
      </c>
      <c r="AG865" s="668">
        <f t="shared" si="278"/>
        <v>0</v>
      </c>
      <c r="AH865" s="668"/>
      <c r="AI865" s="668"/>
      <c r="AJ865" s="668"/>
      <c r="AK865" s="668"/>
      <c r="AL865" s="668"/>
      <c r="AM865" s="668">
        <f t="shared" si="279"/>
        <v>0</v>
      </c>
      <c r="AN865" s="668">
        <f t="shared" si="263"/>
        <v>0</v>
      </c>
      <c r="AO865" s="668">
        <f t="shared" si="264"/>
        <v>0</v>
      </c>
      <c r="AP865" s="668">
        <f t="shared" si="280"/>
        <v>750</v>
      </c>
      <c r="AQ865" s="668">
        <f t="shared" si="265"/>
        <v>0</v>
      </c>
      <c r="AR865" s="668">
        <f t="shared" si="266"/>
        <v>0</v>
      </c>
      <c r="AS865" s="668"/>
      <c r="AT865" s="668"/>
      <c r="AU865" s="668"/>
      <c r="AV865" s="668"/>
      <c r="AW865" s="668"/>
      <c r="AX865" s="668"/>
      <c r="AY865" s="668"/>
      <c r="AZ865" s="668"/>
      <c r="BA865" s="668"/>
      <c r="BB865" s="668">
        <f t="shared" si="281"/>
        <v>750</v>
      </c>
      <c r="BC865" s="668"/>
      <c r="BD865" s="668"/>
      <c r="BE865" s="668"/>
      <c r="BF865" s="668"/>
      <c r="BG865" s="668"/>
      <c r="BH865" s="668"/>
      <c r="BI865" s="668"/>
    </row>
    <row r="866" spans="1:61" x14ac:dyDescent="0.2">
      <c r="A866" s="1020" t="s">
        <v>794</v>
      </c>
      <c r="B866" s="1020" t="s">
        <v>747</v>
      </c>
      <c r="C866" s="1020"/>
      <c r="D866" s="667">
        <v>85</v>
      </c>
      <c r="E866" s="667"/>
      <c r="F866" s="667"/>
      <c r="G866" s="667"/>
      <c r="H866" s="667"/>
      <c r="I866" s="667"/>
      <c r="J866" s="667"/>
      <c r="K866" s="667"/>
      <c r="L866" s="667"/>
      <c r="M866" s="667"/>
      <c r="N866" s="667"/>
      <c r="O866" s="667">
        <v>1</v>
      </c>
      <c r="P866" s="667"/>
      <c r="Q866" s="667"/>
      <c r="R866" s="667"/>
      <c r="S866" s="667"/>
      <c r="T866" s="667"/>
      <c r="U866" s="1031">
        <v>10</v>
      </c>
      <c r="V866" s="668">
        <f t="shared" si="268"/>
        <v>850</v>
      </c>
      <c r="W866" s="668">
        <f t="shared" si="269"/>
        <v>0</v>
      </c>
      <c r="X866" s="668">
        <f t="shared" si="270"/>
        <v>0</v>
      </c>
      <c r="Y866" s="668">
        <f t="shared" si="271"/>
        <v>0</v>
      </c>
      <c r="Z866" s="668">
        <f t="shared" si="272"/>
        <v>0</v>
      </c>
      <c r="AA866" s="668">
        <f t="shared" si="273"/>
        <v>0</v>
      </c>
      <c r="AB866" s="668">
        <f t="shared" si="274"/>
        <v>0</v>
      </c>
      <c r="AC866" s="668">
        <f t="shared" si="267"/>
        <v>0</v>
      </c>
      <c r="AD866" s="668">
        <f t="shared" si="275"/>
        <v>0</v>
      </c>
      <c r="AE866" s="668">
        <f t="shared" si="276"/>
        <v>0</v>
      </c>
      <c r="AF866" s="668">
        <f t="shared" si="277"/>
        <v>0</v>
      </c>
      <c r="AG866" s="668">
        <f t="shared" si="278"/>
        <v>0</v>
      </c>
      <c r="AH866" s="668"/>
      <c r="AI866" s="668"/>
      <c r="AJ866" s="668"/>
      <c r="AK866" s="668"/>
      <c r="AL866" s="668"/>
      <c r="AM866" s="668">
        <f t="shared" si="279"/>
        <v>0</v>
      </c>
      <c r="AN866" s="668">
        <f t="shared" si="263"/>
        <v>0</v>
      </c>
      <c r="AO866" s="668">
        <f t="shared" si="264"/>
        <v>10</v>
      </c>
      <c r="AP866" s="668">
        <f t="shared" si="280"/>
        <v>0</v>
      </c>
      <c r="AQ866" s="668">
        <f t="shared" si="265"/>
        <v>0</v>
      </c>
      <c r="AR866" s="668">
        <f t="shared" si="266"/>
        <v>0</v>
      </c>
      <c r="AS866" s="668"/>
      <c r="AT866" s="668"/>
      <c r="AU866" s="668"/>
      <c r="AV866" s="668"/>
      <c r="AW866" s="668"/>
      <c r="AX866" s="668"/>
      <c r="AY866" s="668"/>
      <c r="AZ866" s="668"/>
      <c r="BA866" s="668"/>
      <c r="BB866" s="668">
        <f t="shared" si="281"/>
        <v>0</v>
      </c>
      <c r="BC866" s="668"/>
      <c r="BD866" s="668"/>
      <c r="BE866" s="668"/>
      <c r="BF866" s="668"/>
      <c r="BG866" s="668"/>
      <c r="BH866" s="668"/>
      <c r="BI866" s="668"/>
    </row>
    <row r="867" spans="1:61" x14ac:dyDescent="0.2">
      <c r="A867" s="1020" t="s">
        <v>793</v>
      </c>
      <c r="B867" s="1020" t="s">
        <v>696</v>
      </c>
      <c r="C867" s="1020"/>
      <c r="D867" s="667">
        <v>53</v>
      </c>
      <c r="E867" s="667"/>
      <c r="F867" s="667"/>
      <c r="G867" s="667"/>
      <c r="H867" s="667"/>
      <c r="I867" s="667"/>
      <c r="J867" s="667"/>
      <c r="K867" s="667"/>
      <c r="L867" s="667"/>
      <c r="M867" s="667"/>
      <c r="N867" s="667"/>
      <c r="O867" s="667"/>
      <c r="P867" s="667"/>
      <c r="Q867" s="667"/>
      <c r="R867" s="667"/>
      <c r="S867" s="667"/>
      <c r="T867" s="667"/>
      <c r="U867" s="1031">
        <v>10</v>
      </c>
      <c r="V867" s="668">
        <f t="shared" si="268"/>
        <v>530</v>
      </c>
      <c r="W867" s="668">
        <f t="shared" si="269"/>
        <v>0</v>
      </c>
      <c r="X867" s="668">
        <f t="shared" si="270"/>
        <v>0</v>
      </c>
      <c r="Y867" s="668">
        <f t="shared" si="271"/>
        <v>0</v>
      </c>
      <c r="Z867" s="668">
        <f t="shared" si="272"/>
        <v>0</v>
      </c>
      <c r="AA867" s="668">
        <f t="shared" si="273"/>
        <v>0</v>
      </c>
      <c r="AB867" s="668">
        <f t="shared" si="274"/>
        <v>0</v>
      </c>
      <c r="AC867" s="668">
        <f t="shared" si="267"/>
        <v>0</v>
      </c>
      <c r="AD867" s="668">
        <f t="shared" si="275"/>
        <v>0</v>
      </c>
      <c r="AE867" s="668">
        <f t="shared" si="276"/>
        <v>0</v>
      </c>
      <c r="AF867" s="668">
        <f t="shared" si="277"/>
        <v>0</v>
      </c>
      <c r="AG867" s="668">
        <f t="shared" si="278"/>
        <v>0</v>
      </c>
      <c r="AH867" s="668"/>
      <c r="AI867" s="668"/>
      <c r="AJ867" s="668"/>
      <c r="AK867" s="668"/>
      <c r="AL867" s="668"/>
      <c r="AM867" s="668">
        <f t="shared" si="279"/>
        <v>0</v>
      </c>
      <c r="AN867" s="668">
        <f t="shared" si="263"/>
        <v>0</v>
      </c>
      <c r="AO867" s="668">
        <f t="shared" si="264"/>
        <v>0</v>
      </c>
      <c r="AP867" s="668">
        <f t="shared" si="280"/>
        <v>0</v>
      </c>
      <c r="AQ867" s="668">
        <f t="shared" si="265"/>
        <v>0</v>
      </c>
      <c r="AR867" s="668">
        <f t="shared" si="266"/>
        <v>0</v>
      </c>
      <c r="AS867" s="668"/>
      <c r="AT867" s="668"/>
      <c r="AU867" s="668"/>
      <c r="AV867" s="668"/>
      <c r="AW867" s="668"/>
      <c r="AX867" s="668"/>
      <c r="AY867" s="668"/>
      <c r="AZ867" s="668"/>
      <c r="BA867" s="668"/>
      <c r="BB867" s="668">
        <f t="shared" si="281"/>
        <v>0</v>
      </c>
      <c r="BC867" s="668"/>
      <c r="BD867" s="668"/>
      <c r="BE867" s="668"/>
      <c r="BF867" s="668"/>
      <c r="BG867" s="668"/>
      <c r="BH867" s="668"/>
      <c r="BI867" s="668"/>
    </row>
    <row r="868" spans="1:61" x14ac:dyDescent="0.2">
      <c r="A868" s="1020">
        <v>4152</v>
      </c>
      <c r="B868" s="1020" t="s">
        <v>780</v>
      </c>
      <c r="C868" s="1020"/>
      <c r="D868" s="667">
        <v>80</v>
      </c>
      <c r="E868" s="667"/>
      <c r="F868" s="667"/>
      <c r="G868" s="667"/>
      <c r="H868" s="667"/>
      <c r="I868" s="667"/>
      <c r="J868" s="667"/>
      <c r="K868" s="667"/>
      <c r="L868" s="667"/>
      <c r="M868" s="667"/>
      <c r="N868" s="667"/>
      <c r="O868" s="667"/>
      <c r="P868" s="667"/>
      <c r="Q868" s="667"/>
      <c r="R868" s="667"/>
      <c r="S868" s="667"/>
      <c r="T868" s="667"/>
      <c r="U868" s="1031">
        <v>10</v>
      </c>
      <c r="V868" s="668">
        <f t="shared" si="268"/>
        <v>800</v>
      </c>
      <c r="W868" s="668">
        <f t="shared" si="269"/>
        <v>0</v>
      </c>
      <c r="X868" s="668">
        <f t="shared" si="270"/>
        <v>0</v>
      </c>
      <c r="Y868" s="668">
        <f t="shared" si="271"/>
        <v>0</v>
      </c>
      <c r="Z868" s="668">
        <f t="shared" si="272"/>
        <v>0</v>
      </c>
      <c r="AA868" s="668">
        <f t="shared" si="273"/>
        <v>0</v>
      </c>
      <c r="AB868" s="668">
        <f t="shared" si="274"/>
        <v>0</v>
      </c>
      <c r="AC868" s="668">
        <f t="shared" si="267"/>
        <v>0</v>
      </c>
      <c r="AD868" s="668">
        <f t="shared" si="275"/>
        <v>0</v>
      </c>
      <c r="AE868" s="668">
        <f t="shared" si="276"/>
        <v>0</v>
      </c>
      <c r="AF868" s="668">
        <f t="shared" si="277"/>
        <v>0</v>
      </c>
      <c r="AG868" s="668">
        <f t="shared" si="278"/>
        <v>0</v>
      </c>
      <c r="AH868" s="668"/>
      <c r="AI868" s="668"/>
      <c r="AJ868" s="668"/>
      <c r="AK868" s="668"/>
      <c r="AL868" s="668"/>
      <c r="AM868" s="668">
        <f t="shared" si="279"/>
        <v>0</v>
      </c>
      <c r="AN868" s="668">
        <f t="shared" si="263"/>
        <v>0</v>
      </c>
      <c r="AO868" s="668">
        <f t="shared" si="264"/>
        <v>0</v>
      </c>
      <c r="AP868" s="668">
        <f t="shared" si="280"/>
        <v>0</v>
      </c>
      <c r="AQ868" s="668">
        <f t="shared" si="265"/>
        <v>0</v>
      </c>
      <c r="AR868" s="668">
        <f t="shared" si="266"/>
        <v>0</v>
      </c>
      <c r="AS868" s="668"/>
      <c r="AT868" s="668"/>
      <c r="AU868" s="668"/>
      <c r="AV868" s="668"/>
      <c r="AW868" s="668"/>
      <c r="AX868" s="668"/>
      <c r="AY868" s="668"/>
      <c r="AZ868" s="668"/>
      <c r="BA868" s="668"/>
      <c r="BB868" s="668">
        <f t="shared" si="281"/>
        <v>0</v>
      </c>
      <c r="BC868" s="668"/>
      <c r="BD868" s="668"/>
      <c r="BE868" s="668"/>
      <c r="BF868" s="668"/>
      <c r="BG868" s="668"/>
      <c r="BH868" s="668"/>
      <c r="BI868" s="668"/>
    </row>
    <row r="869" spans="1:61" x14ac:dyDescent="0.2">
      <c r="A869" s="1020">
        <v>4153</v>
      </c>
      <c r="B869" s="1020" t="s">
        <v>517</v>
      </c>
      <c r="C869" s="1020"/>
      <c r="D869" s="667">
        <v>50</v>
      </c>
      <c r="E869" s="667"/>
      <c r="F869" s="667"/>
      <c r="G869" s="667"/>
      <c r="H869" s="667"/>
      <c r="I869" s="667"/>
      <c r="J869" s="667"/>
      <c r="K869" s="667"/>
      <c r="L869" s="667"/>
      <c r="M869" s="667"/>
      <c r="N869" s="667"/>
      <c r="O869" s="667"/>
      <c r="P869" s="667"/>
      <c r="Q869" s="667"/>
      <c r="R869" s="667"/>
      <c r="S869" s="667"/>
      <c r="T869" s="667"/>
      <c r="U869" s="1031">
        <v>12</v>
      </c>
      <c r="V869" s="668">
        <f t="shared" si="268"/>
        <v>600</v>
      </c>
      <c r="W869" s="668">
        <f t="shared" si="269"/>
        <v>0</v>
      </c>
      <c r="X869" s="668">
        <f t="shared" si="270"/>
        <v>0</v>
      </c>
      <c r="Y869" s="668">
        <f t="shared" si="271"/>
        <v>0</v>
      </c>
      <c r="Z869" s="668">
        <f t="shared" si="272"/>
        <v>0</v>
      </c>
      <c r="AA869" s="668">
        <f t="shared" si="273"/>
        <v>0</v>
      </c>
      <c r="AB869" s="668">
        <f t="shared" si="274"/>
        <v>0</v>
      </c>
      <c r="AC869" s="668">
        <f t="shared" si="267"/>
        <v>0</v>
      </c>
      <c r="AD869" s="668">
        <f t="shared" si="275"/>
        <v>0</v>
      </c>
      <c r="AE869" s="668">
        <f t="shared" si="276"/>
        <v>0</v>
      </c>
      <c r="AF869" s="668">
        <f t="shared" si="277"/>
        <v>0</v>
      </c>
      <c r="AG869" s="668">
        <f t="shared" si="278"/>
        <v>0</v>
      </c>
      <c r="AH869" s="668"/>
      <c r="AI869" s="668"/>
      <c r="AJ869" s="668"/>
      <c r="AK869" s="668"/>
      <c r="AL869" s="668"/>
      <c r="AM869" s="668">
        <f t="shared" si="279"/>
        <v>0</v>
      </c>
      <c r="AN869" s="668">
        <f t="shared" si="263"/>
        <v>0</v>
      </c>
      <c r="AO869" s="668">
        <f t="shared" si="264"/>
        <v>0</v>
      </c>
      <c r="AP869" s="668">
        <f t="shared" si="280"/>
        <v>0</v>
      </c>
      <c r="AQ869" s="668">
        <f t="shared" si="265"/>
        <v>0</v>
      </c>
      <c r="AR869" s="668">
        <f t="shared" si="266"/>
        <v>0</v>
      </c>
      <c r="AS869" s="668"/>
      <c r="AT869" s="668"/>
      <c r="AU869" s="668"/>
      <c r="AV869" s="668"/>
      <c r="AW869" s="668"/>
      <c r="AX869" s="668"/>
      <c r="AY869" s="668"/>
      <c r="AZ869" s="668"/>
      <c r="BA869" s="668"/>
      <c r="BB869" s="668">
        <f t="shared" si="281"/>
        <v>0</v>
      </c>
      <c r="BC869" s="668"/>
      <c r="BD869" s="668"/>
      <c r="BE869" s="668"/>
      <c r="BF869" s="668"/>
      <c r="BG869" s="668"/>
      <c r="BH869" s="668"/>
      <c r="BI869" s="668"/>
    </row>
    <row r="870" spans="1:61" x14ac:dyDescent="0.2">
      <c r="A870" s="1020">
        <v>4154</v>
      </c>
      <c r="B870" s="1020" t="s">
        <v>519</v>
      </c>
      <c r="C870" s="1020"/>
      <c r="D870" s="667">
        <v>35</v>
      </c>
      <c r="E870" s="667"/>
      <c r="F870" s="667">
        <v>15</v>
      </c>
      <c r="G870" s="667"/>
      <c r="H870" s="667"/>
      <c r="I870" s="667"/>
      <c r="J870" s="667"/>
      <c r="K870" s="667"/>
      <c r="L870" s="667"/>
      <c r="M870" s="667"/>
      <c r="N870" s="667"/>
      <c r="O870" s="667"/>
      <c r="P870" s="667"/>
      <c r="Q870" s="667"/>
      <c r="R870" s="667"/>
      <c r="S870" s="667"/>
      <c r="T870" s="667">
        <v>150</v>
      </c>
      <c r="U870" s="1031">
        <v>12</v>
      </c>
      <c r="V870" s="668">
        <f t="shared" si="268"/>
        <v>420</v>
      </c>
      <c r="W870" s="668">
        <f t="shared" si="269"/>
        <v>0</v>
      </c>
      <c r="X870" s="668">
        <f t="shared" si="270"/>
        <v>0</v>
      </c>
      <c r="Y870" s="668">
        <f t="shared" si="271"/>
        <v>0</v>
      </c>
      <c r="Z870" s="668">
        <f t="shared" si="272"/>
        <v>0</v>
      </c>
      <c r="AA870" s="668">
        <f t="shared" si="273"/>
        <v>0</v>
      </c>
      <c r="AB870" s="668">
        <f t="shared" si="274"/>
        <v>150</v>
      </c>
      <c r="AC870" s="668">
        <f t="shared" si="267"/>
        <v>0</v>
      </c>
      <c r="AD870" s="668">
        <f t="shared" si="275"/>
        <v>0</v>
      </c>
      <c r="AE870" s="668">
        <f t="shared" si="276"/>
        <v>0</v>
      </c>
      <c r="AF870" s="668">
        <f t="shared" si="277"/>
        <v>0</v>
      </c>
      <c r="AG870" s="668">
        <f t="shared" si="278"/>
        <v>0</v>
      </c>
      <c r="AH870" s="668"/>
      <c r="AI870" s="668"/>
      <c r="AJ870" s="668"/>
      <c r="AK870" s="668"/>
      <c r="AL870" s="668"/>
      <c r="AM870" s="668">
        <f t="shared" si="279"/>
        <v>0</v>
      </c>
      <c r="AN870" s="668">
        <f t="shared" si="263"/>
        <v>0</v>
      </c>
      <c r="AO870" s="668">
        <f t="shared" si="264"/>
        <v>0</v>
      </c>
      <c r="AP870" s="668">
        <f t="shared" si="280"/>
        <v>180</v>
      </c>
      <c r="AQ870" s="668">
        <f t="shared" si="265"/>
        <v>0</v>
      </c>
      <c r="AR870" s="668">
        <f t="shared" si="266"/>
        <v>0</v>
      </c>
      <c r="AS870" s="668"/>
      <c r="AT870" s="668"/>
      <c r="AU870" s="668"/>
      <c r="AV870" s="668"/>
      <c r="AW870" s="668"/>
      <c r="AX870" s="668"/>
      <c r="AY870" s="668"/>
      <c r="AZ870" s="668"/>
      <c r="BA870" s="668"/>
      <c r="BB870" s="668">
        <f t="shared" si="281"/>
        <v>180</v>
      </c>
      <c r="BC870" s="668"/>
      <c r="BD870" s="668"/>
      <c r="BE870" s="668"/>
      <c r="BF870" s="668"/>
      <c r="BG870" s="668"/>
      <c r="BH870" s="668"/>
      <c r="BI870" s="668"/>
    </row>
    <row r="871" spans="1:61" x14ac:dyDescent="0.2">
      <c r="A871" s="1020">
        <v>4155</v>
      </c>
      <c r="B871" s="1020" t="s">
        <v>795</v>
      </c>
      <c r="C871" s="1020"/>
      <c r="D871" s="667">
        <v>80</v>
      </c>
      <c r="E871" s="667"/>
      <c r="F871" s="667">
        <v>40</v>
      </c>
      <c r="G871" s="667"/>
      <c r="H871" s="667"/>
      <c r="I871" s="667"/>
      <c r="J871" s="667"/>
      <c r="K871" s="667"/>
      <c r="L871" s="667"/>
      <c r="M871" s="667"/>
      <c r="N871" s="667"/>
      <c r="O871" s="667">
        <v>2</v>
      </c>
      <c r="P871" s="667"/>
      <c r="Q871" s="667"/>
      <c r="R871" s="667"/>
      <c r="S871" s="667"/>
      <c r="T871" s="667"/>
      <c r="U871" s="1031">
        <v>10</v>
      </c>
      <c r="V871" s="668">
        <f t="shared" si="268"/>
        <v>800</v>
      </c>
      <c r="W871" s="668">
        <f t="shared" si="269"/>
        <v>0</v>
      </c>
      <c r="X871" s="668">
        <f t="shared" si="270"/>
        <v>0</v>
      </c>
      <c r="Y871" s="668">
        <f t="shared" si="271"/>
        <v>0</v>
      </c>
      <c r="Z871" s="668">
        <f t="shared" si="272"/>
        <v>0</v>
      </c>
      <c r="AA871" s="668">
        <f t="shared" si="273"/>
        <v>0</v>
      </c>
      <c r="AB871" s="668">
        <f t="shared" si="274"/>
        <v>0</v>
      </c>
      <c r="AC871" s="668">
        <f t="shared" si="267"/>
        <v>0</v>
      </c>
      <c r="AD871" s="668">
        <f t="shared" si="275"/>
        <v>0</v>
      </c>
      <c r="AE871" s="668">
        <f t="shared" si="276"/>
        <v>0</v>
      </c>
      <c r="AF871" s="668">
        <f t="shared" si="277"/>
        <v>0</v>
      </c>
      <c r="AG871" s="668">
        <f t="shared" si="278"/>
        <v>0</v>
      </c>
      <c r="AH871" s="668"/>
      <c r="AI871" s="668"/>
      <c r="AJ871" s="668"/>
      <c r="AK871" s="668"/>
      <c r="AL871" s="668"/>
      <c r="AM871" s="668">
        <f t="shared" si="279"/>
        <v>0</v>
      </c>
      <c r="AN871" s="668">
        <f t="shared" si="263"/>
        <v>0</v>
      </c>
      <c r="AO871" s="668">
        <f t="shared" si="264"/>
        <v>20</v>
      </c>
      <c r="AP871" s="668">
        <f t="shared" si="280"/>
        <v>400</v>
      </c>
      <c r="AQ871" s="668">
        <f t="shared" si="265"/>
        <v>0</v>
      </c>
      <c r="AR871" s="668">
        <f t="shared" si="266"/>
        <v>0</v>
      </c>
      <c r="AS871" s="668"/>
      <c r="AT871" s="668"/>
      <c r="AU871" s="668"/>
      <c r="AV871" s="668"/>
      <c r="AW871" s="668"/>
      <c r="AX871" s="668"/>
      <c r="AY871" s="668"/>
      <c r="AZ871" s="668"/>
      <c r="BA871" s="668"/>
      <c r="BB871" s="668">
        <f t="shared" si="281"/>
        <v>400</v>
      </c>
      <c r="BC871" s="668"/>
      <c r="BD871" s="668"/>
      <c r="BE871" s="668"/>
      <c r="BF871" s="668"/>
      <c r="BG871" s="668"/>
      <c r="BH871" s="668"/>
      <c r="BI871" s="668"/>
    </row>
    <row r="872" spans="1:61" x14ac:dyDescent="0.2">
      <c r="A872" s="1020">
        <v>4156</v>
      </c>
      <c r="B872" s="1020" t="s">
        <v>795</v>
      </c>
      <c r="C872" s="1020"/>
      <c r="D872" s="667">
        <v>80</v>
      </c>
      <c r="E872" s="667"/>
      <c r="F872" s="667">
        <v>40</v>
      </c>
      <c r="G872" s="667"/>
      <c r="H872" s="667"/>
      <c r="I872" s="667"/>
      <c r="J872" s="667"/>
      <c r="K872" s="667"/>
      <c r="L872" s="667"/>
      <c r="M872" s="667"/>
      <c r="N872" s="667"/>
      <c r="O872" s="667">
        <v>2</v>
      </c>
      <c r="P872" s="667"/>
      <c r="Q872" s="667"/>
      <c r="R872" s="667"/>
      <c r="S872" s="667"/>
      <c r="T872" s="667"/>
      <c r="U872" s="1020">
        <v>10</v>
      </c>
      <c r="V872" s="668">
        <f t="shared" si="268"/>
        <v>800</v>
      </c>
      <c r="W872" s="668">
        <f t="shared" si="269"/>
        <v>0</v>
      </c>
      <c r="X872" s="668">
        <f t="shared" si="270"/>
        <v>0</v>
      </c>
      <c r="Y872" s="668">
        <f t="shared" si="271"/>
        <v>0</v>
      </c>
      <c r="Z872" s="668">
        <f t="shared" si="272"/>
        <v>0</v>
      </c>
      <c r="AA872" s="668">
        <f t="shared" si="273"/>
        <v>0</v>
      </c>
      <c r="AB872" s="668">
        <f t="shared" si="274"/>
        <v>0</v>
      </c>
      <c r="AC872" s="668">
        <f t="shared" si="267"/>
        <v>0</v>
      </c>
      <c r="AD872" s="668">
        <f t="shared" si="275"/>
        <v>0</v>
      </c>
      <c r="AE872" s="668">
        <f t="shared" si="276"/>
        <v>0</v>
      </c>
      <c r="AF872" s="668">
        <f t="shared" si="277"/>
        <v>0</v>
      </c>
      <c r="AG872" s="668">
        <f t="shared" si="278"/>
        <v>0</v>
      </c>
      <c r="AH872" s="668"/>
      <c r="AI872" s="668"/>
      <c r="AJ872" s="668"/>
      <c r="AK872" s="668"/>
      <c r="AL872" s="668"/>
      <c r="AM872" s="668">
        <f t="shared" si="279"/>
        <v>0</v>
      </c>
      <c r="AN872" s="668">
        <f t="shared" si="263"/>
        <v>0</v>
      </c>
      <c r="AO872" s="668">
        <f t="shared" si="264"/>
        <v>20</v>
      </c>
      <c r="AP872" s="668">
        <f t="shared" si="280"/>
        <v>400</v>
      </c>
      <c r="AQ872" s="668">
        <f t="shared" si="265"/>
        <v>0</v>
      </c>
      <c r="AR872" s="668">
        <f t="shared" si="266"/>
        <v>0</v>
      </c>
      <c r="AS872" s="668"/>
      <c r="AT872" s="668"/>
      <c r="AU872" s="668"/>
      <c r="AV872" s="668"/>
      <c r="AW872" s="668"/>
      <c r="AX872" s="668"/>
      <c r="AY872" s="668"/>
      <c r="AZ872" s="668"/>
      <c r="BA872" s="668"/>
      <c r="BB872" s="668">
        <f t="shared" si="281"/>
        <v>400</v>
      </c>
      <c r="BC872" s="668"/>
      <c r="BD872" s="668"/>
      <c r="BE872" s="668"/>
      <c r="BF872" s="668"/>
      <c r="BG872" s="668"/>
      <c r="BH872" s="668"/>
      <c r="BI872" s="668"/>
    </row>
    <row r="873" spans="1:61" x14ac:dyDescent="0.2">
      <c r="A873" s="1020">
        <v>4160</v>
      </c>
      <c r="B873" s="1020" t="s">
        <v>519</v>
      </c>
      <c r="C873" s="1020"/>
      <c r="D873" s="667">
        <v>35</v>
      </c>
      <c r="E873" s="667"/>
      <c r="F873" s="667">
        <v>15</v>
      </c>
      <c r="G873" s="667"/>
      <c r="H873" s="667"/>
      <c r="I873" s="667"/>
      <c r="J873" s="667"/>
      <c r="K873" s="667"/>
      <c r="L873" s="667"/>
      <c r="M873" s="667"/>
      <c r="N873" s="667"/>
      <c r="O873" s="667"/>
      <c r="P873" s="667"/>
      <c r="Q873" s="667"/>
      <c r="R873" s="667"/>
      <c r="S873" s="667"/>
      <c r="T873" s="667">
        <v>145</v>
      </c>
      <c r="U873" s="1020">
        <v>12</v>
      </c>
      <c r="V873" s="668">
        <f t="shared" si="268"/>
        <v>420</v>
      </c>
      <c r="W873" s="668">
        <f t="shared" si="269"/>
        <v>0</v>
      </c>
      <c r="X873" s="668">
        <f t="shared" si="270"/>
        <v>0</v>
      </c>
      <c r="Y873" s="668">
        <f t="shared" si="271"/>
        <v>0</v>
      </c>
      <c r="Z873" s="668">
        <f t="shared" si="272"/>
        <v>0</v>
      </c>
      <c r="AA873" s="668">
        <f t="shared" si="273"/>
        <v>0</v>
      </c>
      <c r="AB873" s="668">
        <f t="shared" si="274"/>
        <v>145</v>
      </c>
      <c r="AC873" s="668">
        <f t="shared" si="267"/>
        <v>0</v>
      </c>
      <c r="AD873" s="668">
        <f t="shared" si="275"/>
        <v>0</v>
      </c>
      <c r="AE873" s="668">
        <f t="shared" si="276"/>
        <v>0</v>
      </c>
      <c r="AF873" s="668">
        <f t="shared" si="277"/>
        <v>0</v>
      </c>
      <c r="AG873" s="668">
        <f t="shared" si="278"/>
        <v>0</v>
      </c>
      <c r="AH873" s="668"/>
      <c r="AI873" s="668"/>
      <c r="AJ873" s="668"/>
      <c r="AK873" s="668"/>
      <c r="AL873" s="668"/>
      <c r="AM873" s="668">
        <f t="shared" si="279"/>
        <v>0</v>
      </c>
      <c r="AN873" s="668">
        <f t="shared" si="263"/>
        <v>0</v>
      </c>
      <c r="AO873" s="668">
        <f t="shared" si="264"/>
        <v>0</v>
      </c>
      <c r="AP873" s="668">
        <f t="shared" si="280"/>
        <v>180</v>
      </c>
      <c r="AQ873" s="668">
        <f t="shared" si="265"/>
        <v>0</v>
      </c>
      <c r="AR873" s="668">
        <f t="shared" si="266"/>
        <v>0</v>
      </c>
      <c r="AS873" s="668"/>
      <c r="AT873" s="668"/>
      <c r="AU873" s="668"/>
      <c r="AV873" s="668"/>
      <c r="AW873" s="668"/>
      <c r="AX873" s="668"/>
      <c r="AY873" s="668"/>
      <c r="AZ873" s="668"/>
      <c r="BA873" s="668"/>
      <c r="BB873" s="668">
        <f t="shared" si="281"/>
        <v>180</v>
      </c>
      <c r="BC873" s="668"/>
      <c r="BD873" s="668"/>
      <c r="BE873" s="668"/>
      <c r="BF873" s="668"/>
      <c r="BG873" s="668"/>
      <c r="BH873" s="668"/>
      <c r="BI873" s="668"/>
    </row>
    <row r="874" spans="1:61" x14ac:dyDescent="0.2">
      <c r="A874" s="1020">
        <v>4161</v>
      </c>
      <c r="B874" s="1020" t="s">
        <v>515</v>
      </c>
      <c r="C874" s="1020"/>
      <c r="D874" s="667">
        <v>68</v>
      </c>
      <c r="E874" s="667"/>
      <c r="F874" s="667">
        <v>90</v>
      </c>
      <c r="G874" s="667"/>
      <c r="H874" s="667"/>
      <c r="I874" s="667"/>
      <c r="J874" s="667"/>
      <c r="K874" s="667"/>
      <c r="L874" s="667"/>
      <c r="M874" s="667"/>
      <c r="N874" s="667"/>
      <c r="O874" s="667"/>
      <c r="P874" s="667"/>
      <c r="Q874" s="667"/>
      <c r="R874" s="667"/>
      <c r="S874" s="667"/>
      <c r="T874" s="667">
        <v>3000</v>
      </c>
      <c r="U874" s="1020">
        <v>12</v>
      </c>
      <c r="V874" s="668">
        <f t="shared" si="268"/>
        <v>816</v>
      </c>
      <c r="W874" s="668">
        <f t="shared" si="269"/>
        <v>0</v>
      </c>
      <c r="X874" s="668">
        <f t="shared" si="270"/>
        <v>0</v>
      </c>
      <c r="Y874" s="668">
        <f t="shared" si="271"/>
        <v>0</v>
      </c>
      <c r="Z874" s="668">
        <f t="shared" si="272"/>
        <v>0</v>
      </c>
      <c r="AA874" s="668">
        <f t="shared" si="273"/>
        <v>0</v>
      </c>
      <c r="AB874" s="668">
        <f t="shared" si="274"/>
        <v>3000</v>
      </c>
      <c r="AC874" s="668">
        <f t="shared" si="267"/>
        <v>0</v>
      </c>
      <c r="AD874" s="668">
        <f t="shared" si="275"/>
        <v>0</v>
      </c>
      <c r="AE874" s="668">
        <f t="shared" si="276"/>
        <v>0</v>
      </c>
      <c r="AF874" s="668">
        <f t="shared" si="277"/>
        <v>0</v>
      </c>
      <c r="AG874" s="668">
        <f t="shared" si="278"/>
        <v>0</v>
      </c>
      <c r="AH874" s="668"/>
      <c r="AI874" s="668"/>
      <c r="AJ874" s="668"/>
      <c r="AK874" s="668"/>
      <c r="AL874" s="668"/>
      <c r="AM874" s="668">
        <f t="shared" si="279"/>
        <v>0</v>
      </c>
      <c r="AN874" s="668">
        <f t="shared" si="263"/>
        <v>0</v>
      </c>
      <c r="AO874" s="668">
        <f t="shared" si="264"/>
        <v>0</v>
      </c>
      <c r="AP874" s="668">
        <f t="shared" si="280"/>
        <v>1080</v>
      </c>
      <c r="AQ874" s="668">
        <f t="shared" si="265"/>
        <v>0</v>
      </c>
      <c r="AR874" s="668">
        <f t="shared" si="266"/>
        <v>0</v>
      </c>
      <c r="AS874" s="668"/>
      <c r="AT874" s="668"/>
      <c r="AU874" s="668"/>
      <c r="AV874" s="668"/>
      <c r="AW874" s="668"/>
      <c r="AX874" s="668"/>
      <c r="AY874" s="668"/>
      <c r="AZ874" s="668"/>
      <c r="BA874" s="668"/>
      <c r="BB874" s="668"/>
      <c r="BC874" s="668"/>
      <c r="BD874" s="668"/>
      <c r="BE874" s="668"/>
      <c r="BF874" s="668"/>
      <c r="BG874" s="668"/>
      <c r="BH874" s="668"/>
      <c r="BI874" s="668"/>
    </row>
    <row r="875" spans="1:61" x14ac:dyDescent="0.2">
      <c r="A875" s="1020">
        <v>4162</v>
      </c>
      <c r="B875" s="1020" t="s">
        <v>684</v>
      </c>
      <c r="C875" s="1020"/>
      <c r="D875" s="667">
        <v>42</v>
      </c>
      <c r="E875" s="667"/>
      <c r="F875" s="667">
        <v>42</v>
      </c>
      <c r="G875" s="667"/>
      <c r="H875" s="667"/>
      <c r="I875" s="667"/>
      <c r="J875" s="667"/>
      <c r="K875" s="667"/>
      <c r="L875" s="667"/>
      <c r="M875" s="667"/>
      <c r="N875" s="667"/>
      <c r="O875" s="667"/>
      <c r="P875" s="667"/>
      <c r="Q875" s="667"/>
      <c r="R875" s="667"/>
      <c r="S875" s="667"/>
      <c r="T875" s="667"/>
      <c r="U875" s="1020">
        <v>10</v>
      </c>
      <c r="V875" s="668">
        <f t="shared" si="268"/>
        <v>420</v>
      </c>
      <c r="W875" s="668">
        <f t="shared" si="269"/>
        <v>0</v>
      </c>
      <c r="X875" s="668">
        <f t="shared" si="270"/>
        <v>0</v>
      </c>
      <c r="Y875" s="668">
        <f t="shared" si="271"/>
        <v>0</v>
      </c>
      <c r="Z875" s="668">
        <f t="shared" si="272"/>
        <v>0</v>
      </c>
      <c r="AA875" s="668">
        <f t="shared" si="273"/>
        <v>0</v>
      </c>
      <c r="AB875" s="668">
        <f t="shared" si="274"/>
        <v>0</v>
      </c>
      <c r="AC875" s="668">
        <f t="shared" si="267"/>
        <v>0</v>
      </c>
      <c r="AD875" s="668">
        <f t="shared" si="275"/>
        <v>0</v>
      </c>
      <c r="AE875" s="668">
        <f t="shared" si="276"/>
        <v>0</v>
      </c>
      <c r="AF875" s="668">
        <f t="shared" si="277"/>
        <v>0</v>
      </c>
      <c r="AG875" s="668">
        <f t="shared" si="278"/>
        <v>0</v>
      </c>
      <c r="AH875" s="668"/>
      <c r="AI875" s="668"/>
      <c r="AJ875" s="668"/>
      <c r="AK875" s="668"/>
      <c r="AL875" s="668"/>
      <c r="AM875" s="668">
        <f t="shared" si="279"/>
        <v>0</v>
      </c>
      <c r="AN875" s="668">
        <f t="shared" si="263"/>
        <v>0</v>
      </c>
      <c r="AO875" s="668">
        <f t="shared" si="264"/>
        <v>0</v>
      </c>
      <c r="AP875" s="668">
        <f t="shared" si="280"/>
        <v>420</v>
      </c>
      <c r="AQ875" s="668">
        <f t="shared" si="265"/>
        <v>0</v>
      </c>
      <c r="AR875" s="668">
        <f t="shared" si="266"/>
        <v>0</v>
      </c>
      <c r="AS875" s="668"/>
      <c r="AT875" s="668"/>
      <c r="AU875" s="668"/>
      <c r="AV875" s="668"/>
      <c r="AW875" s="668"/>
      <c r="AX875" s="668"/>
      <c r="AY875" s="668"/>
      <c r="AZ875" s="668"/>
      <c r="BA875" s="668"/>
      <c r="BB875" s="668"/>
      <c r="BC875" s="668"/>
      <c r="BD875" s="668"/>
      <c r="BE875" s="668"/>
      <c r="BF875" s="668"/>
      <c r="BG875" s="668"/>
      <c r="BH875" s="668"/>
      <c r="BI875" s="668"/>
    </row>
    <row r="876" spans="1:61" x14ac:dyDescent="0.2">
      <c r="A876" s="1020">
        <v>4163</v>
      </c>
      <c r="B876" s="1020" t="s">
        <v>519</v>
      </c>
      <c r="C876" s="1020"/>
      <c r="D876" s="667">
        <v>35</v>
      </c>
      <c r="E876" s="667"/>
      <c r="F876" s="667">
        <v>15</v>
      </c>
      <c r="G876" s="667"/>
      <c r="H876" s="667"/>
      <c r="I876" s="667"/>
      <c r="J876" s="667"/>
      <c r="K876" s="667"/>
      <c r="L876" s="667"/>
      <c r="M876" s="667"/>
      <c r="N876" s="667"/>
      <c r="O876" s="667"/>
      <c r="P876" s="667"/>
      <c r="Q876" s="667"/>
      <c r="R876" s="667"/>
      <c r="S876" s="667"/>
      <c r="T876" s="667">
        <v>150</v>
      </c>
      <c r="U876" s="1020">
        <v>12</v>
      </c>
      <c r="V876" s="668">
        <f t="shared" si="268"/>
        <v>420</v>
      </c>
      <c r="W876" s="668">
        <f t="shared" si="269"/>
        <v>0</v>
      </c>
      <c r="X876" s="668">
        <f t="shared" si="270"/>
        <v>0</v>
      </c>
      <c r="Y876" s="668">
        <f t="shared" si="271"/>
        <v>0</v>
      </c>
      <c r="Z876" s="668">
        <f t="shared" si="272"/>
        <v>0</v>
      </c>
      <c r="AA876" s="668">
        <f t="shared" si="273"/>
        <v>0</v>
      </c>
      <c r="AB876" s="668">
        <f t="shared" si="274"/>
        <v>150</v>
      </c>
      <c r="AC876" s="668">
        <f t="shared" si="267"/>
        <v>0</v>
      </c>
      <c r="AD876" s="668">
        <f t="shared" si="275"/>
        <v>0</v>
      </c>
      <c r="AE876" s="668">
        <f t="shared" si="276"/>
        <v>0</v>
      </c>
      <c r="AF876" s="668">
        <f t="shared" si="277"/>
        <v>0</v>
      </c>
      <c r="AG876" s="668">
        <f t="shared" si="278"/>
        <v>0</v>
      </c>
      <c r="AH876" s="668"/>
      <c r="AI876" s="668"/>
      <c r="AJ876" s="668"/>
      <c r="AK876" s="668"/>
      <c r="AL876" s="668"/>
      <c r="AM876" s="668">
        <f t="shared" si="279"/>
        <v>0</v>
      </c>
      <c r="AN876" s="668">
        <f t="shared" si="263"/>
        <v>0</v>
      </c>
      <c r="AO876" s="668">
        <f t="shared" si="264"/>
        <v>0</v>
      </c>
      <c r="AP876" s="668">
        <f t="shared" si="280"/>
        <v>180</v>
      </c>
      <c r="AQ876" s="668">
        <f t="shared" si="265"/>
        <v>0</v>
      </c>
      <c r="AR876" s="668">
        <f t="shared" si="266"/>
        <v>0</v>
      </c>
      <c r="AS876" s="668"/>
      <c r="AT876" s="668"/>
      <c r="AU876" s="668"/>
      <c r="AV876" s="668"/>
      <c r="AW876" s="668"/>
      <c r="AX876" s="668"/>
      <c r="AY876" s="668"/>
      <c r="AZ876" s="668"/>
      <c r="BA876" s="668"/>
      <c r="BB876" s="668">
        <f t="shared" si="281"/>
        <v>180</v>
      </c>
      <c r="BC876" s="668"/>
      <c r="BD876" s="668"/>
      <c r="BE876" s="668"/>
      <c r="BF876" s="668"/>
      <c r="BG876" s="668"/>
      <c r="BH876" s="668"/>
      <c r="BI876" s="668"/>
    </row>
    <row r="877" spans="1:61" x14ac:dyDescent="0.2">
      <c r="A877" s="1020">
        <v>4164</v>
      </c>
      <c r="B877" s="1020" t="s">
        <v>519</v>
      </c>
      <c r="C877" s="1020"/>
      <c r="D877" s="667">
        <v>35</v>
      </c>
      <c r="E877" s="667"/>
      <c r="F877" s="667">
        <v>15</v>
      </c>
      <c r="G877" s="667"/>
      <c r="H877" s="667"/>
      <c r="I877" s="667"/>
      <c r="J877" s="667"/>
      <c r="K877" s="667"/>
      <c r="L877" s="667"/>
      <c r="M877" s="667"/>
      <c r="N877" s="667"/>
      <c r="O877" s="667"/>
      <c r="P877" s="667"/>
      <c r="Q877" s="667"/>
      <c r="R877" s="667"/>
      <c r="S877" s="667"/>
      <c r="T877" s="667">
        <v>150</v>
      </c>
      <c r="U877" s="1020">
        <v>12</v>
      </c>
      <c r="V877" s="668">
        <f t="shared" si="268"/>
        <v>420</v>
      </c>
      <c r="W877" s="668">
        <f t="shared" si="269"/>
        <v>0</v>
      </c>
      <c r="X877" s="668">
        <f t="shared" si="270"/>
        <v>0</v>
      </c>
      <c r="Y877" s="668">
        <f t="shared" si="271"/>
        <v>0</v>
      </c>
      <c r="Z877" s="668">
        <f t="shared" si="272"/>
        <v>0</v>
      </c>
      <c r="AA877" s="668">
        <f t="shared" si="273"/>
        <v>0</v>
      </c>
      <c r="AB877" s="668">
        <f t="shared" si="274"/>
        <v>150</v>
      </c>
      <c r="AC877" s="668">
        <f t="shared" si="267"/>
        <v>0</v>
      </c>
      <c r="AD877" s="668">
        <f t="shared" si="275"/>
        <v>0</v>
      </c>
      <c r="AE877" s="668">
        <f t="shared" si="276"/>
        <v>0</v>
      </c>
      <c r="AF877" s="668">
        <f t="shared" si="277"/>
        <v>0</v>
      </c>
      <c r="AG877" s="668">
        <f t="shared" si="278"/>
        <v>0</v>
      </c>
      <c r="AH877" s="668"/>
      <c r="AI877" s="668"/>
      <c r="AJ877" s="668"/>
      <c r="AK877" s="668"/>
      <c r="AL877" s="668"/>
      <c r="AM877" s="668">
        <f t="shared" si="279"/>
        <v>0</v>
      </c>
      <c r="AN877" s="668">
        <f t="shared" si="263"/>
        <v>0</v>
      </c>
      <c r="AO877" s="668">
        <f t="shared" si="264"/>
        <v>0</v>
      </c>
      <c r="AP877" s="668">
        <f t="shared" si="280"/>
        <v>180</v>
      </c>
      <c r="AQ877" s="668">
        <f t="shared" si="265"/>
        <v>0</v>
      </c>
      <c r="AR877" s="668">
        <f t="shared" si="266"/>
        <v>0</v>
      </c>
      <c r="AS877" s="668"/>
      <c r="AT877" s="668"/>
      <c r="AU877" s="668"/>
      <c r="AV877" s="668"/>
      <c r="AW877" s="668"/>
      <c r="AX877" s="668"/>
      <c r="AY877" s="668"/>
      <c r="AZ877" s="668"/>
      <c r="BA877" s="668"/>
      <c r="BB877" s="668">
        <f t="shared" si="281"/>
        <v>180</v>
      </c>
      <c r="BC877" s="668"/>
      <c r="BD877" s="668"/>
      <c r="BE877" s="668"/>
      <c r="BF877" s="668"/>
      <c r="BG877" s="668"/>
      <c r="BH877" s="668"/>
      <c r="BI877" s="668"/>
    </row>
    <row r="878" spans="1:61" x14ac:dyDescent="0.2">
      <c r="A878" s="1020">
        <v>4165</v>
      </c>
      <c r="B878" s="1020" t="s">
        <v>476</v>
      </c>
      <c r="C878" s="1020"/>
      <c r="D878" s="667">
        <v>49</v>
      </c>
      <c r="E878" s="667"/>
      <c r="F878" s="667"/>
      <c r="G878" s="667"/>
      <c r="H878" s="667"/>
      <c r="I878" s="667"/>
      <c r="J878" s="667"/>
      <c r="K878" s="667"/>
      <c r="L878" s="667"/>
      <c r="M878" s="667"/>
      <c r="N878" s="667"/>
      <c r="O878" s="667"/>
      <c r="P878" s="667"/>
      <c r="Q878" s="667"/>
      <c r="R878" s="667"/>
      <c r="S878" s="667"/>
      <c r="T878" s="667"/>
      <c r="U878" s="1020">
        <v>12</v>
      </c>
      <c r="V878" s="668">
        <f t="shared" si="268"/>
        <v>588</v>
      </c>
      <c r="W878" s="668">
        <f t="shared" si="269"/>
        <v>0</v>
      </c>
      <c r="X878" s="668">
        <f t="shared" si="270"/>
        <v>0</v>
      </c>
      <c r="Y878" s="668">
        <f t="shared" si="271"/>
        <v>0</v>
      </c>
      <c r="Z878" s="668">
        <f t="shared" si="272"/>
        <v>0</v>
      </c>
      <c r="AA878" s="668">
        <f t="shared" si="273"/>
        <v>0</v>
      </c>
      <c r="AB878" s="668">
        <f t="shared" si="274"/>
        <v>0</v>
      </c>
      <c r="AC878" s="668">
        <f t="shared" si="267"/>
        <v>0</v>
      </c>
      <c r="AD878" s="668">
        <f t="shared" si="275"/>
        <v>0</v>
      </c>
      <c r="AE878" s="668">
        <f t="shared" si="276"/>
        <v>0</v>
      </c>
      <c r="AF878" s="668">
        <f t="shared" si="277"/>
        <v>0</v>
      </c>
      <c r="AG878" s="668">
        <f t="shared" si="278"/>
        <v>0</v>
      </c>
      <c r="AH878" s="668"/>
      <c r="AI878" s="668"/>
      <c r="AJ878" s="668"/>
      <c r="AK878" s="668"/>
      <c r="AL878" s="668"/>
      <c r="AM878" s="668">
        <f t="shared" si="279"/>
        <v>0</v>
      </c>
      <c r="AN878" s="668">
        <f t="shared" si="263"/>
        <v>0</v>
      </c>
      <c r="AO878" s="668">
        <f t="shared" si="264"/>
        <v>0</v>
      </c>
      <c r="AP878" s="668">
        <f t="shared" si="280"/>
        <v>0</v>
      </c>
      <c r="AQ878" s="668">
        <f t="shared" si="265"/>
        <v>0</v>
      </c>
      <c r="AR878" s="668">
        <f t="shared" si="266"/>
        <v>0</v>
      </c>
      <c r="AS878" s="668"/>
      <c r="AT878" s="668"/>
      <c r="AU878" s="668"/>
      <c r="AV878" s="668"/>
      <c r="AW878" s="668"/>
      <c r="AX878" s="668"/>
      <c r="AY878" s="668"/>
      <c r="AZ878" s="668"/>
      <c r="BA878" s="668"/>
      <c r="BB878" s="668">
        <f t="shared" si="281"/>
        <v>0</v>
      </c>
      <c r="BC878" s="668"/>
      <c r="BD878" s="668"/>
      <c r="BE878" s="668"/>
      <c r="BF878" s="668"/>
      <c r="BG878" s="668"/>
      <c r="BH878" s="668"/>
      <c r="BI878" s="668"/>
    </row>
    <row r="879" spans="1:61" x14ac:dyDescent="0.2">
      <c r="A879" s="1020">
        <v>4166</v>
      </c>
      <c r="B879" s="1020" t="s">
        <v>579</v>
      </c>
      <c r="C879" s="1020"/>
      <c r="D879" s="667">
        <v>47</v>
      </c>
      <c r="E879" s="667"/>
      <c r="F879" s="667"/>
      <c r="G879" s="667"/>
      <c r="H879" s="667"/>
      <c r="I879" s="667"/>
      <c r="J879" s="667"/>
      <c r="K879" s="667"/>
      <c r="L879" s="667"/>
      <c r="M879" s="667"/>
      <c r="N879" s="667"/>
      <c r="O879" s="667"/>
      <c r="P879" s="667"/>
      <c r="Q879" s="667"/>
      <c r="R879" s="667"/>
      <c r="S879" s="667"/>
      <c r="T879" s="667"/>
      <c r="U879" s="1020">
        <v>12</v>
      </c>
      <c r="V879" s="668">
        <f t="shared" si="268"/>
        <v>564</v>
      </c>
      <c r="W879" s="668">
        <f t="shared" si="269"/>
        <v>0</v>
      </c>
      <c r="X879" s="668">
        <f t="shared" si="270"/>
        <v>0</v>
      </c>
      <c r="Y879" s="668">
        <f t="shared" si="271"/>
        <v>0</v>
      </c>
      <c r="Z879" s="668">
        <f t="shared" si="272"/>
        <v>0</v>
      </c>
      <c r="AA879" s="668">
        <f t="shared" si="273"/>
        <v>0</v>
      </c>
      <c r="AB879" s="668">
        <f t="shared" si="274"/>
        <v>0</v>
      </c>
      <c r="AC879" s="668">
        <f t="shared" si="267"/>
        <v>0</v>
      </c>
      <c r="AD879" s="668">
        <f t="shared" si="275"/>
        <v>0</v>
      </c>
      <c r="AE879" s="668">
        <f t="shared" si="276"/>
        <v>0</v>
      </c>
      <c r="AF879" s="668">
        <f t="shared" si="277"/>
        <v>0</v>
      </c>
      <c r="AG879" s="668">
        <f t="shared" si="278"/>
        <v>0</v>
      </c>
      <c r="AH879" s="668"/>
      <c r="AI879" s="668"/>
      <c r="AJ879" s="668"/>
      <c r="AK879" s="668"/>
      <c r="AL879" s="668"/>
      <c r="AM879" s="668">
        <f t="shared" si="279"/>
        <v>0</v>
      </c>
      <c r="AN879" s="668">
        <f t="shared" si="263"/>
        <v>0</v>
      </c>
      <c r="AO879" s="668">
        <f t="shared" si="264"/>
        <v>0</v>
      </c>
      <c r="AP879" s="668">
        <f t="shared" si="280"/>
        <v>0</v>
      </c>
      <c r="AQ879" s="668">
        <f t="shared" si="265"/>
        <v>0</v>
      </c>
      <c r="AR879" s="668">
        <f t="shared" si="266"/>
        <v>0</v>
      </c>
      <c r="AS879" s="668"/>
      <c r="AT879" s="668"/>
      <c r="AU879" s="668"/>
      <c r="AV879" s="668"/>
      <c r="AW879" s="668"/>
      <c r="AX879" s="668"/>
      <c r="AY879" s="668"/>
      <c r="AZ879" s="668"/>
      <c r="BA879" s="668"/>
      <c r="BB879" s="668">
        <f t="shared" si="281"/>
        <v>0</v>
      </c>
      <c r="BC879" s="668"/>
      <c r="BD879" s="668"/>
      <c r="BE879" s="668"/>
      <c r="BF879" s="668"/>
      <c r="BG879" s="668"/>
      <c r="BH879" s="668"/>
      <c r="BI879" s="668"/>
    </row>
    <row r="880" spans="1:61" x14ac:dyDescent="0.2">
      <c r="A880" s="1020">
        <v>4167</v>
      </c>
      <c r="B880" s="1020" t="s">
        <v>517</v>
      </c>
      <c r="C880" s="1020"/>
      <c r="D880" s="667">
        <v>51</v>
      </c>
      <c r="E880" s="667"/>
      <c r="F880" s="667"/>
      <c r="G880" s="667"/>
      <c r="H880" s="667"/>
      <c r="I880" s="667"/>
      <c r="J880" s="667"/>
      <c r="K880" s="667"/>
      <c r="L880" s="667"/>
      <c r="M880" s="667"/>
      <c r="N880" s="667"/>
      <c r="O880" s="667"/>
      <c r="P880" s="667"/>
      <c r="Q880" s="667"/>
      <c r="R880" s="667"/>
      <c r="S880" s="667"/>
      <c r="T880" s="667"/>
      <c r="U880" s="1020">
        <v>12</v>
      </c>
      <c r="V880" s="668">
        <f t="shared" si="268"/>
        <v>612</v>
      </c>
      <c r="W880" s="668">
        <f t="shared" si="269"/>
        <v>0</v>
      </c>
      <c r="X880" s="668">
        <f t="shared" si="270"/>
        <v>0</v>
      </c>
      <c r="Y880" s="668">
        <f t="shared" si="271"/>
        <v>0</v>
      </c>
      <c r="Z880" s="668">
        <f t="shared" si="272"/>
        <v>0</v>
      </c>
      <c r="AA880" s="668">
        <f t="shared" si="273"/>
        <v>0</v>
      </c>
      <c r="AB880" s="668">
        <f t="shared" si="274"/>
        <v>0</v>
      </c>
      <c r="AC880" s="668">
        <f t="shared" si="267"/>
        <v>0</v>
      </c>
      <c r="AD880" s="668">
        <f t="shared" si="275"/>
        <v>0</v>
      </c>
      <c r="AE880" s="668">
        <f t="shared" si="276"/>
        <v>0</v>
      </c>
      <c r="AF880" s="668">
        <f t="shared" si="277"/>
        <v>0</v>
      </c>
      <c r="AG880" s="668">
        <f t="shared" si="278"/>
        <v>0</v>
      </c>
      <c r="AH880" s="668"/>
      <c r="AI880" s="668"/>
      <c r="AJ880" s="668"/>
      <c r="AK880" s="668"/>
      <c r="AL880" s="668"/>
      <c r="AM880" s="668">
        <f t="shared" si="279"/>
        <v>0</v>
      </c>
      <c r="AN880" s="668">
        <f t="shared" si="263"/>
        <v>0</v>
      </c>
      <c r="AO880" s="668">
        <f t="shared" si="264"/>
        <v>0</v>
      </c>
      <c r="AP880" s="668">
        <f t="shared" si="280"/>
        <v>0</v>
      </c>
      <c r="AQ880" s="668">
        <f t="shared" si="265"/>
        <v>0</v>
      </c>
      <c r="AR880" s="668">
        <f t="shared" si="266"/>
        <v>0</v>
      </c>
      <c r="AS880" s="668"/>
      <c r="AT880" s="668"/>
      <c r="AU880" s="668"/>
      <c r="AV880" s="668"/>
      <c r="AW880" s="668"/>
      <c r="AX880" s="668"/>
      <c r="AY880" s="668"/>
      <c r="AZ880" s="668"/>
      <c r="BA880" s="668"/>
      <c r="BB880" s="668">
        <f t="shared" si="281"/>
        <v>0</v>
      </c>
      <c r="BC880" s="668"/>
      <c r="BD880" s="668"/>
      <c r="BE880" s="668"/>
      <c r="BF880" s="668"/>
      <c r="BG880" s="668"/>
      <c r="BH880" s="668"/>
      <c r="BI880" s="668"/>
    </row>
    <row r="881" spans="1:61" x14ac:dyDescent="0.2">
      <c r="A881" s="1020">
        <v>4168</v>
      </c>
      <c r="B881" s="1020" t="s">
        <v>682</v>
      </c>
      <c r="C881" s="1020"/>
      <c r="D881" s="667">
        <v>32</v>
      </c>
      <c r="E881" s="667"/>
      <c r="F881" s="667">
        <v>32</v>
      </c>
      <c r="G881" s="667"/>
      <c r="H881" s="667"/>
      <c r="I881" s="667"/>
      <c r="J881" s="667"/>
      <c r="K881" s="667"/>
      <c r="L881" s="667"/>
      <c r="M881" s="667"/>
      <c r="N881" s="667"/>
      <c r="O881" s="667"/>
      <c r="P881" s="667"/>
      <c r="Q881" s="667"/>
      <c r="R881" s="667"/>
      <c r="S881" s="667"/>
      <c r="T881" s="667"/>
      <c r="U881" s="1020">
        <v>10</v>
      </c>
      <c r="V881" s="668">
        <f t="shared" si="268"/>
        <v>320</v>
      </c>
      <c r="W881" s="668">
        <f t="shared" si="269"/>
        <v>0</v>
      </c>
      <c r="X881" s="668">
        <f t="shared" si="270"/>
        <v>0</v>
      </c>
      <c r="Y881" s="668">
        <f t="shared" si="271"/>
        <v>0</v>
      </c>
      <c r="Z881" s="668">
        <f t="shared" si="272"/>
        <v>0</v>
      </c>
      <c r="AA881" s="668">
        <f t="shared" si="273"/>
        <v>0</v>
      </c>
      <c r="AB881" s="668">
        <f t="shared" si="274"/>
        <v>0</v>
      </c>
      <c r="AC881" s="668">
        <f t="shared" si="267"/>
        <v>0</v>
      </c>
      <c r="AD881" s="668">
        <f t="shared" si="275"/>
        <v>0</v>
      </c>
      <c r="AE881" s="668">
        <f t="shared" si="276"/>
        <v>0</v>
      </c>
      <c r="AF881" s="668">
        <f t="shared" si="277"/>
        <v>0</v>
      </c>
      <c r="AG881" s="668">
        <f t="shared" si="278"/>
        <v>0</v>
      </c>
      <c r="AH881" s="668"/>
      <c r="AI881" s="668"/>
      <c r="AJ881" s="668"/>
      <c r="AK881" s="668"/>
      <c r="AL881" s="668"/>
      <c r="AM881" s="668">
        <f t="shared" si="279"/>
        <v>0</v>
      </c>
      <c r="AN881" s="668">
        <f t="shared" si="263"/>
        <v>0</v>
      </c>
      <c r="AO881" s="668">
        <f t="shared" si="264"/>
        <v>0</v>
      </c>
      <c r="AP881" s="668">
        <f t="shared" si="280"/>
        <v>320</v>
      </c>
      <c r="AQ881" s="668">
        <f t="shared" si="265"/>
        <v>0</v>
      </c>
      <c r="AR881" s="668">
        <f t="shared" si="266"/>
        <v>0</v>
      </c>
      <c r="AS881" s="668"/>
      <c r="AT881" s="668"/>
      <c r="AU881" s="668"/>
      <c r="AV881" s="668"/>
      <c r="AW881" s="668"/>
      <c r="AX881" s="668"/>
      <c r="AY881" s="668"/>
      <c r="AZ881" s="668"/>
      <c r="BA881" s="668"/>
      <c r="BB881" s="668">
        <f t="shared" si="281"/>
        <v>320</v>
      </c>
      <c r="BC881" s="668"/>
      <c r="BD881" s="668"/>
      <c r="BE881" s="668"/>
      <c r="BF881" s="668"/>
      <c r="BG881" s="668"/>
      <c r="BH881" s="668"/>
      <c r="BI881" s="668"/>
    </row>
    <row r="882" spans="1:61" x14ac:dyDescent="0.2">
      <c r="A882" s="1020">
        <v>4169</v>
      </c>
      <c r="B882" s="1020" t="s">
        <v>682</v>
      </c>
      <c r="C882" s="1020"/>
      <c r="D882" s="667">
        <v>32</v>
      </c>
      <c r="E882" s="667"/>
      <c r="F882" s="667">
        <v>32</v>
      </c>
      <c r="G882" s="667"/>
      <c r="H882" s="667"/>
      <c r="I882" s="667"/>
      <c r="J882" s="667"/>
      <c r="K882" s="667"/>
      <c r="L882" s="667"/>
      <c r="M882" s="667"/>
      <c r="N882" s="667"/>
      <c r="O882" s="667"/>
      <c r="P882" s="667"/>
      <c r="Q882" s="667"/>
      <c r="R882" s="667"/>
      <c r="S882" s="667"/>
      <c r="T882" s="667"/>
      <c r="U882" s="1020">
        <v>10</v>
      </c>
      <c r="V882" s="668">
        <f t="shared" si="268"/>
        <v>320</v>
      </c>
      <c r="W882" s="668">
        <f t="shared" si="269"/>
        <v>0</v>
      </c>
      <c r="X882" s="668">
        <f t="shared" si="270"/>
        <v>0</v>
      </c>
      <c r="Y882" s="668">
        <f t="shared" si="271"/>
        <v>0</v>
      </c>
      <c r="Z882" s="668">
        <f t="shared" si="272"/>
        <v>0</v>
      </c>
      <c r="AA882" s="668">
        <f t="shared" si="273"/>
        <v>0</v>
      </c>
      <c r="AB882" s="668">
        <f t="shared" si="274"/>
        <v>0</v>
      </c>
      <c r="AC882" s="668">
        <f t="shared" si="267"/>
        <v>0</v>
      </c>
      <c r="AD882" s="668">
        <f t="shared" si="275"/>
        <v>0</v>
      </c>
      <c r="AE882" s="668">
        <f t="shared" si="276"/>
        <v>0</v>
      </c>
      <c r="AF882" s="668">
        <f t="shared" si="277"/>
        <v>0</v>
      </c>
      <c r="AG882" s="668">
        <f t="shared" si="278"/>
        <v>0</v>
      </c>
      <c r="AH882" s="668"/>
      <c r="AI882" s="668"/>
      <c r="AJ882" s="668"/>
      <c r="AK882" s="668"/>
      <c r="AL882" s="668"/>
      <c r="AM882" s="668">
        <f t="shared" si="279"/>
        <v>0</v>
      </c>
      <c r="AN882" s="668">
        <f t="shared" si="263"/>
        <v>0</v>
      </c>
      <c r="AO882" s="668">
        <f t="shared" si="264"/>
        <v>0</v>
      </c>
      <c r="AP882" s="668">
        <f t="shared" si="280"/>
        <v>320</v>
      </c>
      <c r="AQ882" s="668">
        <f t="shared" si="265"/>
        <v>0</v>
      </c>
      <c r="AR882" s="668">
        <f t="shared" si="266"/>
        <v>0</v>
      </c>
      <c r="AS882" s="668"/>
      <c r="AT882" s="668"/>
      <c r="AU882" s="668"/>
      <c r="AV882" s="668"/>
      <c r="AW882" s="668"/>
      <c r="AX882" s="668"/>
      <c r="AY882" s="668"/>
      <c r="AZ882" s="668"/>
      <c r="BA882" s="668"/>
      <c r="BB882" s="668">
        <f t="shared" si="281"/>
        <v>320</v>
      </c>
      <c r="BC882" s="668"/>
      <c r="BD882" s="668"/>
      <c r="BE882" s="668"/>
      <c r="BF882" s="668"/>
      <c r="BG882" s="668"/>
      <c r="BH882" s="668"/>
      <c r="BI882" s="668"/>
    </row>
    <row r="883" spans="1:61" x14ac:dyDescent="0.2">
      <c r="A883" s="1020">
        <v>4170</v>
      </c>
      <c r="B883" s="1020" t="s">
        <v>685</v>
      </c>
      <c r="C883" s="1020"/>
      <c r="D883" s="667">
        <v>80</v>
      </c>
      <c r="E883" s="667"/>
      <c r="F883" s="667"/>
      <c r="G883" s="667"/>
      <c r="H883" s="667"/>
      <c r="I883" s="667"/>
      <c r="J883" s="667"/>
      <c r="K883" s="667"/>
      <c r="L883" s="667"/>
      <c r="M883" s="667"/>
      <c r="N883" s="667"/>
      <c r="O883" s="667"/>
      <c r="P883" s="667"/>
      <c r="Q883" s="667"/>
      <c r="R883" s="667"/>
      <c r="S883" s="667"/>
      <c r="T883" s="667"/>
      <c r="U883" s="1020">
        <v>10</v>
      </c>
      <c r="V883" s="668">
        <f t="shared" si="268"/>
        <v>800</v>
      </c>
      <c r="W883" s="668">
        <f t="shared" si="269"/>
        <v>0</v>
      </c>
      <c r="X883" s="668">
        <f t="shared" si="270"/>
        <v>0</v>
      </c>
      <c r="Y883" s="668">
        <f t="shared" si="271"/>
        <v>0</v>
      </c>
      <c r="Z883" s="668">
        <f t="shared" si="272"/>
        <v>0</v>
      </c>
      <c r="AA883" s="668">
        <f t="shared" si="273"/>
        <v>0</v>
      </c>
      <c r="AB883" s="668">
        <f t="shared" si="274"/>
        <v>0</v>
      </c>
      <c r="AC883" s="668">
        <f t="shared" si="267"/>
        <v>0</v>
      </c>
      <c r="AD883" s="668">
        <f t="shared" si="275"/>
        <v>0</v>
      </c>
      <c r="AE883" s="668">
        <f t="shared" si="276"/>
        <v>0</v>
      </c>
      <c r="AF883" s="668">
        <f t="shared" si="277"/>
        <v>0</v>
      </c>
      <c r="AG883" s="668">
        <f t="shared" si="278"/>
        <v>0</v>
      </c>
      <c r="AH883" s="668"/>
      <c r="AI883" s="668"/>
      <c r="AJ883" s="668"/>
      <c r="AK883" s="668"/>
      <c r="AL883" s="668"/>
      <c r="AM883" s="668">
        <f t="shared" si="279"/>
        <v>0</v>
      </c>
      <c r="AN883" s="668">
        <f t="shared" si="263"/>
        <v>0</v>
      </c>
      <c r="AO883" s="668">
        <f t="shared" si="264"/>
        <v>0</v>
      </c>
      <c r="AP883" s="668">
        <f t="shared" si="280"/>
        <v>0</v>
      </c>
      <c r="AQ883" s="668">
        <f t="shared" si="265"/>
        <v>0</v>
      </c>
      <c r="AR883" s="668">
        <f t="shared" si="266"/>
        <v>0</v>
      </c>
      <c r="AS883" s="668"/>
      <c r="AT883" s="668"/>
      <c r="AU883" s="668"/>
      <c r="AV883" s="668"/>
      <c r="AW883" s="668"/>
      <c r="AX883" s="668"/>
      <c r="AY883" s="668"/>
      <c r="AZ883" s="668"/>
      <c r="BA883" s="668"/>
      <c r="BB883" s="668">
        <f t="shared" si="281"/>
        <v>0</v>
      </c>
      <c r="BC883" s="668"/>
      <c r="BD883" s="668"/>
      <c r="BE883" s="668"/>
      <c r="BF883" s="668"/>
      <c r="BG883" s="668"/>
      <c r="BH883" s="668"/>
      <c r="BI883" s="668"/>
    </row>
    <row r="884" spans="1:61" x14ac:dyDescent="0.2">
      <c r="A884" s="1020">
        <v>4171</v>
      </c>
      <c r="B884" s="1020" t="s">
        <v>517</v>
      </c>
      <c r="C884" s="1020"/>
      <c r="D884" s="667">
        <v>50</v>
      </c>
      <c r="E884" s="667"/>
      <c r="F884" s="667"/>
      <c r="G884" s="667"/>
      <c r="H884" s="667"/>
      <c r="I884" s="667"/>
      <c r="J884" s="667"/>
      <c r="K884" s="667"/>
      <c r="L884" s="667"/>
      <c r="M884" s="667"/>
      <c r="N884" s="667"/>
      <c r="O884" s="667"/>
      <c r="P884" s="667"/>
      <c r="Q884" s="667"/>
      <c r="R884" s="667"/>
      <c r="S884" s="667"/>
      <c r="T884" s="667"/>
      <c r="U884" s="1020">
        <v>12</v>
      </c>
      <c r="V884" s="668">
        <f t="shared" si="268"/>
        <v>600</v>
      </c>
      <c r="W884" s="668">
        <f t="shared" si="269"/>
        <v>0</v>
      </c>
      <c r="X884" s="668">
        <f t="shared" si="270"/>
        <v>0</v>
      </c>
      <c r="Y884" s="668">
        <f t="shared" si="271"/>
        <v>0</v>
      </c>
      <c r="Z884" s="668">
        <f t="shared" si="272"/>
        <v>0</v>
      </c>
      <c r="AA884" s="668">
        <f t="shared" si="273"/>
        <v>0</v>
      </c>
      <c r="AB884" s="668">
        <f t="shared" si="274"/>
        <v>0</v>
      </c>
      <c r="AC884" s="668">
        <f t="shared" si="267"/>
        <v>0</v>
      </c>
      <c r="AD884" s="668">
        <f t="shared" si="275"/>
        <v>0</v>
      </c>
      <c r="AE884" s="668">
        <f t="shared" si="276"/>
        <v>0</v>
      </c>
      <c r="AF884" s="668">
        <f t="shared" si="277"/>
        <v>0</v>
      </c>
      <c r="AG884" s="668">
        <f t="shared" si="278"/>
        <v>0</v>
      </c>
      <c r="AH884" s="668"/>
      <c r="AI884" s="668"/>
      <c r="AJ884" s="668"/>
      <c r="AK884" s="668"/>
      <c r="AL884" s="668"/>
      <c r="AM884" s="668">
        <f t="shared" si="279"/>
        <v>0</v>
      </c>
      <c r="AN884" s="668">
        <f t="shared" si="263"/>
        <v>0</v>
      </c>
      <c r="AO884" s="668">
        <f t="shared" si="264"/>
        <v>0</v>
      </c>
      <c r="AP884" s="668">
        <f t="shared" si="280"/>
        <v>0</v>
      </c>
      <c r="AQ884" s="668">
        <f t="shared" si="265"/>
        <v>0</v>
      </c>
      <c r="AR884" s="668">
        <f t="shared" si="266"/>
        <v>0</v>
      </c>
      <c r="AS884" s="668"/>
      <c r="AT884" s="668"/>
      <c r="AU884" s="668"/>
      <c r="AV884" s="668"/>
      <c r="AW884" s="668"/>
      <c r="AX884" s="668"/>
      <c r="AY884" s="668"/>
      <c r="AZ884" s="668"/>
      <c r="BA884" s="668"/>
      <c r="BB884" s="668">
        <f t="shared" si="281"/>
        <v>0</v>
      </c>
      <c r="BC884" s="668"/>
      <c r="BD884" s="668"/>
      <c r="BE884" s="668"/>
      <c r="BF884" s="668"/>
      <c r="BG884" s="668"/>
      <c r="BH884" s="668"/>
      <c r="BI884" s="668"/>
    </row>
    <row r="885" spans="1:61" x14ac:dyDescent="0.2">
      <c r="A885" s="1020">
        <v>4172</v>
      </c>
      <c r="B885" s="1020" t="s">
        <v>534</v>
      </c>
      <c r="C885" s="1020"/>
      <c r="D885" s="667">
        <v>45</v>
      </c>
      <c r="E885" s="667"/>
      <c r="F885" s="667"/>
      <c r="G885" s="667"/>
      <c r="H885" s="667"/>
      <c r="I885" s="667"/>
      <c r="J885" s="667"/>
      <c r="K885" s="667"/>
      <c r="L885" s="667"/>
      <c r="M885" s="667"/>
      <c r="N885" s="667"/>
      <c r="O885" s="667"/>
      <c r="P885" s="667"/>
      <c r="Q885" s="667"/>
      <c r="R885" s="667"/>
      <c r="S885" s="667"/>
      <c r="T885" s="667"/>
      <c r="U885" s="1020">
        <v>10</v>
      </c>
      <c r="V885" s="668">
        <f t="shared" si="268"/>
        <v>450</v>
      </c>
      <c r="W885" s="668">
        <f t="shared" si="269"/>
        <v>0</v>
      </c>
      <c r="X885" s="668">
        <f t="shared" si="270"/>
        <v>0</v>
      </c>
      <c r="Y885" s="668">
        <f t="shared" si="271"/>
        <v>0</v>
      </c>
      <c r="Z885" s="668">
        <f t="shared" si="272"/>
        <v>0</v>
      </c>
      <c r="AA885" s="668">
        <f t="shared" si="273"/>
        <v>0</v>
      </c>
      <c r="AB885" s="668">
        <f t="shared" si="274"/>
        <v>0</v>
      </c>
      <c r="AC885" s="668">
        <f t="shared" si="267"/>
        <v>0</v>
      </c>
      <c r="AD885" s="668">
        <f t="shared" si="275"/>
        <v>0</v>
      </c>
      <c r="AE885" s="668">
        <f t="shared" si="276"/>
        <v>0</v>
      </c>
      <c r="AF885" s="668">
        <f t="shared" si="277"/>
        <v>0</v>
      </c>
      <c r="AG885" s="668">
        <f t="shared" si="278"/>
        <v>0</v>
      </c>
      <c r="AH885" s="668"/>
      <c r="AI885" s="668"/>
      <c r="AJ885" s="668"/>
      <c r="AK885" s="668"/>
      <c r="AL885" s="668"/>
      <c r="AM885" s="668">
        <f t="shared" si="279"/>
        <v>0</v>
      </c>
      <c r="AN885" s="668">
        <f t="shared" si="263"/>
        <v>0</v>
      </c>
      <c r="AO885" s="668">
        <f t="shared" si="264"/>
        <v>0</v>
      </c>
      <c r="AP885" s="668">
        <f t="shared" si="280"/>
        <v>0</v>
      </c>
      <c r="AQ885" s="668">
        <f t="shared" si="265"/>
        <v>0</v>
      </c>
      <c r="AR885" s="668">
        <f t="shared" si="266"/>
        <v>0</v>
      </c>
      <c r="AS885" s="668"/>
      <c r="AT885" s="668"/>
      <c r="AU885" s="668"/>
      <c r="AV885" s="668"/>
      <c r="AW885" s="668"/>
      <c r="AX885" s="668"/>
      <c r="AY885" s="668"/>
      <c r="AZ885" s="668"/>
      <c r="BA885" s="668"/>
      <c r="BB885" s="668">
        <f t="shared" si="281"/>
        <v>0</v>
      </c>
      <c r="BC885" s="668"/>
      <c r="BD885" s="668"/>
      <c r="BE885" s="668"/>
      <c r="BF885" s="668"/>
      <c r="BG885" s="668"/>
      <c r="BH885" s="668"/>
      <c r="BI885" s="668"/>
    </row>
    <row r="886" spans="1:61" x14ac:dyDescent="0.2">
      <c r="A886" s="1020">
        <v>4173</v>
      </c>
      <c r="B886" s="1020" t="s">
        <v>519</v>
      </c>
      <c r="C886" s="1020"/>
      <c r="D886" s="667">
        <v>35</v>
      </c>
      <c r="E886" s="667"/>
      <c r="F886" s="667">
        <v>15</v>
      </c>
      <c r="G886" s="667"/>
      <c r="H886" s="667"/>
      <c r="I886" s="667"/>
      <c r="J886" s="667"/>
      <c r="K886" s="667"/>
      <c r="L886" s="667"/>
      <c r="M886" s="667"/>
      <c r="N886" s="667"/>
      <c r="O886" s="667"/>
      <c r="P886" s="667"/>
      <c r="Q886" s="667"/>
      <c r="R886" s="667"/>
      <c r="S886" s="667"/>
      <c r="T886" s="667">
        <v>150</v>
      </c>
      <c r="U886" s="1020">
        <v>12</v>
      </c>
      <c r="V886" s="668">
        <f t="shared" si="268"/>
        <v>420</v>
      </c>
      <c r="W886" s="668">
        <f t="shared" si="269"/>
        <v>0</v>
      </c>
      <c r="X886" s="668">
        <f t="shared" si="270"/>
        <v>0</v>
      </c>
      <c r="Y886" s="668">
        <f t="shared" si="271"/>
        <v>0</v>
      </c>
      <c r="Z886" s="668">
        <f t="shared" si="272"/>
        <v>0</v>
      </c>
      <c r="AA886" s="668">
        <f t="shared" si="273"/>
        <v>0</v>
      </c>
      <c r="AB886" s="668">
        <f t="shared" si="274"/>
        <v>150</v>
      </c>
      <c r="AC886" s="668">
        <f t="shared" si="267"/>
        <v>0</v>
      </c>
      <c r="AD886" s="668">
        <f t="shared" si="275"/>
        <v>0</v>
      </c>
      <c r="AE886" s="668">
        <f t="shared" si="276"/>
        <v>0</v>
      </c>
      <c r="AF886" s="668">
        <f t="shared" si="277"/>
        <v>0</v>
      </c>
      <c r="AG886" s="668">
        <f t="shared" si="278"/>
        <v>0</v>
      </c>
      <c r="AH886" s="668"/>
      <c r="AI886" s="668"/>
      <c r="AJ886" s="668"/>
      <c r="AK886" s="668"/>
      <c r="AL886" s="668"/>
      <c r="AM886" s="668">
        <f t="shared" si="279"/>
        <v>0</v>
      </c>
      <c r="AN886" s="668">
        <f t="shared" si="263"/>
        <v>0</v>
      </c>
      <c r="AO886" s="668">
        <f t="shared" si="264"/>
        <v>0</v>
      </c>
      <c r="AP886" s="668">
        <f t="shared" si="280"/>
        <v>180</v>
      </c>
      <c r="AQ886" s="668">
        <f t="shared" si="265"/>
        <v>0</v>
      </c>
      <c r="AR886" s="668">
        <f t="shared" si="266"/>
        <v>0</v>
      </c>
      <c r="AS886" s="668"/>
      <c r="AT886" s="668"/>
      <c r="AU886" s="668"/>
      <c r="AV886" s="668"/>
      <c r="AW886" s="668"/>
      <c r="AX886" s="668"/>
      <c r="AY886" s="668"/>
      <c r="AZ886" s="668"/>
      <c r="BA886" s="668"/>
      <c r="BB886" s="668">
        <f t="shared" si="281"/>
        <v>180</v>
      </c>
      <c r="BC886" s="668"/>
      <c r="BD886" s="668"/>
      <c r="BE886" s="668"/>
      <c r="BF886" s="668"/>
      <c r="BG886" s="668"/>
      <c r="BH886" s="668"/>
      <c r="BI886" s="668"/>
    </row>
    <row r="887" spans="1:61" x14ac:dyDescent="0.2">
      <c r="A887" s="1020">
        <v>4174</v>
      </c>
      <c r="B887" s="1020" t="s">
        <v>515</v>
      </c>
      <c r="C887" s="1020"/>
      <c r="D887" s="667">
        <v>94</v>
      </c>
      <c r="E887" s="667"/>
      <c r="F887" s="667">
        <v>88</v>
      </c>
      <c r="G887" s="667"/>
      <c r="H887" s="667"/>
      <c r="I887" s="667"/>
      <c r="J887" s="667"/>
      <c r="K887" s="667"/>
      <c r="L887" s="667"/>
      <c r="M887" s="667"/>
      <c r="N887" s="667"/>
      <c r="O887" s="667"/>
      <c r="P887" s="667"/>
      <c r="Q887" s="667"/>
      <c r="R887" s="667"/>
      <c r="S887" s="667"/>
      <c r="T887" s="667">
        <v>2795</v>
      </c>
      <c r="U887" s="1020">
        <v>12</v>
      </c>
      <c r="V887" s="668">
        <f t="shared" si="268"/>
        <v>1128</v>
      </c>
      <c r="W887" s="668">
        <f t="shared" si="269"/>
        <v>0</v>
      </c>
      <c r="X887" s="668">
        <f t="shared" si="270"/>
        <v>0</v>
      </c>
      <c r="Y887" s="668">
        <f t="shared" si="271"/>
        <v>0</v>
      </c>
      <c r="Z887" s="668">
        <f t="shared" si="272"/>
        <v>0</v>
      </c>
      <c r="AA887" s="668">
        <f t="shared" si="273"/>
        <v>0</v>
      </c>
      <c r="AB887" s="668">
        <f t="shared" si="274"/>
        <v>2795</v>
      </c>
      <c r="AC887" s="668">
        <f t="shared" si="267"/>
        <v>0</v>
      </c>
      <c r="AD887" s="668">
        <f t="shared" si="275"/>
        <v>0</v>
      </c>
      <c r="AE887" s="668">
        <f t="shared" si="276"/>
        <v>0</v>
      </c>
      <c r="AF887" s="668">
        <f t="shared" si="277"/>
        <v>0</v>
      </c>
      <c r="AG887" s="668">
        <f t="shared" si="278"/>
        <v>0</v>
      </c>
      <c r="AH887" s="668"/>
      <c r="AI887" s="668"/>
      <c r="AJ887" s="668"/>
      <c r="AK887" s="668"/>
      <c r="AL887" s="668"/>
      <c r="AM887" s="668">
        <f t="shared" si="279"/>
        <v>0</v>
      </c>
      <c r="AN887" s="668">
        <f t="shared" si="263"/>
        <v>0</v>
      </c>
      <c r="AO887" s="668">
        <f t="shared" si="264"/>
        <v>0</v>
      </c>
      <c r="AP887" s="668">
        <f t="shared" si="280"/>
        <v>1056</v>
      </c>
      <c r="AQ887" s="668">
        <f t="shared" si="265"/>
        <v>0</v>
      </c>
      <c r="AR887" s="668">
        <f t="shared" si="266"/>
        <v>0</v>
      </c>
      <c r="AS887" s="668"/>
      <c r="AT887" s="668"/>
      <c r="AU887" s="668"/>
      <c r="AV887" s="668"/>
      <c r="AW887" s="668"/>
      <c r="AX887" s="668"/>
      <c r="AY887" s="668"/>
      <c r="AZ887" s="668"/>
      <c r="BA887" s="668"/>
      <c r="BB887" s="668"/>
      <c r="BC887" s="668"/>
      <c r="BD887" s="668"/>
      <c r="BE887" s="668"/>
      <c r="BF887" s="668"/>
      <c r="BG887" s="668"/>
      <c r="BH887" s="668"/>
      <c r="BI887" s="668"/>
    </row>
    <row r="888" spans="1:61" x14ac:dyDescent="0.2">
      <c r="A888" s="1020">
        <v>4175</v>
      </c>
      <c r="B888" s="1020" t="s">
        <v>515</v>
      </c>
      <c r="C888" s="1020"/>
      <c r="D888" s="667">
        <v>140</v>
      </c>
      <c r="E888" s="667"/>
      <c r="F888" s="667">
        <v>70</v>
      </c>
      <c r="G888" s="667"/>
      <c r="H888" s="667"/>
      <c r="I888" s="667"/>
      <c r="J888" s="667"/>
      <c r="K888" s="667"/>
      <c r="L888" s="667"/>
      <c r="M888" s="667"/>
      <c r="N888" s="667"/>
      <c r="O888" s="667"/>
      <c r="P888" s="667"/>
      <c r="Q888" s="667"/>
      <c r="R888" s="667"/>
      <c r="S888" s="667"/>
      <c r="T888" s="667">
        <v>4282</v>
      </c>
      <c r="U888" s="1020">
        <v>12</v>
      </c>
      <c r="V888" s="668">
        <f t="shared" si="268"/>
        <v>1680</v>
      </c>
      <c r="W888" s="668">
        <f t="shared" si="269"/>
        <v>0</v>
      </c>
      <c r="X888" s="668">
        <f t="shared" si="270"/>
        <v>0</v>
      </c>
      <c r="Y888" s="668">
        <f t="shared" si="271"/>
        <v>0</v>
      </c>
      <c r="Z888" s="668">
        <f t="shared" si="272"/>
        <v>0</v>
      </c>
      <c r="AA888" s="668">
        <f t="shared" si="273"/>
        <v>0</v>
      </c>
      <c r="AB888" s="668">
        <f t="shared" si="274"/>
        <v>4282</v>
      </c>
      <c r="AC888" s="668">
        <f t="shared" si="267"/>
        <v>0</v>
      </c>
      <c r="AD888" s="668">
        <f t="shared" si="275"/>
        <v>0</v>
      </c>
      <c r="AE888" s="668">
        <f t="shared" si="276"/>
        <v>0</v>
      </c>
      <c r="AF888" s="668">
        <f t="shared" si="277"/>
        <v>0</v>
      </c>
      <c r="AG888" s="668">
        <f t="shared" si="278"/>
        <v>0</v>
      </c>
      <c r="AH888" s="668"/>
      <c r="AI888" s="668"/>
      <c r="AJ888" s="668"/>
      <c r="AK888" s="668"/>
      <c r="AL888" s="668"/>
      <c r="AM888" s="668">
        <f t="shared" si="279"/>
        <v>0</v>
      </c>
      <c r="AN888" s="668">
        <f t="shared" si="263"/>
        <v>0</v>
      </c>
      <c r="AO888" s="668">
        <f t="shared" si="264"/>
        <v>0</v>
      </c>
      <c r="AP888" s="668">
        <f t="shared" si="280"/>
        <v>840</v>
      </c>
      <c r="AQ888" s="668">
        <f t="shared" si="265"/>
        <v>0</v>
      </c>
      <c r="AR888" s="668">
        <f t="shared" si="266"/>
        <v>0</v>
      </c>
      <c r="AS888" s="668"/>
      <c r="AT888" s="668"/>
      <c r="AU888" s="668"/>
      <c r="AV888" s="668"/>
      <c r="AW888" s="668"/>
      <c r="AX888" s="668"/>
      <c r="AY888" s="668"/>
      <c r="AZ888" s="668"/>
      <c r="BA888" s="668"/>
      <c r="BB888" s="668"/>
      <c r="BC888" s="668"/>
      <c r="BD888" s="668"/>
      <c r="BE888" s="668"/>
      <c r="BF888" s="668"/>
      <c r="BG888" s="668"/>
      <c r="BH888" s="668"/>
      <c r="BI888" s="668"/>
    </row>
    <row r="889" spans="1:61" x14ac:dyDescent="0.2">
      <c r="A889" s="1020">
        <v>4176</v>
      </c>
      <c r="B889" s="1020" t="s">
        <v>467</v>
      </c>
      <c r="C889" s="1020"/>
      <c r="D889" s="667">
        <v>80</v>
      </c>
      <c r="E889" s="667"/>
      <c r="F889" s="667"/>
      <c r="G889" s="667"/>
      <c r="H889" s="667"/>
      <c r="I889" s="667"/>
      <c r="J889" s="667"/>
      <c r="K889" s="667"/>
      <c r="L889" s="667"/>
      <c r="M889" s="667"/>
      <c r="N889" s="667"/>
      <c r="O889" s="667"/>
      <c r="P889" s="667"/>
      <c r="Q889" s="667"/>
      <c r="R889" s="667"/>
      <c r="S889" s="667"/>
      <c r="T889" s="667"/>
      <c r="U889" s="1020">
        <v>3</v>
      </c>
      <c r="V889" s="668">
        <f t="shared" si="268"/>
        <v>240</v>
      </c>
      <c r="W889" s="668">
        <f t="shared" si="269"/>
        <v>0</v>
      </c>
      <c r="X889" s="668">
        <f t="shared" si="270"/>
        <v>0</v>
      </c>
      <c r="Y889" s="668">
        <f t="shared" si="271"/>
        <v>0</v>
      </c>
      <c r="Z889" s="668">
        <f t="shared" si="272"/>
        <v>0</v>
      </c>
      <c r="AA889" s="668">
        <f t="shared" si="273"/>
        <v>0</v>
      </c>
      <c r="AB889" s="668">
        <f t="shared" si="274"/>
        <v>0</v>
      </c>
      <c r="AC889" s="668">
        <f t="shared" si="267"/>
        <v>0</v>
      </c>
      <c r="AD889" s="668">
        <f t="shared" si="275"/>
        <v>0</v>
      </c>
      <c r="AE889" s="668">
        <f t="shared" si="276"/>
        <v>0</v>
      </c>
      <c r="AF889" s="668">
        <f t="shared" si="277"/>
        <v>0</v>
      </c>
      <c r="AG889" s="668">
        <f t="shared" si="278"/>
        <v>0</v>
      </c>
      <c r="AH889" s="668"/>
      <c r="AI889" s="668"/>
      <c r="AJ889" s="668"/>
      <c r="AK889" s="668"/>
      <c r="AL889" s="668"/>
      <c r="AM889" s="668">
        <f t="shared" si="279"/>
        <v>0</v>
      </c>
      <c r="AN889" s="668">
        <f t="shared" si="263"/>
        <v>0</v>
      </c>
      <c r="AO889" s="668">
        <f t="shared" si="264"/>
        <v>0</v>
      </c>
      <c r="AP889" s="668">
        <f t="shared" si="280"/>
        <v>0</v>
      </c>
      <c r="AQ889" s="668">
        <f t="shared" si="265"/>
        <v>0</v>
      </c>
      <c r="AR889" s="668">
        <f t="shared" si="266"/>
        <v>0</v>
      </c>
      <c r="AS889" s="668"/>
      <c r="AT889" s="668"/>
      <c r="AU889" s="668"/>
      <c r="AV889" s="668"/>
      <c r="AW889" s="668"/>
      <c r="AX889" s="668"/>
      <c r="AY889" s="668"/>
      <c r="AZ889" s="668"/>
      <c r="BA889" s="668"/>
      <c r="BB889" s="668">
        <f t="shared" si="281"/>
        <v>0</v>
      </c>
      <c r="BC889" s="668"/>
      <c r="BD889" s="668"/>
      <c r="BE889" s="668"/>
      <c r="BF889" s="668"/>
      <c r="BG889" s="668"/>
      <c r="BH889" s="668"/>
      <c r="BI889" s="668"/>
    </row>
    <row r="890" spans="1:61" x14ac:dyDescent="0.2">
      <c r="A890" s="1020">
        <v>4177</v>
      </c>
      <c r="B890" s="1020" t="s">
        <v>466</v>
      </c>
      <c r="C890" s="1020"/>
      <c r="D890" s="667">
        <v>80</v>
      </c>
      <c r="E890" s="667"/>
      <c r="F890" s="667"/>
      <c r="G890" s="667"/>
      <c r="H890" s="667"/>
      <c r="I890" s="667"/>
      <c r="J890" s="667"/>
      <c r="K890" s="667"/>
      <c r="L890" s="667"/>
      <c r="M890" s="667"/>
      <c r="N890" s="667"/>
      <c r="O890" s="667"/>
      <c r="P890" s="667"/>
      <c r="Q890" s="667"/>
      <c r="R890" s="667"/>
      <c r="S890" s="667"/>
      <c r="T890" s="667"/>
      <c r="U890" s="1020">
        <v>3</v>
      </c>
      <c r="V890" s="668">
        <f t="shared" si="268"/>
        <v>240</v>
      </c>
      <c r="W890" s="668">
        <f t="shared" si="269"/>
        <v>0</v>
      </c>
      <c r="X890" s="668">
        <f t="shared" si="270"/>
        <v>0</v>
      </c>
      <c r="Y890" s="668">
        <f t="shared" si="271"/>
        <v>0</v>
      </c>
      <c r="Z890" s="668">
        <f t="shared" si="272"/>
        <v>0</v>
      </c>
      <c r="AA890" s="668">
        <f t="shared" si="273"/>
        <v>0</v>
      </c>
      <c r="AB890" s="668">
        <f t="shared" si="274"/>
        <v>0</v>
      </c>
      <c r="AC890" s="668">
        <f t="shared" si="267"/>
        <v>0</v>
      </c>
      <c r="AD890" s="668">
        <f t="shared" si="275"/>
        <v>0</v>
      </c>
      <c r="AE890" s="668">
        <f t="shared" si="276"/>
        <v>0</v>
      </c>
      <c r="AF890" s="668">
        <f t="shared" si="277"/>
        <v>0</v>
      </c>
      <c r="AG890" s="668">
        <f t="shared" si="278"/>
        <v>0</v>
      </c>
      <c r="AH890" s="668"/>
      <c r="AI890" s="668"/>
      <c r="AJ890" s="668"/>
      <c r="AK890" s="668"/>
      <c r="AL890" s="668"/>
      <c r="AM890" s="668">
        <f t="shared" si="279"/>
        <v>0</v>
      </c>
      <c r="AN890" s="668">
        <f t="shared" si="263"/>
        <v>0</v>
      </c>
      <c r="AO890" s="668">
        <f t="shared" si="264"/>
        <v>0</v>
      </c>
      <c r="AP890" s="668">
        <f t="shared" si="280"/>
        <v>0</v>
      </c>
      <c r="AQ890" s="668">
        <f t="shared" si="265"/>
        <v>0</v>
      </c>
      <c r="AR890" s="668">
        <f t="shared" si="266"/>
        <v>0</v>
      </c>
      <c r="AS890" s="668"/>
      <c r="AT890" s="668"/>
      <c r="AU890" s="668"/>
      <c r="AV890" s="668"/>
      <c r="AW890" s="668"/>
      <c r="AX890" s="668"/>
      <c r="AY890" s="668"/>
      <c r="AZ890" s="668"/>
      <c r="BA890" s="668"/>
      <c r="BB890" s="668">
        <f t="shared" si="281"/>
        <v>0</v>
      </c>
      <c r="BC890" s="668"/>
      <c r="BD890" s="668"/>
      <c r="BE890" s="668"/>
      <c r="BF890" s="668"/>
      <c r="BG890" s="668"/>
      <c r="BH890" s="668"/>
      <c r="BI890" s="668"/>
    </row>
    <row r="891" spans="1:61" x14ac:dyDescent="0.2">
      <c r="A891" s="1020">
        <v>4178</v>
      </c>
      <c r="B891" s="1020" t="s">
        <v>625</v>
      </c>
      <c r="C891" s="1020"/>
      <c r="D891" s="667">
        <v>44</v>
      </c>
      <c r="E891" s="667"/>
      <c r="F891" s="667"/>
      <c r="G891" s="667"/>
      <c r="H891" s="667"/>
      <c r="I891" s="667"/>
      <c r="J891" s="667"/>
      <c r="K891" s="667"/>
      <c r="L891" s="667"/>
      <c r="M891" s="667"/>
      <c r="N891" s="667"/>
      <c r="O891" s="667"/>
      <c r="P891" s="667"/>
      <c r="Q891" s="667"/>
      <c r="R891" s="667"/>
      <c r="S891" s="667"/>
      <c r="T891" s="667"/>
      <c r="U891" s="1020">
        <v>10</v>
      </c>
      <c r="V891" s="668">
        <f t="shared" si="268"/>
        <v>440</v>
      </c>
      <c r="W891" s="668">
        <f t="shared" si="269"/>
        <v>0</v>
      </c>
      <c r="X891" s="668">
        <f t="shared" si="270"/>
        <v>0</v>
      </c>
      <c r="Y891" s="668">
        <f t="shared" si="271"/>
        <v>0</v>
      </c>
      <c r="Z891" s="668">
        <f t="shared" si="272"/>
        <v>0</v>
      </c>
      <c r="AA891" s="668">
        <f t="shared" si="273"/>
        <v>0</v>
      </c>
      <c r="AB891" s="668">
        <f t="shared" si="274"/>
        <v>0</v>
      </c>
      <c r="AC891" s="668">
        <f t="shared" si="267"/>
        <v>0</v>
      </c>
      <c r="AD891" s="668">
        <f t="shared" si="275"/>
        <v>0</v>
      </c>
      <c r="AE891" s="668">
        <f t="shared" si="276"/>
        <v>0</v>
      </c>
      <c r="AF891" s="668">
        <f t="shared" si="277"/>
        <v>0</v>
      </c>
      <c r="AG891" s="668">
        <f t="shared" si="278"/>
        <v>0</v>
      </c>
      <c r="AH891" s="668"/>
      <c r="AI891" s="668"/>
      <c r="AJ891" s="668"/>
      <c r="AK891" s="668"/>
      <c r="AL891" s="668"/>
      <c r="AM891" s="668">
        <f t="shared" si="279"/>
        <v>0</v>
      </c>
      <c r="AN891" s="668">
        <f t="shared" si="263"/>
        <v>0</v>
      </c>
      <c r="AO891" s="668">
        <f t="shared" si="264"/>
        <v>0</v>
      </c>
      <c r="AP891" s="668">
        <f t="shared" si="280"/>
        <v>0</v>
      </c>
      <c r="AQ891" s="668">
        <f t="shared" si="265"/>
        <v>0</v>
      </c>
      <c r="AR891" s="668">
        <f t="shared" si="266"/>
        <v>0</v>
      </c>
      <c r="AS891" s="668"/>
      <c r="AT891" s="668"/>
      <c r="AU891" s="668"/>
      <c r="AV891" s="668"/>
      <c r="AW891" s="668"/>
      <c r="AX891" s="668"/>
      <c r="AY891" s="668"/>
      <c r="AZ891" s="668"/>
      <c r="BA891" s="668"/>
      <c r="BB891" s="668">
        <f t="shared" si="281"/>
        <v>0</v>
      </c>
      <c r="BC891" s="668"/>
      <c r="BD891" s="668"/>
      <c r="BE891" s="668"/>
      <c r="BF891" s="668"/>
      <c r="BG891" s="668"/>
      <c r="BH891" s="668"/>
      <c r="BI891" s="668"/>
    </row>
    <row r="892" spans="1:61" x14ac:dyDescent="0.2">
      <c r="A892" s="1020">
        <v>4179</v>
      </c>
      <c r="B892" s="1020" t="s">
        <v>686</v>
      </c>
      <c r="C892" s="1020"/>
      <c r="D892" s="667">
        <v>105</v>
      </c>
      <c r="E892" s="667"/>
      <c r="F892" s="667"/>
      <c r="G892" s="667"/>
      <c r="H892" s="667"/>
      <c r="I892" s="667"/>
      <c r="J892" s="667"/>
      <c r="K892" s="667"/>
      <c r="L892" s="667"/>
      <c r="M892" s="667"/>
      <c r="N892" s="667"/>
      <c r="O892" s="667"/>
      <c r="P892" s="667"/>
      <c r="Q892" s="667"/>
      <c r="R892" s="667"/>
      <c r="S892" s="667"/>
      <c r="T892" s="667"/>
      <c r="U892" s="1020">
        <v>12</v>
      </c>
      <c r="V892" s="668">
        <f t="shared" si="268"/>
        <v>1260</v>
      </c>
      <c r="W892" s="668">
        <f t="shared" si="269"/>
        <v>0</v>
      </c>
      <c r="X892" s="668">
        <f t="shared" si="270"/>
        <v>0</v>
      </c>
      <c r="Y892" s="668">
        <f t="shared" si="271"/>
        <v>0</v>
      </c>
      <c r="Z892" s="668">
        <f t="shared" si="272"/>
        <v>0</v>
      </c>
      <c r="AA892" s="668">
        <f t="shared" si="273"/>
        <v>0</v>
      </c>
      <c r="AB892" s="668">
        <f t="shared" si="274"/>
        <v>0</v>
      </c>
      <c r="AC892" s="668">
        <f t="shared" si="267"/>
        <v>0</v>
      </c>
      <c r="AD892" s="668">
        <f t="shared" si="275"/>
        <v>0</v>
      </c>
      <c r="AE892" s="668">
        <f t="shared" si="276"/>
        <v>0</v>
      </c>
      <c r="AF892" s="668">
        <f t="shared" si="277"/>
        <v>0</v>
      </c>
      <c r="AG892" s="668">
        <f t="shared" si="278"/>
        <v>0</v>
      </c>
      <c r="AH892" s="668"/>
      <c r="AI892" s="668"/>
      <c r="AJ892" s="668"/>
      <c r="AK892" s="668"/>
      <c r="AL892" s="668"/>
      <c r="AM892" s="668">
        <f t="shared" si="279"/>
        <v>0</v>
      </c>
      <c r="AN892" s="668">
        <f t="shared" si="263"/>
        <v>0</v>
      </c>
      <c r="AO892" s="668">
        <f t="shared" si="264"/>
        <v>0</v>
      </c>
      <c r="AP892" s="668">
        <f t="shared" si="280"/>
        <v>0</v>
      </c>
      <c r="AQ892" s="668">
        <f t="shared" si="265"/>
        <v>0</v>
      </c>
      <c r="AR892" s="668">
        <f t="shared" si="266"/>
        <v>0</v>
      </c>
      <c r="AS892" s="668"/>
      <c r="AT892" s="668"/>
      <c r="AU892" s="668"/>
      <c r="AV892" s="668"/>
      <c r="AW892" s="668"/>
      <c r="AX892" s="668"/>
      <c r="AY892" s="668"/>
      <c r="AZ892" s="668"/>
      <c r="BA892" s="668"/>
      <c r="BB892" s="668">
        <f t="shared" si="281"/>
        <v>0</v>
      </c>
      <c r="BC892" s="668"/>
      <c r="BD892" s="668"/>
      <c r="BE892" s="668"/>
      <c r="BF892" s="668"/>
      <c r="BG892" s="668"/>
      <c r="BH892" s="668"/>
      <c r="BI892" s="668"/>
    </row>
    <row r="893" spans="1:61" x14ac:dyDescent="0.2">
      <c r="A893" s="1020">
        <v>4180</v>
      </c>
      <c r="B893" s="1020" t="s">
        <v>684</v>
      </c>
      <c r="C893" s="1020"/>
      <c r="D893" s="667">
        <v>42</v>
      </c>
      <c r="E893" s="667"/>
      <c r="F893" s="667">
        <v>42</v>
      </c>
      <c r="G893" s="667"/>
      <c r="H893" s="667"/>
      <c r="I893" s="667"/>
      <c r="J893" s="667"/>
      <c r="K893" s="667"/>
      <c r="L893" s="667"/>
      <c r="M893" s="667"/>
      <c r="N893" s="667"/>
      <c r="O893" s="667"/>
      <c r="P893" s="667"/>
      <c r="Q893" s="667"/>
      <c r="R893" s="667"/>
      <c r="S893" s="667"/>
      <c r="T893" s="667"/>
      <c r="U893" s="1020">
        <v>10</v>
      </c>
      <c r="V893" s="668">
        <f t="shared" si="268"/>
        <v>420</v>
      </c>
      <c r="W893" s="668">
        <f t="shared" si="269"/>
        <v>0</v>
      </c>
      <c r="X893" s="668">
        <f t="shared" si="270"/>
        <v>0</v>
      </c>
      <c r="Y893" s="668">
        <f t="shared" si="271"/>
        <v>0</v>
      </c>
      <c r="Z893" s="668">
        <f t="shared" si="272"/>
        <v>0</v>
      </c>
      <c r="AA893" s="668">
        <f t="shared" si="273"/>
        <v>0</v>
      </c>
      <c r="AB893" s="668">
        <f t="shared" si="274"/>
        <v>0</v>
      </c>
      <c r="AC893" s="668">
        <f t="shared" si="267"/>
        <v>0</v>
      </c>
      <c r="AD893" s="668">
        <f t="shared" si="275"/>
        <v>0</v>
      </c>
      <c r="AE893" s="668">
        <f t="shared" si="276"/>
        <v>0</v>
      </c>
      <c r="AF893" s="668">
        <f t="shared" si="277"/>
        <v>0</v>
      </c>
      <c r="AG893" s="668">
        <f t="shared" si="278"/>
        <v>0</v>
      </c>
      <c r="AH893" s="668"/>
      <c r="AI893" s="668"/>
      <c r="AJ893" s="668"/>
      <c r="AK893" s="668"/>
      <c r="AL893" s="668"/>
      <c r="AM893" s="668">
        <f t="shared" si="279"/>
        <v>0</v>
      </c>
      <c r="AN893" s="668">
        <f t="shared" si="263"/>
        <v>0</v>
      </c>
      <c r="AO893" s="668">
        <f t="shared" si="264"/>
        <v>0</v>
      </c>
      <c r="AP893" s="668">
        <f t="shared" si="280"/>
        <v>420</v>
      </c>
      <c r="AQ893" s="668">
        <f t="shared" si="265"/>
        <v>0</v>
      </c>
      <c r="AR893" s="668">
        <f t="shared" si="266"/>
        <v>0</v>
      </c>
      <c r="AS893" s="668"/>
      <c r="AT893" s="668"/>
      <c r="AU893" s="668"/>
      <c r="AV893" s="668"/>
      <c r="AW893" s="668"/>
      <c r="AX893" s="668"/>
      <c r="AY893" s="668"/>
      <c r="AZ893" s="668"/>
      <c r="BA893" s="668"/>
      <c r="BB893" s="668"/>
      <c r="BC893" s="668"/>
      <c r="BD893" s="668"/>
      <c r="BE893" s="668"/>
      <c r="BF893" s="668"/>
      <c r="BG893" s="668"/>
      <c r="BH893" s="668"/>
      <c r="BI893" s="668"/>
    </row>
    <row r="894" spans="1:61" x14ac:dyDescent="0.2">
      <c r="A894" s="1020" t="s">
        <v>796</v>
      </c>
      <c r="B894" s="1020" t="s">
        <v>516</v>
      </c>
      <c r="C894" s="1020"/>
      <c r="D894" s="667">
        <v>32</v>
      </c>
      <c r="E894" s="667"/>
      <c r="F894" s="667">
        <v>32</v>
      </c>
      <c r="G894" s="667"/>
      <c r="H894" s="667"/>
      <c r="I894" s="667"/>
      <c r="J894" s="667"/>
      <c r="K894" s="667"/>
      <c r="L894" s="667"/>
      <c r="M894" s="667"/>
      <c r="N894" s="667"/>
      <c r="O894" s="667"/>
      <c r="P894" s="667"/>
      <c r="Q894" s="667"/>
      <c r="R894" s="667"/>
      <c r="S894" s="667"/>
      <c r="T894" s="667"/>
      <c r="U894" s="1020">
        <v>10</v>
      </c>
      <c r="V894" s="668">
        <f t="shared" si="268"/>
        <v>320</v>
      </c>
      <c r="W894" s="668">
        <f t="shared" si="269"/>
        <v>0</v>
      </c>
      <c r="X894" s="668">
        <f t="shared" si="270"/>
        <v>0</v>
      </c>
      <c r="Y894" s="668">
        <f t="shared" si="271"/>
        <v>0</v>
      </c>
      <c r="Z894" s="668">
        <f t="shared" si="272"/>
        <v>0</v>
      </c>
      <c r="AA894" s="668">
        <f t="shared" si="273"/>
        <v>0</v>
      </c>
      <c r="AB894" s="668">
        <f t="shared" si="274"/>
        <v>0</v>
      </c>
      <c r="AC894" s="668">
        <f t="shared" si="267"/>
        <v>0</v>
      </c>
      <c r="AD894" s="668">
        <f t="shared" si="275"/>
        <v>0</v>
      </c>
      <c r="AE894" s="668">
        <f t="shared" si="276"/>
        <v>0</v>
      </c>
      <c r="AF894" s="668">
        <f t="shared" si="277"/>
        <v>0</v>
      </c>
      <c r="AG894" s="668">
        <f t="shared" si="278"/>
        <v>0</v>
      </c>
      <c r="AH894" s="668"/>
      <c r="AI894" s="668"/>
      <c r="AJ894" s="668"/>
      <c r="AK894" s="668"/>
      <c r="AL894" s="668"/>
      <c r="AM894" s="668">
        <f t="shared" si="279"/>
        <v>0</v>
      </c>
      <c r="AN894" s="668">
        <f t="shared" si="263"/>
        <v>0</v>
      </c>
      <c r="AO894" s="668">
        <f t="shared" si="264"/>
        <v>0</v>
      </c>
      <c r="AP894" s="668">
        <f t="shared" si="280"/>
        <v>320</v>
      </c>
      <c r="AQ894" s="668">
        <f t="shared" si="265"/>
        <v>0</v>
      </c>
      <c r="AR894" s="668">
        <f t="shared" si="266"/>
        <v>0</v>
      </c>
      <c r="AS894" s="668"/>
      <c r="AT894" s="668"/>
      <c r="AU894" s="668"/>
      <c r="AV894" s="668"/>
      <c r="AW894" s="668"/>
      <c r="AX894" s="668"/>
      <c r="AY894" s="668"/>
      <c r="AZ894" s="668"/>
      <c r="BA894" s="668"/>
      <c r="BB894" s="668"/>
      <c r="BC894" s="668"/>
      <c r="BD894" s="668"/>
      <c r="BE894" s="668"/>
      <c r="BF894" s="668"/>
      <c r="BG894" s="668"/>
      <c r="BH894" s="668"/>
      <c r="BI894" s="668"/>
    </row>
    <row r="895" spans="1:61" x14ac:dyDescent="0.2">
      <c r="A895" s="1020" t="s">
        <v>797</v>
      </c>
      <c r="B895" s="1020" t="s">
        <v>517</v>
      </c>
      <c r="C895" s="1020"/>
      <c r="D895" s="667">
        <v>50</v>
      </c>
      <c r="E895" s="667"/>
      <c r="F895" s="667"/>
      <c r="G895" s="667"/>
      <c r="H895" s="667"/>
      <c r="I895" s="667"/>
      <c r="J895" s="667"/>
      <c r="K895" s="667"/>
      <c r="L895" s="667"/>
      <c r="M895" s="667"/>
      <c r="N895" s="667"/>
      <c r="O895" s="667"/>
      <c r="P895" s="667"/>
      <c r="Q895" s="667"/>
      <c r="R895" s="667"/>
      <c r="S895" s="667"/>
      <c r="T895" s="667"/>
      <c r="U895" s="1020">
        <v>12</v>
      </c>
      <c r="V895" s="668">
        <f t="shared" si="268"/>
        <v>600</v>
      </c>
      <c r="W895" s="668">
        <f t="shared" si="269"/>
        <v>0</v>
      </c>
      <c r="X895" s="668">
        <f t="shared" si="270"/>
        <v>0</v>
      </c>
      <c r="Y895" s="668">
        <f t="shared" si="271"/>
        <v>0</v>
      </c>
      <c r="Z895" s="668">
        <f t="shared" si="272"/>
        <v>0</v>
      </c>
      <c r="AA895" s="668">
        <f t="shared" si="273"/>
        <v>0</v>
      </c>
      <c r="AB895" s="668">
        <f t="shared" si="274"/>
        <v>0</v>
      </c>
      <c r="AC895" s="668">
        <f t="shared" si="267"/>
        <v>0</v>
      </c>
      <c r="AD895" s="668">
        <f t="shared" si="275"/>
        <v>0</v>
      </c>
      <c r="AE895" s="668">
        <f t="shared" si="276"/>
        <v>0</v>
      </c>
      <c r="AF895" s="668">
        <f t="shared" si="277"/>
        <v>0</v>
      </c>
      <c r="AG895" s="668">
        <f t="shared" si="278"/>
        <v>0</v>
      </c>
      <c r="AH895" s="668"/>
      <c r="AI895" s="668"/>
      <c r="AJ895" s="668"/>
      <c r="AK895" s="668"/>
      <c r="AL895" s="668"/>
      <c r="AM895" s="668">
        <f t="shared" si="279"/>
        <v>0</v>
      </c>
      <c r="AN895" s="668">
        <f t="shared" si="263"/>
        <v>0</v>
      </c>
      <c r="AO895" s="668">
        <f t="shared" si="264"/>
        <v>0</v>
      </c>
      <c r="AP895" s="668">
        <f t="shared" si="280"/>
        <v>0</v>
      </c>
      <c r="AQ895" s="668">
        <f t="shared" si="265"/>
        <v>0</v>
      </c>
      <c r="AR895" s="668">
        <f t="shared" si="266"/>
        <v>0</v>
      </c>
      <c r="AS895" s="668"/>
      <c r="AT895" s="668"/>
      <c r="AU895" s="668"/>
      <c r="AV895" s="668"/>
      <c r="AW895" s="668"/>
      <c r="AX895" s="668"/>
      <c r="AY895" s="668"/>
      <c r="AZ895" s="668"/>
      <c r="BA895" s="668"/>
      <c r="BB895" s="668">
        <f t="shared" si="281"/>
        <v>0</v>
      </c>
      <c r="BC895" s="668"/>
      <c r="BD895" s="668"/>
      <c r="BE895" s="668"/>
      <c r="BF895" s="668"/>
      <c r="BG895" s="668"/>
      <c r="BH895" s="668"/>
      <c r="BI895" s="668"/>
    </row>
    <row r="896" spans="1:61" x14ac:dyDescent="0.2">
      <c r="A896" s="1020">
        <v>4182</v>
      </c>
      <c r="B896" s="1020" t="s">
        <v>672</v>
      </c>
      <c r="C896" s="1020"/>
      <c r="D896" s="667">
        <v>35</v>
      </c>
      <c r="E896" s="667"/>
      <c r="F896" s="667">
        <v>15</v>
      </c>
      <c r="G896" s="667"/>
      <c r="H896" s="667"/>
      <c r="I896" s="667"/>
      <c r="J896" s="667"/>
      <c r="K896" s="667"/>
      <c r="L896" s="667"/>
      <c r="M896" s="667"/>
      <c r="N896" s="667"/>
      <c r="O896" s="667"/>
      <c r="P896" s="667"/>
      <c r="Q896" s="667"/>
      <c r="R896" s="667"/>
      <c r="S896" s="667"/>
      <c r="T896" s="667"/>
      <c r="U896" s="1020">
        <v>10</v>
      </c>
      <c r="V896" s="668">
        <f t="shared" si="268"/>
        <v>350</v>
      </c>
      <c r="W896" s="668">
        <f t="shared" si="269"/>
        <v>0</v>
      </c>
      <c r="X896" s="668">
        <f t="shared" si="270"/>
        <v>0</v>
      </c>
      <c r="Y896" s="668">
        <f t="shared" si="271"/>
        <v>0</v>
      </c>
      <c r="Z896" s="668">
        <f t="shared" si="272"/>
        <v>0</v>
      </c>
      <c r="AA896" s="668">
        <f t="shared" si="273"/>
        <v>0</v>
      </c>
      <c r="AB896" s="668">
        <f t="shared" si="274"/>
        <v>0</v>
      </c>
      <c r="AC896" s="668">
        <f t="shared" si="267"/>
        <v>0</v>
      </c>
      <c r="AD896" s="668">
        <f t="shared" si="275"/>
        <v>0</v>
      </c>
      <c r="AE896" s="668">
        <f t="shared" si="276"/>
        <v>0</v>
      </c>
      <c r="AF896" s="668">
        <f t="shared" si="277"/>
        <v>0</v>
      </c>
      <c r="AG896" s="668">
        <f t="shared" si="278"/>
        <v>0</v>
      </c>
      <c r="AH896" s="668"/>
      <c r="AI896" s="668"/>
      <c r="AJ896" s="668"/>
      <c r="AK896" s="668"/>
      <c r="AL896" s="668"/>
      <c r="AM896" s="668">
        <f t="shared" si="279"/>
        <v>0</v>
      </c>
      <c r="AN896" s="668">
        <f t="shared" si="263"/>
        <v>0</v>
      </c>
      <c r="AO896" s="668">
        <f t="shared" si="264"/>
        <v>0</v>
      </c>
      <c r="AP896" s="668">
        <f t="shared" si="280"/>
        <v>150</v>
      </c>
      <c r="AQ896" s="668">
        <f t="shared" si="265"/>
        <v>0</v>
      </c>
      <c r="AR896" s="668">
        <f t="shared" si="266"/>
        <v>0</v>
      </c>
      <c r="AS896" s="668"/>
      <c r="AT896" s="668"/>
      <c r="AU896" s="668"/>
      <c r="AV896" s="668"/>
      <c r="AW896" s="668"/>
      <c r="AX896" s="668"/>
      <c r="AY896" s="668"/>
      <c r="AZ896" s="668"/>
      <c r="BA896" s="668"/>
      <c r="BB896" s="668">
        <f t="shared" si="281"/>
        <v>150</v>
      </c>
      <c r="BC896" s="668"/>
      <c r="BD896" s="668"/>
      <c r="BE896" s="668"/>
      <c r="BF896" s="668"/>
      <c r="BG896" s="668"/>
      <c r="BH896" s="668"/>
      <c r="BI896" s="668"/>
    </row>
    <row r="897" spans="1:61" x14ac:dyDescent="0.2">
      <c r="A897" s="1020">
        <v>4183</v>
      </c>
      <c r="B897" s="1020" t="s">
        <v>672</v>
      </c>
      <c r="C897" s="1020"/>
      <c r="D897" s="667">
        <v>35</v>
      </c>
      <c r="E897" s="667"/>
      <c r="F897" s="667">
        <v>15</v>
      </c>
      <c r="G897" s="667"/>
      <c r="H897" s="667"/>
      <c r="I897" s="667"/>
      <c r="J897" s="667"/>
      <c r="K897" s="667"/>
      <c r="L897" s="667"/>
      <c r="M897" s="667"/>
      <c r="N897" s="667"/>
      <c r="O897" s="667"/>
      <c r="P897" s="667"/>
      <c r="Q897" s="667"/>
      <c r="R897" s="667"/>
      <c r="S897" s="667"/>
      <c r="T897" s="667"/>
      <c r="U897" s="1020">
        <v>10</v>
      </c>
      <c r="V897" s="668">
        <f t="shared" si="268"/>
        <v>350</v>
      </c>
      <c r="W897" s="668">
        <f t="shared" si="269"/>
        <v>0</v>
      </c>
      <c r="X897" s="668">
        <f t="shared" si="270"/>
        <v>0</v>
      </c>
      <c r="Y897" s="668">
        <f t="shared" si="271"/>
        <v>0</v>
      </c>
      <c r="Z897" s="668">
        <f t="shared" si="272"/>
        <v>0</v>
      </c>
      <c r="AA897" s="668">
        <f t="shared" si="273"/>
        <v>0</v>
      </c>
      <c r="AB897" s="668">
        <f t="shared" si="274"/>
        <v>0</v>
      </c>
      <c r="AC897" s="668">
        <f t="shared" si="267"/>
        <v>0</v>
      </c>
      <c r="AD897" s="668">
        <f t="shared" si="275"/>
        <v>0</v>
      </c>
      <c r="AE897" s="668">
        <f t="shared" si="276"/>
        <v>0</v>
      </c>
      <c r="AF897" s="668">
        <f t="shared" si="277"/>
        <v>0</v>
      </c>
      <c r="AG897" s="668">
        <f t="shared" si="278"/>
        <v>0</v>
      </c>
      <c r="AH897" s="668"/>
      <c r="AI897" s="668"/>
      <c r="AJ897" s="668"/>
      <c r="AK897" s="668"/>
      <c r="AL897" s="668"/>
      <c r="AM897" s="668">
        <f t="shared" si="279"/>
        <v>0</v>
      </c>
      <c r="AN897" s="668">
        <f t="shared" si="263"/>
        <v>0</v>
      </c>
      <c r="AO897" s="668">
        <f t="shared" si="264"/>
        <v>0</v>
      </c>
      <c r="AP897" s="668">
        <f t="shared" si="280"/>
        <v>150</v>
      </c>
      <c r="AQ897" s="668">
        <f t="shared" si="265"/>
        <v>0</v>
      </c>
      <c r="AR897" s="668">
        <f t="shared" si="266"/>
        <v>0</v>
      </c>
      <c r="AS897" s="668"/>
      <c r="AT897" s="668"/>
      <c r="AU897" s="668"/>
      <c r="AV897" s="668"/>
      <c r="AW897" s="668"/>
      <c r="AX897" s="668"/>
      <c r="AY897" s="668"/>
      <c r="AZ897" s="668"/>
      <c r="BA897" s="668"/>
      <c r="BB897" s="668">
        <f t="shared" si="281"/>
        <v>150</v>
      </c>
      <c r="BC897" s="668"/>
      <c r="BD897" s="668"/>
      <c r="BE897" s="668"/>
      <c r="BF897" s="668"/>
      <c r="BG897" s="668"/>
      <c r="BH897" s="668"/>
      <c r="BI897" s="668"/>
    </row>
    <row r="898" spans="1:61" x14ac:dyDescent="0.2">
      <c r="A898" s="1020">
        <v>4184</v>
      </c>
      <c r="B898" s="1020" t="s">
        <v>519</v>
      </c>
      <c r="C898" s="1020"/>
      <c r="D898" s="667">
        <v>35</v>
      </c>
      <c r="E898" s="667"/>
      <c r="F898" s="667">
        <v>15</v>
      </c>
      <c r="G898" s="667"/>
      <c r="H898" s="667"/>
      <c r="I898" s="667"/>
      <c r="J898" s="667"/>
      <c r="K898" s="667"/>
      <c r="L898" s="667"/>
      <c r="M898" s="667"/>
      <c r="N898" s="667"/>
      <c r="O898" s="667"/>
      <c r="P898" s="667"/>
      <c r="Q898" s="667"/>
      <c r="R898" s="667"/>
      <c r="S898" s="667"/>
      <c r="T898" s="667">
        <v>150</v>
      </c>
      <c r="U898" s="1020">
        <v>12</v>
      </c>
      <c r="V898" s="668">
        <f t="shared" si="268"/>
        <v>420</v>
      </c>
      <c r="W898" s="668">
        <f t="shared" si="269"/>
        <v>0</v>
      </c>
      <c r="X898" s="668">
        <f t="shared" si="270"/>
        <v>0</v>
      </c>
      <c r="Y898" s="668">
        <f t="shared" si="271"/>
        <v>0</v>
      </c>
      <c r="Z898" s="668">
        <f t="shared" si="272"/>
        <v>0</v>
      </c>
      <c r="AA898" s="668">
        <f t="shared" si="273"/>
        <v>0</v>
      </c>
      <c r="AB898" s="668">
        <f t="shared" si="274"/>
        <v>150</v>
      </c>
      <c r="AC898" s="668">
        <f t="shared" si="267"/>
        <v>0</v>
      </c>
      <c r="AD898" s="668">
        <f t="shared" si="275"/>
        <v>0</v>
      </c>
      <c r="AE898" s="668">
        <f t="shared" si="276"/>
        <v>0</v>
      </c>
      <c r="AF898" s="668">
        <f t="shared" si="277"/>
        <v>0</v>
      </c>
      <c r="AG898" s="668">
        <f t="shared" si="278"/>
        <v>0</v>
      </c>
      <c r="AH898" s="668"/>
      <c r="AI898" s="668"/>
      <c r="AJ898" s="668"/>
      <c r="AK898" s="668"/>
      <c r="AL898" s="668"/>
      <c r="AM898" s="668">
        <f t="shared" si="279"/>
        <v>0</v>
      </c>
      <c r="AN898" s="668">
        <f t="shared" si="263"/>
        <v>0</v>
      </c>
      <c r="AO898" s="668">
        <f t="shared" si="264"/>
        <v>0</v>
      </c>
      <c r="AP898" s="668">
        <f t="shared" si="280"/>
        <v>180</v>
      </c>
      <c r="AQ898" s="668">
        <f t="shared" si="265"/>
        <v>0</v>
      </c>
      <c r="AR898" s="668">
        <f t="shared" si="266"/>
        <v>0</v>
      </c>
      <c r="AS898" s="668"/>
      <c r="AT898" s="668"/>
      <c r="AU898" s="668"/>
      <c r="AV898" s="668"/>
      <c r="AW898" s="668"/>
      <c r="AX898" s="668"/>
      <c r="AY898" s="668"/>
      <c r="AZ898" s="668"/>
      <c r="BA898" s="668"/>
      <c r="BB898" s="668">
        <f t="shared" si="281"/>
        <v>180</v>
      </c>
      <c r="BC898" s="668"/>
      <c r="BD898" s="668"/>
      <c r="BE898" s="668"/>
      <c r="BF898" s="668"/>
      <c r="BG898" s="668"/>
      <c r="BH898" s="668"/>
      <c r="BI898" s="668"/>
    </row>
    <row r="899" spans="1:61" x14ac:dyDescent="0.2">
      <c r="A899" s="1020">
        <v>4185</v>
      </c>
      <c r="B899" s="1020" t="s">
        <v>519</v>
      </c>
      <c r="C899" s="1020"/>
      <c r="D899" s="667">
        <v>35</v>
      </c>
      <c r="E899" s="667"/>
      <c r="F899" s="667">
        <v>15</v>
      </c>
      <c r="G899" s="667"/>
      <c r="H899" s="667"/>
      <c r="I899" s="667"/>
      <c r="J899" s="667"/>
      <c r="K899" s="667"/>
      <c r="L899" s="667"/>
      <c r="M899" s="667"/>
      <c r="N899" s="667"/>
      <c r="O899" s="667"/>
      <c r="P899" s="667"/>
      <c r="Q899" s="667"/>
      <c r="R899" s="667"/>
      <c r="S899" s="667"/>
      <c r="T899" s="667">
        <v>150</v>
      </c>
      <c r="U899" s="1020">
        <v>12</v>
      </c>
      <c r="V899" s="668">
        <f t="shared" si="268"/>
        <v>420</v>
      </c>
      <c r="W899" s="668">
        <f t="shared" si="269"/>
        <v>0</v>
      </c>
      <c r="X899" s="668">
        <f t="shared" si="270"/>
        <v>0</v>
      </c>
      <c r="Y899" s="668">
        <f t="shared" si="271"/>
        <v>0</v>
      </c>
      <c r="Z899" s="668">
        <f t="shared" si="272"/>
        <v>0</v>
      </c>
      <c r="AA899" s="668">
        <f t="shared" si="273"/>
        <v>0</v>
      </c>
      <c r="AB899" s="668">
        <f t="shared" si="274"/>
        <v>150</v>
      </c>
      <c r="AC899" s="668">
        <f t="shared" si="267"/>
        <v>0</v>
      </c>
      <c r="AD899" s="668">
        <f t="shared" si="275"/>
        <v>0</v>
      </c>
      <c r="AE899" s="668">
        <f t="shared" si="276"/>
        <v>0</v>
      </c>
      <c r="AF899" s="668">
        <f t="shared" si="277"/>
        <v>0</v>
      </c>
      <c r="AG899" s="668">
        <f t="shared" si="278"/>
        <v>0</v>
      </c>
      <c r="AH899" s="668"/>
      <c r="AI899" s="668"/>
      <c r="AJ899" s="668"/>
      <c r="AK899" s="668"/>
      <c r="AL899" s="668"/>
      <c r="AM899" s="668">
        <f t="shared" si="279"/>
        <v>0</v>
      </c>
      <c r="AN899" s="668">
        <f t="shared" si="263"/>
        <v>0</v>
      </c>
      <c r="AO899" s="668">
        <f t="shared" si="264"/>
        <v>0</v>
      </c>
      <c r="AP899" s="668">
        <f t="shared" si="280"/>
        <v>180</v>
      </c>
      <c r="AQ899" s="668">
        <f t="shared" si="265"/>
        <v>0</v>
      </c>
      <c r="AR899" s="668">
        <f t="shared" si="266"/>
        <v>0</v>
      </c>
      <c r="AS899" s="668"/>
      <c r="AT899" s="668"/>
      <c r="AU899" s="668"/>
      <c r="AV899" s="668"/>
      <c r="AW899" s="668"/>
      <c r="AX899" s="668"/>
      <c r="AY899" s="668"/>
      <c r="AZ899" s="668"/>
      <c r="BA899" s="668"/>
      <c r="BB899" s="668">
        <f t="shared" si="281"/>
        <v>180</v>
      </c>
      <c r="BC899" s="668"/>
      <c r="BD899" s="668"/>
      <c r="BE899" s="668"/>
      <c r="BF899" s="668"/>
      <c r="BG899" s="668"/>
      <c r="BH899" s="668"/>
      <c r="BI899" s="668"/>
    </row>
    <row r="900" spans="1:61" x14ac:dyDescent="0.2">
      <c r="A900" s="1020">
        <v>4186</v>
      </c>
      <c r="B900" s="1020" t="s">
        <v>515</v>
      </c>
      <c r="C900" s="1020"/>
      <c r="D900" s="667">
        <v>108</v>
      </c>
      <c r="E900" s="667"/>
      <c r="F900" s="667"/>
      <c r="G900" s="667"/>
      <c r="H900" s="667"/>
      <c r="I900" s="667"/>
      <c r="J900" s="667"/>
      <c r="K900" s="667"/>
      <c r="L900" s="667"/>
      <c r="M900" s="667"/>
      <c r="N900" s="667"/>
      <c r="O900" s="667"/>
      <c r="P900" s="667"/>
      <c r="Q900" s="667"/>
      <c r="R900" s="667"/>
      <c r="S900" s="667"/>
      <c r="T900" s="667">
        <v>1313</v>
      </c>
      <c r="U900" s="1020">
        <v>12</v>
      </c>
      <c r="V900" s="668">
        <f t="shared" si="268"/>
        <v>1296</v>
      </c>
      <c r="W900" s="668">
        <f t="shared" si="269"/>
        <v>0</v>
      </c>
      <c r="X900" s="668">
        <f t="shared" si="270"/>
        <v>0</v>
      </c>
      <c r="Y900" s="668">
        <f t="shared" si="271"/>
        <v>0</v>
      </c>
      <c r="Z900" s="668">
        <f t="shared" si="272"/>
        <v>0</v>
      </c>
      <c r="AA900" s="668">
        <f t="shared" si="273"/>
        <v>0</v>
      </c>
      <c r="AB900" s="668">
        <f t="shared" si="274"/>
        <v>1313</v>
      </c>
      <c r="AC900" s="668">
        <f t="shared" si="267"/>
        <v>0</v>
      </c>
      <c r="AD900" s="668">
        <f t="shared" si="275"/>
        <v>0</v>
      </c>
      <c r="AE900" s="668">
        <f t="shared" si="276"/>
        <v>0</v>
      </c>
      <c r="AF900" s="668">
        <f t="shared" si="277"/>
        <v>0</v>
      </c>
      <c r="AG900" s="668">
        <f t="shared" si="278"/>
        <v>0</v>
      </c>
      <c r="AH900" s="668"/>
      <c r="AI900" s="668"/>
      <c r="AJ900" s="668"/>
      <c r="AK900" s="668"/>
      <c r="AL900" s="668"/>
      <c r="AM900" s="668">
        <f t="shared" si="279"/>
        <v>0</v>
      </c>
      <c r="AN900" s="668">
        <f t="shared" si="263"/>
        <v>0</v>
      </c>
      <c r="AO900" s="668">
        <f t="shared" si="264"/>
        <v>0</v>
      </c>
      <c r="AP900" s="668">
        <f t="shared" si="280"/>
        <v>0</v>
      </c>
      <c r="AQ900" s="668">
        <f t="shared" si="265"/>
        <v>0</v>
      </c>
      <c r="AR900" s="668">
        <f t="shared" si="266"/>
        <v>0</v>
      </c>
      <c r="AS900" s="668"/>
      <c r="AT900" s="668"/>
      <c r="AU900" s="668"/>
      <c r="AV900" s="668"/>
      <c r="AW900" s="668"/>
      <c r="AX900" s="668"/>
      <c r="AY900" s="668"/>
      <c r="AZ900" s="668"/>
      <c r="BA900" s="668"/>
      <c r="BB900" s="668">
        <f t="shared" si="281"/>
        <v>0</v>
      </c>
      <c r="BC900" s="668"/>
      <c r="BD900" s="668"/>
      <c r="BE900" s="668"/>
      <c r="BF900" s="668"/>
      <c r="BG900" s="668"/>
      <c r="BH900" s="668"/>
      <c r="BI900" s="668"/>
    </row>
    <row r="901" spans="1:61" x14ac:dyDescent="0.2">
      <c r="A901" s="1020">
        <v>4187</v>
      </c>
      <c r="B901" s="1020" t="s">
        <v>515</v>
      </c>
      <c r="C901" s="1020"/>
      <c r="D901" s="667">
        <v>75</v>
      </c>
      <c r="E901" s="667"/>
      <c r="F901" s="667">
        <v>40</v>
      </c>
      <c r="G901" s="667"/>
      <c r="H901" s="667"/>
      <c r="I901" s="667"/>
      <c r="J901" s="667"/>
      <c r="K901" s="667"/>
      <c r="L901" s="667"/>
      <c r="M901" s="667"/>
      <c r="N901" s="667"/>
      <c r="O901" s="667"/>
      <c r="P901" s="667"/>
      <c r="Q901" s="667"/>
      <c r="R901" s="667"/>
      <c r="S901" s="667"/>
      <c r="T901" s="667">
        <v>2341</v>
      </c>
      <c r="U901" s="1020">
        <v>12</v>
      </c>
      <c r="V901" s="668">
        <f t="shared" si="268"/>
        <v>900</v>
      </c>
      <c r="W901" s="668">
        <f t="shared" si="269"/>
        <v>0</v>
      </c>
      <c r="X901" s="668">
        <f t="shared" si="270"/>
        <v>0</v>
      </c>
      <c r="Y901" s="668">
        <f t="shared" si="271"/>
        <v>0</v>
      </c>
      <c r="Z901" s="668">
        <f t="shared" si="272"/>
        <v>0</v>
      </c>
      <c r="AA901" s="668">
        <f t="shared" si="273"/>
        <v>0</v>
      </c>
      <c r="AB901" s="668">
        <f t="shared" si="274"/>
        <v>2341</v>
      </c>
      <c r="AC901" s="668">
        <f t="shared" si="267"/>
        <v>0</v>
      </c>
      <c r="AD901" s="668">
        <f t="shared" si="275"/>
        <v>0</v>
      </c>
      <c r="AE901" s="668">
        <f t="shared" si="276"/>
        <v>0</v>
      </c>
      <c r="AF901" s="668">
        <f t="shared" si="277"/>
        <v>0</v>
      </c>
      <c r="AG901" s="668">
        <f t="shared" si="278"/>
        <v>0</v>
      </c>
      <c r="AH901" s="668"/>
      <c r="AI901" s="668"/>
      <c r="AJ901" s="668"/>
      <c r="AK901" s="668"/>
      <c r="AL901" s="668"/>
      <c r="AM901" s="668">
        <f t="shared" si="279"/>
        <v>0</v>
      </c>
      <c r="AN901" s="668">
        <f t="shared" si="263"/>
        <v>0</v>
      </c>
      <c r="AO901" s="668">
        <f t="shared" si="264"/>
        <v>0</v>
      </c>
      <c r="AP901" s="668">
        <f t="shared" si="280"/>
        <v>480</v>
      </c>
      <c r="AQ901" s="668">
        <f t="shared" si="265"/>
        <v>0</v>
      </c>
      <c r="AR901" s="668">
        <f t="shared" si="266"/>
        <v>0</v>
      </c>
      <c r="AS901" s="668"/>
      <c r="AT901" s="668"/>
      <c r="AU901" s="668"/>
      <c r="AV901" s="668"/>
      <c r="AW901" s="668"/>
      <c r="AX901" s="668"/>
      <c r="AY901" s="668"/>
      <c r="AZ901" s="668"/>
      <c r="BA901" s="668"/>
      <c r="BB901" s="668"/>
      <c r="BC901" s="668"/>
      <c r="BD901" s="668"/>
      <c r="BE901" s="668"/>
      <c r="BF901" s="668"/>
      <c r="BG901" s="668"/>
      <c r="BH901" s="668"/>
      <c r="BI901" s="668"/>
    </row>
    <row r="902" spans="1:61" x14ac:dyDescent="0.2">
      <c r="A902" s="1020">
        <v>4188</v>
      </c>
      <c r="B902" s="1020" t="s">
        <v>519</v>
      </c>
      <c r="C902" s="1020"/>
      <c r="D902" s="667">
        <v>35</v>
      </c>
      <c r="E902" s="667"/>
      <c r="F902" s="667">
        <v>15</v>
      </c>
      <c r="G902" s="667"/>
      <c r="H902" s="667"/>
      <c r="I902" s="667"/>
      <c r="J902" s="667"/>
      <c r="K902" s="667"/>
      <c r="L902" s="667"/>
      <c r="M902" s="667"/>
      <c r="N902" s="667"/>
      <c r="O902" s="667"/>
      <c r="P902" s="667"/>
      <c r="Q902" s="667"/>
      <c r="R902" s="667"/>
      <c r="S902" s="667"/>
      <c r="T902" s="667">
        <v>150</v>
      </c>
      <c r="U902" s="1020">
        <v>12</v>
      </c>
      <c r="V902" s="668">
        <f t="shared" si="268"/>
        <v>420</v>
      </c>
      <c r="W902" s="668">
        <f t="shared" si="269"/>
        <v>0</v>
      </c>
      <c r="X902" s="668">
        <f t="shared" si="270"/>
        <v>0</v>
      </c>
      <c r="Y902" s="668">
        <f t="shared" si="271"/>
        <v>0</v>
      </c>
      <c r="Z902" s="668">
        <f t="shared" si="272"/>
        <v>0</v>
      </c>
      <c r="AA902" s="668">
        <f t="shared" si="273"/>
        <v>0</v>
      </c>
      <c r="AB902" s="668">
        <f t="shared" si="274"/>
        <v>150</v>
      </c>
      <c r="AC902" s="668">
        <f t="shared" si="267"/>
        <v>0</v>
      </c>
      <c r="AD902" s="668">
        <f t="shared" si="275"/>
        <v>0</v>
      </c>
      <c r="AE902" s="668">
        <f t="shared" si="276"/>
        <v>0</v>
      </c>
      <c r="AF902" s="668">
        <f t="shared" si="277"/>
        <v>0</v>
      </c>
      <c r="AG902" s="668">
        <f t="shared" si="278"/>
        <v>0</v>
      </c>
      <c r="AH902" s="668"/>
      <c r="AI902" s="668"/>
      <c r="AJ902" s="668"/>
      <c r="AK902" s="668"/>
      <c r="AL902" s="668"/>
      <c r="AM902" s="668">
        <f t="shared" si="279"/>
        <v>0</v>
      </c>
      <c r="AN902" s="668">
        <f t="shared" si="263"/>
        <v>0</v>
      </c>
      <c r="AO902" s="668">
        <f t="shared" si="264"/>
        <v>0</v>
      </c>
      <c r="AP902" s="668">
        <f t="shared" si="280"/>
        <v>180</v>
      </c>
      <c r="AQ902" s="668">
        <f t="shared" si="265"/>
        <v>0</v>
      </c>
      <c r="AR902" s="668">
        <f t="shared" si="266"/>
        <v>0</v>
      </c>
      <c r="AS902" s="668"/>
      <c r="AT902" s="668"/>
      <c r="AU902" s="668"/>
      <c r="AV902" s="668"/>
      <c r="AW902" s="668"/>
      <c r="AX902" s="668"/>
      <c r="AY902" s="668"/>
      <c r="AZ902" s="668"/>
      <c r="BA902" s="668"/>
      <c r="BB902" s="668">
        <f t="shared" si="281"/>
        <v>180</v>
      </c>
      <c r="BC902" s="668"/>
      <c r="BD902" s="668"/>
      <c r="BE902" s="668"/>
      <c r="BF902" s="668"/>
      <c r="BG902" s="668"/>
      <c r="BH902" s="668"/>
      <c r="BI902" s="668"/>
    </row>
    <row r="903" spans="1:61" x14ac:dyDescent="0.2">
      <c r="A903" s="1020">
        <v>4190</v>
      </c>
      <c r="B903" s="1020" t="s">
        <v>684</v>
      </c>
      <c r="C903" s="1020"/>
      <c r="D903" s="667">
        <v>50</v>
      </c>
      <c r="E903" s="667"/>
      <c r="F903" s="667">
        <v>50</v>
      </c>
      <c r="G903" s="667"/>
      <c r="H903" s="667"/>
      <c r="I903" s="667"/>
      <c r="J903" s="667"/>
      <c r="K903" s="667"/>
      <c r="L903" s="667"/>
      <c r="M903" s="667"/>
      <c r="N903" s="667"/>
      <c r="O903" s="667"/>
      <c r="P903" s="667"/>
      <c r="Q903" s="667"/>
      <c r="R903" s="667"/>
      <c r="S903" s="667"/>
      <c r="T903" s="667"/>
      <c r="U903" s="1020">
        <v>10</v>
      </c>
      <c r="V903" s="668">
        <f t="shared" si="268"/>
        <v>500</v>
      </c>
      <c r="W903" s="668">
        <f t="shared" si="269"/>
        <v>0</v>
      </c>
      <c r="X903" s="668">
        <f t="shared" si="270"/>
        <v>0</v>
      </c>
      <c r="Y903" s="668">
        <f t="shared" si="271"/>
        <v>0</v>
      </c>
      <c r="Z903" s="668">
        <f t="shared" si="272"/>
        <v>0</v>
      </c>
      <c r="AA903" s="668">
        <f t="shared" si="273"/>
        <v>0</v>
      </c>
      <c r="AB903" s="668">
        <f t="shared" si="274"/>
        <v>0</v>
      </c>
      <c r="AC903" s="668">
        <f t="shared" si="267"/>
        <v>0</v>
      </c>
      <c r="AD903" s="668">
        <f t="shared" si="275"/>
        <v>0</v>
      </c>
      <c r="AE903" s="668">
        <f t="shared" si="276"/>
        <v>0</v>
      </c>
      <c r="AF903" s="668">
        <f t="shared" si="277"/>
        <v>0</v>
      </c>
      <c r="AG903" s="668">
        <f t="shared" si="278"/>
        <v>0</v>
      </c>
      <c r="AH903" s="668"/>
      <c r="AI903" s="668"/>
      <c r="AJ903" s="668"/>
      <c r="AK903" s="668"/>
      <c r="AL903" s="668"/>
      <c r="AM903" s="668">
        <f t="shared" si="279"/>
        <v>0</v>
      </c>
      <c r="AN903" s="668">
        <f t="shared" si="263"/>
        <v>0</v>
      </c>
      <c r="AO903" s="668">
        <f t="shared" si="264"/>
        <v>0</v>
      </c>
      <c r="AP903" s="668">
        <f t="shared" si="280"/>
        <v>500</v>
      </c>
      <c r="AQ903" s="668">
        <f t="shared" si="265"/>
        <v>0</v>
      </c>
      <c r="AR903" s="668">
        <f t="shared" si="266"/>
        <v>0</v>
      </c>
      <c r="AS903" s="668"/>
      <c r="AT903" s="668"/>
      <c r="AU903" s="668"/>
      <c r="AV903" s="668"/>
      <c r="AW903" s="668"/>
      <c r="AX903" s="668"/>
      <c r="AY903" s="668"/>
      <c r="AZ903" s="668"/>
      <c r="BA903" s="668"/>
      <c r="BB903" s="668"/>
      <c r="BC903" s="668"/>
      <c r="BD903" s="668"/>
      <c r="BE903" s="668"/>
      <c r="BF903" s="668"/>
      <c r="BG903" s="668"/>
      <c r="BH903" s="668"/>
      <c r="BI903" s="668"/>
    </row>
    <row r="904" spans="1:61" x14ac:dyDescent="0.2">
      <c r="A904" s="1020">
        <v>4191</v>
      </c>
      <c r="B904" s="1020" t="s">
        <v>486</v>
      </c>
      <c r="C904" s="1020"/>
      <c r="D904" s="667">
        <v>76</v>
      </c>
      <c r="E904" s="667"/>
      <c r="F904" s="667"/>
      <c r="G904" s="667"/>
      <c r="H904" s="667"/>
      <c r="I904" s="667"/>
      <c r="J904" s="667"/>
      <c r="K904" s="667"/>
      <c r="L904" s="667">
        <v>2</v>
      </c>
      <c r="M904" s="667"/>
      <c r="N904" s="667"/>
      <c r="O904" s="667"/>
      <c r="P904" s="667"/>
      <c r="Q904" s="667"/>
      <c r="R904" s="667"/>
      <c r="S904" s="667"/>
      <c r="T904" s="667"/>
      <c r="U904" s="1020">
        <v>12</v>
      </c>
      <c r="V904" s="668">
        <f t="shared" si="268"/>
        <v>912</v>
      </c>
      <c r="W904" s="668">
        <f t="shared" si="269"/>
        <v>0</v>
      </c>
      <c r="X904" s="668">
        <f t="shared" si="270"/>
        <v>0</v>
      </c>
      <c r="Y904" s="668">
        <f t="shared" si="271"/>
        <v>0</v>
      </c>
      <c r="Z904" s="668">
        <f t="shared" si="272"/>
        <v>0</v>
      </c>
      <c r="AA904" s="668">
        <f t="shared" si="273"/>
        <v>0</v>
      </c>
      <c r="AB904" s="668">
        <f t="shared" si="274"/>
        <v>0</v>
      </c>
      <c r="AC904" s="668">
        <f t="shared" si="267"/>
        <v>0</v>
      </c>
      <c r="AD904" s="668">
        <f t="shared" si="275"/>
        <v>0</v>
      </c>
      <c r="AE904" s="668">
        <f t="shared" si="276"/>
        <v>0</v>
      </c>
      <c r="AF904" s="668">
        <f t="shared" si="277"/>
        <v>24</v>
      </c>
      <c r="AG904" s="668">
        <f t="shared" si="278"/>
        <v>0</v>
      </c>
      <c r="AH904" s="668"/>
      <c r="AI904" s="668"/>
      <c r="AJ904" s="668"/>
      <c r="AK904" s="668"/>
      <c r="AL904" s="668"/>
      <c r="AM904" s="668">
        <f t="shared" si="279"/>
        <v>0</v>
      </c>
      <c r="AN904" s="668">
        <f t="shared" ref="AN904:AN967" si="282">+U904*E904</f>
        <v>0</v>
      </c>
      <c r="AO904" s="668">
        <f t="shared" ref="AO904:AO967" si="283">+U904*O904</f>
        <v>0</v>
      </c>
      <c r="AP904" s="668">
        <f t="shared" si="280"/>
        <v>0</v>
      </c>
      <c r="AQ904" s="668">
        <f t="shared" ref="AQ904:AQ967" si="284">+$AQ$4*K904</f>
        <v>0</v>
      </c>
      <c r="AR904" s="668">
        <f t="shared" ref="AR904:AR967" si="285">+$AR$4*K904</f>
        <v>0</v>
      </c>
      <c r="AS904" s="668"/>
      <c r="AT904" s="668"/>
      <c r="AU904" s="668"/>
      <c r="AV904" s="668"/>
      <c r="AW904" s="668"/>
      <c r="AX904" s="668"/>
      <c r="AY904" s="668"/>
      <c r="AZ904" s="668"/>
      <c r="BA904" s="668"/>
      <c r="BB904" s="668">
        <f t="shared" si="281"/>
        <v>0</v>
      </c>
      <c r="BC904" s="668"/>
      <c r="BD904" s="668"/>
      <c r="BE904" s="668"/>
      <c r="BF904" s="668"/>
      <c r="BG904" s="668"/>
      <c r="BH904" s="668"/>
      <c r="BI904" s="668"/>
    </row>
    <row r="905" spans="1:61" x14ac:dyDescent="0.2">
      <c r="A905" s="1020">
        <v>4192</v>
      </c>
      <c r="B905" s="1020" t="s">
        <v>579</v>
      </c>
      <c r="C905" s="1020"/>
      <c r="D905" s="667">
        <v>78</v>
      </c>
      <c r="E905" s="667"/>
      <c r="F905" s="667"/>
      <c r="G905" s="667"/>
      <c r="H905" s="667"/>
      <c r="I905" s="667"/>
      <c r="J905" s="667"/>
      <c r="K905" s="667"/>
      <c r="L905" s="667"/>
      <c r="M905" s="667"/>
      <c r="N905" s="667"/>
      <c r="O905" s="667"/>
      <c r="P905" s="667"/>
      <c r="Q905" s="667"/>
      <c r="R905" s="667"/>
      <c r="S905" s="667"/>
      <c r="T905" s="667"/>
      <c r="U905" s="1020">
        <v>12</v>
      </c>
      <c r="V905" s="668">
        <f t="shared" si="268"/>
        <v>936</v>
      </c>
      <c r="W905" s="668">
        <f t="shared" si="269"/>
        <v>0</v>
      </c>
      <c r="X905" s="668">
        <f t="shared" si="270"/>
        <v>0</v>
      </c>
      <c r="Y905" s="668">
        <f t="shared" si="271"/>
        <v>0</v>
      </c>
      <c r="Z905" s="668">
        <f t="shared" si="272"/>
        <v>0</v>
      </c>
      <c r="AA905" s="668">
        <f t="shared" si="273"/>
        <v>0</v>
      </c>
      <c r="AB905" s="668">
        <f t="shared" si="274"/>
        <v>0</v>
      </c>
      <c r="AC905" s="668">
        <f t="shared" si="267"/>
        <v>0</v>
      </c>
      <c r="AD905" s="668">
        <f t="shared" si="275"/>
        <v>0</v>
      </c>
      <c r="AE905" s="668">
        <f t="shared" si="276"/>
        <v>0</v>
      </c>
      <c r="AF905" s="668">
        <f t="shared" si="277"/>
        <v>0</v>
      </c>
      <c r="AG905" s="668">
        <f t="shared" si="278"/>
        <v>0</v>
      </c>
      <c r="AH905" s="668"/>
      <c r="AI905" s="668"/>
      <c r="AJ905" s="668"/>
      <c r="AK905" s="668"/>
      <c r="AL905" s="668"/>
      <c r="AM905" s="668">
        <f t="shared" si="279"/>
        <v>0</v>
      </c>
      <c r="AN905" s="668">
        <f t="shared" si="282"/>
        <v>0</v>
      </c>
      <c r="AO905" s="668">
        <f t="shared" si="283"/>
        <v>0</v>
      </c>
      <c r="AP905" s="668">
        <f t="shared" si="280"/>
        <v>0</v>
      </c>
      <c r="AQ905" s="668">
        <f t="shared" si="284"/>
        <v>0</v>
      </c>
      <c r="AR905" s="668">
        <f t="shared" si="285"/>
        <v>0</v>
      </c>
      <c r="AS905" s="668"/>
      <c r="AT905" s="668"/>
      <c r="AU905" s="668"/>
      <c r="AV905" s="668"/>
      <c r="AW905" s="668"/>
      <c r="AX905" s="668"/>
      <c r="AY905" s="668"/>
      <c r="AZ905" s="668"/>
      <c r="BA905" s="668"/>
      <c r="BB905" s="668">
        <f t="shared" si="281"/>
        <v>0</v>
      </c>
      <c r="BC905" s="668"/>
      <c r="BD905" s="668"/>
      <c r="BE905" s="668"/>
      <c r="BF905" s="668"/>
      <c r="BG905" s="668"/>
      <c r="BH905" s="668"/>
      <c r="BI905" s="668"/>
    </row>
    <row r="906" spans="1:61" x14ac:dyDescent="0.2">
      <c r="A906" s="1020">
        <v>4193</v>
      </c>
      <c r="B906" s="1020" t="s">
        <v>476</v>
      </c>
      <c r="C906" s="1020"/>
      <c r="D906" s="667">
        <v>72</v>
      </c>
      <c r="E906" s="667"/>
      <c r="F906" s="667"/>
      <c r="G906" s="667"/>
      <c r="H906" s="667"/>
      <c r="I906" s="667"/>
      <c r="J906" s="667"/>
      <c r="K906" s="667"/>
      <c r="L906" s="667">
        <v>2</v>
      </c>
      <c r="M906" s="667"/>
      <c r="N906" s="667"/>
      <c r="O906" s="667"/>
      <c r="P906" s="667"/>
      <c r="Q906" s="667"/>
      <c r="R906" s="667"/>
      <c r="S906" s="667"/>
      <c r="T906" s="667"/>
      <c r="U906" s="1020">
        <v>12</v>
      </c>
      <c r="V906" s="668">
        <f t="shared" si="268"/>
        <v>864</v>
      </c>
      <c r="W906" s="668">
        <f t="shared" si="269"/>
        <v>0</v>
      </c>
      <c r="X906" s="668">
        <f t="shared" si="270"/>
        <v>0</v>
      </c>
      <c r="Y906" s="668">
        <f t="shared" si="271"/>
        <v>0</v>
      </c>
      <c r="Z906" s="668">
        <f t="shared" si="272"/>
        <v>0</v>
      </c>
      <c r="AA906" s="668">
        <f t="shared" si="273"/>
        <v>0</v>
      </c>
      <c r="AB906" s="668">
        <f t="shared" si="274"/>
        <v>0</v>
      </c>
      <c r="AC906" s="668">
        <f t="shared" ref="AC906:AC969" si="286">+U906*P906</f>
        <v>0</v>
      </c>
      <c r="AD906" s="668">
        <f t="shared" si="275"/>
        <v>0</v>
      </c>
      <c r="AE906" s="668">
        <f t="shared" si="276"/>
        <v>0</v>
      </c>
      <c r="AF906" s="668">
        <f t="shared" si="277"/>
        <v>24</v>
      </c>
      <c r="AG906" s="668">
        <f t="shared" si="278"/>
        <v>0</v>
      </c>
      <c r="AH906" s="668"/>
      <c r="AI906" s="668"/>
      <c r="AJ906" s="668"/>
      <c r="AK906" s="668"/>
      <c r="AL906" s="668"/>
      <c r="AM906" s="668">
        <f t="shared" si="279"/>
        <v>0</v>
      </c>
      <c r="AN906" s="668">
        <f t="shared" si="282"/>
        <v>0</v>
      </c>
      <c r="AO906" s="668">
        <f t="shared" si="283"/>
        <v>0</v>
      </c>
      <c r="AP906" s="668">
        <f t="shared" si="280"/>
        <v>0</v>
      </c>
      <c r="AQ906" s="668">
        <f t="shared" si="284"/>
        <v>0</v>
      </c>
      <c r="AR906" s="668">
        <f t="shared" si="285"/>
        <v>0</v>
      </c>
      <c r="AS906" s="668"/>
      <c r="AT906" s="668"/>
      <c r="AU906" s="668"/>
      <c r="AV906" s="668"/>
      <c r="AW906" s="668"/>
      <c r="AX906" s="668"/>
      <c r="AY906" s="668"/>
      <c r="AZ906" s="668"/>
      <c r="BA906" s="668"/>
      <c r="BB906" s="668">
        <f t="shared" si="281"/>
        <v>0</v>
      </c>
      <c r="BC906" s="668"/>
      <c r="BD906" s="668"/>
      <c r="BE906" s="668"/>
      <c r="BF906" s="668"/>
      <c r="BG906" s="668"/>
      <c r="BH906" s="668"/>
      <c r="BI906" s="668"/>
    </row>
    <row r="907" spans="1:61" x14ac:dyDescent="0.2">
      <c r="A907" s="1020">
        <v>4194</v>
      </c>
      <c r="B907" s="1020" t="s">
        <v>684</v>
      </c>
      <c r="C907" s="1020"/>
      <c r="D907" s="667">
        <v>48</v>
      </c>
      <c r="E907" s="667"/>
      <c r="F907" s="667">
        <v>48</v>
      </c>
      <c r="G907" s="667"/>
      <c r="H907" s="667"/>
      <c r="I907" s="667"/>
      <c r="J907" s="667"/>
      <c r="K907" s="667"/>
      <c r="L907" s="667"/>
      <c r="M907" s="667"/>
      <c r="N907" s="667"/>
      <c r="O907" s="667"/>
      <c r="P907" s="667"/>
      <c r="Q907" s="667"/>
      <c r="R907" s="667"/>
      <c r="S907" s="667"/>
      <c r="T907" s="667"/>
      <c r="U907" s="1020">
        <v>10</v>
      </c>
      <c r="V907" s="668">
        <f t="shared" si="268"/>
        <v>480</v>
      </c>
      <c r="W907" s="668">
        <f t="shared" si="269"/>
        <v>0</v>
      </c>
      <c r="X907" s="668">
        <f t="shared" si="270"/>
        <v>0</v>
      </c>
      <c r="Y907" s="668">
        <f t="shared" si="271"/>
        <v>0</v>
      </c>
      <c r="Z907" s="668">
        <f t="shared" si="272"/>
        <v>0</v>
      </c>
      <c r="AA907" s="668">
        <f t="shared" si="273"/>
        <v>0</v>
      </c>
      <c r="AB907" s="668">
        <f t="shared" si="274"/>
        <v>0</v>
      </c>
      <c r="AC907" s="668">
        <f t="shared" si="286"/>
        <v>0</v>
      </c>
      <c r="AD907" s="668">
        <f t="shared" si="275"/>
        <v>0</v>
      </c>
      <c r="AE907" s="668">
        <f t="shared" si="276"/>
        <v>0</v>
      </c>
      <c r="AF907" s="668">
        <f t="shared" si="277"/>
        <v>0</v>
      </c>
      <c r="AG907" s="668">
        <f t="shared" si="278"/>
        <v>0</v>
      </c>
      <c r="AH907" s="668"/>
      <c r="AI907" s="668"/>
      <c r="AJ907" s="668"/>
      <c r="AK907" s="668"/>
      <c r="AL907" s="668"/>
      <c r="AM907" s="668">
        <f t="shared" si="279"/>
        <v>0</v>
      </c>
      <c r="AN907" s="668">
        <f t="shared" si="282"/>
        <v>0</v>
      </c>
      <c r="AO907" s="668">
        <f t="shared" si="283"/>
        <v>0</v>
      </c>
      <c r="AP907" s="668">
        <f t="shared" si="280"/>
        <v>480</v>
      </c>
      <c r="AQ907" s="668">
        <f t="shared" si="284"/>
        <v>0</v>
      </c>
      <c r="AR907" s="668">
        <f t="shared" si="285"/>
        <v>0</v>
      </c>
      <c r="AS907" s="668"/>
      <c r="AT907" s="668"/>
      <c r="AU907" s="668"/>
      <c r="AV907" s="668"/>
      <c r="AW907" s="668"/>
      <c r="AX907" s="668"/>
      <c r="AY907" s="668"/>
      <c r="AZ907" s="668"/>
      <c r="BA907" s="668"/>
      <c r="BB907" s="668"/>
      <c r="BC907" s="668"/>
      <c r="BD907" s="668"/>
      <c r="BE907" s="668"/>
      <c r="BF907" s="668"/>
      <c r="BG907" s="668"/>
      <c r="BH907" s="668"/>
      <c r="BI907" s="668"/>
    </row>
    <row r="908" spans="1:61" x14ac:dyDescent="0.2">
      <c r="A908" s="1020">
        <v>4195</v>
      </c>
      <c r="B908" s="1020" t="s">
        <v>467</v>
      </c>
      <c r="C908" s="1020"/>
      <c r="D908" s="667">
        <v>80</v>
      </c>
      <c r="E908" s="667"/>
      <c r="F908" s="667"/>
      <c r="G908" s="667"/>
      <c r="H908" s="667"/>
      <c r="I908" s="667"/>
      <c r="J908" s="667"/>
      <c r="K908" s="667"/>
      <c r="L908" s="667"/>
      <c r="M908" s="667"/>
      <c r="N908" s="667"/>
      <c r="O908" s="667"/>
      <c r="P908" s="667"/>
      <c r="Q908" s="667"/>
      <c r="R908" s="667"/>
      <c r="S908" s="667"/>
      <c r="T908" s="667"/>
      <c r="U908" s="1020">
        <v>3</v>
      </c>
      <c r="V908" s="668">
        <f t="shared" ref="V908:V980" si="287">+U908*D908</f>
        <v>240</v>
      </c>
      <c r="W908" s="668">
        <f t="shared" ref="W908:W980" si="288">+U908*G908</f>
        <v>0</v>
      </c>
      <c r="X908" s="668">
        <f t="shared" ref="X908:X980" si="289">+U908*H908</f>
        <v>0</v>
      </c>
      <c r="Y908" s="668">
        <f t="shared" ref="Y908:Y980" si="290">+U908*J908</f>
        <v>0</v>
      </c>
      <c r="Z908" s="668">
        <f t="shared" ref="Z908:Z980" si="291">IF(C908="y",V908+W908+X908+Y908,0)</f>
        <v>0</v>
      </c>
      <c r="AA908" s="668">
        <f t="shared" ref="AA908:AA980" si="292">+S908</f>
        <v>0</v>
      </c>
      <c r="AB908" s="668">
        <f t="shared" ref="AB908:AB980" si="293">+T908</f>
        <v>0</v>
      </c>
      <c r="AC908" s="668">
        <f t="shared" si="286"/>
        <v>0</v>
      </c>
      <c r="AD908" s="668">
        <f t="shared" ref="AD908:AD980" si="294">+Q908</f>
        <v>0</v>
      </c>
      <c r="AE908" s="668">
        <f t="shared" ref="AE908:AE980" si="295">+U908*M908</f>
        <v>0</v>
      </c>
      <c r="AF908" s="668">
        <f t="shared" ref="AF908:AF980" si="296">+L908*U908</f>
        <v>0</v>
      </c>
      <c r="AG908" s="668">
        <f t="shared" ref="AG908:AG980" si="297">+$AG$4*N908</f>
        <v>0</v>
      </c>
      <c r="AH908" s="668"/>
      <c r="AI908" s="668"/>
      <c r="AJ908" s="668"/>
      <c r="AK908" s="668"/>
      <c r="AL908" s="668"/>
      <c r="AM908" s="668">
        <f t="shared" si="279"/>
        <v>0</v>
      </c>
      <c r="AN908" s="668">
        <f t="shared" si="282"/>
        <v>0</v>
      </c>
      <c r="AO908" s="668">
        <f t="shared" si="283"/>
        <v>0</v>
      </c>
      <c r="AP908" s="668">
        <f t="shared" si="280"/>
        <v>0</v>
      </c>
      <c r="AQ908" s="668">
        <f t="shared" si="284"/>
        <v>0</v>
      </c>
      <c r="AR908" s="668">
        <f t="shared" si="285"/>
        <v>0</v>
      </c>
      <c r="AS908" s="668"/>
      <c r="AT908" s="668"/>
      <c r="AU908" s="668"/>
      <c r="AV908" s="668"/>
      <c r="AW908" s="668"/>
      <c r="AX908" s="668"/>
      <c r="AY908" s="668"/>
      <c r="AZ908" s="668"/>
      <c r="BA908" s="668"/>
      <c r="BB908" s="668">
        <f t="shared" si="281"/>
        <v>0</v>
      </c>
      <c r="BC908" s="668"/>
      <c r="BD908" s="668"/>
      <c r="BE908" s="668"/>
      <c r="BF908" s="668"/>
      <c r="BG908" s="668"/>
      <c r="BH908" s="668"/>
      <c r="BI908" s="668"/>
    </row>
    <row r="909" spans="1:61" x14ac:dyDescent="0.2">
      <c r="A909" s="1020">
        <v>4196</v>
      </c>
      <c r="B909" s="1020" t="s">
        <v>466</v>
      </c>
      <c r="C909" s="1020"/>
      <c r="D909" s="667">
        <v>80</v>
      </c>
      <c r="E909" s="667"/>
      <c r="F909" s="667"/>
      <c r="G909" s="667"/>
      <c r="H909" s="667"/>
      <c r="I909" s="667"/>
      <c r="J909" s="667"/>
      <c r="K909" s="667"/>
      <c r="L909" s="667"/>
      <c r="M909" s="667"/>
      <c r="N909" s="667"/>
      <c r="O909" s="667"/>
      <c r="P909" s="667"/>
      <c r="Q909" s="667"/>
      <c r="R909" s="667"/>
      <c r="S909" s="667"/>
      <c r="T909" s="667"/>
      <c r="U909" s="1020">
        <v>3</v>
      </c>
      <c r="V909" s="668">
        <f t="shared" si="287"/>
        <v>240</v>
      </c>
      <c r="W909" s="668">
        <f t="shared" si="288"/>
        <v>0</v>
      </c>
      <c r="X909" s="668">
        <f t="shared" si="289"/>
        <v>0</v>
      </c>
      <c r="Y909" s="668">
        <f t="shared" si="290"/>
        <v>0</v>
      </c>
      <c r="Z909" s="668">
        <f t="shared" si="291"/>
        <v>0</v>
      </c>
      <c r="AA909" s="668">
        <f t="shared" si="292"/>
        <v>0</v>
      </c>
      <c r="AB909" s="668">
        <f t="shared" si="293"/>
        <v>0</v>
      </c>
      <c r="AC909" s="668">
        <f t="shared" si="286"/>
        <v>0</v>
      </c>
      <c r="AD909" s="668">
        <f t="shared" si="294"/>
        <v>0</v>
      </c>
      <c r="AE909" s="668">
        <f t="shared" si="295"/>
        <v>0</v>
      </c>
      <c r="AF909" s="668">
        <f t="shared" si="296"/>
        <v>0</v>
      </c>
      <c r="AG909" s="668">
        <f t="shared" si="297"/>
        <v>0</v>
      </c>
      <c r="AH909" s="668"/>
      <c r="AI909" s="668"/>
      <c r="AJ909" s="668"/>
      <c r="AK909" s="668"/>
      <c r="AL909" s="668"/>
      <c r="AM909" s="668">
        <f t="shared" si="279"/>
        <v>0</v>
      </c>
      <c r="AN909" s="668">
        <f t="shared" si="282"/>
        <v>0</v>
      </c>
      <c r="AO909" s="668">
        <f t="shared" si="283"/>
        <v>0</v>
      </c>
      <c r="AP909" s="668">
        <f t="shared" si="280"/>
        <v>0</v>
      </c>
      <c r="AQ909" s="668">
        <f t="shared" si="284"/>
        <v>0</v>
      </c>
      <c r="AR909" s="668">
        <f t="shared" si="285"/>
        <v>0</v>
      </c>
      <c r="AS909" s="668"/>
      <c r="AT909" s="668"/>
      <c r="AU909" s="668"/>
      <c r="AV909" s="668"/>
      <c r="AW909" s="668"/>
      <c r="AX909" s="668"/>
      <c r="AY909" s="668"/>
      <c r="AZ909" s="668"/>
      <c r="BA909" s="668"/>
      <c r="BB909" s="668">
        <f t="shared" si="281"/>
        <v>0</v>
      </c>
      <c r="BC909" s="668"/>
      <c r="BD909" s="668"/>
      <c r="BE909" s="668"/>
      <c r="BF909" s="668"/>
      <c r="BG909" s="668"/>
      <c r="BH909" s="668"/>
      <c r="BI909" s="668"/>
    </row>
    <row r="910" spans="1:61" x14ac:dyDescent="0.2">
      <c r="A910" s="1020">
        <v>4197</v>
      </c>
      <c r="B910" s="1020" t="s">
        <v>682</v>
      </c>
      <c r="C910" s="1020"/>
      <c r="D910" s="667">
        <v>32</v>
      </c>
      <c r="E910" s="667"/>
      <c r="F910" s="667">
        <v>32</v>
      </c>
      <c r="G910" s="667"/>
      <c r="H910" s="667"/>
      <c r="I910" s="667"/>
      <c r="J910" s="667"/>
      <c r="K910" s="667"/>
      <c r="L910" s="667"/>
      <c r="M910" s="667"/>
      <c r="N910" s="667"/>
      <c r="O910" s="667"/>
      <c r="P910" s="667"/>
      <c r="Q910" s="667"/>
      <c r="R910" s="667"/>
      <c r="S910" s="667"/>
      <c r="T910" s="667"/>
      <c r="U910" s="1020">
        <v>10</v>
      </c>
      <c r="V910" s="668">
        <f t="shared" si="287"/>
        <v>320</v>
      </c>
      <c r="W910" s="668">
        <f t="shared" si="288"/>
        <v>0</v>
      </c>
      <c r="X910" s="668">
        <f t="shared" si="289"/>
        <v>0</v>
      </c>
      <c r="Y910" s="668">
        <f t="shared" si="290"/>
        <v>0</v>
      </c>
      <c r="Z910" s="668">
        <f t="shared" si="291"/>
        <v>0</v>
      </c>
      <c r="AA910" s="668">
        <f t="shared" si="292"/>
        <v>0</v>
      </c>
      <c r="AB910" s="668">
        <f t="shared" si="293"/>
        <v>0</v>
      </c>
      <c r="AC910" s="668">
        <f t="shared" si="286"/>
        <v>0</v>
      </c>
      <c r="AD910" s="668">
        <f t="shared" si="294"/>
        <v>0</v>
      </c>
      <c r="AE910" s="668">
        <f t="shared" si="295"/>
        <v>0</v>
      </c>
      <c r="AF910" s="668">
        <f t="shared" si="296"/>
        <v>0</v>
      </c>
      <c r="AG910" s="668">
        <f t="shared" si="297"/>
        <v>0</v>
      </c>
      <c r="AH910" s="668"/>
      <c r="AI910" s="668"/>
      <c r="AJ910" s="668"/>
      <c r="AK910" s="668"/>
      <c r="AL910" s="668"/>
      <c r="AM910" s="668">
        <f t="shared" si="279"/>
        <v>0</v>
      </c>
      <c r="AN910" s="668">
        <f t="shared" si="282"/>
        <v>0</v>
      </c>
      <c r="AO910" s="668">
        <f t="shared" si="283"/>
        <v>0</v>
      </c>
      <c r="AP910" s="668">
        <f t="shared" si="280"/>
        <v>320</v>
      </c>
      <c r="AQ910" s="668">
        <f t="shared" si="284"/>
        <v>0</v>
      </c>
      <c r="AR910" s="668">
        <f t="shared" si="285"/>
        <v>0</v>
      </c>
      <c r="AS910" s="668"/>
      <c r="AT910" s="668"/>
      <c r="AU910" s="668"/>
      <c r="AV910" s="668"/>
      <c r="AW910" s="668"/>
      <c r="AX910" s="668"/>
      <c r="AY910" s="668"/>
      <c r="AZ910" s="668"/>
      <c r="BA910" s="668"/>
      <c r="BB910" s="668">
        <f t="shared" si="281"/>
        <v>320</v>
      </c>
      <c r="BC910" s="668"/>
      <c r="BD910" s="668"/>
      <c r="BE910" s="668"/>
      <c r="BF910" s="668"/>
      <c r="BG910" s="668"/>
      <c r="BH910" s="668"/>
      <c r="BI910" s="668"/>
    </row>
    <row r="911" spans="1:61" x14ac:dyDescent="0.2">
      <c r="A911" s="1020">
        <v>4198</v>
      </c>
      <c r="B911" s="1020" t="s">
        <v>682</v>
      </c>
      <c r="C911" s="1020"/>
      <c r="D911" s="667">
        <v>32</v>
      </c>
      <c r="E911" s="667"/>
      <c r="F911" s="667">
        <v>32</v>
      </c>
      <c r="G911" s="667"/>
      <c r="H911" s="667"/>
      <c r="I911" s="667"/>
      <c r="J911" s="667"/>
      <c r="K911" s="667"/>
      <c r="L911" s="667"/>
      <c r="M911" s="667"/>
      <c r="N911" s="667"/>
      <c r="O911" s="667"/>
      <c r="P911" s="667"/>
      <c r="Q911" s="667"/>
      <c r="R911" s="667"/>
      <c r="S911" s="667"/>
      <c r="T911" s="667"/>
      <c r="U911" s="1020">
        <v>10</v>
      </c>
      <c r="V911" s="668">
        <f t="shared" si="287"/>
        <v>320</v>
      </c>
      <c r="W911" s="668">
        <f t="shared" si="288"/>
        <v>0</v>
      </c>
      <c r="X911" s="668">
        <f t="shared" si="289"/>
        <v>0</v>
      </c>
      <c r="Y911" s="668">
        <f t="shared" si="290"/>
        <v>0</v>
      </c>
      <c r="Z911" s="668">
        <f t="shared" si="291"/>
        <v>0</v>
      </c>
      <c r="AA911" s="668">
        <f t="shared" si="292"/>
        <v>0</v>
      </c>
      <c r="AB911" s="668">
        <f t="shared" si="293"/>
        <v>0</v>
      </c>
      <c r="AC911" s="668">
        <f t="shared" si="286"/>
        <v>0</v>
      </c>
      <c r="AD911" s="668">
        <f t="shared" si="294"/>
        <v>0</v>
      </c>
      <c r="AE911" s="668">
        <f t="shared" si="295"/>
        <v>0</v>
      </c>
      <c r="AF911" s="668">
        <f t="shared" si="296"/>
        <v>0</v>
      </c>
      <c r="AG911" s="668">
        <f t="shared" si="297"/>
        <v>0</v>
      </c>
      <c r="AH911" s="668"/>
      <c r="AI911" s="668"/>
      <c r="AJ911" s="668"/>
      <c r="AK911" s="668"/>
      <c r="AL911" s="668"/>
      <c r="AM911" s="668">
        <f t="shared" si="279"/>
        <v>0</v>
      </c>
      <c r="AN911" s="668">
        <f t="shared" si="282"/>
        <v>0</v>
      </c>
      <c r="AO911" s="668">
        <f t="shared" si="283"/>
        <v>0</v>
      </c>
      <c r="AP911" s="668">
        <f t="shared" si="280"/>
        <v>320</v>
      </c>
      <c r="AQ911" s="668">
        <f t="shared" si="284"/>
        <v>0</v>
      </c>
      <c r="AR911" s="668">
        <f t="shared" si="285"/>
        <v>0</v>
      </c>
      <c r="AS911" s="668"/>
      <c r="AT911" s="668"/>
      <c r="AU911" s="668"/>
      <c r="AV911" s="668"/>
      <c r="AW911" s="668"/>
      <c r="AX911" s="668"/>
      <c r="AY911" s="668"/>
      <c r="AZ911" s="668"/>
      <c r="BA911" s="668"/>
      <c r="BB911" s="668">
        <f t="shared" si="281"/>
        <v>320</v>
      </c>
      <c r="BC911" s="668"/>
      <c r="BD911" s="668"/>
      <c r="BE911" s="668"/>
      <c r="BF911" s="668"/>
      <c r="BG911" s="668"/>
      <c r="BH911" s="668"/>
      <c r="BI911" s="668"/>
    </row>
    <row r="912" spans="1:61" x14ac:dyDescent="0.2">
      <c r="A912" s="1020">
        <v>4199</v>
      </c>
      <c r="B912" s="1020" t="s">
        <v>476</v>
      </c>
      <c r="C912" s="1020"/>
      <c r="D912" s="667">
        <v>50</v>
      </c>
      <c r="E912" s="667"/>
      <c r="F912" s="667"/>
      <c r="G912" s="667"/>
      <c r="H912" s="667"/>
      <c r="I912" s="667"/>
      <c r="J912" s="667"/>
      <c r="K912" s="667"/>
      <c r="L912" s="667"/>
      <c r="M912" s="667"/>
      <c r="N912" s="667"/>
      <c r="O912" s="667"/>
      <c r="P912" s="667"/>
      <c r="Q912" s="667"/>
      <c r="R912" s="667"/>
      <c r="S912" s="667"/>
      <c r="T912" s="667"/>
      <c r="U912" s="1020">
        <v>12</v>
      </c>
      <c r="V912" s="668">
        <f t="shared" si="287"/>
        <v>600</v>
      </c>
      <c r="W912" s="668">
        <f t="shared" si="288"/>
        <v>0</v>
      </c>
      <c r="X912" s="668">
        <f t="shared" si="289"/>
        <v>0</v>
      </c>
      <c r="Y912" s="668">
        <f t="shared" si="290"/>
        <v>0</v>
      </c>
      <c r="Z912" s="668">
        <f t="shared" si="291"/>
        <v>0</v>
      </c>
      <c r="AA912" s="668">
        <f t="shared" si="292"/>
        <v>0</v>
      </c>
      <c r="AB912" s="668">
        <f t="shared" si="293"/>
        <v>0</v>
      </c>
      <c r="AC912" s="668">
        <f t="shared" si="286"/>
        <v>0</v>
      </c>
      <c r="AD912" s="668">
        <f t="shared" si="294"/>
        <v>0</v>
      </c>
      <c r="AE912" s="668">
        <f t="shared" si="295"/>
        <v>0</v>
      </c>
      <c r="AF912" s="668">
        <f t="shared" si="296"/>
        <v>0</v>
      </c>
      <c r="AG912" s="668">
        <f t="shared" si="297"/>
        <v>0</v>
      </c>
      <c r="AH912" s="668"/>
      <c r="AI912" s="668"/>
      <c r="AJ912" s="668"/>
      <c r="AK912" s="668"/>
      <c r="AL912" s="668"/>
      <c r="AM912" s="668">
        <f t="shared" si="279"/>
        <v>0</v>
      </c>
      <c r="AN912" s="668">
        <f t="shared" si="282"/>
        <v>0</v>
      </c>
      <c r="AO912" s="668">
        <f t="shared" si="283"/>
        <v>0</v>
      </c>
      <c r="AP912" s="668">
        <f t="shared" si="280"/>
        <v>0</v>
      </c>
      <c r="AQ912" s="668">
        <f t="shared" si="284"/>
        <v>0</v>
      </c>
      <c r="AR912" s="668">
        <f t="shared" si="285"/>
        <v>0</v>
      </c>
      <c r="AS912" s="668"/>
      <c r="AT912" s="668"/>
      <c r="AU912" s="668"/>
      <c r="AV912" s="668"/>
      <c r="AW912" s="668"/>
      <c r="AX912" s="668"/>
      <c r="AY912" s="668"/>
      <c r="AZ912" s="668"/>
      <c r="BA912" s="668"/>
      <c r="BB912" s="668">
        <f t="shared" si="281"/>
        <v>0</v>
      </c>
      <c r="BC912" s="668"/>
      <c r="BD912" s="668"/>
      <c r="BE912" s="668"/>
      <c r="BF912" s="668"/>
      <c r="BG912" s="668"/>
      <c r="BH912" s="668"/>
      <c r="BI912" s="668"/>
    </row>
    <row r="913" spans="1:61" x14ac:dyDescent="0.2">
      <c r="A913" s="1020">
        <v>4200</v>
      </c>
      <c r="B913" s="1020" t="s">
        <v>685</v>
      </c>
      <c r="C913" s="1020"/>
      <c r="D913" s="667">
        <v>50</v>
      </c>
      <c r="E913" s="667"/>
      <c r="F913" s="667"/>
      <c r="G913" s="667"/>
      <c r="H913" s="667"/>
      <c r="I913" s="667"/>
      <c r="J913" s="667"/>
      <c r="K913" s="667"/>
      <c r="L913" s="667"/>
      <c r="M913" s="667"/>
      <c r="N913" s="667"/>
      <c r="O913" s="667"/>
      <c r="P913" s="667"/>
      <c r="Q913" s="667"/>
      <c r="R913" s="667"/>
      <c r="S913" s="667"/>
      <c r="T913" s="667"/>
      <c r="U913" s="1020">
        <v>10</v>
      </c>
      <c r="V913" s="668">
        <f t="shared" si="287"/>
        <v>500</v>
      </c>
      <c r="W913" s="668">
        <f t="shared" si="288"/>
        <v>0</v>
      </c>
      <c r="X913" s="668">
        <f t="shared" si="289"/>
        <v>0</v>
      </c>
      <c r="Y913" s="668">
        <f t="shared" si="290"/>
        <v>0</v>
      </c>
      <c r="Z913" s="668">
        <f t="shared" si="291"/>
        <v>0</v>
      </c>
      <c r="AA913" s="668">
        <f t="shared" si="292"/>
        <v>0</v>
      </c>
      <c r="AB913" s="668">
        <f t="shared" si="293"/>
        <v>0</v>
      </c>
      <c r="AC913" s="668">
        <f t="shared" si="286"/>
        <v>0</v>
      </c>
      <c r="AD913" s="668">
        <f t="shared" si="294"/>
        <v>0</v>
      </c>
      <c r="AE913" s="668">
        <f t="shared" si="295"/>
        <v>0</v>
      </c>
      <c r="AF913" s="668">
        <f t="shared" si="296"/>
        <v>0</v>
      </c>
      <c r="AG913" s="668">
        <f t="shared" si="297"/>
        <v>0</v>
      </c>
      <c r="AH913" s="668"/>
      <c r="AI913" s="668"/>
      <c r="AJ913" s="668"/>
      <c r="AK913" s="668"/>
      <c r="AL913" s="668"/>
      <c r="AM913" s="668">
        <f t="shared" ref="AM913:AM978" si="298">+I913</f>
        <v>0</v>
      </c>
      <c r="AN913" s="668">
        <f t="shared" si="282"/>
        <v>0</v>
      </c>
      <c r="AO913" s="668">
        <f t="shared" si="283"/>
        <v>0</v>
      </c>
      <c r="AP913" s="668">
        <f t="shared" si="280"/>
        <v>0</v>
      </c>
      <c r="AQ913" s="668">
        <f t="shared" si="284"/>
        <v>0</v>
      </c>
      <c r="AR913" s="668">
        <f t="shared" si="285"/>
        <v>0</v>
      </c>
      <c r="AS913" s="668"/>
      <c r="AT913" s="668"/>
      <c r="AU913" s="668"/>
      <c r="AV913" s="668"/>
      <c r="AW913" s="668"/>
      <c r="AX913" s="668"/>
      <c r="AY913" s="668"/>
      <c r="AZ913" s="668"/>
      <c r="BA913" s="668"/>
      <c r="BB913" s="668">
        <f t="shared" si="281"/>
        <v>0</v>
      </c>
      <c r="BC913" s="668"/>
      <c r="BD913" s="668"/>
      <c r="BE913" s="668"/>
      <c r="BF913" s="668"/>
      <c r="BG913" s="668"/>
      <c r="BH913" s="668"/>
      <c r="BI913" s="668"/>
    </row>
    <row r="914" spans="1:61" x14ac:dyDescent="0.2">
      <c r="A914" s="1020">
        <v>4201</v>
      </c>
      <c r="B914" s="1020" t="s">
        <v>517</v>
      </c>
      <c r="C914" s="1020"/>
      <c r="D914" s="667">
        <v>50</v>
      </c>
      <c r="E914" s="667"/>
      <c r="F914" s="667"/>
      <c r="G914" s="667"/>
      <c r="H914" s="667"/>
      <c r="I914" s="667"/>
      <c r="J914" s="667"/>
      <c r="K914" s="667"/>
      <c r="L914" s="667"/>
      <c r="M914" s="667"/>
      <c r="N914" s="667"/>
      <c r="O914" s="667"/>
      <c r="P914" s="667"/>
      <c r="Q914" s="667"/>
      <c r="R914" s="667"/>
      <c r="S914" s="667"/>
      <c r="T914" s="667"/>
      <c r="U914" s="1020">
        <v>12</v>
      </c>
      <c r="V914" s="668">
        <f t="shared" si="287"/>
        <v>600</v>
      </c>
      <c r="W914" s="668">
        <f t="shared" si="288"/>
        <v>0</v>
      </c>
      <c r="X914" s="668">
        <f t="shared" si="289"/>
        <v>0</v>
      </c>
      <c r="Y914" s="668">
        <f t="shared" si="290"/>
        <v>0</v>
      </c>
      <c r="Z914" s="668">
        <f t="shared" si="291"/>
        <v>0</v>
      </c>
      <c r="AA914" s="668">
        <f t="shared" si="292"/>
        <v>0</v>
      </c>
      <c r="AB914" s="668">
        <f t="shared" si="293"/>
        <v>0</v>
      </c>
      <c r="AC914" s="668">
        <f t="shared" si="286"/>
        <v>0</v>
      </c>
      <c r="AD914" s="668">
        <f t="shared" si="294"/>
        <v>0</v>
      </c>
      <c r="AE914" s="668">
        <f t="shared" si="295"/>
        <v>0</v>
      </c>
      <c r="AF914" s="668">
        <f t="shared" si="296"/>
        <v>0</v>
      </c>
      <c r="AG914" s="668">
        <f t="shared" si="297"/>
        <v>0</v>
      </c>
      <c r="AH914" s="668"/>
      <c r="AI914" s="668"/>
      <c r="AJ914" s="668"/>
      <c r="AK914" s="668"/>
      <c r="AL914" s="668"/>
      <c r="AM914" s="668">
        <f t="shared" si="298"/>
        <v>0</v>
      </c>
      <c r="AN914" s="668">
        <f t="shared" si="282"/>
        <v>0</v>
      </c>
      <c r="AO914" s="668">
        <f t="shared" si="283"/>
        <v>0</v>
      </c>
      <c r="AP914" s="668">
        <f t="shared" ref="AP914:AP979" si="299">+U914*F914</f>
        <v>0</v>
      </c>
      <c r="AQ914" s="668">
        <f t="shared" si="284"/>
        <v>0</v>
      </c>
      <c r="AR914" s="668">
        <f t="shared" si="285"/>
        <v>0</v>
      </c>
      <c r="AS914" s="668"/>
      <c r="AT914" s="668"/>
      <c r="AU914" s="668"/>
      <c r="AV914" s="668"/>
      <c r="AW914" s="668"/>
      <c r="AX914" s="668"/>
      <c r="AY914" s="668"/>
      <c r="AZ914" s="668"/>
      <c r="BA914" s="668"/>
      <c r="BB914" s="668">
        <f t="shared" ref="BB914:BB977" si="300">+AP914</f>
        <v>0</v>
      </c>
      <c r="BC914" s="668"/>
      <c r="BD914" s="668"/>
      <c r="BE914" s="668"/>
      <c r="BF914" s="668"/>
      <c r="BG914" s="668"/>
      <c r="BH914" s="668"/>
      <c r="BI914" s="668"/>
    </row>
    <row r="915" spans="1:61" x14ac:dyDescent="0.2">
      <c r="A915" s="1020">
        <v>4202</v>
      </c>
      <c r="B915" s="1020" t="s">
        <v>682</v>
      </c>
      <c r="C915" s="1020"/>
      <c r="D915" s="667">
        <v>72</v>
      </c>
      <c r="E915" s="667"/>
      <c r="F915" s="667"/>
      <c r="G915" s="667"/>
      <c r="H915" s="667"/>
      <c r="I915" s="667"/>
      <c r="J915" s="667"/>
      <c r="K915" s="667"/>
      <c r="L915" s="667"/>
      <c r="M915" s="667"/>
      <c r="N915" s="667"/>
      <c r="O915" s="667"/>
      <c r="P915" s="667"/>
      <c r="Q915" s="667"/>
      <c r="R915" s="667"/>
      <c r="S915" s="667"/>
      <c r="T915" s="667"/>
      <c r="U915" s="1020">
        <v>10</v>
      </c>
      <c r="V915" s="668">
        <f t="shared" si="287"/>
        <v>720</v>
      </c>
      <c r="W915" s="668">
        <f t="shared" si="288"/>
        <v>0</v>
      </c>
      <c r="X915" s="668">
        <f t="shared" si="289"/>
        <v>0</v>
      </c>
      <c r="Y915" s="668">
        <f t="shared" si="290"/>
        <v>0</v>
      </c>
      <c r="Z915" s="668">
        <f t="shared" si="291"/>
        <v>0</v>
      </c>
      <c r="AA915" s="668">
        <f t="shared" si="292"/>
        <v>0</v>
      </c>
      <c r="AB915" s="668">
        <f t="shared" si="293"/>
        <v>0</v>
      </c>
      <c r="AC915" s="668">
        <f t="shared" si="286"/>
        <v>0</v>
      </c>
      <c r="AD915" s="668">
        <f t="shared" si="294"/>
        <v>0</v>
      </c>
      <c r="AE915" s="668">
        <f t="shared" si="295"/>
        <v>0</v>
      </c>
      <c r="AF915" s="668">
        <f t="shared" si="296"/>
        <v>0</v>
      </c>
      <c r="AG915" s="668">
        <f t="shared" si="297"/>
        <v>0</v>
      </c>
      <c r="AH915" s="668"/>
      <c r="AI915" s="668"/>
      <c r="AJ915" s="668"/>
      <c r="AK915" s="668"/>
      <c r="AL915" s="668"/>
      <c r="AM915" s="668">
        <f t="shared" si="298"/>
        <v>0</v>
      </c>
      <c r="AN915" s="668">
        <f t="shared" si="282"/>
        <v>0</v>
      </c>
      <c r="AO915" s="668">
        <f t="shared" si="283"/>
        <v>0</v>
      </c>
      <c r="AP915" s="668">
        <f t="shared" si="299"/>
        <v>0</v>
      </c>
      <c r="AQ915" s="668">
        <f t="shared" si="284"/>
        <v>0</v>
      </c>
      <c r="AR915" s="668">
        <f t="shared" si="285"/>
        <v>0</v>
      </c>
      <c r="AS915" s="668"/>
      <c r="AT915" s="668"/>
      <c r="AU915" s="668"/>
      <c r="AV915" s="668"/>
      <c r="AW915" s="668"/>
      <c r="AX915" s="668"/>
      <c r="AY915" s="668"/>
      <c r="AZ915" s="668"/>
      <c r="BA915" s="668"/>
      <c r="BB915" s="668">
        <f t="shared" si="300"/>
        <v>0</v>
      </c>
      <c r="BC915" s="668"/>
      <c r="BD915" s="668"/>
      <c r="BE915" s="668"/>
      <c r="BF915" s="668"/>
      <c r="BG915" s="668"/>
      <c r="BH915" s="668"/>
      <c r="BI915" s="668"/>
    </row>
    <row r="916" spans="1:61" x14ac:dyDescent="0.2">
      <c r="A916" s="1020">
        <v>4203</v>
      </c>
      <c r="B916" s="1020" t="s">
        <v>519</v>
      </c>
      <c r="C916" s="1020"/>
      <c r="D916" s="667">
        <v>35</v>
      </c>
      <c r="E916" s="667"/>
      <c r="F916" s="667">
        <v>15</v>
      </c>
      <c r="G916" s="667"/>
      <c r="H916" s="667"/>
      <c r="I916" s="667"/>
      <c r="J916" s="667"/>
      <c r="K916" s="667"/>
      <c r="L916" s="667"/>
      <c r="M916" s="667"/>
      <c r="N916" s="667"/>
      <c r="O916" s="667"/>
      <c r="P916" s="667"/>
      <c r="Q916" s="667"/>
      <c r="R916" s="667"/>
      <c r="S916" s="667"/>
      <c r="T916" s="667">
        <v>150</v>
      </c>
      <c r="U916" s="1020">
        <v>12</v>
      </c>
      <c r="V916" s="668">
        <f t="shared" si="287"/>
        <v>420</v>
      </c>
      <c r="W916" s="668">
        <f t="shared" si="288"/>
        <v>0</v>
      </c>
      <c r="X916" s="668">
        <f t="shared" si="289"/>
        <v>0</v>
      </c>
      <c r="Y916" s="668">
        <f t="shared" si="290"/>
        <v>0</v>
      </c>
      <c r="Z916" s="668">
        <f t="shared" si="291"/>
        <v>0</v>
      </c>
      <c r="AA916" s="668">
        <f t="shared" si="292"/>
        <v>0</v>
      </c>
      <c r="AB916" s="668">
        <f t="shared" si="293"/>
        <v>150</v>
      </c>
      <c r="AC916" s="668">
        <f t="shared" si="286"/>
        <v>0</v>
      </c>
      <c r="AD916" s="668">
        <f t="shared" si="294"/>
        <v>0</v>
      </c>
      <c r="AE916" s="668">
        <f t="shared" si="295"/>
        <v>0</v>
      </c>
      <c r="AF916" s="668">
        <f t="shared" si="296"/>
        <v>0</v>
      </c>
      <c r="AG916" s="668">
        <f t="shared" si="297"/>
        <v>0</v>
      </c>
      <c r="AH916" s="668"/>
      <c r="AI916" s="668"/>
      <c r="AJ916" s="668"/>
      <c r="AK916" s="668"/>
      <c r="AL916" s="668"/>
      <c r="AM916" s="668">
        <f t="shared" si="298"/>
        <v>0</v>
      </c>
      <c r="AN916" s="668">
        <f t="shared" si="282"/>
        <v>0</v>
      </c>
      <c r="AO916" s="668">
        <f t="shared" si="283"/>
        <v>0</v>
      </c>
      <c r="AP916" s="668">
        <f t="shared" si="299"/>
        <v>180</v>
      </c>
      <c r="AQ916" s="668">
        <f t="shared" si="284"/>
        <v>0</v>
      </c>
      <c r="AR916" s="668">
        <f t="shared" si="285"/>
        <v>0</v>
      </c>
      <c r="AS916" s="668"/>
      <c r="AT916" s="668"/>
      <c r="AU916" s="668"/>
      <c r="AV916" s="668"/>
      <c r="AW916" s="668"/>
      <c r="AX916" s="668"/>
      <c r="AY916" s="668"/>
      <c r="AZ916" s="668"/>
      <c r="BA916" s="668"/>
      <c r="BB916" s="668">
        <f t="shared" si="300"/>
        <v>180</v>
      </c>
      <c r="BC916" s="668"/>
      <c r="BD916" s="668"/>
      <c r="BE916" s="668"/>
      <c r="BF916" s="668"/>
      <c r="BG916" s="668"/>
      <c r="BH916" s="668"/>
      <c r="BI916" s="668"/>
    </row>
    <row r="917" spans="1:61" x14ac:dyDescent="0.2">
      <c r="A917" s="1020">
        <v>4204</v>
      </c>
      <c r="B917" s="1020" t="s">
        <v>515</v>
      </c>
      <c r="C917" s="1020"/>
      <c r="D917" s="667">
        <v>62</v>
      </c>
      <c r="E917" s="667"/>
      <c r="F917" s="667">
        <v>46</v>
      </c>
      <c r="G917" s="667"/>
      <c r="H917" s="667"/>
      <c r="I917" s="667"/>
      <c r="J917" s="667"/>
      <c r="K917" s="667"/>
      <c r="L917" s="667"/>
      <c r="M917" s="667"/>
      <c r="N917" s="667"/>
      <c r="O917" s="667"/>
      <c r="P917" s="667"/>
      <c r="Q917" s="667"/>
      <c r="R917" s="667"/>
      <c r="S917" s="667"/>
      <c r="T917" s="667">
        <v>1861</v>
      </c>
      <c r="U917" s="1020">
        <v>12</v>
      </c>
      <c r="V917" s="668">
        <f t="shared" si="287"/>
        <v>744</v>
      </c>
      <c r="W917" s="668">
        <f t="shared" si="288"/>
        <v>0</v>
      </c>
      <c r="X917" s="668">
        <f t="shared" si="289"/>
        <v>0</v>
      </c>
      <c r="Y917" s="668">
        <f t="shared" si="290"/>
        <v>0</v>
      </c>
      <c r="Z917" s="668">
        <f t="shared" si="291"/>
        <v>0</v>
      </c>
      <c r="AA917" s="668">
        <f t="shared" si="292"/>
        <v>0</v>
      </c>
      <c r="AB917" s="668">
        <f t="shared" si="293"/>
        <v>1861</v>
      </c>
      <c r="AC917" s="668">
        <f t="shared" si="286"/>
        <v>0</v>
      </c>
      <c r="AD917" s="668">
        <f t="shared" si="294"/>
        <v>0</v>
      </c>
      <c r="AE917" s="668">
        <f t="shared" si="295"/>
        <v>0</v>
      </c>
      <c r="AF917" s="668">
        <f t="shared" si="296"/>
        <v>0</v>
      </c>
      <c r="AG917" s="668">
        <f t="shared" si="297"/>
        <v>0</v>
      </c>
      <c r="AH917" s="668"/>
      <c r="AI917" s="668"/>
      <c r="AJ917" s="668"/>
      <c r="AK917" s="668"/>
      <c r="AL917" s="668"/>
      <c r="AM917" s="668">
        <f t="shared" si="298"/>
        <v>0</v>
      </c>
      <c r="AN917" s="668">
        <f t="shared" si="282"/>
        <v>0</v>
      </c>
      <c r="AO917" s="668">
        <f t="shared" si="283"/>
        <v>0</v>
      </c>
      <c r="AP917" s="668">
        <f t="shared" si="299"/>
        <v>552</v>
      </c>
      <c r="AQ917" s="668">
        <f t="shared" si="284"/>
        <v>0</v>
      </c>
      <c r="AR917" s="668">
        <f t="shared" si="285"/>
        <v>0</v>
      </c>
      <c r="AS917" s="668"/>
      <c r="AT917" s="668"/>
      <c r="AU917" s="668"/>
      <c r="AV917" s="668"/>
      <c r="AW917" s="668"/>
      <c r="AX917" s="668"/>
      <c r="AY917" s="668"/>
      <c r="AZ917" s="668"/>
      <c r="BA917" s="668"/>
      <c r="BB917" s="668"/>
      <c r="BC917" s="668"/>
      <c r="BD917" s="668"/>
      <c r="BE917" s="668"/>
      <c r="BF917" s="668"/>
      <c r="BG917" s="668"/>
      <c r="BH917" s="668"/>
      <c r="BI917" s="668"/>
    </row>
    <row r="918" spans="1:61" x14ac:dyDescent="0.2">
      <c r="A918" s="1020">
        <v>4205</v>
      </c>
      <c r="B918" s="1020" t="s">
        <v>515</v>
      </c>
      <c r="C918" s="1020"/>
      <c r="D918" s="667">
        <v>100</v>
      </c>
      <c r="E918" s="667"/>
      <c r="F918" s="667">
        <v>60</v>
      </c>
      <c r="G918" s="667"/>
      <c r="H918" s="667"/>
      <c r="I918" s="667"/>
      <c r="J918" s="667"/>
      <c r="K918" s="667"/>
      <c r="L918" s="667"/>
      <c r="M918" s="667"/>
      <c r="N918" s="667"/>
      <c r="O918" s="667"/>
      <c r="P918" s="667"/>
      <c r="Q918" s="667"/>
      <c r="R918" s="667"/>
      <c r="S918" s="667"/>
      <c r="T918" s="667">
        <v>2985</v>
      </c>
      <c r="U918" s="1020">
        <v>12</v>
      </c>
      <c r="V918" s="668">
        <f t="shared" si="287"/>
        <v>1200</v>
      </c>
      <c r="W918" s="668">
        <f t="shared" si="288"/>
        <v>0</v>
      </c>
      <c r="X918" s="668">
        <f t="shared" si="289"/>
        <v>0</v>
      </c>
      <c r="Y918" s="668">
        <f t="shared" si="290"/>
        <v>0</v>
      </c>
      <c r="Z918" s="668">
        <f t="shared" si="291"/>
        <v>0</v>
      </c>
      <c r="AA918" s="668">
        <f t="shared" si="292"/>
        <v>0</v>
      </c>
      <c r="AB918" s="668">
        <f t="shared" si="293"/>
        <v>2985</v>
      </c>
      <c r="AC918" s="668">
        <f t="shared" si="286"/>
        <v>0</v>
      </c>
      <c r="AD918" s="668">
        <f t="shared" si="294"/>
        <v>0</v>
      </c>
      <c r="AE918" s="668">
        <f t="shared" si="295"/>
        <v>0</v>
      </c>
      <c r="AF918" s="668">
        <f t="shared" si="296"/>
        <v>0</v>
      </c>
      <c r="AG918" s="668">
        <f t="shared" si="297"/>
        <v>0</v>
      </c>
      <c r="AH918" s="668"/>
      <c r="AI918" s="668"/>
      <c r="AJ918" s="668"/>
      <c r="AK918" s="668"/>
      <c r="AL918" s="668"/>
      <c r="AM918" s="668">
        <f t="shared" si="298"/>
        <v>0</v>
      </c>
      <c r="AN918" s="668">
        <f t="shared" si="282"/>
        <v>0</v>
      </c>
      <c r="AO918" s="668">
        <f t="shared" si="283"/>
        <v>0</v>
      </c>
      <c r="AP918" s="668">
        <f t="shared" si="299"/>
        <v>720</v>
      </c>
      <c r="AQ918" s="668">
        <f t="shared" si="284"/>
        <v>0</v>
      </c>
      <c r="AR918" s="668">
        <f t="shared" si="285"/>
        <v>0</v>
      </c>
      <c r="AS918" s="668"/>
      <c r="AT918" s="668"/>
      <c r="AU918" s="668"/>
      <c r="AV918" s="668"/>
      <c r="AW918" s="668"/>
      <c r="AX918" s="668"/>
      <c r="AY918" s="668"/>
      <c r="AZ918" s="668"/>
      <c r="BA918" s="668"/>
      <c r="BB918" s="668"/>
      <c r="BC918" s="668"/>
      <c r="BD918" s="668"/>
      <c r="BE918" s="668"/>
      <c r="BF918" s="668"/>
      <c r="BG918" s="668"/>
      <c r="BH918" s="668"/>
      <c r="BI918" s="668"/>
    </row>
    <row r="919" spans="1:61" x14ac:dyDescent="0.2">
      <c r="A919" s="1020">
        <v>4206</v>
      </c>
      <c r="B919" s="1020" t="s">
        <v>519</v>
      </c>
      <c r="C919" s="1020"/>
      <c r="D919" s="667">
        <v>35</v>
      </c>
      <c r="E919" s="667"/>
      <c r="F919" s="667">
        <v>15</v>
      </c>
      <c r="G919" s="667"/>
      <c r="H919" s="667"/>
      <c r="I919" s="667"/>
      <c r="J919" s="667"/>
      <c r="K919" s="667"/>
      <c r="L919" s="667"/>
      <c r="M919" s="667"/>
      <c r="N919" s="667"/>
      <c r="O919" s="667"/>
      <c r="P919" s="667"/>
      <c r="Q919" s="667"/>
      <c r="R919" s="667"/>
      <c r="S919" s="667"/>
      <c r="T919" s="667">
        <v>150</v>
      </c>
      <c r="U919" s="1020">
        <v>12</v>
      </c>
      <c r="V919" s="668">
        <f t="shared" si="287"/>
        <v>420</v>
      </c>
      <c r="W919" s="668">
        <f t="shared" si="288"/>
        <v>0</v>
      </c>
      <c r="X919" s="668">
        <f t="shared" si="289"/>
        <v>0</v>
      </c>
      <c r="Y919" s="668">
        <f t="shared" si="290"/>
        <v>0</v>
      </c>
      <c r="Z919" s="668">
        <f t="shared" si="291"/>
        <v>0</v>
      </c>
      <c r="AA919" s="668">
        <f t="shared" si="292"/>
        <v>0</v>
      </c>
      <c r="AB919" s="668">
        <f t="shared" si="293"/>
        <v>150</v>
      </c>
      <c r="AC919" s="668">
        <f t="shared" si="286"/>
        <v>0</v>
      </c>
      <c r="AD919" s="668">
        <f t="shared" si="294"/>
        <v>0</v>
      </c>
      <c r="AE919" s="668">
        <f t="shared" si="295"/>
        <v>0</v>
      </c>
      <c r="AF919" s="668">
        <f t="shared" si="296"/>
        <v>0</v>
      </c>
      <c r="AG919" s="668">
        <f t="shared" si="297"/>
        <v>0</v>
      </c>
      <c r="AH919" s="668"/>
      <c r="AI919" s="668"/>
      <c r="AJ919" s="668"/>
      <c r="AK919" s="668"/>
      <c r="AL919" s="668"/>
      <c r="AM919" s="668">
        <f t="shared" si="298"/>
        <v>0</v>
      </c>
      <c r="AN919" s="668">
        <f t="shared" si="282"/>
        <v>0</v>
      </c>
      <c r="AO919" s="668">
        <f t="shared" si="283"/>
        <v>0</v>
      </c>
      <c r="AP919" s="668">
        <f t="shared" si="299"/>
        <v>180</v>
      </c>
      <c r="AQ919" s="668">
        <f t="shared" si="284"/>
        <v>0</v>
      </c>
      <c r="AR919" s="668">
        <f t="shared" si="285"/>
        <v>0</v>
      </c>
      <c r="AS919" s="668"/>
      <c r="AT919" s="668"/>
      <c r="AU919" s="668"/>
      <c r="AV919" s="668"/>
      <c r="AW919" s="668"/>
      <c r="AX919" s="668"/>
      <c r="AY919" s="668"/>
      <c r="AZ919" s="668"/>
      <c r="BA919" s="668"/>
      <c r="BB919" s="668">
        <f t="shared" si="300"/>
        <v>180</v>
      </c>
      <c r="BC919" s="668"/>
      <c r="BD919" s="668"/>
      <c r="BE919" s="668"/>
      <c r="BF919" s="668"/>
      <c r="BG919" s="668"/>
      <c r="BH919" s="668"/>
      <c r="BI919" s="668"/>
    </row>
    <row r="920" spans="1:61" x14ac:dyDescent="0.2">
      <c r="A920" s="1020" t="s">
        <v>798</v>
      </c>
      <c r="B920" s="1020" t="s">
        <v>747</v>
      </c>
      <c r="C920" s="1020"/>
      <c r="D920" s="667">
        <v>85</v>
      </c>
      <c r="E920" s="667"/>
      <c r="F920" s="667"/>
      <c r="G920" s="667"/>
      <c r="H920" s="667"/>
      <c r="I920" s="667"/>
      <c r="J920" s="667"/>
      <c r="K920" s="667"/>
      <c r="L920" s="667"/>
      <c r="M920" s="667"/>
      <c r="N920" s="667"/>
      <c r="O920" s="667">
        <v>1</v>
      </c>
      <c r="P920" s="667"/>
      <c r="Q920" s="667"/>
      <c r="R920" s="667"/>
      <c r="S920" s="667"/>
      <c r="T920" s="667"/>
      <c r="U920" s="1031">
        <v>10</v>
      </c>
      <c r="V920" s="668">
        <f t="shared" si="287"/>
        <v>850</v>
      </c>
      <c r="W920" s="668">
        <f t="shared" si="288"/>
        <v>0</v>
      </c>
      <c r="X920" s="668">
        <f t="shared" si="289"/>
        <v>0</v>
      </c>
      <c r="Y920" s="668">
        <f t="shared" si="290"/>
        <v>0</v>
      </c>
      <c r="Z920" s="668">
        <f t="shared" si="291"/>
        <v>0</v>
      </c>
      <c r="AA920" s="668">
        <f t="shared" si="292"/>
        <v>0</v>
      </c>
      <c r="AB920" s="668">
        <f t="shared" si="293"/>
        <v>0</v>
      </c>
      <c r="AC920" s="668">
        <f t="shared" si="286"/>
        <v>0</v>
      </c>
      <c r="AD920" s="668">
        <f t="shared" si="294"/>
        <v>0</v>
      </c>
      <c r="AE920" s="668">
        <f t="shared" si="295"/>
        <v>0</v>
      </c>
      <c r="AF920" s="668">
        <f t="shared" si="296"/>
        <v>0</v>
      </c>
      <c r="AG920" s="668">
        <f t="shared" si="297"/>
        <v>0</v>
      </c>
      <c r="AH920" s="668"/>
      <c r="AI920" s="668"/>
      <c r="AJ920" s="668"/>
      <c r="AK920" s="668"/>
      <c r="AL920" s="668"/>
      <c r="AM920" s="668">
        <f t="shared" si="298"/>
        <v>0</v>
      </c>
      <c r="AN920" s="668">
        <f t="shared" si="282"/>
        <v>0</v>
      </c>
      <c r="AO920" s="668">
        <f t="shared" si="283"/>
        <v>10</v>
      </c>
      <c r="AP920" s="668">
        <f t="shared" si="299"/>
        <v>0</v>
      </c>
      <c r="AQ920" s="668">
        <f t="shared" si="284"/>
        <v>0</v>
      </c>
      <c r="AR920" s="668">
        <f t="shared" si="285"/>
        <v>0</v>
      </c>
      <c r="AS920" s="668"/>
      <c r="AT920" s="668"/>
      <c r="AU920" s="668"/>
      <c r="AV920" s="668"/>
      <c r="AW920" s="668"/>
      <c r="AX920" s="668"/>
      <c r="AY920" s="668"/>
      <c r="AZ920" s="668"/>
      <c r="BA920" s="668"/>
      <c r="BB920" s="668">
        <f t="shared" si="300"/>
        <v>0</v>
      </c>
      <c r="BC920" s="668"/>
      <c r="BD920" s="668"/>
      <c r="BE920" s="668"/>
      <c r="BF920" s="668"/>
      <c r="BG920" s="668"/>
      <c r="BH920" s="668"/>
      <c r="BI920" s="668"/>
    </row>
    <row r="921" spans="1:61" x14ac:dyDescent="0.2">
      <c r="A921" s="1020" t="s">
        <v>799</v>
      </c>
      <c r="B921" s="1020" t="s">
        <v>696</v>
      </c>
      <c r="C921" s="1020"/>
      <c r="D921" s="667">
        <v>53</v>
      </c>
      <c r="E921" s="667"/>
      <c r="F921" s="667"/>
      <c r="G921" s="667"/>
      <c r="H921" s="667"/>
      <c r="I921" s="667"/>
      <c r="J921" s="667"/>
      <c r="K921" s="667"/>
      <c r="L921" s="667"/>
      <c r="M921" s="667"/>
      <c r="N921" s="667"/>
      <c r="O921" s="667"/>
      <c r="P921" s="667"/>
      <c r="Q921" s="667"/>
      <c r="R921" s="667"/>
      <c r="S921" s="667"/>
      <c r="T921" s="667"/>
      <c r="U921" s="1031">
        <v>10</v>
      </c>
      <c r="V921" s="668">
        <f t="shared" si="287"/>
        <v>530</v>
      </c>
      <c r="W921" s="668">
        <f t="shared" si="288"/>
        <v>0</v>
      </c>
      <c r="X921" s="668">
        <f t="shared" si="289"/>
        <v>0</v>
      </c>
      <c r="Y921" s="668">
        <f t="shared" si="290"/>
        <v>0</v>
      </c>
      <c r="Z921" s="668">
        <f t="shared" si="291"/>
        <v>0</v>
      </c>
      <c r="AA921" s="668">
        <f t="shared" si="292"/>
        <v>0</v>
      </c>
      <c r="AB921" s="668">
        <f t="shared" si="293"/>
        <v>0</v>
      </c>
      <c r="AC921" s="668">
        <f t="shared" si="286"/>
        <v>0</v>
      </c>
      <c r="AD921" s="668">
        <f t="shared" si="294"/>
        <v>0</v>
      </c>
      <c r="AE921" s="668">
        <f t="shared" si="295"/>
        <v>0</v>
      </c>
      <c r="AF921" s="668">
        <f t="shared" si="296"/>
        <v>0</v>
      </c>
      <c r="AG921" s="668">
        <f t="shared" si="297"/>
        <v>0</v>
      </c>
      <c r="AH921" s="668"/>
      <c r="AI921" s="668"/>
      <c r="AJ921" s="668"/>
      <c r="AK921" s="668"/>
      <c r="AL921" s="668"/>
      <c r="AM921" s="668">
        <f t="shared" si="298"/>
        <v>0</v>
      </c>
      <c r="AN921" s="668">
        <f t="shared" si="282"/>
        <v>0</v>
      </c>
      <c r="AO921" s="668">
        <f t="shared" si="283"/>
        <v>0</v>
      </c>
      <c r="AP921" s="668">
        <f t="shared" si="299"/>
        <v>0</v>
      </c>
      <c r="AQ921" s="668">
        <f t="shared" si="284"/>
        <v>0</v>
      </c>
      <c r="AR921" s="668">
        <f t="shared" si="285"/>
        <v>0</v>
      </c>
      <c r="AS921" s="668"/>
      <c r="AT921" s="668"/>
      <c r="AU921" s="668"/>
      <c r="AV921" s="668"/>
      <c r="AW921" s="668"/>
      <c r="AX921" s="668"/>
      <c r="AY921" s="668"/>
      <c r="AZ921" s="668"/>
      <c r="BA921" s="668"/>
      <c r="BB921" s="668">
        <f t="shared" si="300"/>
        <v>0</v>
      </c>
      <c r="BC921" s="668"/>
      <c r="BD921" s="668"/>
      <c r="BE921" s="668"/>
      <c r="BF921" s="668"/>
      <c r="BG921" s="668"/>
      <c r="BH921" s="668"/>
      <c r="BI921" s="668"/>
    </row>
    <row r="922" spans="1:61" x14ac:dyDescent="0.2">
      <c r="A922" s="1020">
        <v>4208</v>
      </c>
      <c r="B922" s="1020" t="s">
        <v>780</v>
      </c>
      <c r="C922" s="1020"/>
      <c r="D922" s="667">
        <v>80</v>
      </c>
      <c r="E922" s="667"/>
      <c r="F922" s="667"/>
      <c r="G922" s="667"/>
      <c r="H922" s="667"/>
      <c r="I922" s="667"/>
      <c r="J922" s="667"/>
      <c r="K922" s="667"/>
      <c r="L922" s="667"/>
      <c r="M922" s="667"/>
      <c r="N922" s="667"/>
      <c r="O922" s="667"/>
      <c r="P922" s="667"/>
      <c r="Q922" s="667"/>
      <c r="R922" s="667"/>
      <c r="S922" s="667"/>
      <c r="T922" s="667"/>
      <c r="U922" s="1031">
        <v>10</v>
      </c>
      <c r="V922" s="668">
        <f t="shared" si="287"/>
        <v>800</v>
      </c>
      <c r="W922" s="668">
        <f t="shared" si="288"/>
        <v>0</v>
      </c>
      <c r="X922" s="668">
        <f t="shared" si="289"/>
        <v>0</v>
      </c>
      <c r="Y922" s="668">
        <f t="shared" si="290"/>
        <v>0</v>
      </c>
      <c r="Z922" s="668">
        <f t="shared" si="291"/>
        <v>0</v>
      </c>
      <c r="AA922" s="668">
        <f t="shared" si="292"/>
        <v>0</v>
      </c>
      <c r="AB922" s="668">
        <f t="shared" si="293"/>
        <v>0</v>
      </c>
      <c r="AC922" s="668">
        <f t="shared" si="286"/>
        <v>0</v>
      </c>
      <c r="AD922" s="668">
        <f t="shared" si="294"/>
        <v>0</v>
      </c>
      <c r="AE922" s="668">
        <f t="shared" si="295"/>
        <v>0</v>
      </c>
      <c r="AF922" s="668">
        <f t="shared" si="296"/>
        <v>0</v>
      </c>
      <c r="AG922" s="668">
        <f t="shared" si="297"/>
        <v>0</v>
      </c>
      <c r="AH922" s="668"/>
      <c r="AI922" s="668"/>
      <c r="AJ922" s="668"/>
      <c r="AK922" s="668"/>
      <c r="AL922" s="668"/>
      <c r="AM922" s="668">
        <f t="shared" si="298"/>
        <v>0</v>
      </c>
      <c r="AN922" s="668">
        <f t="shared" si="282"/>
        <v>0</v>
      </c>
      <c r="AO922" s="668">
        <f t="shared" si="283"/>
        <v>0</v>
      </c>
      <c r="AP922" s="668">
        <f t="shared" si="299"/>
        <v>0</v>
      </c>
      <c r="AQ922" s="668">
        <f t="shared" si="284"/>
        <v>0</v>
      </c>
      <c r="AR922" s="668">
        <f t="shared" si="285"/>
        <v>0</v>
      </c>
      <c r="AS922" s="668"/>
      <c r="AT922" s="668"/>
      <c r="AU922" s="668"/>
      <c r="AV922" s="668"/>
      <c r="AW922" s="668"/>
      <c r="AX922" s="668"/>
      <c r="AY922" s="668"/>
      <c r="AZ922" s="668"/>
      <c r="BA922" s="668"/>
      <c r="BB922" s="668">
        <f t="shared" si="300"/>
        <v>0</v>
      </c>
      <c r="BC922" s="668"/>
      <c r="BD922" s="668"/>
      <c r="BE922" s="668"/>
      <c r="BF922" s="668"/>
      <c r="BG922" s="668"/>
      <c r="BH922" s="668"/>
      <c r="BI922" s="668"/>
    </row>
    <row r="923" spans="1:61" x14ac:dyDescent="0.2">
      <c r="A923" s="1020">
        <v>4209</v>
      </c>
      <c r="B923" s="1020" t="s">
        <v>517</v>
      </c>
      <c r="C923" s="1020"/>
      <c r="D923" s="667">
        <v>50</v>
      </c>
      <c r="E923" s="667"/>
      <c r="F923" s="667"/>
      <c r="G923" s="667"/>
      <c r="H923" s="667"/>
      <c r="I923" s="667"/>
      <c r="J923" s="667"/>
      <c r="K923" s="667"/>
      <c r="L923" s="667"/>
      <c r="M923" s="667"/>
      <c r="N923" s="667"/>
      <c r="O923" s="667"/>
      <c r="P923" s="667"/>
      <c r="Q923" s="667"/>
      <c r="R923" s="667"/>
      <c r="S923" s="667"/>
      <c r="T923" s="667"/>
      <c r="U923" s="1031">
        <v>12</v>
      </c>
      <c r="V923" s="668">
        <f t="shared" si="287"/>
        <v>600</v>
      </c>
      <c r="W923" s="668">
        <f t="shared" si="288"/>
        <v>0</v>
      </c>
      <c r="X923" s="668">
        <f t="shared" si="289"/>
        <v>0</v>
      </c>
      <c r="Y923" s="668">
        <f t="shared" si="290"/>
        <v>0</v>
      </c>
      <c r="Z923" s="668">
        <f t="shared" si="291"/>
        <v>0</v>
      </c>
      <c r="AA923" s="668">
        <f t="shared" si="292"/>
        <v>0</v>
      </c>
      <c r="AB923" s="668">
        <f t="shared" si="293"/>
        <v>0</v>
      </c>
      <c r="AC923" s="668">
        <f t="shared" si="286"/>
        <v>0</v>
      </c>
      <c r="AD923" s="668">
        <f t="shared" si="294"/>
        <v>0</v>
      </c>
      <c r="AE923" s="668">
        <f t="shared" si="295"/>
        <v>0</v>
      </c>
      <c r="AF923" s="668">
        <f t="shared" si="296"/>
        <v>0</v>
      </c>
      <c r="AG923" s="668">
        <f t="shared" si="297"/>
        <v>0</v>
      </c>
      <c r="AH923" s="668"/>
      <c r="AI923" s="668"/>
      <c r="AJ923" s="668"/>
      <c r="AK923" s="668"/>
      <c r="AL923" s="668"/>
      <c r="AM923" s="668">
        <f t="shared" si="298"/>
        <v>0</v>
      </c>
      <c r="AN923" s="668">
        <f t="shared" si="282"/>
        <v>0</v>
      </c>
      <c r="AO923" s="668">
        <f t="shared" si="283"/>
        <v>0</v>
      </c>
      <c r="AP923" s="668">
        <f t="shared" si="299"/>
        <v>0</v>
      </c>
      <c r="AQ923" s="668">
        <f t="shared" si="284"/>
        <v>0</v>
      </c>
      <c r="AR923" s="668">
        <f t="shared" si="285"/>
        <v>0</v>
      </c>
      <c r="AS923" s="668"/>
      <c r="AT923" s="668"/>
      <c r="AU923" s="668"/>
      <c r="AV923" s="668"/>
      <c r="AW923" s="668"/>
      <c r="AX923" s="668"/>
      <c r="AY923" s="668"/>
      <c r="AZ923" s="668"/>
      <c r="BA923" s="668"/>
      <c r="BB923" s="668">
        <f t="shared" si="300"/>
        <v>0</v>
      </c>
      <c r="BC923" s="668"/>
      <c r="BD923" s="668"/>
      <c r="BE923" s="668"/>
      <c r="BF923" s="668"/>
      <c r="BG923" s="668"/>
      <c r="BH923" s="668"/>
      <c r="BI923" s="668"/>
    </row>
    <row r="924" spans="1:61" x14ac:dyDescent="0.2">
      <c r="A924" s="1020">
        <v>4210</v>
      </c>
      <c r="B924" s="1020" t="s">
        <v>519</v>
      </c>
      <c r="C924" s="1020"/>
      <c r="D924" s="667">
        <v>35</v>
      </c>
      <c r="E924" s="667"/>
      <c r="F924" s="667">
        <v>15</v>
      </c>
      <c r="G924" s="667"/>
      <c r="H924" s="667"/>
      <c r="I924" s="667"/>
      <c r="J924" s="667"/>
      <c r="K924" s="667"/>
      <c r="L924" s="667"/>
      <c r="M924" s="667"/>
      <c r="N924" s="667"/>
      <c r="O924" s="667"/>
      <c r="P924" s="667"/>
      <c r="Q924" s="667"/>
      <c r="R924" s="667"/>
      <c r="S924" s="667"/>
      <c r="T924" s="667">
        <v>150</v>
      </c>
      <c r="U924" s="1020">
        <v>12</v>
      </c>
      <c r="V924" s="668">
        <f t="shared" si="287"/>
        <v>420</v>
      </c>
      <c r="W924" s="668">
        <f t="shared" si="288"/>
        <v>0</v>
      </c>
      <c r="X924" s="668">
        <f t="shared" si="289"/>
        <v>0</v>
      </c>
      <c r="Y924" s="668">
        <f t="shared" si="290"/>
        <v>0</v>
      </c>
      <c r="Z924" s="668">
        <f t="shared" si="291"/>
        <v>0</v>
      </c>
      <c r="AA924" s="668">
        <f t="shared" si="292"/>
        <v>0</v>
      </c>
      <c r="AB924" s="668">
        <f t="shared" si="293"/>
        <v>150</v>
      </c>
      <c r="AC924" s="668">
        <f t="shared" si="286"/>
        <v>0</v>
      </c>
      <c r="AD924" s="668">
        <f t="shared" si="294"/>
        <v>0</v>
      </c>
      <c r="AE924" s="668">
        <f t="shared" si="295"/>
        <v>0</v>
      </c>
      <c r="AF924" s="668">
        <f t="shared" si="296"/>
        <v>0</v>
      </c>
      <c r="AG924" s="668">
        <f t="shared" si="297"/>
        <v>0</v>
      </c>
      <c r="AH924" s="668"/>
      <c r="AI924" s="668"/>
      <c r="AJ924" s="668"/>
      <c r="AK924" s="668"/>
      <c r="AL924" s="668"/>
      <c r="AM924" s="668">
        <f t="shared" si="298"/>
        <v>0</v>
      </c>
      <c r="AN924" s="668">
        <f t="shared" si="282"/>
        <v>0</v>
      </c>
      <c r="AO924" s="668">
        <f t="shared" si="283"/>
        <v>0</v>
      </c>
      <c r="AP924" s="668">
        <f t="shared" si="299"/>
        <v>180</v>
      </c>
      <c r="AQ924" s="668">
        <f t="shared" si="284"/>
        <v>0</v>
      </c>
      <c r="AR924" s="668">
        <f t="shared" si="285"/>
        <v>0</v>
      </c>
      <c r="AS924" s="668"/>
      <c r="AT924" s="668"/>
      <c r="AU924" s="668"/>
      <c r="AV924" s="668"/>
      <c r="AW924" s="668"/>
      <c r="AX924" s="668"/>
      <c r="AY924" s="668"/>
      <c r="AZ924" s="668"/>
      <c r="BA924" s="668"/>
      <c r="BB924" s="668">
        <f t="shared" si="300"/>
        <v>180</v>
      </c>
      <c r="BC924" s="668"/>
      <c r="BD924" s="668"/>
      <c r="BE924" s="668"/>
      <c r="BF924" s="668"/>
      <c r="BG924" s="668"/>
      <c r="BH924" s="668"/>
      <c r="BI924" s="668"/>
    </row>
    <row r="925" spans="1:61" x14ac:dyDescent="0.2">
      <c r="A925" s="1020">
        <v>4211</v>
      </c>
      <c r="B925" s="1020" t="s">
        <v>795</v>
      </c>
      <c r="C925" s="1020"/>
      <c r="D925" s="667">
        <v>80</v>
      </c>
      <c r="E925" s="667"/>
      <c r="F925" s="667">
        <v>40</v>
      </c>
      <c r="G925" s="667"/>
      <c r="H925" s="667"/>
      <c r="I925" s="667"/>
      <c r="J925" s="667"/>
      <c r="K925" s="667"/>
      <c r="L925" s="667"/>
      <c r="M925" s="667"/>
      <c r="N925" s="667"/>
      <c r="O925" s="667">
        <v>2</v>
      </c>
      <c r="P925" s="667"/>
      <c r="Q925" s="667"/>
      <c r="R925" s="667"/>
      <c r="S925" s="667"/>
      <c r="T925" s="667"/>
      <c r="U925" s="1020">
        <v>10</v>
      </c>
      <c r="V925" s="668">
        <f t="shared" si="287"/>
        <v>800</v>
      </c>
      <c r="W925" s="668">
        <f t="shared" si="288"/>
        <v>0</v>
      </c>
      <c r="X925" s="668">
        <f t="shared" si="289"/>
        <v>0</v>
      </c>
      <c r="Y925" s="668">
        <f t="shared" si="290"/>
        <v>0</v>
      </c>
      <c r="Z925" s="668">
        <f t="shared" si="291"/>
        <v>0</v>
      </c>
      <c r="AA925" s="668">
        <f t="shared" si="292"/>
        <v>0</v>
      </c>
      <c r="AB925" s="668">
        <f t="shared" si="293"/>
        <v>0</v>
      </c>
      <c r="AC925" s="668">
        <f t="shared" si="286"/>
        <v>0</v>
      </c>
      <c r="AD925" s="668">
        <f t="shared" si="294"/>
        <v>0</v>
      </c>
      <c r="AE925" s="668">
        <f t="shared" si="295"/>
        <v>0</v>
      </c>
      <c r="AF925" s="668">
        <f t="shared" si="296"/>
        <v>0</v>
      </c>
      <c r="AG925" s="668">
        <f t="shared" si="297"/>
        <v>0</v>
      </c>
      <c r="AH925" s="668"/>
      <c r="AI925" s="668"/>
      <c r="AJ925" s="668"/>
      <c r="AK925" s="668"/>
      <c r="AL925" s="668"/>
      <c r="AM925" s="668">
        <f t="shared" si="298"/>
        <v>0</v>
      </c>
      <c r="AN925" s="668">
        <f t="shared" si="282"/>
        <v>0</v>
      </c>
      <c r="AO925" s="668">
        <f t="shared" si="283"/>
        <v>20</v>
      </c>
      <c r="AP925" s="668">
        <f t="shared" si="299"/>
        <v>400</v>
      </c>
      <c r="AQ925" s="668">
        <f t="shared" si="284"/>
        <v>0</v>
      </c>
      <c r="AR925" s="668">
        <f t="shared" si="285"/>
        <v>0</v>
      </c>
      <c r="AS925" s="668"/>
      <c r="AT925" s="668"/>
      <c r="AU925" s="668"/>
      <c r="AV925" s="668"/>
      <c r="AW925" s="668"/>
      <c r="AX925" s="668"/>
      <c r="AY925" s="668"/>
      <c r="AZ925" s="668"/>
      <c r="BA925" s="668"/>
      <c r="BB925" s="668">
        <f t="shared" si="300"/>
        <v>400</v>
      </c>
      <c r="BC925" s="668"/>
      <c r="BD925" s="668"/>
      <c r="BE925" s="668"/>
      <c r="BF925" s="668"/>
      <c r="BG925" s="668"/>
      <c r="BH925" s="668"/>
      <c r="BI925" s="668"/>
    </row>
    <row r="926" spans="1:61" x14ac:dyDescent="0.2">
      <c r="A926" s="1020">
        <v>4212</v>
      </c>
      <c r="B926" s="1020" t="s">
        <v>800</v>
      </c>
      <c r="C926" s="1020"/>
      <c r="D926" s="667"/>
      <c r="E926" s="667"/>
      <c r="F926" s="667"/>
      <c r="G926" s="667"/>
      <c r="H926" s="667"/>
      <c r="I926" s="667"/>
      <c r="J926" s="667"/>
      <c r="K926" s="667"/>
      <c r="L926" s="667"/>
      <c r="M926" s="667"/>
      <c r="N926" s="667"/>
      <c r="O926" s="667"/>
      <c r="P926" s="667"/>
      <c r="Q926" s="667"/>
      <c r="R926" s="667"/>
      <c r="S926" s="667"/>
      <c r="T926" s="667"/>
      <c r="U926" s="1020">
        <v>10</v>
      </c>
      <c r="V926" s="668">
        <f t="shared" si="287"/>
        <v>0</v>
      </c>
      <c r="W926" s="668">
        <f t="shared" si="288"/>
        <v>0</v>
      </c>
      <c r="X926" s="668">
        <f t="shared" si="289"/>
        <v>0</v>
      </c>
      <c r="Y926" s="668">
        <f t="shared" si="290"/>
        <v>0</v>
      </c>
      <c r="Z926" s="668">
        <f t="shared" si="291"/>
        <v>0</v>
      </c>
      <c r="AA926" s="668">
        <f t="shared" si="292"/>
        <v>0</v>
      </c>
      <c r="AB926" s="668">
        <f t="shared" si="293"/>
        <v>0</v>
      </c>
      <c r="AC926" s="668">
        <f t="shared" si="286"/>
        <v>0</v>
      </c>
      <c r="AD926" s="668">
        <f t="shared" si="294"/>
        <v>0</v>
      </c>
      <c r="AE926" s="668">
        <f t="shared" si="295"/>
        <v>0</v>
      </c>
      <c r="AF926" s="668">
        <f t="shared" si="296"/>
        <v>0</v>
      </c>
      <c r="AG926" s="668">
        <f t="shared" si="297"/>
        <v>0</v>
      </c>
      <c r="AH926" s="668"/>
      <c r="AI926" s="668"/>
      <c r="AJ926" s="668"/>
      <c r="AK926" s="668"/>
      <c r="AL926" s="668"/>
      <c r="AM926" s="668">
        <f t="shared" si="298"/>
        <v>0</v>
      </c>
      <c r="AN926" s="668">
        <f t="shared" si="282"/>
        <v>0</v>
      </c>
      <c r="AO926" s="668">
        <f t="shared" si="283"/>
        <v>0</v>
      </c>
      <c r="AP926" s="668">
        <f t="shared" si="299"/>
        <v>0</v>
      </c>
      <c r="AQ926" s="668">
        <f t="shared" si="284"/>
        <v>0</v>
      </c>
      <c r="AR926" s="668">
        <f t="shared" si="285"/>
        <v>0</v>
      </c>
      <c r="AS926" s="668"/>
      <c r="AT926" s="668"/>
      <c r="AU926" s="668"/>
      <c r="AV926" s="668"/>
      <c r="AW926" s="668"/>
      <c r="AX926" s="668"/>
      <c r="AY926" s="668"/>
      <c r="AZ926" s="668"/>
      <c r="BA926" s="668"/>
      <c r="BB926" s="668">
        <f t="shared" si="300"/>
        <v>0</v>
      </c>
      <c r="BC926" s="668"/>
      <c r="BD926" s="668"/>
      <c r="BE926" s="668"/>
      <c r="BF926" s="668"/>
      <c r="BG926" s="668"/>
      <c r="BH926" s="668"/>
      <c r="BI926" s="668"/>
    </row>
    <row r="927" spans="1:61" x14ac:dyDescent="0.2">
      <c r="A927" s="1020">
        <v>4213</v>
      </c>
      <c r="B927" s="1020" t="s">
        <v>534</v>
      </c>
      <c r="C927" s="1020"/>
      <c r="D927" s="667"/>
      <c r="E927" s="667"/>
      <c r="F927" s="667"/>
      <c r="G927" s="667"/>
      <c r="H927" s="667"/>
      <c r="I927" s="667"/>
      <c r="J927" s="667"/>
      <c r="K927" s="667"/>
      <c r="L927" s="667"/>
      <c r="M927" s="667"/>
      <c r="N927" s="667"/>
      <c r="O927" s="667"/>
      <c r="P927" s="667"/>
      <c r="Q927" s="667"/>
      <c r="R927" s="667"/>
      <c r="S927" s="667"/>
      <c r="T927" s="667"/>
      <c r="U927" s="1020"/>
      <c r="V927" s="668">
        <f t="shared" si="287"/>
        <v>0</v>
      </c>
      <c r="W927" s="668">
        <f t="shared" si="288"/>
        <v>0</v>
      </c>
      <c r="X927" s="668">
        <f t="shared" si="289"/>
        <v>0</v>
      </c>
      <c r="Y927" s="668">
        <f t="shared" si="290"/>
        <v>0</v>
      </c>
      <c r="Z927" s="668">
        <f t="shared" si="291"/>
        <v>0</v>
      </c>
      <c r="AA927" s="668">
        <f t="shared" si="292"/>
        <v>0</v>
      </c>
      <c r="AB927" s="668">
        <f t="shared" si="293"/>
        <v>0</v>
      </c>
      <c r="AC927" s="668">
        <f t="shared" si="286"/>
        <v>0</v>
      </c>
      <c r="AD927" s="668">
        <f t="shared" si="294"/>
        <v>0</v>
      </c>
      <c r="AE927" s="668">
        <f t="shared" si="295"/>
        <v>0</v>
      </c>
      <c r="AF927" s="668">
        <f t="shared" si="296"/>
        <v>0</v>
      </c>
      <c r="AG927" s="668">
        <f t="shared" si="297"/>
        <v>0</v>
      </c>
      <c r="AH927" s="668"/>
      <c r="AI927" s="668"/>
      <c r="AJ927" s="668"/>
      <c r="AK927" s="668"/>
      <c r="AL927" s="668"/>
      <c r="AM927" s="668">
        <f t="shared" si="298"/>
        <v>0</v>
      </c>
      <c r="AN927" s="668">
        <f t="shared" si="282"/>
        <v>0</v>
      </c>
      <c r="AO927" s="668">
        <f t="shared" si="283"/>
        <v>0</v>
      </c>
      <c r="AP927" s="668">
        <f t="shared" si="299"/>
        <v>0</v>
      </c>
      <c r="AQ927" s="668">
        <f t="shared" si="284"/>
        <v>0</v>
      </c>
      <c r="AR927" s="668">
        <f t="shared" si="285"/>
        <v>0</v>
      </c>
      <c r="AS927" s="668"/>
      <c r="AT927" s="668"/>
      <c r="AU927" s="668"/>
      <c r="AV927" s="668"/>
      <c r="AW927" s="668"/>
      <c r="AX927" s="668"/>
      <c r="AY927" s="668"/>
      <c r="AZ927" s="668"/>
      <c r="BA927" s="668"/>
      <c r="BB927" s="668">
        <f t="shared" si="300"/>
        <v>0</v>
      </c>
      <c r="BC927" s="668"/>
      <c r="BD927" s="668"/>
      <c r="BE927" s="668"/>
      <c r="BF927" s="668"/>
      <c r="BG927" s="668"/>
      <c r="BH927" s="668"/>
      <c r="BI927" s="668"/>
    </row>
    <row r="928" spans="1:61" x14ac:dyDescent="0.2">
      <c r="A928" s="1020">
        <v>4214</v>
      </c>
      <c r="B928" s="1020" t="s">
        <v>517</v>
      </c>
      <c r="C928" s="1020"/>
      <c r="D928" s="667">
        <v>90</v>
      </c>
      <c r="E928" s="667"/>
      <c r="F928" s="667"/>
      <c r="G928" s="667"/>
      <c r="H928" s="667"/>
      <c r="I928" s="667"/>
      <c r="J928" s="667"/>
      <c r="K928" s="667"/>
      <c r="L928" s="667"/>
      <c r="M928" s="667"/>
      <c r="N928" s="667"/>
      <c r="O928" s="667"/>
      <c r="P928" s="667"/>
      <c r="Q928" s="667"/>
      <c r="R928" s="667"/>
      <c r="S928" s="667"/>
      <c r="T928" s="667"/>
      <c r="U928" s="1020">
        <v>12</v>
      </c>
      <c r="V928" s="668">
        <f t="shared" si="287"/>
        <v>1080</v>
      </c>
      <c r="W928" s="668">
        <f t="shared" si="288"/>
        <v>0</v>
      </c>
      <c r="X928" s="668">
        <f t="shared" si="289"/>
        <v>0</v>
      </c>
      <c r="Y928" s="668">
        <f t="shared" si="290"/>
        <v>0</v>
      </c>
      <c r="Z928" s="668">
        <f t="shared" si="291"/>
        <v>0</v>
      </c>
      <c r="AA928" s="668">
        <f t="shared" si="292"/>
        <v>0</v>
      </c>
      <c r="AB928" s="668">
        <f t="shared" si="293"/>
        <v>0</v>
      </c>
      <c r="AC928" s="668">
        <f t="shared" si="286"/>
        <v>0</v>
      </c>
      <c r="AD928" s="668">
        <f t="shared" si="294"/>
        <v>0</v>
      </c>
      <c r="AE928" s="668">
        <f t="shared" si="295"/>
        <v>0</v>
      </c>
      <c r="AF928" s="668">
        <f t="shared" si="296"/>
        <v>0</v>
      </c>
      <c r="AG928" s="668">
        <f t="shared" si="297"/>
        <v>0</v>
      </c>
      <c r="AH928" s="668"/>
      <c r="AI928" s="668"/>
      <c r="AJ928" s="668"/>
      <c r="AK928" s="668"/>
      <c r="AL928" s="668"/>
      <c r="AM928" s="668">
        <f t="shared" si="298"/>
        <v>0</v>
      </c>
      <c r="AN928" s="668">
        <f t="shared" si="282"/>
        <v>0</v>
      </c>
      <c r="AO928" s="668">
        <f t="shared" si="283"/>
        <v>0</v>
      </c>
      <c r="AP928" s="668">
        <f t="shared" si="299"/>
        <v>0</v>
      </c>
      <c r="AQ928" s="668">
        <f t="shared" si="284"/>
        <v>0</v>
      </c>
      <c r="AR928" s="668">
        <f t="shared" si="285"/>
        <v>0</v>
      </c>
      <c r="AS928" s="668"/>
      <c r="AT928" s="668"/>
      <c r="AU928" s="668"/>
      <c r="AV928" s="668"/>
      <c r="AW928" s="668"/>
      <c r="AX928" s="668"/>
      <c r="AY928" s="668"/>
      <c r="AZ928" s="668"/>
      <c r="BA928" s="668"/>
      <c r="BB928" s="668">
        <f t="shared" si="300"/>
        <v>0</v>
      </c>
      <c r="BC928" s="668"/>
      <c r="BD928" s="668"/>
      <c r="BE928" s="668"/>
      <c r="BF928" s="668"/>
      <c r="BG928" s="668"/>
      <c r="BH928" s="668"/>
      <c r="BI928" s="668"/>
    </row>
    <row r="929" spans="1:61" x14ac:dyDescent="0.2">
      <c r="A929" s="1020">
        <v>4215</v>
      </c>
      <c r="B929" s="1020" t="s">
        <v>534</v>
      </c>
      <c r="C929" s="1020"/>
      <c r="D929" s="667">
        <v>80</v>
      </c>
      <c r="E929" s="667"/>
      <c r="F929" s="667"/>
      <c r="G929" s="667"/>
      <c r="H929" s="667"/>
      <c r="I929" s="667"/>
      <c r="J929" s="667"/>
      <c r="K929" s="667"/>
      <c r="L929" s="667"/>
      <c r="M929" s="667"/>
      <c r="N929" s="667"/>
      <c r="O929" s="667"/>
      <c r="P929" s="667"/>
      <c r="Q929" s="667"/>
      <c r="R929" s="667"/>
      <c r="S929" s="667"/>
      <c r="T929" s="667"/>
      <c r="U929" s="1020">
        <v>12</v>
      </c>
      <c r="V929" s="668">
        <f t="shared" si="287"/>
        <v>960</v>
      </c>
      <c r="W929" s="668">
        <f t="shared" si="288"/>
        <v>0</v>
      </c>
      <c r="X929" s="668">
        <f t="shared" si="289"/>
        <v>0</v>
      </c>
      <c r="Y929" s="668">
        <f t="shared" si="290"/>
        <v>0</v>
      </c>
      <c r="Z929" s="668">
        <f t="shared" si="291"/>
        <v>0</v>
      </c>
      <c r="AA929" s="668">
        <f t="shared" si="292"/>
        <v>0</v>
      </c>
      <c r="AB929" s="668">
        <f t="shared" si="293"/>
        <v>0</v>
      </c>
      <c r="AC929" s="668">
        <f t="shared" si="286"/>
        <v>0</v>
      </c>
      <c r="AD929" s="668">
        <f t="shared" si="294"/>
        <v>0</v>
      </c>
      <c r="AE929" s="668">
        <f t="shared" si="295"/>
        <v>0</v>
      </c>
      <c r="AF929" s="668">
        <f t="shared" si="296"/>
        <v>0</v>
      </c>
      <c r="AG929" s="668">
        <f t="shared" si="297"/>
        <v>0</v>
      </c>
      <c r="AH929" s="668"/>
      <c r="AI929" s="668"/>
      <c r="AJ929" s="668"/>
      <c r="AK929" s="668"/>
      <c r="AL929" s="668"/>
      <c r="AM929" s="668">
        <f t="shared" si="298"/>
        <v>0</v>
      </c>
      <c r="AN929" s="668">
        <f t="shared" si="282"/>
        <v>0</v>
      </c>
      <c r="AO929" s="668">
        <f t="shared" si="283"/>
        <v>0</v>
      </c>
      <c r="AP929" s="668">
        <f t="shared" si="299"/>
        <v>0</v>
      </c>
      <c r="AQ929" s="668">
        <f t="shared" si="284"/>
        <v>0</v>
      </c>
      <c r="AR929" s="668">
        <f t="shared" si="285"/>
        <v>0</v>
      </c>
      <c r="AS929" s="668"/>
      <c r="AT929" s="668"/>
      <c r="AU929" s="668"/>
      <c r="AV929" s="668"/>
      <c r="AW929" s="668"/>
      <c r="AX929" s="668"/>
      <c r="AY929" s="668"/>
      <c r="AZ929" s="668"/>
      <c r="BA929" s="668"/>
      <c r="BB929" s="668">
        <f t="shared" si="300"/>
        <v>0</v>
      </c>
      <c r="BC929" s="668"/>
      <c r="BD929" s="668"/>
      <c r="BE929" s="668"/>
      <c r="BF929" s="668"/>
      <c r="BG929" s="668"/>
      <c r="BH929" s="668"/>
      <c r="BI929" s="668"/>
    </row>
    <row r="930" spans="1:61" x14ac:dyDescent="0.2">
      <c r="A930" s="1020">
        <v>4230</v>
      </c>
      <c r="B930" s="1020" t="s">
        <v>465</v>
      </c>
      <c r="C930" s="1020" t="s">
        <v>984</v>
      </c>
      <c r="D930" s="667">
        <v>223</v>
      </c>
      <c r="E930" s="667"/>
      <c r="F930" s="667"/>
      <c r="G930" s="667"/>
      <c r="H930" s="667"/>
      <c r="I930" s="667"/>
      <c r="J930" s="667"/>
      <c r="K930" s="667"/>
      <c r="L930" s="667"/>
      <c r="M930" s="667"/>
      <c r="N930" s="667"/>
      <c r="O930" s="667"/>
      <c r="P930" s="667"/>
      <c r="Q930" s="667"/>
      <c r="R930" s="667"/>
      <c r="S930" s="667"/>
      <c r="T930" s="667"/>
      <c r="U930" s="1020">
        <v>12</v>
      </c>
      <c r="V930" s="668">
        <f t="shared" si="287"/>
        <v>2676</v>
      </c>
      <c r="W930" s="668">
        <f t="shared" si="288"/>
        <v>0</v>
      </c>
      <c r="X930" s="668">
        <f t="shared" si="289"/>
        <v>0</v>
      </c>
      <c r="Y930" s="668">
        <f t="shared" si="290"/>
        <v>0</v>
      </c>
      <c r="Z930" s="668">
        <f t="shared" si="291"/>
        <v>2676</v>
      </c>
      <c r="AA930" s="668">
        <f t="shared" si="292"/>
        <v>0</v>
      </c>
      <c r="AB930" s="668">
        <f t="shared" si="293"/>
        <v>0</v>
      </c>
      <c r="AC930" s="668">
        <f t="shared" si="286"/>
        <v>0</v>
      </c>
      <c r="AD930" s="668">
        <f t="shared" si="294"/>
        <v>0</v>
      </c>
      <c r="AE930" s="668">
        <f t="shared" si="295"/>
        <v>0</v>
      </c>
      <c r="AF930" s="668">
        <f t="shared" si="296"/>
        <v>0</v>
      </c>
      <c r="AG930" s="668">
        <f t="shared" si="297"/>
        <v>0</v>
      </c>
      <c r="AH930" s="668"/>
      <c r="AI930" s="668"/>
      <c r="AJ930" s="668"/>
      <c r="AK930" s="668"/>
      <c r="AL930" s="668"/>
      <c r="AM930" s="668">
        <f t="shared" si="298"/>
        <v>0</v>
      </c>
      <c r="AN930" s="668">
        <f t="shared" si="282"/>
        <v>0</v>
      </c>
      <c r="AO930" s="668">
        <f t="shared" si="283"/>
        <v>0</v>
      </c>
      <c r="AP930" s="668">
        <f t="shared" si="299"/>
        <v>0</v>
      </c>
      <c r="AQ930" s="668">
        <f t="shared" si="284"/>
        <v>0</v>
      </c>
      <c r="AR930" s="668">
        <f t="shared" si="285"/>
        <v>0</v>
      </c>
      <c r="AS930" s="668"/>
      <c r="AT930" s="668"/>
      <c r="AU930" s="668"/>
      <c r="AV930" s="668"/>
      <c r="AW930" s="668"/>
      <c r="AX930" s="668"/>
      <c r="AY930" s="668"/>
      <c r="AZ930" s="668"/>
      <c r="BA930" s="668"/>
      <c r="BB930" s="668">
        <f t="shared" si="300"/>
        <v>0</v>
      </c>
      <c r="BC930" s="668"/>
      <c r="BD930" s="668"/>
      <c r="BE930" s="668"/>
      <c r="BF930" s="668"/>
      <c r="BG930" s="668"/>
      <c r="BH930" s="668"/>
      <c r="BI930" s="668"/>
    </row>
    <row r="931" spans="1:61" x14ac:dyDescent="0.2">
      <c r="A931" s="1020">
        <v>4231</v>
      </c>
      <c r="B931" s="1020" t="s">
        <v>465</v>
      </c>
      <c r="C931" s="1020" t="s">
        <v>984</v>
      </c>
      <c r="D931" s="667">
        <v>208</v>
      </c>
      <c r="E931" s="667"/>
      <c r="F931" s="667"/>
      <c r="G931" s="667"/>
      <c r="H931" s="667"/>
      <c r="I931" s="667"/>
      <c r="J931" s="667"/>
      <c r="K931" s="667"/>
      <c r="L931" s="667"/>
      <c r="M931" s="667"/>
      <c r="N931" s="667"/>
      <c r="O931" s="667"/>
      <c r="P931" s="667"/>
      <c r="Q931" s="667"/>
      <c r="R931" s="667"/>
      <c r="S931" s="667"/>
      <c r="T931" s="667"/>
      <c r="U931" s="1020">
        <v>12</v>
      </c>
      <c r="V931" s="668">
        <f t="shared" si="287"/>
        <v>2496</v>
      </c>
      <c r="W931" s="668">
        <f t="shared" si="288"/>
        <v>0</v>
      </c>
      <c r="X931" s="668">
        <f t="shared" si="289"/>
        <v>0</v>
      </c>
      <c r="Y931" s="668">
        <f t="shared" si="290"/>
        <v>0</v>
      </c>
      <c r="Z931" s="668">
        <f t="shared" si="291"/>
        <v>2496</v>
      </c>
      <c r="AA931" s="668">
        <f t="shared" si="292"/>
        <v>0</v>
      </c>
      <c r="AB931" s="668">
        <f t="shared" si="293"/>
        <v>0</v>
      </c>
      <c r="AC931" s="668">
        <f t="shared" si="286"/>
        <v>0</v>
      </c>
      <c r="AD931" s="668">
        <f t="shared" si="294"/>
        <v>0</v>
      </c>
      <c r="AE931" s="668">
        <f t="shared" si="295"/>
        <v>0</v>
      </c>
      <c r="AF931" s="668">
        <f t="shared" si="296"/>
        <v>0</v>
      </c>
      <c r="AG931" s="668">
        <f t="shared" si="297"/>
        <v>0</v>
      </c>
      <c r="AH931" s="668"/>
      <c r="AI931" s="668"/>
      <c r="AJ931" s="668"/>
      <c r="AK931" s="668"/>
      <c r="AL931" s="668"/>
      <c r="AM931" s="668">
        <f t="shared" si="298"/>
        <v>0</v>
      </c>
      <c r="AN931" s="668">
        <f t="shared" si="282"/>
        <v>0</v>
      </c>
      <c r="AO931" s="668">
        <f t="shared" si="283"/>
        <v>0</v>
      </c>
      <c r="AP931" s="668">
        <f t="shared" si="299"/>
        <v>0</v>
      </c>
      <c r="AQ931" s="668">
        <f t="shared" si="284"/>
        <v>0</v>
      </c>
      <c r="AR931" s="668">
        <f t="shared" si="285"/>
        <v>0</v>
      </c>
      <c r="AS931" s="668"/>
      <c r="AT931" s="668"/>
      <c r="AU931" s="668"/>
      <c r="AV931" s="668"/>
      <c r="AW931" s="668"/>
      <c r="AX931" s="668"/>
      <c r="AY931" s="668"/>
      <c r="AZ931" s="668"/>
      <c r="BA931" s="668"/>
      <c r="BB931" s="668">
        <f t="shared" si="300"/>
        <v>0</v>
      </c>
      <c r="BC931" s="668"/>
      <c r="BD931" s="668"/>
      <c r="BE931" s="668"/>
      <c r="BF931" s="668"/>
      <c r="BG931" s="668"/>
      <c r="BH931" s="668"/>
      <c r="BI931" s="668"/>
    </row>
    <row r="932" spans="1:61" x14ac:dyDescent="0.2">
      <c r="A932" s="1020">
        <v>4232</v>
      </c>
      <c r="B932" s="1020" t="s">
        <v>465</v>
      </c>
      <c r="C932" s="1020" t="s">
        <v>984</v>
      </c>
      <c r="D932" s="667">
        <v>166</v>
      </c>
      <c r="E932" s="667"/>
      <c r="F932" s="667"/>
      <c r="G932" s="667"/>
      <c r="H932" s="667"/>
      <c r="I932" s="667"/>
      <c r="J932" s="667"/>
      <c r="K932" s="667"/>
      <c r="L932" s="667"/>
      <c r="M932" s="667"/>
      <c r="N932" s="667"/>
      <c r="O932" s="667"/>
      <c r="P932" s="667"/>
      <c r="Q932" s="667"/>
      <c r="R932" s="667"/>
      <c r="S932" s="667"/>
      <c r="T932" s="667"/>
      <c r="U932" s="1020">
        <v>12</v>
      </c>
      <c r="V932" s="668">
        <f t="shared" si="287"/>
        <v>1992</v>
      </c>
      <c r="W932" s="668">
        <f t="shared" si="288"/>
        <v>0</v>
      </c>
      <c r="X932" s="668">
        <f t="shared" si="289"/>
        <v>0</v>
      </c>
      <c r="Y932" s="668">
        <f t="shared" si="290"/>
        <v>0</v>
      </c>
      <c r="Z932" s="668">
        <f t="shared" si="291"/>
        <v>1992</v>
      </c>
      <c r="AA932" s="668">
        <f t="shared" si="292"/>
        <v>0</v>
      </c>
      <c r="AB932" s="668">
        <f t="shared" si="293"/>
        <v>0</v>
      </c>
      <c r="AC932" s="668">
        <f t="shared" si="286"/>
        <v>0</v>
      </c>
      <c r="AD932" s="668">
        <f t="shared" si="294"/>
        <v>0</v>
      </c>
      <c r="AE932" s="668">
        <f t="shared" si="295"/>
        <v>0</v>
      </c>
      <c r="AF932" s="668">
        <f t="shared" si="296"/>
        <v>0</v>
      </c>
      <c r="AG932" s="668">
        <f t="shared" si="297"/>
        <v>0</v>
      </c>
      <c r="AH932" s="668"/>
      <c r="AI932" s="668"/>
      <c r="AJ932" s="668"/>
      <c r="AK932" s="668"/>
      <c r="AL932" s="668"/>
      <c r="AM932" s="668">
        <f t="shared" si="298"/>
        <v>0</v>
      </c>
      <c r="AN932" s="668">
        <f t="shared" si="282"/>
        <v>0</v>
      </c>
      <c r="AO932" s="668">
        <f t="shared" si="283"/>
        <v>0</v>
      </c>
      <c r="AP932" s="668">
        <f t="shared" si="299"/>
        <v>0</v>
      </c>
      <c r="AQ932" s="668">
        <f t="shared" si="284"/>
        <v>0</v>
      </c>
      <c r="AR932" s="668">
        <f t="shared" si="285"/>
        <v>0</v>
      </c>
      <c r="AS932" s="668"/>
      <c r="AT932" s="668"/>
      <c r="AU932" s="668"/>
      <c r="AV932" s="668"/>
      <c r="AW932" s="668"/>
      <c r="AX932" s="668"/>
      <c r="AY932" s="668"/>
      <c r="AZ932" s="668"/>
      <c r="BA932" s="668"/>
      <c r="BB932" s="668">
        <f t="shared" si="300"/>
        <v>0</v>
      </c>
      <c r="BC932" s="668"/>
      <c r="BD932" s="668"/>
      <c r="BE932" s="668"/>
      <c r="BF932" s="668"/>
      <c r="BG932" s="668"/>
      <c r="BH932" s="668"/>
      <c r="BI932" s="668"/>
    </row>
    <row r="933" spans="1:61" x14ac:dyDescent="0.2">
      <c r="A933" s="1020">
        <v>4233</v>
      </c>
      <c r="B933" s="1020" t="s">
        <v>465</v>
      </c>
      <c r="C933" s="1020" t="s">
        <v>984</v>
      </c>
      <c r="D933" s="667">
        <v>77</v>
      </c>
      <c r="E933" s="667"/>
      <c r="F933" s="667"/>
      <c r="G933" s="667"/>
      <c r="H933" s="667"/>
      <c r="I933" s="667"/>
      <c r="J933" s="667"/>
      <c r="K933" s="667"/>
      <c r="L933" s="667"/>
      <c r="M933" s="667"/>
      <c r="N933" s="667"/>
      <c r="O933" s="667"/>
      <c r="P933" s="667"/>
      <c r="Q933" s="667"/>
      <c r="R933" s="667"/>
      <c r="S933" s="667"/>
      <c r="T933" s="667"/>
      <c r="U933" s="1020">
        <v>12</v>
      </c>
      <c r="V933" s="668">
        <f t="shared" si="287"/>
        <v>924</v>
      </c>
      <c r="W933" s="668">
        <f t="shared" si="288"/>
        <v>0</v>
      </c>
      <c r="X933" s="668">
        <f t="shared" si="289"/>
        <v>0</v>
      </c>
      <c r="Y933" s="668">
        <f t="shared" si="290"/>
        <v>0</v>
      </c>
      <c r="Z933" s="668">
        <f t="shared" si="291"/>
        <v>924</v>
      </c>
      <c r="AA933" s="668">
        <f t="shared" si="292"/>
        <v>0</v>
      </c>
      <c r="AB933" s="668">
        <f t="shared" si="293"/>
        <v>0</v>
      </c>
      <c r="AC933" s="668">
        <f t="shared" si="286"/>
        <v>0</v>
      </c>
      <c r="AD933" s="668">
        <f t="shared" si="294"/>
        <v>0</v>
      </c>
      <c r="AE933" s="668">
        <f t="shared" si="295"/>
        <v>0</v>
      </c>
      <c r="AF933" s="668">
        <f t="shared" si="296"/>
        <v>0</v>
      </c>
      <c r="AG933" s="668">
        <f t="shared" si="297"/>
        <v>0</v>
      </c>
      <c r="AH933" s="668"/>
      <c r="AI933" s="668"/>
      <c r="AJ933" s="668"/>
      <c r="AK933" s="668"/>
      <c r="AL933" s="668"/>
      <c r="AM933" s="668">
        <f t="shared" si="298"/>
        <v>0</v>
      </c>
      <c r="AN933" s="668">
        <f t="shared" si="282"/>
        <v>0</v>
      </c>
      <c r="AO933" s="668">
        <f t="shared" si="283"/>
        <v>0</v>
      </c>
      <c r="AP933" s="668">
        <f t="shared" si="299"/>
        <v>0</v>
      </c>
      <c r="AQ933" s="668">
        <f t="shared" si="284"/>
        <v>0</v>
      </c>
      <c r="AR933" s="668">
        <f t="shared" si="285"/>
        <v>0</v>
      </c>
      <c r="AS933" s="668"/>
      <c r="AT933" s="668"/>
      <c r="AU933" s="668"/>
      <c r="AV933" s="668"/>
      <c r="AW933" s="668"/>
      <c r="AX933" s="668"/>
      <c r="AY933" s="668"/>
      <c r="AZ933" s="668"/>
      <c r="BA933" s="668"/>
      <c r="BB933" s="668">
        <f t="shared" si="300"/>
        <v>0</v>
      </c>
      <c r="BC933" s="668"/>
      <c r="BD933" s="668"/>
      <c r="BE933" s="668"/>
      <c r="BF933" s="668"/>
      <c r="BG933" s="668"/>
      <c r="BH933" s="668"/>
      <c r="BI933" s="668"/>
    </row>
    <row r="934" spans="1:61" x14ac:dyDescent="0.2">
      <c r="A934" s="1020">
        <v>4234</v>
      </c>
      <c r="B934" s="1020" t="s">
        <v>465</v>
      </c>
      <c r="C934" s="1020" t="s">
        <v>984</v>
      </c>
      <c r="D934" s="667">
        <v>95</v>
      </c>
      <c r="E934" s="667"/>
      <c r="F934" s="667"/>
      <c r="G934" s="667"/>
      <c r="H934" s="667"/>
      <c r="I934" s="667"/>
      <c r="J934" s="667"/>
      <c r="K934" s="667"/>
      <c r="L934" s="667"/>
      <c r="M934" s="667"/>
      <c r="N934" s="667"/>
      <c r="O934" s="667"/>
      <c r="P934" s="667"/>
      <c r="Q934" s="667"/>
      <c r="R934" s="667"/>
      <c r="S934" s="667"/>
      <c r="T934" s="667"/>
      <c r="U934" s="1020">
        <v>12</v>
      </c>
      <c r="V934" s="668">
        <f t="shared" si="287"/>
        <v>1140</v>
      </c>
      <c r="W934" s="668">
        <f t="shared" si="288"/>
        <v>0</v>
      </c>
      <c r="X934" s="668">
        <f t="shared" si="289"/>
        <v>0</v>
      </c>
      <c r="Y934" s="668">
        <f t="shared" si="290"/>
        <v>0</v>
      </c>
      <c r="Z934" s="668">
        <f t="shared" si="291"/>
        <v>1140</v>
      </c>
      <c r="AA934" s="668">
        <f t="shared" si="292"/>
        <v>0</v>
      </c>
      <c r="AB934" s="668">
        <f t="shared" si="293"/>
        <v>0</v>
      </c>
      <c r="AC934" s="668">
        <f t="shared" si="286"/>
        <v>0</v>
      </c>
      <c r="AD934" s="668">
        <f t="shared" si="294"/>
        <v>0</v>
      </c>
      <c r="AE934" s="668">
        <f t="shared" si="295"/>
        <v>0</v>
      </c>
      <c r="AF934" s="668">
        <f t="shared" si="296"/>
        <v>0</v>
      </c>
      <c r="AG934" s="668">
        <f t="shared" si="297"/>
        <v>0</v>
      </c>
      <c r="AH934" s="668"/>
      <c r="AI934" s="668"/>
      <c r="AJ934" s="668"/>
      <c r="AK934" s="668"/>
      <c r="AL934" s="668"/>
      <c r="AM934" s="668">
        <f t="shared" si="298"/>
        <v>0</v>
      </c>
      <c r="AN934" s="668">
        <f t="shared" si="282"/>
        <v>0</v>
      </c>
      <c r="AO934" s="668">
        <f t="shared" si="283"/>
        <v>0</v>
      </c>
      <c r="AP934" s="668">
        <f t="shared" si="299"/>
        <v>0</v>
      </c>
      <c r="AQ934" s="668">
        <f t="shared" si="284"/>
        <v>0</v>
      </c>
      <c r="AR934" s="668">
        <f t="shared" si="285"/>
        <v>0</v>
      </c>
      <c r="AS934" s="668"/>
      <c r="AT934" s="668"/>
      <c r="AU934" s="668"/>
      <c r="AV934" s="668"/>
      <c r="AW934" s="668"/>
      <c r="AX934" s="668"/>
      <c r="AY934" s="668"/>
      <c r="AZ934" s="668"/>
      <c r="BA934" s="668"/>
      <c r="BB934" s="668">
        <f t="shared" si="300"/>
        <v>0</v>
      </c>
      <c r="BC934" s="668"/>
      <c r="BD934" s="668"/>
      <c r="BE934" s="668"/>
      <c r="BF934" s="668"/>
      <c r="BG934" s="668"/>
      <c r="BH934" s="668"/>
      <c r="BI934" s="668"/>
    </row>
    <row r="935" spans="1:61" x14ac:dyDescent="0.2">
      <c r="A935" s="1020">
        <v>4235</v>
      </c>
      <c r="B935" s="1020" t="s">
        <v>465</v>
      </c>
      <c r="C935" s="1020" t="s">
        <v>984</v>
      </c>
      <c r="D935" s="667">
        <v>33</v>
      </c>
      <c r="E935" s="667"/>
      <c r="F935" s="667"/>
      <c r="G935" s="667"/>
      <c r="H935" s="667"/>
      <c r="I935" s="667"/>
      <c r="J935" s="667"/>
      <c r="K935" s="667"/>
      <c r="L935" s="667"/>
      <c r="M935" s="667"/>
      <c r="N935" s="667"/>
      <c r="O935" s="667"/>
      <c r="P935" s="667"/>
      <c r="Q935" s="667"/>
      <c r="R935" s="667"/>
      <c r="S935" s="667"/>
      <c r="T935" s="667"/>
      <c r="U935" s="1020">
        <v>12</v>
      </c>
      <c r="V935" s="668">
        <f t="shared" si="287"/>
        <v>396</v>
      </c>
      <c r="W935" s="668">
        <f t="shared" si="288"/>
        <v>0</v>
      </c>
      <c r="X935" s="668">
        <f t="shared" si="289"/>
        <v>0</v>
      </c>
      <c r="Y935" s="668">
        <f t="shared" si="290"/>
        <v>0</v>
      </c>
      <c r="Z935" s="668">
        <f t="shared" si="291"/>
        <v>396</v>
      </c>
      <c r="AA935" s="668">
        <f t="shared" si="292"/>
        <v>0</v>
      </c>
      <c r="AB935" s="668">
        <f t="shared" si="293"/>
        <v>0</v>
      </c>
      <c r="AC935" s="668">
        <f t="shared" si="286"/>
        <v>0</v>
      </c>
      <c r="AD935" s="668">
        <f t="shared" si="294"/>
        <v>0</v>
      </c>
      <c r="AE935" s="668">
        <f t="shared" si="295"/>
        <v>0</v>
      </c>
      <c r="AF935" s="668">
        <f t="shared" si="296"/>
        <v>0</v>
      </c>
      <c r="AG935" s="668">
        <f t="shared" si="297"/>
        <v>0</v>
      </c>
      <c r="AH935" s="668"/>
      <c r="AI935" s="668"/>
      <c r="AJ935" s="668"/>
      <c r="AK935" s="668"/>
      <c r="AL935" s="668"/>
      <c r="AM935" s="668">
        <f t="shared" si="298"/>
        <v>0</v>
      </c>
      <c r="AN935" s="668">
        <f t="shared" si="282"/>
        <v>0</v>
      </c>
      <c r="AO935" s="668">
        <f t="shared" si="283"/>
        <v>0</v>
      </c>
      <c r="AP935" s="668">
        <f t="shared" si="299"/>
        <v>0</v>
      </c>
      <c r="AQ935" s="668">
        <f t="shared" si="284"/>
        <v>0</v>
      </c>
      <c r="AR935" s="668">
        <f t="shared" si="285"/>
        <v>0</v>
      </c>
      <c r="AS935" s="668"/>
      <c r="AT935" s="668"/>
      <c r="AU935" s="668"/>
      <c r="AV935" s="668"/>
      <c r="AW935" s="668"/>
      <c r="AX935" s="668"/>
      <c r="AY935" s="668"/>
      <c r="AZ935" s="668"/>
      <c r="BA935" s="668"/>
      <c r="BB935" s="668">
        <f t="shared" si="300"/>
        <v>0</v>
      </c>
      <c r="BC935" s="668"/>
      <c r="BD935" s="668"/>
      <c r="BE935" s="668"/>
      <c r="BF935" s="668"/>
      <c r="BG935" s="668"/>
      <c r="BH935" s="668"/>
      <c r="BI935" s="668"/>
    </row>
    <row r="936" spans="1:61" x14ac:dyDescent="0.2">
      <c r="A936" s="1020">
        <v>4236</v>
      </c>
      <c r="B936" s="1020" t="s">
        <v>465</v>
      </c>
      <c r="C936" s="1020" t="s">
        <v>984</v>
      </c>
      <c r="D936" s="667">
        <v>98</v>
      </c>
      <c r="E936" s="667"/>
      <c r="F936" s="667"/>
      <c r="G936" s="667"/>
      <c r="H936" s="667"/>
      <c r="I936" s="667"/>
      <c r="J936" s="667"/>
      <c r="K936" s="667"/>
      <c r="L936" s="667"/>
      <c r="M936" s="667"/>
      <c r="N936" s="667"/>
      <c r="O936" s="667"/>
      <c r="P936" s="667"/>
      <c r="Q936" s="667"/>
      <c r="R936" s="667"/>
      <c r="S936" s="667"/>
      <c r="T936" s="667"/>
      <c r="U936" s="1020">
        <v>12</v>
      </c>
      <c r="V936" s="668">
        <f t="shared" si="287"/>
        <v>1176</v>
      </c>
      <c r="W936" s="668">
        <f t="shared" si="288"/>
        <v>0</v>
      </c>
      <c r="X936" s="668">
        <f t="shared" si="289"/>
        <v>0</v>
      </c>
      <c r="Y936" s="668">
        <f t="shared" si="290"/>
        <v>0</v>
      </c>
      <c r="Z936" s="668">
        <f t="shared" si="291"/>
        <v>1176</v>
      </c>
      <c r="AA936" s="668">
        <f t="shared" si="292"/>
        <v>0</v>
      </c>
      <c r="AB936" s="668">
        <f t="shared" si="293"/>
        <v>0</v>
      </c>
      <c r="AC936" s="668">
        <f t="shared" si="286"/>
        <v>0</v>
      </c>
      <c r="AD936" s="668">
        <f t="shared" si="294"/>
        <v>0</v>
      </c>
      <c r="AE936" s="668">
        <f t="shared" si="295"/>
        <v>0</v>
      </c>
      <c r="AF936" s="668">
        <f t="shared" si="296"/>
        <v>0</v>
      </c>
      <c r="AG936" s="668">
        <f t="shared" si="297"/>
        <v>0</v>
      </c>
      <c r="AH936" s="668"/>
      <c r="AI936" s="668"/>
      <c r="AJ936" s="668"/>
      <c r="AK936" s="668"/>
      <c r="AL936" s="668"/>
      <c r="AM936" s="668">
        <f t="shared" si="298"/>
        <v>0</v>
      </c>
      <c r="AN936" s="668">
        <f t="shared" si="282"/>
        <v>0</v>
      </c>
      <c r="AO936" s="668">
        <f t="shared" si="283"/>
        <v>0</v>
      </c>
      <c r="AP936" s="668">
        <f t="shared" si="299"/>
        <v>0</v>
      </c>
      <c r="AQ936" s="668">
        <f t="shared" si="284"/>
        <v>0</v>
      </c>
      <c r="AR936" s="668">
        <f t="shared" si="285"/>
        <v>0</v>
      </c>
      <c r="AS936" s="668"/>
      <c r="AT936" s="668"/>
      <c r="AU936" s="668"/>
      <c r="AV936" s="668"/>
      <c r="AW936" s="668"/>
      <c r="AX936" s="668"/>
      <c r="AY936" s="668"/>
      <c r="AZ936" s="668"/>
      <c r="BA936" s="668"/>
      <c r="BB936" s="668">
        <f t="shared" si="300"/>
        <v>0</v>
      </c>
      <c r="BC936" s="668"/>
      <c r="BD936" s="668"/>
      <c r="BE936" s="668"/>
      <c r="BF936" s="668"/>
      <c r="BG936" s="668"/>
      <c r="BH936" s="668"/>
      <c r="BI936" s="668"/>
    </row>
    <row r="937" spans="1:61" x14ac:dyDescent="0.2">
      <c r="A937" s="1020">
        <v>4237</v>
      </c>
      <c r="B937" s="1020" t="s">
        <v>465</v>
      </c>
      <c r="C937" s="1020" t="s">
        <v>984</v>
      </c>
      <c r="D937" s="667">
        <v>115</v>
      </c>
      <c r="E937" s="667"/>
      <c r="F937" s="667"/>
      <c r="G937" s="667"/>
      <c r="H937" s="667"/>
      <c r="I937" s="667"/>
      <c r="J937" s="667"/>
      <c r="K937" s="667"/>
      <c r="L937" s="667"/>
      <c r="M937" s="667"/>
      <c r="N937" s="667"/>
      <c r="O937" s="667"/>
      <c r="P937" s="667"/>
      <c r="Q937" s="667"/>
      <c r="R937" s="667"/>
      <c r="S937" s="667"/>
      <c r="T937" s="667"/>
      <c r="U937" s="1020">
        <v>12</v>
      </c>
      <c r="V937" s="668">
        <f t="shared" si="287"/>
        <v>1380</v>
      </c>
      <c r="W937" s="668">
        <f t="shared" si="288"/>
        <v>0</v>
      </c>
      <c r="X937" s="668">
        <f t="shared" si="289"/>
        <v>0</v>
      </c>
      <c r="Y937" s="668">
        <f t="shared" si="290"/>
        <v>0</v>
      </c>
      <c r="Z937" s="668">
        <f t="shared" si="291"/>
        <v>1380</v>
      </c>
      <c r="AA937" s="668">
        <f t="shared" si="292"/>
        <v>0</v>
      </c>
      <c r="AB937" s="668">
        <f t="shared" si="293"/>
        <v>0</v>
      </c>
      <c r="AC937" s="668">
        <f t="shared" si="286"/>
        <v>0</v>
      </c>
      <c r="AD937" s="668">
        <f t="shared" si="294"/>
        <v>0</v>
      </c>
      <c r="AE937" s="668">
        <f t="shared" si="295"/>
        <v>0</v>
      </c>
      <c r="AF937" s="668">
        <f t="shared" si="296"/>
        <v>0</v>
      </c>
      <c r="AG937" s="668">
        <f t="shared" si="297"/>
        <v>0</v>
      </c>
      <c r="AH937" s="668"/>
      <c r="AI937" s="668"/>
      <c r="AJ937" s="668"/>
      <c r="AK937" s="668"/>
      <c r="AL937" s="668"/>
      <c r="AM937" s="668">
        <f t="shared" si="298"/>
        <v>0</v>
      </c>
      <c r="AN937" s="668">
        <f t="shared" si="282"/>
        <v>0</v>
      </c>
      <c r="AO937" s="668">
        <f t="shared" si="283"/>
        <v>0</v>
      </c>
      <c r="AP937" s="668">
        <f t="shared" si="299"/>
        <v>0</v>
      </c>
      <c r="AQ937" s="668">
        <f t="shared" si="284"/>
        <v>0</v>
      </c>
      <c r="AR937" s="668">
        <f t="shared" si="285"/>
        <v>0</v>
      </c>
      <c r="AS937" s="668"/>
      <c r="AT937" s="668"/>
      <c r="AU937" s="668"/>
      <c r="AV937" s="668"/>
      <c r="AW937" s="668"/>
      <c r="AX937" s="668"/>
      <c r="AY937" s="668"/>
      <c r="AZ937" s="668"/>
      <c r="BA937" s="668"/>
      <c r="BB937" s="668">
        <f t="shared" si="300"/>
        <v>0</v>
      </c>
      <c r="BC937" s="668"/>
      <c r="BD937" s="668"/>
      <c r="BE937" s="668"/>
      <c r="BF937" s="668"/>
      <c r="BG937" s="668"/>
      <c r="BH937" s="668"/>
      <c r="BI937" s="668"/>
    </row>
    <row r="938" spans="1:61" x14ac:dyDescent="0.2">
      <c r="A938" s="1020">
        <v>4238</v>
      </c>
      <c r="B938" s="1020" t="s">
        <v>752</v>
      </c>
      <c r="C938" s="1020" t="s">
        <v>984</v>
      </c>
      <c r="D938" s="667">
        <v>346</v>
      </c>
      <c r="E938" s="667"/>
      <c r="F938" s="667"/>
      <c r="G938" s="667"/>
      <c r="H938" s="667"/>
      <c r="I938" s="667"/>
      <c r="J938" s="667"/>
      <c r="K938" s="667"/>
      <c r="L938" s="667"/>
      <c r="M938" s="667"/>
      <c r="N938" s="667"/>
      <c r="O938" s="667"/>
      <c r="P938" s="667"/>
      <c r="Q938" s="667"/>
      <c r="R938" s="667"/>
      <c r="S938" s="667"/>
      <c r="T938" s="667"/>
      <c r="U938" s="1020">
        <v>12</v>
      </c>
      <c r="V938" s="668">
        <f t="shared" si="287"/>
        <v>4152</v>
      </c>
      <c r="W938" s="668">
        <f t="shared" si="288"/>
        <v>0</v>
      </c>
      <c r="X938" s="668">
        <f t="shared" si="289"/>
        <v>0</v>
      </c>
      <c r="Y938" s="668">
        <f t="shared" si="290"/>
        <v>0</v>
      </c>
      <c r="Z938" s="668">
        <f t="shared" si="291"/>
        <v>4152</v>
      </c>
      <c r="AA938" s="668">
        <f t="shared" si="292"/>
        <v>0</v>
      </c>
      <c r="AB938" s="668">
        <f t="shared" si="293"/>
        <v>0</v>
      </c>
      <c r="AC938" s="668">
        <f t="shared" si="286"/>
        <v>0</v>
      </c>
      <c r="AD938" s="668">
        <f t="shared" si="294"/>
        <v>0</v>
      </c>
      <c r="AE938" s="668">
        <f t="shared" si="295"/>
        <v>0</v>
      </c>
      <c r="AF938" s="668">
        <f t="shared" si="296"/>
        <v>0</v>
      </c>
      <c r="AG938" s="668">
        <f t="shared" si="297"/>
        <v>0</v>
      </c>
      <c r="AH938" s="668"/>
      <c r="AI938" s="668"/>
      <c r="AJ938" s="668"/>
      <c r="AK938" s="668"/>
      <c r="AL938" s="668"/>
      <c r="AM938" s="668">
        <f t="shared" si="298"/>
        <v>0</v>
      </c>
      <c r="AN938" s="668">
        <f t="shared" si="282"/>
        <v>0</v>
      </c>
      <c r="AO938" s="668">
        <f t="shared" si="283"/>
        <v>0</v>
      </c>
      <c r="AP938" s="668">
        <f t="shared" si="299"/>
        <v>0</v>
      </c>
      <c r="AQ938" s="668">
        <f t="shared" si="284"/>
        <v>0</v>
      </c>
      <c r="AR938" s="668">
        <f t="shared" si="285"/>
        <v>0</v>
      </c>
      <c r="AS938" s="668"/>
      <c r="AT938" s="668"/>
      <c r="AU938" s="668"/>
      <c r="AV938" s="668"/>
      <c r="AW938" s="668"/>
      <c r="AX938" s="668"/>
      <c r="AY938" s="668"/>
      <c r="AZ938" s="668"/>
      <c r="BA938" s="668"/>
      <c r="BB938" s="668">
        <f t="shared" si="300"/>
        <v>0</v>
      </c>
      <c r="BC938" s="668"/>
      <c r="BD938" s="668"/>
      <c r="BE938" s="668"/>
      <c r="BF938" s="668"/>
      <c r="BG938" s="668"/>
      <c r="BH938" s="668"/>
      <c r="BI938" s="668"/>
    </row>
    <row r="939" spans="1:61" x14ac:dyDescent="0.2">
      <c r="A939" s="1020">
        <v>4239</v>
      </c>
      <c r="B939" s="1020" t="s">
        <v>465</v>
      </c>
      <c r="C939" s="1020" t="s">
        <v>984</v>
      </c>
      <c r="D939" s="667">
        <v>318</v>
      </c>
      <c r="E939" s="667"/>
      <c r="F939" s="667"/>
      <c r="G939" s="667"/>
      <c r="H939" s="667"/>
      <c r="I939" s="667"/>
      <c r="J939" s="667"/>
      <c r="K939" s="667"/>
      <c r="L939" s="667"/>
      <c r="M939" s="667"/>
      <c r="N939" s="667"/>
      <c r="O939" s="667"/>
      <c r="P939" s="667"/>
      <c r="Q939" s="667"/>
      <c r="R939" s="667"/>
      <c r="S939" s="667"/>
      <c r="T939" s="667"/>
      <c r="U939" s="1020">
        <v>12</v>
      </c>
      <c r="V939" s="668">
        <f t="shared" si="287"/>
        <v>3816</v>
      </c>
      <c r="W939" s="668">
        <f t="shared" si="288"/>
        <v>0</v>
      </c>
      <c r="X939" s="668">
        <f t="shared" si="289"/>
        <v>0</v>
      </c>
      <c r="Y939" s="668">
        <f t="shared" si="290"/>
        <v>0</v>
      </c>
      <c r="Z939" s="668">
        <f t="shared" si="291"/>
        <v>3816</v>
      </c>
      <c r="AA939" s="668">
        <f t="shared" si="292"/>
        <v>0</v>
      </c>
      <c r="AB939" s="668">
        <f t="shared" si="293"/>
        <v>0</v>
      </c>
      <c r="AC939" s="668">
        <f t="shared" si="286"/>
        <v>0</v>
      </c>
      <c r="AD939" s="668">
        <f t="shared" si="294"/>
        <v>0</v>
      </c>
      <c r="AE939" s="668">
        <f t="shared" si="295"/>
        <v>0</v>
      </c>
      <c r="AF939" s="668">
        <f t="shared" si="296"/>
        <v>0</v>
      </c>
      <c r="AG939" s="668">
        <f t="shared" si="297"/>
        <v>0</v>
      </c>
      <c r="AH939" s="668"/>
      <c r="AI939" s="668"/>
      <c r="AJ939" s="668"/>
      <c r="AK939" s="668"/>
      <c r="AL939" s="668"/>
      <c r="AM939" s="668">
        <f t="shared" si="298"/>
        <v>0</v>
      </c>
      <c r="AN939" s="668">
        <f t="shared" si="282"/>
        <v>0</v>
      </c>
      <c r="AO939" s="668">
        <f t="shared" si="283"/>
        <v>0</v>
      </c>
      <c r="AP939" s="668">
        <f t="shared" si="299"/>
        <v>0</v>
      </c>
      <c r="AQ939" s="668">
        <f t="shared" si="284"/>
        <v>0</v>
      </c>
      <c r="AR939" s="668">
        <f t="shared" si="285"/>
        <v>0</v>
      </c>
      <c r="AS939" s="668"/>
      <c r="AT939" s="668"/>
      <c r="AU939" s="668"/>
      <c r="AV939" s="668"/>
      <c r="AW939" s="668"/>
      <c r="AX939" s="668"/>
      <c r="AY939" s="668"/>
      <c r="AZ939" s="668"/>
      <c r="BA939" s="668"/>
      <c r="BB939" s="668">
        <f t="shared" si="300"/>
        <v>0</v>
      </c>
      <c r="BC939" s="668"/>
      <c r="BD939" s="668"/>
      <c r="BE939" s="668"/>
      <c r="BF939" s="668"/>
      <c r="BG939" s="668"/>
      <c r="BH939" s="668"/>
      <c r="BI939" s="668"/>
    </row>
    <row r="940" spans="1:61" x14ac:dyDescent="0.2">
      <c r="A940" s="1020">
        <v>4240</v>
      </c>
      <c r="B940" s="1020" t="s">
        <v>465</v>
      </c>
      <c r="C940" s="1020" t="s">
        <v>984</v>
      </c>
      <c r="D940" s="667">
        <v>80</v>
      </c>
      <c r="E940" s="667"/>
      <c r="F940" s="667"/>
      <c r="G940" s="667"/>
      <c r="H940" s="667"/>
      <c r="I940" s="667"/>
      <c r="J940" s="667"/>
      <c r="K940" s="667"/>
      <c r="L940" s="667"/>
      <c r="M940" s="667"/>
      <c r="N940" s="667"/>
      <c r="O940" s="667"/>
      <c r="P940" s="667"/>
      <c r="Q940" s="667"/>
      <c r="R940" s="667"/>
      <c r="S940" s="667"/>
      <c r="T940" s="667"/>
      <c r="U940" s="1020">
        <v>12</v>
      </c>
      <c r="V940" s="668">
        <f t="shared" si="287"/>
        <v>960</v>
      </c>
      <c r="W940" s="668">
        <f t="shared" si="288"/>
        <v>0</v>
      </c>
      <c r="X940" s="668">
        <f t="shared" si="289"/>
        <v>0</v>
      </c>
      <c r="Y940" s="668">
        <f t="shared" si="290"/>
        <v>0</v>
      </c>
      <c r="Z940" s="668">
        <f t="shared" si="291"/>
        <v>960</v>
      </c>
      <c r="AA940" s="668">
        <f t="shared" si="292"/>
        <v>0</v>
      </c>
      <c r="AB940" s="668">
        <f t="shared" si="293"/>
        <v>0</v>
      </c>
      <c r="AC940" s="668">
        <f t="shared" si="286"/>
        <v>0</v>
      </c>
      <c r="AD940" s="668">
        <f t="shared" si="294"/>
        <v>0</v>
      </c>
      <c r="AE940" s="668">
        <f t="shared" si="295"/>
        <v>0</v>
      </c>
      <c r="AF940" s="668">
        <f t="shared" si="296"/>
        <v>0</v>
      </c>
      <c r="AG940" s="668">
        <f t="shared" si="297"/>
        <v>0</v>
      </c>
      <c r="AH940" s="668"/>
      <c r="AI940" s="668"/>
      <c r="AJ940" s="668"/>
      <c r="AK940" s="668"/>
      <c r="AL940" s="668"/>
      <c r="AM940" s="668">
        <f t="shared" si="298"/>
        <v>0</v>
      </c>
      <c r="AN940" s="668">
        <f t="shared" si="282"/>
        <v>0</v>
      </c>
      <c r="AO940" s="668">
        <f t="shared" si="283"/>
        <v>0</v>
      </c>
      <c r="AP940" s="668">
        <f t="shared" si="299"/>
        <v>0</v>
      </c>
      <c r="AQ940" s="668">
        <f t="shared" si="284"/>
        <v>0</v>
      </c>
      <c r="AR940" s="668">
        <f t="shared" si="285"/>
        <v>0</v>
      </c>
      <c r="AS940" s="668"/>
      <c r="AT940" s="668"/>
      <c r="AU940" s="668"/>
      <c r="AV940" s="668"/>
      <c r="AW940" s="668"/>
      <c r="AX940" s="668"/>
      <c r="AY940" s="668"/>
      <c r="AZ940" s="668"/>
      <c r="BA940" s="668"/>
      <c r="BB940" s="668">
        <f t="shared" si="300"/>
        <v>0</v>
      </c>
      <c r="BC940" s="668"/>
      <c r="BD940" s="668"/>
      <c r="BE940" s="668"/>
      <c r="BF940" s="668"/>
      <c r="BG940" s="668"/>
      <c r="BH940" s="668"/>
      <c r="BI940" s="668"/>
    </row>
    <row r="941" spans="1:61" x14ac:dyDescent="0.2">
      <c r="A941" s="1020">
        <v>4241</v>
      </c>
      <c r="B941" s="1020" t="s">
        <v>465</v>
      </c>
      <c r="C941" s="1020" t="s">
        <v>984</v>
      </c>
      <c r="D941" s="667">
        <v>72</v>
      </c>
      <c r="E941" s="667"/>
      <c r="F941" s="667"/>
      <c r="G941" s="667"/>
      <c r="H941" s="667"/>
      <c r="I941" s="667"/>
      <c r="J941" s="667"/>
      <c r="K941" s="667"/>
      <c r="L941" s="667"/>
      <c r="M941" s="667"/>
      <c r="N941" s="667"/>
      <c r="O941" s="667"/>
      <c r="P941" s="667"/>
      <c r="Q941" s="667"/>
      <c r="R941" s="667"/>
      <c r="S941" s="667"/>
      <c r="T941" s="667"/>
      <c r="U941" s="1020">
        <v>12</v>
      </c>
      <c r="V941" s="668">
        <f t="shared" si="287"/>
        <v>864</v>
      </c>
      <c r="W941" s="668">
        <f t="shared" si="288"/>
        <v>0</v>
      </c>
      <c r="X941" s="668">
        <f t="shared" si="289"/>
        <v>0</v>
      </c>
      <c r="Y941" s="668">
        <f t="shared" si="290"/>
        <v>0</v>
      </c>
      <c r="Z941" s="668">
        <f t="shared" si="291"/>
        <v>864</v>
      </c>
      <c r="AA941" s="668">
        <f t="shared" si="292"/>
        <v>0</v>
      </c>
      <c r="AB941" s="668">
        <f t="shared" si="293"/>
        <v>0</v>
      </c>
      <c r="AC941" s="668">
        <f t="shared" si="286"/>
        <v>0</v>
      </c>
      <c r="AD941" s="668">
        <f t="shared" si="294"/>
        <v>0</v>
      </c>
      <c r="AE941" s="668">
        <f t="shared" si="295"/>
        <v>0</v>
      </c>
      <c r="AF941" s="668">
        <f t="shared" si="296"/>
        <v>0</v>
      </c>
      <c r="AG941" s="668">
        <f t="shared" si="297"/>
        <v>0</v>
      </c>
      <c r="AH941" s="668"/>
      <c r="AI941" s="668"/>
      <c r="AJ941" s="668"/>
      <c r="AK941" s="668"/>
      <c r="AL941" s="668"/>
      <c r="AM941" s="668">
        <f t="shared" si="298"/>
        <v>0</v>
      </c>
      <c r="AN941" s="668">
        <f t="shared" si="282"/>
        <v>0</v>
      </c>
      <c r="AO941" s="668">
        <f t="shared" si="283"/>
        <v>0</v>
      </c>
      <c r="AP941" s="668">
        <f t="shared" si="299"/>
        <v>0</v>
      </c>
      <c r="AQ941" s="668">
        <f t="shared" si="284"/>
        <v>0</v>
      </c>
      <c r="AR941" s="668">
        <f t="shared" si="285"/>
        <v>0</v>
      </c>
      <c r="AS941" s="668"/>
      <c r="AT941" s="668"/>
      <c r="AU941" s="668"/>
      <c r="AV941" s="668"/>
      <c r="AW941" s="668"/>
      <c r="AX941" s="668"/>
      <c r="AY941" s="668"/>
      <c r="AZ941" s="668"/>
      <c r="BA941" s="668"/>
      <c r="BB941" s="668">
        <f t="shared" si="300"/>
        <v>0</v>
      </c>
      <c r="BC941" s="668"/>
      <c r="BD941" s="668"/>
      <c r="BE941" s="668"/>
      <c r="BF941" s="668"/>
      <c r="BG941" s="668"/>
      <c r="BH941" s="668"/>
      <c r="BI941" s="668"/>
    </row>
    <row r="942" spans="1:61" x14ac:dyDescent="0.2">
      <c r="A942" s="1020">
        <v>4242</v>
      </c>
      <c r="B942" s="1020" t="s">
        <v>752</v>
      </c>
      <c r="C942" s="1020" t="s">
        <v>984</v>
      </c>
      <c r="D942" s="667">
        <v>297</v>
      </c>
      <c r="E942" s="667"/>
      <c r="F942" s="667"/>
      <c r="G942" s="667"/>
      <c r="H942" s="667"/>
      <c r="I942" s="667"/>
      <c r="J942" s="667"/>
      <c r="K942" s="667"/>
      <c r="L942" s="667"/>
      <c r="M942" s="667"/>
      <c r="N942" s="667"/>
      <c r="O942" s="667"/>
      <c r="P942" s="667"/>
      <c r="Q942" s="667"/>
      <c r="R942" s="667"/>
      <c r="S942" s="667"/>
      <c r="T942" s="667"/>
      <c r="U942" s="1020">
        <v>12</v>
      </c>
      <c r="V942" s="668">
        <f t="shared" si="287"/>
        <v>3564</v>
      </c>
      <c r="W942" s="668">
        <f t="shared" si="288"/>
        <v>0</v>
      </c>
      <c r="X942" s="668">
        <f t="shared" si="289"/>
        <v>0</v>
      </c>
      <c r="Y942" s="668">
        <f t="shared" si="290"/>
        <v>0</v>
      </c>
      <c r="Z942" s="668">
        <f t="shared" si="291"/>
        <v>3564</v>
      </c>
      <c r="AA942" s="668">
        <f t="shared" si="292"/>
        <v>0</v>
      </c>
      <c r="AB942" s="668">
        <f t="shared" si="293"/>
        <v>0</v>
      </c>
      <c r="AC942" s="668">
        <f t="shared" si="286"/>
        <v>0</v>
      </c>
      <c r="AD942" s="668">
        <f t="shared" si="294"/>
        <v>0</v>
      </c>
      <c r="AE942" s="668">
        <f t="shared" si="295"/>
        <v>0</v>
      </c>
      <c r="AF942" s="668">
        <f t="shared" si="296"/>
        <v>0</v>
      </c>
      <c r="AG942" s="668">
        <f t="shared" si="297"/>
        <v>0</v>
      </c>
      <c r="AH942" s="668"/>
      <c r="AI942" s="668"/>
      <c r="AJ942" s="668"/>
      <c r="AK942" s="668"/>
      <c r="AL942" s="668"/>
      <c r="AM942" s="668">
        <f t="shared" si="298"/>
        <v>0</v>
      </c>
      <c r="AN942" s="668">
        <f t="shared" si="282"/>
        <v>0</v>
      </c>
      <c r="AO942" s="668">
        <f t="shared" si="283"/>
        <v>0</v>
      </c>
      <c r="AP942" s="668">
        <f t="shared" si="299"/>
        <v>0</v>
      </c>
      <c r="AQ942" s="668">
        <f t="shared" si="284"/>
        <v>0</v>
      </c>
      <c r="AR942" s="668">
        <f t="shared" si="285"/>
        <v>0</v>
      </c>
      <c r="AS942" s="668"/>
      <c r="AT942" s="668"/>
      <c r="AU942" s="668"/>
      <c r="AV942" s="668"/>
      <c r="AW942" s="668"/>
      <c r="AX942" s="668"/>
      <c r="AY942" s="668"/>
      <c r="AZ942" s="668"/>
      <c r="BA942" s="668"/>
      <c r="BB942" s="668">
        <f t="shared" si="300"/>
        <v>0</v>
      </c>
      <c r="BC942" s="668"/>
      <c r="BD942" s="668"/>
      <c r="BE942" s="668"/>
      <c r="BF942" s="668"/>
      <c r="BG942" s="668"/>
      <c r="BH942" s="668"/>
      <c r="BI942" s="668"/>
    </row>
    <row r="943" spans="1:61" x14ac:dyDescent="0.2">
      <c r="A943" s="1020">
        <v>4243</v>
      </c>
      <c r="B943" s="1020" t="s">
        <v>465</v>
      </c>
      <c r="C943" s="1020" t="s">
        <v>984</v>
      </c>
      <c r="D943" s="667">
        <v>120</v>
      </c>
      <c r="E943" s="667"/>
      <c r="F943" s="667"/>
      <c r="G943" s="667"/>
      <c r="H943" s="667"/>
      <c r="I943" s="667"/>
      <c r="J943" s="667"/>
      <c r="K943" s="667"/>
      <c r="L943" s="667"/>
      <c r="M943" s="667"/>
      <c r="N943" s="667"/>
      <c r="O943" s="667"/>
      <c r="P943" s="667"/>
      <c r="Q943" s="667"/>
      <c r="R943" s="667"/>
      <c r="S943" s="667"/>
      <c r="T943" s="667"/>
      <c r="U943" s="1020">
        <v>12</v>
      </c>
      <c r="V943" s="668">
        <f t="shared" si="287"/>
        <v>1440</v>
      </c>
      <c r="W943" s="668">
        <f t="shared" si="288"/>
        <v>0</v>
      </c>
      <c r="X943" s="668">
        <f t="shared" si="289"/>
        <v>0</v>
      </c>
      <c r="Y943" s="668">
        <f t="shared" si="290"/>
        <v>0</v>
      </c>
      <c r="Z943" s="668">
        <f t="shared" si="291"/>
        <v>1440</v>
      </c>
      <c r="AA943" s="668">
        <f t="shared" si="292"/>
        <v>0</v>
      </c>
      <c r="AB943" s="668">
        <f t="shared" si="293"/>
        <v>0</v>
      </c>
      <c r="AC943" s="668">
        <f t="shared" si="286"/>
        <v>0</v>
      </c>
      <c r="AD943" s="668">
        <f t="shared" si="294"/>
        <v>0</v>
      </c>
      <c r="AE943" s="668">
        <f t="shared" si="295"/>
        <v>0</v>
      </c>
      <c r="AF943" s="668">
        <f t="shared" si="296"/>
        <v>0</v>
      </c>
      <c r="AG943" s="668">
        <f t="shared" si="297"/>
        <v>0</v>
      </c>
      <c r="AH943" s="668"/>
      <c r="AI943" s="668"/>
      <c r="AJ943" s="668"/>
      <c r="AK943" s="668"/>
      <c r="AL943" s="668"/>
      <c r="AM943" s="668">
        <f t="shared" si="298"/>
        <v>0</v>
      </c>
      <c r="AN943" s="668">
        <f t="shared" si="282"/>
        <v>0</v>
      </c>
      <c r="AO943" s="668">
        <f t="shared" si="283"/>
        <v>0</v>
      </c>
      <c r="AP943" s="668">
        <f t="shared" si="299"/>
        <v>0</v>
      </c>
      <c r="AQ943" s="668">
        <f t="shared" si="284"/>
        <v>0</v>
      </c>
      <c r="AR943" s="668">
        <f t="shared" si="285"/>
        <v>0</v>
      </c>
      <c r="AS943" s="668"/>
      <c r="AT943" s="668"/>
      <c r="AU943" s="668"/>
      <c r="AV943" s="668"/>
      <c r="AW943" s="668"/>
      <c r="AX943" s="668"/>
      <c r="AY943" s="668"/>
      <c r="AZ943" s="668"/>
      <c r="BA943" s="668"/>
      <c r="BB943" s="668">
        <f t="shared" si="300"/>
        <v>0</v>
      </c>
      <c r="BC943" s="668"/>
      <c r="BD943" s="668"/>
      <c r="BE943" s="668"/>
      <c r="BF943" s="668"/>
      <c r="BG943" s="668"/>
      <c r="BH943" s="668"/>
      <c r="BI943" s="668"/>
    </row>
    <row r="944" spans="1:61" x14ac:dyDescent="0.2">
      <c r="A944" s="1020" t="s">
        <v>801</v>
      </c>
      <c r="B944" s="1020" t="s">
        <v>606</v>
      </c>
      <c r="C944" s="1020"/>
      <c r="D944" s="667"/>
      <c r="E944" s="667"/>
      <c r="F944" s="667"/>
      <c r="G944" s="667"/>
      <c r="H944" s="667"/>
      <c r="I944" s="667"/>
      <c r="J944" s="667">
        <v>90</v>
      </c>
      <c r="K944" s="667"/>
      <c r="L944" s="667"/>
      <c r="M944" s="667"/>
      <c r="N944" s="667"/>
      <c r="O944" s="667"/>
      <c r="P944" s="667"/>
      <c r="Q944" s="667"/>
      <c r="R944" s="667"/>
      <c r="S944" s="667"/>
      <c r="T944" s="667"/>
      <c r="U944" s="1020">
        <v>14</v>
      </c>
      <c r="V944" s="668">
        <f t="shared" si="287"/>
        <v>0</v>
      </c>
      <c r="W944" s="668">
        <f t="shared" si="288"/>
        <v>0</v>
      </c>
      <c r="X944" s="668">
        <f t="shared" si="289"/>
        <v>0</v>
      </c>
      <c r="Y944" s="668">
        <f t="shared" si="290"/>
        <v>1260</v>
      </c>
      <c r="Z944" s="668">
        <f t="shared" si="291"/>
        <v>0</v>
      </c>
      <c r="AA944" s="668">
        <f t="shared" si="292"/>
        <v>0</v>
      </c>
      <c r="AB944" s="668">
        <f t="shared" si="293"/>
        <v>0</v>
      </c>
      <c r="AC944" s="668">
        <f t="shared" si="286"/>
        <v>0</v>
      </c>
      <c r="AD944" s="668">
        <f t="shared" si="294"/>
        <v>0</v>
      </c>
      <c r="AE944" s="668">
        <f t="shared" si="295"/>
        <v>0</v>
      </c>
      <c r="AF944" s="668">
        <f t="shared" si="296"/>
        <v>0</v>
      </c>
      <c r="AG944" s="668">
        <f t="shared" si="297"/>
        <v>0</v>
      </c>
      <c r="AH944" s="668"/>
      <c r="AI944" s="668"/>
      <c r="AJ944" s="668"/>
      <c r="AK944" s="668"/>
      <c r="AL944" s="668"/>
      <c r="AM944" s="668">
        <f t="shared" si="298"/>
        <v>0</v>
      </c>
      <c r="AN944" s="668">
        <f t="shared" si="282"/>
        <v>0</v>
      </c>
      <c r="AO944" s="668">
        <f t="shared" si="283"/>
        <v>0</v>
      </c>
      <c r="AP944" s="668">
        <f t="shared" si="299"/>
        <v>0</v>
      </c>
      <c r="AQ944" s="668">
        <f t="shared" si="284"/>
        <v>0</v>
      </c>
      <c r="AR944" s="668">
        <f t="shared" si="285"/>
        <v>0</v>
      </c>
      <c r="AS944" s="668"/>
      <c r="AT944" s="668"/>
      <c r="AU944" s="668"/>
      <c r="AV944" s="668"/>
      <c r="AW944" s="668"/>
      <c r="AX944" s="668"/>
      <c r="AY944" s="668"/>
      <c r="AZ944" s="668"/>
      <c r="BA944" s="668"/>
      <c r="BB944" s="668">
        <f t="shared" si="300"/>
        <v>0</v>
      </c>
      <c r="BC944" s="668"/>
      <c r="BD944" s="668"/>
      <c r="BE944" s="668"/>
      <c r="BF944" s="668"/>
      <c r="BG944" s="668"/>
      <c r="BH944" s="668"/>
      <c r="BI944" s="668"/>
    </row>
    <row r="945" spans="1:61" x14ac:dyDescent="0.2">
      <c r="A945" s="1020" t="s">
        <v>802</v>
      </c>
      <c r="B945" s="1020" t="s">
        <v>607</v>
      </c>
      <c r="C945" s="1020"/>
      <c r="D945" s="667"/>
      <c r="E945" s="667"/>
      <c r="F945" s="667"/>
      <c r="G945" s="667"/>
      <c r="H945" s="667"/>
      <c r="I945" s="667"/>
      <c r="J945" s="667">
        <v>64</v>
      </c>
      <c r="K945" s="667"/>
      <c r="L945" s="667"/>
      <c r="M945" s="667"/>
      <c r="N945" s="667"/>
      <c r="O945" s="667"/>
      <c r="P945" s="667"/>
      <c r="Q945" s="667"/>
      <c r="R945" s="667"/>
      <c r="S945" s="667"/>
      <c r="T945" s="667"/>
      <c r="U945" s="1020">
        <v>14</v>
      </c>
      <c r="V945" s="668">
        <f t="shared" si="287"/>
        <v>0</v>
      </c>
      <c r="W945" s="668">
        <f t="shared" si="288"/>
        <v>0</v>
      </c>
      <c r="X945" s="668">
        <f t="shared" si="289"/>
        <v>0</v>
      </c>
      <c r="Y945" s="668">
        <f t="shared" si="290"/>
        <v>896</v>
      </c>
      <c r="Z945" s="668">
        <f t="shared" si="291"/>
        <v>0</v>
      </c>
      <c r="AA945" s="668">
        <f t="shared" si="292"/>
        <v>0</v>
      </c>
      <c r="AB945" s="668">
        <f t="shared" si="293"/>
        <v>0</v>
      </c>
      <c r="AC945" s="668">
        <f t="shared" si="286"/>
        <v>0</v>
      </c>
      <c r="AD945" s="668">
        <f t="shared" si="294"/>
        <v>0</v>
      </c>
      <c r="AE945" s="668">
        <f t="shared" si="295"/>
        <v>0</v>
      </c>
      <c r="AF945" s="668">
        <f t="shared" si="296"/>
        <v>0</v>
      </c>
      <c r="AG945" s="668">
        <f t="shared" si="297"/>
        <v>0</v>
      </c>
      <c r="AH945" s="668"/>
      <c r="AI945" s="668"/>
      <c r="AJ945" s="668"/>
      <c r="AK945" s="668"/>
      <c r="AL945" s="668"/>
      <c r="AM945" s="668">
        <f t="shared" si="298"/>
        <v>0</v>
      </c>
      <c r="AN945" s="668">
        <f t="shared" si="282"/>
        <v>0</v>
      </c>
      <c r="AO945" s="668">
        <f t="shared" si="283"/>
        <v>0</v>
      </c>
      <c r="AP945" s="668">
        <f t="shared" si="299"/>
        <v>0</v>
      </c>
      <c r="AQ945" s="668">
        <f t="shared" si="284"/>
        <v>0</v>
      </c>
      <c r="AR945" s="668">
        <f t="shared" si="285"/>
        <v>0</v>
      </c>
      <c r="AS945" s="668"/>
      <c r="AT945" s="668"/>
      <c r="AU945" s="668"/>
      <c r="AV945" s="668"/>
      <c r="AW945" s="668"/>
      <c r="AX945" s="668"/>
      <c r="AY945" s="668"/>
      <c r="AZ945" s="668"/>
      <c r="BA945" s="668"/>
      <c r="BB945" s="668">
        <f t="shared" si="300"/>
        <v>0</v>
      </c>
      <c r="BC945" s="668"/>
      <c r="BD945" s="668"/>
      <c r="BE945" s="668"/>
      <c r="BF945" s="668"/>
      <c r="BG945" s="668"/>
      <c r="BH945" s="668"/>
      <c r="BI945" s="668"/>
    </row>
    <row r="946" spans="1:61" x14ac:dyDescent="0.2">
      <c r="A946" s="1020" t="s">
        <v>803</v>
      </c>
      <c r="B946" s="1020" t="s">
        <v>608</v>
      </c>
      <c r="C946" s="1020"/>
      <c r="D946" s="667"/>
      <c r="E946" s="667"/>
      <c r="F946" s="667"/>
      <c r="G946" s="667"/>
      <c r="H946" s="667"/>
      <c r="I946" s="667"/>
      <c r="J946" s="667">
        <v>61</v>
      </c>
      <c r="K946" s="667"/>
      <c r="L946" s="667"/>
      <c r="M946" s="667"/>
      <c r="N946" s="667"/>
      <c r="O946" s="667"/>
      <c r="P946" s="667"/>
      <c r="Q946" s="667"/>
      <c r="R946" s="667"/>
      <c r="S946" s="667"/>
      <c r="T946" s="667"/>
      <c r="U946" s="1020">
        <v>14</v>
      </c>
      <c r="V946" s="668">
        <f t="shared" si="287"/>
        <v>0</v>
      </c>
      <c r="W946" s="668">
        <f t="shared" si="288"/>
        <v>0</v>
      </c>
      <c r="X946" s="668">
        <f t="shared" si="289"/>
        <v>0</v>
      </c>
      <c r="Y946" s="668">
        <f t="shared" si="290"/>
        <v>854</v>
      </c>
      <c r="Z946" s="668">
        <f t="shared" si="291"/>
        <v>0</v>
      </c>
      <c r="AA946" s="668">
        <f t="shared" si="292"/>
        <v>0</v>
      </c>
      <c r="AB946" s="668">
        <f t="shared" si="293"/>
        <v>0</v>
      </c>
      <c r="AC946" s="668">
        <f t="shared" si="286"/>
        <v>0</v>
      </c>
      <c r="AD946" s="668">
        <f t="shared" si="294"/>
        <v>0</v>
      </c>
      <c r="AE946" s="668">
        <f t="shared" si="295"/>
        <v>0</v>
      </c>
      <c r="AF946" s="668">
        <f t="shared" si="296"/>
        <v>0</v>
      </c>
      <c r="AG946" s="668">
        <f t="shared" si="297"/>
        <v>0</v>
      </c>
      <c r="AH946" s="668"/>
      <c r="AI946" s="668"/>
      <c r="AJ946" s="668"/>
      <c r="AK946" s="668"/>
      <c r="AL946" s="668"/>
      <c r="AM946" s="668">
        <f t="shared" si="298"/>
        <v>0</v>
      </c>
      <c r="AN946" s="668">
        <f t="shared" si="282"/>
        <v>0</v>
      </c>
      <c r="AO946" s="668">
        <f t="shared" si="283"/>
        <v>0</v>
      </c>
      <c r="AP946" s="668">
        <f t="shared" si="299"/>
        <v>0</v>
      </c>
      <c r="AQ946" s="668">
        <f t="shared" si="284"/>
        <v>0</v>
      </c>
      <c r="AR946" s="668">
        <f t="shared" si="285"/>
        <v>0</v>
      </c>
      <c r="AS946" s="668"/>
      <c r="AT946" s="668"/>
      <c r="AU946" s="668"/>
      <c r="AV946" s="668"/>
      <c r="AW946" s="668"/>
      <c r="AX946" s="668"/>
      <c r="AY946" s="668"/>
      <c r="AZ946" s="668"/>
      <c r="BA946" s="668"/>
      <c r="BB946" s="668">
        <f t="shared" si="300"/>
        <v>0</v>
      </c>
      <c r="BC946" s="668"/>
      <c r="BD946" s="668"/>
      <c r="BE946" s="668"/>
      <c r="BF946" s="668"/>
      <c r="BG946" s="668"/>
      <c r="BH946" s="668"/>
      <c r="BI946" s="668"/>
    </row>
    <row r="947" spans="1:61" x14ac:dyDescent="0.2">
      <c r="A947" s="1020" t="s">
        <v>804</v>
      </c>
      <c r="B947" s="1020" t="s">
        <v>609</v>
      </c>
      <c r="C947" s="1020"/>
      <c r="D947" s="667"/>
      <c r="E947" s="667"/>
      <c r="F947" s="667"/>
      <c r="G947" s="667"/>
      <c r="H947" s="667"/>
      <c r="I947" s="667"/>
      <c r="J947" s="667">
        <v>64</v>
      </c>
      <c r="K947" s="667"/>
      <c r="L947" s="667"/>
      <c r="M947" s="667"/>
      <c r="N947" s="667"/>
      <c r="O947" s="667"/>
      <c r="P947" s="667"/>
      <c r="Q947" s="667"/>
      <c r="R947" s="667"/>
      <c r="S947" s="667"/>
      <c r="T947" s="667"/>
      <c r="U947" s="1020">
        <v>14</v>
      </c>
      <c r="V947" s="668">
        <f t="shared" si="287"/>
        <v>0</v>
      </c>
      <c r="W947" s="668">
        <f t="shared" si="288"/>
        <v>0</v>
      </c>
      <c r="X947" s="668">
        <f t="shared" si="289"/>
        <v>0</v>
      </c>
      <c r="Y947" s="668">
        <f t="shared" si="290"/>
        <v>896</v>
      </c>
      <c r="Z947" s="668">
        <f t="shared" si="291"/>
        <v>0</v>
      </c>
      <c r="AA947" s="668">
        <f t="shared" si="292"/>
        <v>0</v>
      </c>
      <c r="AB947" s="668">
        <f t="shared" si="293"/>
        <v>0</v>
      </c>
      <c r="AC947" s="668">
        <f t="shared" si="286"/>
        <v>0</v>
      </c>
      <c r="AD947" s="668">
        <f t="shared" si="294"/>
        <v>0</v>
      </c>
      <c r="AE947" s="668">
        <f t="shared" si="295"/>
        <v>0</v>
      </c>
      <c r="AF947" s="668">
        <f t="shared" si="296"/>
        <v>0</v>
      </c>
      <c r="AG947" s="668">
        <f t="shared" si="297"/>
        <v>0</v>
      </c>
      <c r="AH947" s="668"/>
      <c r="AI947" s="668"/>
      <c r="AJ947" s="668"/>
      <c r="AK947" s="668"/>
      <c r="AL947" s="668"/>
      <c r="AM947" s="668">
        <f t="shared" si="298"/>
        <v>0</v>
      </c>
      <c r="AN947" s="668">
        <f t="shared" si="282"/>
        <v>0</v>
      </c>
      <c r="AO947" s="668">
        <f t="shared" si="283"/>
        <v>0</v>
      </c>
      <c r="AP947" s="668">
        <f t="shared" si="299"/>
        <v>0</v>
      </c>
      <c r="AQ947" s="668">
        <f t="shared" si="284"/>
        <v>0</v>
      </c>
      <c r="AR947" s="668">
        <f t="shared" si="285"/>
        <v>0</v>
      </c>
      <c r="AS947" s="668"/>
      <c r="AT947" s="668"/>
      <c r="AU947" s="668"/>
      <c r="AV947" s="668"/>
      <c r="AW947" s="668"/>
      <c r="AX947" s="668"/>
      <c r="AY947" s="668"/>
      <c r="AZ947" s="668"/>
      <c r="BA947" s="668"/>
      <c r="BB947" s="668">
        <f t="shared" si="300"/>
        <v>0</v>
      </c>
      <c r="BC947" s="668"/>
      <c r="BD947" s="668"/>
      <c r="BE947" s="668"/>
      <c r="BF947" s="668"/>
      <c r="BG947" s="668"/>
      <c r="BH947" s="668"/>
      <c r="BI947" s="668"/>
    </row>
    <row r="948" spans="1:61" x14ac:dyDescent="0.2">
      <c r="A948" s="1020" t="s">
        <v>805</v>
      </c>
      <c r="B948" s="1020" t="s">
        <v>610</v>
      </c>
      <c r="C948" s="1020"/>
      <c r="D948" s="667"/>
      <c r="E948" s="667"/>
      <c r="F948" s="667"/>
      <c r="G948" s="667"/>
      <c r="H948" s="667"/>
      <c r="I948" s="667"/>
      <c r="J948" s="667">
        <v>64</v>
      </c>
      <c r="K948" s="667"/>
      <c r="L948" s="667"/>
      <c r="M948" s="667"/>
      <c r="N948" s="667"/>
      <c r="O948" s="667"/>
      <c r="P948" s="667"/>
      <c r="Q948" s="667"/>
      <c r="R948" s="667"/>
      <c r="S948" s="667"/>
      <c r="T948" s="667"/>
      <c r="U948" s="1020">
        <v>14</v>
      </c>
      <c r="V948" s="668">
        <f t="shared" si="287"/>
        <v>0</v>
      </c>
      <c r="W948" s="668">
        <f t="shared" si="288"/>
        <v>0</v>
      </c>
      <c r="X948" s="668">
        <f t="shared" si="289"/>
        <v>0</v>
      </c>
      <c r="Y948" s="668">
        <f t="shared" si="290"/>
        <v>896</v>
      </c>
      <c r="Z948" s="668">
        <f t="shared" si="291"/>
        <v>0</v>
      </c>
      <c r="AA948" s="668">
        <f t="shared" si="292"/>
        <v>0</v>
      </c>
      <c r="AB948" s="668">
        <f t="shared" si="293"/>
        <v>0</v>
      </c>
      <c r="AC948" s="668">
        <f t="shared" si="286"/>
        <v>0</v>
      </c>
      <c r="AD948" s="668">
        <f t="shared" si="294"/>
        <v>0</v>
      </c>
      <c r="AE948" s="668">
        <f t="shared" si="295"/>
        <v>0</v>
      </c>
      <c r="AF948" s="668">
        <f t="shared" si="296"/>
        <v>0</v>
      </c>
      <c r="AG948" s="668">
        <f t="shared" si="297"/>
        <v>0</v>
      </c>
      <c r="AH948" s="668"/>
      <c r="AI948" s="668"/>
      <c r="AJ948" s="668"/>
      <c r="AK948" s="668"/>
      <c r="AL948" s="668"/>
      <c r="AM948" s="668">
        <f t="shared" si="298"/>
        <v>0</v>
      </c>
      <c r="AN948" s="668">
        <f t="shared" si="282"/>
        <v>0</v>
      </c>
      <c r="AO948" s="668">
        <f t="shared" si="283"/>
        <v>0</v>
      </c>
      <c r="AP948" s="668">
        <f t="shared" si="299"/>
        <v>0</v>
      </c>
      <c r="AQ948" s="668">
        <f t="shared" si="284"/>
        <v>0</v>
      </c>
      <c r="AR948" s="668">
        <f t="shared" si="285"/>
        <v>0</v>
      </c>
      <c r="AS948" s="668"/>
      <c r="AT948" s="668"/>
      <c r="AU948" s="668"/>
      <c r="AV948" s="668"/>
      <c r="AW948" s="668"/>
      <c r="AX948" s="668"/>
      <c r="AY948" s="668"/>
      <c r="AZ948" s="668"/>
      <c r="BA948" s="668"/>
      <c r="BB948" s="668">
        <f t="shared" si="300"/>
        <v>0</v>
      </c>
      <c r="BC948" s="668"/>
      <c r="BD948" s="668"/>
      <c r="BE948" s="668"/>
      <c r="BF948" s="668"/>
      <c r="BG948" s="668"/>
      <c r="BH948" s="668"/>
      <c r="BI948" s="668"/>
    </row>
    <row r="949" spans="1:61" x14ac:dyDescent="0.2">
      <c r="A949" s="1020" t="s">
        <v>806</v>
      </c>
      <c r="B949" s="1020" t="s">
        <v>611</v>
      </c>
      <c r="C949" s="1020"/>
      <c r="D949" s="667"/>
      <c r="E949" s="667"/>
      <c r="F949" s="667"/>
      <c r="G949" s="667"/>
      <c r="H949" s="667"/>
      <c r="I949" s="667"/>
      <c r="J949" s="667">
        <v>62</v>
      </c>
      <c r="K949" s="667"/>
      <c r="L949" s="667"/>
      <c r="M949" s="667"/>
      <c r="N949" s="667"/>
      <c r="O949" s="667"/>
      <c r="P949" s="667"/>
      <c r="Q949" s="667"/>
      <c r="R949" s="667"/>
      <c r="S949" s="667"/>
      <c r="T949" s="667"/>
      <c r="U949" s="1020">
        <v>14</v>
      </c>
      <c r="V949" s="668">
        <f t="shared" si="287"/>
        <v>0</v>
      </c>
      <c r="W949" s="668">
        <f t="shared" si="288"/>
        <v>0</v>
      </c>
      <c r="X949" s="668">
        <f t="shared" si="289"/>
        <v>0</v>
      </c>
      <c r="Y949" s="668">
        <f t="shared" si="290"/>
        <v>868</v>
      </c>
      <c r="Z949" s="668">
        <f t="shared" si="291"/>
        <v>0</v>
      </c>
      <c r="AA949" s="668">
        <f t="shared" si="292"/>
        <v>0</v>
      </c>
      <c r="AB949" s="668">
        <f t="shared" si="293"/>
        <v>0</v>
      </c>
      <c r="AC949" s="668">
        <f t="shared" si="286"/>
        <v>0</v>
      </c>
      <c r="AD949" s="668">
        <f t="shared" si="294"/>
        <v>0</v>
      </c>
      <c r="AE949" s="668">
        <f t="shared" si="295"/>
        <v>0</v>
      </c>
      <c r="AF949" s="668">
        <f t="shared" si="296"/>
        <v>0</v>
      </c>
      <c r="AG949" s="668">
        <f t="shared" si="297"/>
        <v>0</v>
      </c>
      <c r="AH949" s="668"/>
      <c r="AI949" s="668"/>
      <c r="AJ949" s="668"/>
      <c r="AK949" s="668"/>
      <c r="AL949" s="668"/>
      <c r="AM949" s="668">
        <f t="shared" si="298"/>
        <v>0</v>
      </c>
      <c r="AN949" s="668">
        <f t="shared" si="282"/>
        <v>0</v>
      </c>
      <c r="AO949" s="668">
        <f t="shared" si="283"/>
        <v>0</v>
      </c>
      <c r="AP949" s="668">
        <f t="shared" si="299"/>
        <v>0</v>
      </c>
      <c r="AQ949" s="668">
        <f t="shared" si="284"/>
        <v>0</v>
      </c>
      <c r="AR949" s="668">
        <f t="shared" si="285"/>
        <v>0</v>
      </c>
      <c r="AS949" s="668"/>
      <c r="AT949" s="668"/>
      <c r="AU949" s="668"/>
      <c r="AV949" s="668"/>
      <c r="AW949" s="668"/>
      <c r="AX949" s="668"/>
      <c r="AY949" s="668"/>
      <c r="AZ949" s="668"/>
      <c r="BA949" s="668"/>
      <c r="BB949" s="668">
        <f t="shared" si="300"/>
        <v>0</v>
      </c>
      <c r="BC949" s="668"/>
      <c r="BD949" s="668"/>
      <c r="BE949" s="668"/>
      <c r="BF949" s="668"/>
      <c r="BG949" s="668"/>
      <c r="BH949" s="668"/>
      <c r="BI949" s="668"/>
    </row>
    <row r="950" spans="1:61" x14ac:dyDescent="0.2">
      <c r="A950" s="1020" t="s">
        <v>807</v>
      </c>
      <c r="B950" s="1020" t="s">
        <v>612</v>
      </c>
      <c r="C950" s="1020"/>
      <c r="D950" s="667"/>
      <c r="E950" s="667"/>
      <c r="F950" s="667"/>
      <c r="G950" s="667"/>
      <c r="H950" s="667"/>
      <c r="I950" s="667"/>
      <c r="J950" s="667">
        <v>102</v>
      </c>
      <c r="K950" s="667"/>
      <c r="L950" s="667"/>
      <c r="M950" s="667"/>
      <c r="N950" s="667"/>
      <c r="O950" s="667"/>
      <c r="P950" s="667"/>
      <c r="Q950" s="667"/>
      <c r="R950" s="667"/>
      <c r="S950" s="667"/>
      <c r="T950" s="667"/>
      <c r="U950" s="1020">
        <v>14</v>
      </c>
      <c r="V950" s="668">
        <f t="shared" si="287"/>
        <v>0</v>
      </c>
      <c r="W950" s="668">
        <f t="shared" si="288"/>
        <v>0</v>
      </c>
      <c r="X950" s="668">
        <f t="shared" si="289"/>
        <v>0</v>
      </c>
      <c r="Y950" s="668">
        <f t="shared" si="290"/>
        <v>1428</v>
      </c>
      <c r="Z950" s="668">
        <f t="shared" si="291"/>
        <v>0</v>
      </c>
      <c r="AA950" s="668">
        <f t="shared" si="292"/>
        <v>0</v>
      </c>
      <c r="AB950" s="668">
        <f t="shared" si="293"/>
        <v>0</v>
      </c>
      <c r="AC950" s="668">
        <f t="shared" si="286"/>
        <v>0</v>
      </c>
      <c r="AD950" s="668">
        <f t="shared" si="294"/>
        <v>0</v>
      </c>
      <c r="AE950" s="668">
        <f t="shared" si="295"/>
        <v>0</v>
      </c>
      <c r="AF950" s="668">
        <f t="shared" si="296"/>
        <v>0</v>
      </c>
      <c r="AG950" s="668">
        <f t="shared" si="297"/>
        <v>0</v>
      </c>
      <c r="AH950" s="668"/>
      <c r="AI950" s="668"/>
      <c r="AJ950" s="668"/>
      <c r="AK950" s="668"/>
      <c r="AL950" s="668"/>
      <c r="AM950" s="668">
        <f t="shared" si="298"/>
        <v>0</v>
      </c>
      <c r="AN950" s="668">
        <f t="shared" si="282"/>
        <v>0</v>
      </c>
      <c r="AO950" s="668">
        <f t="shared" si="283"/>
        <v>0</v>
      </c>
      <c r="AP950" s="668">
        <f t="shared" si="299"/>
        <v>0</v>
      </c>
      <c r="AQ950" s="668">
        <f t="shared" si="284"/>
        <v>0</v>
      </c>
      <c r="AR950" s="668">
        <f t="shared" si="285"/>
        <v>0</v>
      </c>
      <c r="AS950" s="668"/>
      <c r="AT950" s="668"/>
      <c r="AU950" s="668"/>
      <c r="AV950" s="668"/>
      <c r="AW950" s="668"/>
      <c r="AX950" s="668"/>
      <c r="AY950" s="668"/>
      <c r="AZ950" s="668"/>
      <c r="BA950" s="668"/>
      <c r="BB950" s="668">
        <f t="shared" si="300"/>
        <v>0</v>
      </c>
      <c r="BC950" s="668"/>
      <c r="BD950" s="668"/>
      <c r="BE950" s="668"/>
      <c r="BF950" s="668"/>
      <c r="BG950" s="668"/>
      <c r="BH950" s="668"/>
      <c r="BI950" s="668"/>
    </row>
    <row r="951" spans="1:61" x14ac:dyDescent="0.2">
      <c r="A951" s="1020" t="s">
        <v>808</v>
      </c>
      <c r="B951" s="1020" t="s">
        <v>522</v>
      </c>
      <c r="C951" s="1020"/>
      <c r="D951" s="667"/>
      <c r="E951" s="667"/>
      <c r="F951" s="667"/>
      <c r="G951" s="667"/>
      <c r="H951" s="667"/>
      <c r="I951" s="667"/>
      <c r="J951" s="667">
        <v>64</v>
      </c>
      <c r="K951" s="667"/>
      <c r="L951" s="667"/>
      <c r="M951" s="667"/>
      <c r="N951" s="667"/>
      <c r="O951" s="667"/>
      <c r="P951" s="667"/>
      <c r="Q951" s="667"/>
      <c r="R951" s="667"/>
      <c r="S951" s="667"/>
      <c r="T951" s="667"/>
      <c r="U951" s="1020">
        <v>14</v>
      </c>
      <c r="V951" s="668">
        <f t="shared" si="287"/>
        <v>0</v>
      </c>
      <c r="W951" s="668">
        <f t="shared" si="288"/>
        <v>0</v>
      </c>
      <c r="X951" s="668">
        <f t="shared" si="289"/>
        <v>0</v>
      </c>
      <c r="Y951" s="668">
        <f t="shared" si="290"/>
        <v>896</v>
      </c>
      <c r="Z951" s="668">
        <f t="shared" si="291"/>
        <v>0</v>
      </c>
      <c r="AA951" s="668">
        <f t="shared" si="292"/>
        <v>0</v>
      </c>
      <c r="AB951" s="668">
        <f t="shared" si="293"/>
        <v>0</v>
      </c>
      <c r="AC951" s="668">
        <f t="shared" si="286"/>
        <v>0</v>
      </c>
      <c r="AD951" s="668">
        <f t="shared" si="294"/>
        <v>0</v>
      </c>
      <c r="AE951" s="668">
        <f t="shared" si="295"/>
        <v>0</v>
      </c>
      <c r="AF951" s="668">
        <f t="shared" si="296"/>
        <v>0</v>
      </c>
      <c r="AG951" s="668">
        <f t="shared" si="297"/>
        <v>0</v>
      </c>
      <c r="AH951" s="668"/>
      <c r="AI951" s="668"/>
      <c r="AJ951" s="668"/>
      <c r="AK951" s="668"/>
      <c r="AL951" s="668"/>
      <c r="AM951" s="668">
        <f t="shared" si="298"/>
        <v>0</v>
      </c>
      <c r="AN951" s="668">
        <f t="shared" si="282"/>
        <v>0</v>
      </c>
      <c r="AO951" s="668">
        <f t="shared" si="283"/>
        <v>0</v>
      </c>
      <c r="AP951" s="668">
        <f t="shared" si="299"/>
        <v>0</v>
      </c>
      <c r="AQ951" s="668">
        <f t="shared" si="284"/>
        <v>0</v>
      </c>
      <c r="AR951" s="668">
        <f t="shared" si="285"/>
        <v>0</v>
      </c>
      <c r="AS951" s="668"/>
      <c r="AT951" s="668"/>
      <c r="AU951" s="668"/>
      <c r="AV951" s="668"/>
      <c r="AW951" s="668"/>
      <c r="AX951" s="668"/>
      <c r="AY951" s="668"/>
      <c r="AZ951" s="668"/>
      <c r="BA951" s="668"/>
      <c r="BB951" s="668">
        <f t="shared" si="300"/>
        <v>0</v>
      </c>
      <c r="BC951" s="668"/>
      <c r="BD951" s="668"/>
      <c r="BE951" s="668"/>
      <c r="BF951" s="668"/>
      <c r="BG951" s="668"/>
      <c r="BH951" s="668"/>
      <c r="BI951" s="668"/>
    </row>
    <row r="952" spans="1:61" x14ac:dyDescent="0.2">
      <c r="A952" s="1020" t="s">
        <v>809</v>
      </c>
      <c r="B952" s="1020" t="s">
        <v>524</v>
      </c>
      <c r="C952" s="1020"/>
      <c r="D952" s="667"/>
      <c r="E952" s="667"/>
      <c r="F952" s="667"/>
      <c r="G952" s="667"/>
      <c r="H952" s="667"/>
      <c r="I952" s="667"/>
      <c r="J952" s="667">
        <v>87</v>
      </c>
      <c r="K952" s="667"/>
      <c r="L952" s="667"/>
      <c r="M952" s="667"/>
      <c r="N952" s="667"/>
      <c r="O952" s="667"/>
      <c r="P952" s="667"/>
      <c r="Q952" s="667"/>
      <c r="R952" s="667"/>
      <c r="S952" s="667"/>
      <c r="T952" s="667"/>
      <c r="U952" s="1020">
        <v>14</v>
      </c>
      <c r="V952" s="668">
        <f t="shared" si="287"/>
        <v>0</v>
      </c>
      <c r="W952" s="668">
        <f t="shared" si="288"/>
        <v>0</v>
      </c>
      <c r="X952" s="668">
        <f t="shared" si="289"/>
        <v>0</v>
      </c>
      <c r="Y952" s="668">
        <f t="shared" si="290"/>
        <v>1218</v>
      </c>
      <c r="Z952" s="668">
        <f t="shared" si="291"/>
        <v>0</v>
      </c>
      <c r="AA952" s="668">
        <f t="shared" si="292"/>
        <v>0</v>
      </c>
      <c r="AB952" s="668">
        <f t="shared" si="293"/>
        <v>0</v>
      </c>
      <c r="AC952" s="668">
        <f t="shared" si="286"/>
        <v>0</v>
      </c>
      <c r="AD952" s="668">
        <f t="shared" si="294"/>
        <v>0</v>
      </c>
      <c r="AE952" s="668">
        <f t="shared" si="295"/>
        <v>0</v>
      </c>
      <c r="AF952" s="668">
        <f t="shared" si="296"/>
        <v>0</v>
      </c>
      <c r="AG952" s="668">
        <f t="shared" si="297"/>
        <v>0</v>
      </c>
      <c r="AH952" s="668"/>
      <c r="AI952" s="668"/>
      <c r="AJ952" s="668"/>
      <c r="AK952" s="668"/>
      <c r="AL952" s="668"/>
      <c r="AM952" s="668">
        <f t="shared" si="298"/>
        <v>0</v>
      </c>
      <c r="AN952" s="668">
        <f t="shared" si="282"/>
        <v>0</v>
      </c>
      <c r="AO952" s="668">
        <f t="shared" si="283"/>
        <v>0</v>
      </c>
      <c r="AP952" s="668">
        <f t="shared" si="299"/>
        <v>0</v>
      </c>
      <c r="AQ952" s="668">
        <f t="shared" si="284"/>
        <v>0</v>
      </c>
      <c r="AR952" s="668">
        <f t="shared" si="285"/>
        <v>0</v>
      </c>
      <c r="AS952" s="668"/>
      <c r="AT952" s="668"/>
      <c r="AU952" s="668"/>
      <c r="AV952" s="668"/>
      <c r="AW952" s="668"/>
      <c r="AX952" s="668"/>
      <c r="AY952" s="668"/>
      <c r="AZ952" s="668"/>
      <c r="BA952" s="668"/>
      <c r="BB952" s="668">
        <f t="shared" si="300"/>
        <v>0</v>
      </c>
      <c r="BC952" s="668"/>
      <c r="BD952" s="668"/>
      <c r="BE952" s="668"/>
      <c r="BF952" s="668"/>
      <c r="BG952" s="668"/>
      <c r="BH952" s="668"/>
      <c r="BI952" s="668"/>
    </row>
    <row r="953" spans="1:61" x14ac:dyDescent="0.2">
      <c r="A953" s="1020" t="s">
        <v>810</v>
      </c>
      <c r="B953" s="1020" t="s">
        <v>526</v>
      </c>
      <c r="C953" s="1020"/>
      <c r="D953" s="667"/>
      <c r="E953" s="667"/>
      <c r="F953" s="667"/>
      <c r="G953" s="667"/>
      <c r="H953" s="667"/>
      <c r="I953" s="667"/>
      <c r="J953" s="667">
        <v>61</v>
      </c>
      <c r="K953" s="667"/>
      <c r="L953" s="667"/>
      <c r="M953" s="667"/>
      <c r="N953" s="667"/>
      <c r="O953" s="667"/>
      <c r="P953" s="667"/>
      <c r="Q953" s="667"/>
      <c r="R953" s="667"/>
      <c r="S953" s="667"/>
      <c r="T953" s="667"/>
      <c r="U953" s="1020">
        <v>14</v>
      </c>
      <c r="V953" s="668">
        <f t="shared" si="287"/>
        <v>0</v>
      </c>
      <c r="W953" s="668">
        <f t="shared" si="288"/>
        <v>0</v>
      </c>
      <c r="X953" s="668">
        <f t="shared" si="289"/>
        <v>0</v>
      </c>
      <c r="Y953" s="668">
        <f t="shared" si="290"/>
        <v>854</v>
      </c>
      <c r="Z953" s="668">
        <f t="shared" si="291"/>
        <v>0</v>
      </c>
      <c r="AA953" s="668">
        <f t="shared" si="292"/>
        <v>0</v>
      </c>
      <c r="AB953" s="668">
        <f t="shared" si="293"/>
        <v>0</v>
      </c>
      <c r="AC953" s="668">
        <f t="shared" si="286"/>
        <v>0</v>
      </c>
      <c r="AD953" s="668">
        <f t="shared" si="294"/>
        <v>0</v>
      </c>
      <c r="AE953" s="668">
        <f t="shared" si="295"/>
        <v>0</v>
      </c>
      <c r="AF953" s="668">
        <f t="shared" si="296"/>
        <v>0</v>
      </c>
      <c r="AG953" s="668">
        <f t="shared" si="297"/>
        <v>0</v>
      </c>
      <c r="AH953" s="668"/>
      <c r="AI953" s="668"/>
      <c r="AJ953" s="668"/>
      <c r="AK953" s="668"/>
      <c r="AL953" s="668"/>
      <c r="AM953" s="668">
        <f t="shared" si="298"/>
        <v>0</v>
      </c>
      <c r="AN953" s="668">
        <f t="shared" si="282"/>
        <v>0</v>
      </c>
      <c r="AO953" s="668">
        <f t="shared" si="283"/>
        <v>0</v>
      </c>
      <c r="AP953" s="668">
        <f t="shared" si="299"/>
        <v>0</v>
      </c>
      <c r="AQ953" s="668">
        <f t="shared" si="284"/>
        <v>0</v>
      </c>
      <c r="AR953" s="668">
        <f t="shared" si="285"/>
        <v>0</v>
      </c>
      <c r="AS953" s="668"/>
      <c r="AT953" s="668"/>
      <c r="AU953" s="668"/>
      <c r="AV953" s="668"/>
      <c r="AW953" s="668"/>
      <c r="AX953" s="668"/>
      <c r="AY953" s="668"/>
      <c r="AZ953" s="668"/>
      <c r="BA953" s="668"/>
      <c r="BB953" s="668">
        <f t="shared" si="300"/>
        <v>0</v>
      </c>
      <c r="BC953" s="668"/>
      <c r="BD953" s="668"/>
      <c r="BE953" s="668"/>
      <c r="BF953" s="668"/>
      <c r="BG953" s="668"/>
      <c r="BH953" s="668"/>
      <c r="BI953" s="668"/>
    </row>
    <row r="954" spans="1:61" x14ac:dyDescent="0.2">
      <c r="A954" s="1022" t="s">
        <v>963</v>
      </c>
      <c r="B954" s="1022" t="s">
        <v>974</v>
      </c>
      <c r="C954" s="1022"/>
      <c r="D954" s="667"/>
      <c r="E954" s="667"/>
      <c r="F954" s="667"/>
      <c r="G954" s="667"/>
      <c r="H954" s="667"/>
      <c r="I954" s="667"/>
      <c r="J954" s="667"/>
      <c r="K954" s="667"/>
      <c r="L954" s="667"/>
      <c r="M954" s="667"/>
      <c r="N954" s="667"/>
      <c r="O954" s="667"/>
      <c r="P954" s="667"/>
      <c r="Q954" s="667"/>
      <c r="R954" s="667"/>
      <c r="S954" s="667">
        <v>4364</v>
      </c>
      <c r="T954" s="667"/>
      <c r="U954" s="1022"/>
      <c r="V954" s="668"/>
      <c r="W954" s="668"/>
      <c r="X954" s="668"/>
      <c r="Y954" s="668"/>
      <c r="Z954" s="668"/>
      <c r="AA954" s="668">
        <f t="shared" si="292"/>
        <v>4364</v>
      </c>
      <c r="AB954" s="668"/>
      <c r="AC954" s="668">
        <f t="shared" si="286"/>
        <v>0</v>
      </c>
      <c r="AD954" s="668"/>
      <c r="AE954" s="668"/>
      <c r="AF954" s="668"/>
      <c r="AG954" s="668"/>
      <c r="AH954" s="668"/>
      <c r="AI954" s="668"/>
      <c r="AJ954" s="668"/>
      <c r="AK954" s="668"/>
      <c r="AL954" s="668"/>
      <c r="AM954" s="668">
        <f t="shared" si="298"/>
        <v>0</v>
      </c>
      <c r="AN954" s="668">
        <f t="shared" si="282"/>
        <v>0</v>
      </c>
      <c r="AO954" s="668">
        <f t="shared" si="283"/>
        <v>0</v>
      </c>
      <c r="AP954" s="668">
        <f t="shared" si="299"/>
        <v>0</v>
      </c>
      <c r="AQ954" s="668">
        <f t="shared" si="284"/>
        <v>0</v>
      </c>
      <c r="AR954" s="668">
        <f t="shared" si="285"/>
        <v>0</v>
      </c>
      <c r="AS954" s="668"/>
      <c r="AT954" s="668"/>
      <c r="AU954" s="668"/>
      <c r="AV954" s="668"/>
      <c r="AW954" s="668"/>
      <c r="AX954" s="668">
        <v>800</v>
      </c>
      <c r="AY954" s="668"/>
      <c r="AZ954" s="668"/>
      <c r="BA954" s="668"/>
      <c r="BB954" s="668">
        <f t="shared" si="300"/>
        <v>0</v>
      </c>
      <c r="BC954" s="668"/>
      <c r="BD954" s="668"/>
      <c r="BE954" s="668"/>
      <c r="BF954" s="668"/>
      <c r="BG954" s="668"/>
      <c r="BH954" s="668"/>
      <c r="BI954" s="668"/>
    </row>
    <row r="955" spans="1:61" x14ac:dyDescent="0.2">
      <c r="A955" s="1022" t="s">
        <v>964</v>
      </c>
      <c r="B955" s="1022" t="s">
        <v>974</v>
      </c>
      <c r="C955" s="1022"/>
      <c r="D955" s="667"/>
      <c r="E955" s="667"/>
      <c r="F955" s="667"/>
      <c r="G955" s="667"/>
      <c r="H955" s="667"/>
      <c r="I955" s="667"/>
      <c r="J955" s="667"/>
      <c r="K955" s="667"/>
      <c r="L955" s="667"/>
      <c r="M955" s="667"/>
      <c r="N955" s="667"/>
      <c r="O955" s="667"/>
      <c r="P955" s="667"/>
      <c r="Q955" s="667"/>
      <c r="R955" s="667"/>
      <c r="S955" s="667">
        <v>424</v>
      </c>
      <c r="T955" s="667"/>
      <c r="U955" s="1022"/>
      <c r="V955" s="668"/>
      <c r="W955" s="668"/>
      <c r="X955" s="668"/>
      <c r="Y955" s="668"/>
      <c r="Z955" s="668"/>
      <c r="AA955" s="668">
        <f t="shared" si="292"/>
        <v>424</v>
      </c>
      <c r="AB955" s="668"/>
      <c r="AC955" s="668">
        <f t="shared" si="286"/>
        <v>0</v>
      </c>
      <c r="AD955" s="668"/>
      <c r="AE955" s="668"/>
      <c r="AF955" s="668"/>
      <c r="AG955" s="668"/>
      <c r="AH955" s="668"/>
      <c r="AI955" s="668"/>
      <c r="AJ955" s="668"/>
      <c r="AK955" s="668"/>
      <c r="AL955" s="668"/>
      <c r="AM955" s="668">
        <f t="shared" si="298"/>
        <v>0</v>
      </c>
      <c r="AN955" s="668">
        <f t="shared" si="282"/>
        <v>0</v>
      </c>
      <c r="AO955" s="668">
        <f t="shared" si="283"/>
        <v>0</v>
      </c>
      <c r="AP955" s="668">
        <f t="shared" si="299"/>
        <v>0</v>
      </c>
      <c r="AQ955" s="668">
        <f t="shared" si="284"/>
        <v>0</v>
      </c>
      <c r="AR955" s="668">
        <f t="shared" si="285"/>
        <v>0</v>
      </c>
      <c r="AS955" s="668"/>
      <c r="AT955" s="668"/>
      <c r="AU955" s="668"/>
      <c r="AV955" s="668"/>
      <c r="AW955" s="668"/>
      <c r="AX955" s="668">
        <v>400</v>
      </c>
      <c r="AY955" s="668"/>
      <c r="AZ955" s="668"/>
      <c r="BA955" s="668"/>
      <c r="BB955" s="668">
        <f t="shared" si="300"/>
        <v>0</v>
      </c>
      <c r="BC955" s="668"/>
      <c r="BD955" s="668"/>
      <c r="BE955" s="668"/>
      <c r="BF955" s="668"/>
      <c r="BG955" s="668"/>
      <c r="BH955" s="668"/>
      <c r="BI955" s="668"/>
    </row>
    <row r="956" spans="1:61" x14ac:dyDescent="0.2">
      <c r="A956" s="1022" t="s">
        <v>965</v>
      </c>
      <c r="B956" s="1022" t="s">
        <v>974</v>
      </c>
      <c r="C956" s="1022"/>
      <c r="D956" s="667"/>
      <c r="E956" s="667"/>
      <c r="F956" s="667"/>
      <c r="G956" s="667"/>
      <c r="H956" s="667"/>
      <c r="I956" s="667"/>
      <c r="J956" s="667"/>
      <c r="K956" s="667"/>
      <c r="L956" s="667"/>
      <c r="M956" s="667"/>
      <c r="N956" s="667"/>
      <c r="O956" s="667"/>
      <c r="P956" s="667"/>
      <c r="Q956" s="667"/>
      <c r="R956" s="667"/>
      <c r="S956" s="667">
        <v>8767</v>
      </c>
      <c r="T956" s="667"/>
      <c r="U956" s="1022"/>
      <c r="V956" s="668"/>
      <c r="W956" s="668"/>
      <c r="X956" s="668"/>
      <c r="Y956" s="668"/>
      <c r="Z956" s="668"/>
      <c r="AA956" s="668">
        <f t="shared" si="292"/>
        <v>8767</v>
      </c>
      <c r="AB956" s="668"/>
      <c r="AC956" s="668">
        <f t="shared" si="286"/>
        <v>0</v>
      </c>
      <c r="AD956" s="668"/>
      <c r="AE956" s="668"/>
      <c r="AF956" s="668"/>
      <c r="AG956" s="668"/>
      <c r="AH956" s="668"/>
      <c r="AI956" s="668"/>
      <c r="AJ956" s="668"/>
      <c r="AK956" s="668"/>
      <c r="AL956" s="668"/>
      <c r="AM956" s="668">
        <f t="shared" si="298"/>
        <v>0</v>
      </c>
      <c r="AN956" s="668">
        <f t="shared" si="282"/>
        <v>0</v>
      </c>
      <c r="AO956" s="668">
        <f t="shared" si="283"/>
        <v>0</v>
      </c>
      <c r="AP956" s="668">
        <f t="shared" si="299"/>
        <v>0</v>
      </c>
      <c r="AQ956" s="668">
        <f t="shared" si="284"/>
        <v>0</v>
      </c>
      <c r="AR956" s="668">
        <f t="shared" si="285"/>
        <v>0</v>
      </c>
      <c r="AS956" s="668"/>
      <c r="AT956" s="668"/>
      <c r="AU956" s="668"/>
      <c r="AV956" s="668"/>
      <c r="AW956" s="668"/>
      <c r="AX956" s="668">
        <v>1100</v>
      </c>
      <c r="AY956" s="668"/>
      <c r="AZ956" s="668"/>
      <c r="BA956" s="668"/>
      <c r="BB956" s="668">
        <f t="shared" si="300"/>
        <v>0</v>
      </c>
      <c r="BC956" s="668"/>
      <c r="BD956" s="668"/>
      <c r="BE956" s="668"/>
      <c r="BF956" s="668"/>
      <c r="BG956" s="668"/>
      <c r="BH956" s="668"/>
      <c r="BI956" s="668"/>
    </row>
    <row r="957" spans="1:61" x14ac:dyDescent="0.2">
      <c r="A957" s="1022" t="s">
        <v>966</v>
      </c>
      <c r="B957" s="1022" t="s">
        <v>974</v>
      </c>
      <c r="C957" s="1022"/>
      <c r="D957" s="667"/>
      <c r="E957" s="667"/>
      <c r="F957" s="667"/>
      <c r="G957" s="667"/>
      <c r="H957" s="667"/>
      <c r="I957" s="667"/>
      <c r="J957" s="667"/>
      <c r="K957" s="667"/>
      <c r="L957" s="667"/>
      <c r="M957" s="667"/>
      <c r="N957" s="667"/>
      <c r="O957" s="667"/>
      <c r="P957" s="667"/>
      <c r="Q957" s="667"/>
      <c r="R957" s="667"/>
      <c r="S957" s="667">
        <v>2634</v>
      </c>
      <c r="T957" s="667"/>
      <c r="U957" s="1022"/>
      <c r="V957" s="668"/>
      <c r="W957" s="668"/>
      <c r="X957" s="668"/>
      <c r="Y957" s="668"/>
      <c r="Z957" s="668"/>
      <c r="AA957" s="668">
        <f t="shared" si="292"/>
        <v>2634</v>
      </c>
      <c r="AB957" s="668"/>
      <c r="AC957" s="668">
        <f t="shared" si="286"/>
        <v>0</v>
      </c>
      <c r="AD957" s="668"/>
      <c r="AE957" s="668"/>
      <c r="AF957" s="668"/>
      <c r="AG957" s="668"/>
      <c r="AH957" s="668"/>
      <c r="AI957" s="668"/>
      <c r="AJ957" s="668"/>
      <c r="AK957" s="668"/>
      <c r="AL957" s="668"/>
      <c r="AM957" s="668">
        <f t="shared" si="298"/>
        <v>0</v>
      </c>
      <c r="AN957" s="668">
        <f t="shared" si="282"/>
        <v>0</v>
      </c>
      <c r="AO957" s="668">
        <f t="shared" si="283"/>
        <v>0</v>
      </c>
      <c r="AP957" s="668">
        <f t="shared" si="299"/>
        <v>0</v>
      </c>
      <c r="AQ957" s="668">
        <f t="shared" si="284"/>
        <v>0</v>
      </c>
      <c r="AR957" s="668">
        <f t="shared" si="285"/>
        <v>0</v>
      </c>
      <c r="AS957" s="668"/>
      <c r="AT957" s="668"/>
      <c r="AU957" s="668"/>
      <c r="AV957" s="668"/>
      <c r="AW957" s="668"/>
      <c r="AX957" s="668">
        <v>650</v>
      </c>
      <c r="AY957" s="668"/>
      <c r="AZ957" s="668"/>
      <c r="BA957" s="668"/>
      <c r="BB957" s="668">
        <f t="shared" si="300"/>
        <v>0</v>
      </c>
      <c r="BC957" s="668"/>
      <c r="BD957" s="668"/>
      <c r="BE957" s="668"/>
      <c r="BF957" s="668"/>
      <c r="BG957" s="668"/>
      <c r="BH957" s="668"/>
      <c r="BI957" s="668"/>
    </row>
    <row r="958" spans="1:61" x14ac:dyDescent="0.2">
      <c r="A958" s="1022" t="s">
        <v>967</v>
      </c>
      <c r="B958" s="1022" t="s">
        <v>974</v>
      </c>
      <c r="C958" s="1022"/>
      <c r="D958" s="667"/>
      <c r="E958" s="667"/>
      <c r="F958" s="667"/>
      <c r="G958" s="667"/>
      <c r="H958" s="667"/>
      <c r="I958" s="667"/>
      <c r="J958" s="667"/>
      <c r="K958" s="667"/>
      <c r="L958" s="667"/>
      <c r="M958" s="667"/>
      <c r="N958" s="667"/>
      <c r="O958" s="667"/>
      <c r="P958" s="667"/>
      <c r="Q958" s="667"/>
      <c r="R958" s="667"/>
      <c r="S958" s="667">
        <v>4232</v>
      </c>
      <c r="T958" s="667"/>
      <c r="U958" s="1022"/>
      <c r="V958" s="668"/>
      <c r="W958" s="668"/>
      <c r="X958" s="668"/>
      <c r="Y958" s="668"/>
      <c r="Z958" s="668"/>
      <c r="AA958" s="668">
        <f t="shared" si="292"/>
        <v>4232</v>
      </c>
      <c r="AB958" s="668"/>
      <c r="AC958" s="668">
        <f t="shared" si="286"/>
        <v>0</v>
      </c>
      <c r="AD958" s="668"/>
      <c r="AE958" s="668"/>
      <c r="AF958" s="668"/>
      <c r="AG958" s="668"/>
      <c r="AH958" s="668"/>
      <c r="AI958" s="668"/>
      <c r="AJ958" s="668"/>
      <c r="AK958" s="668"/>
      <c r="AL958" s="668"/>
      <c r="AM958" s="668">
        <f t="shared" si="298"/>
        <v>0</v>
      </c>
      <c r="AN958" s="668">
        <f t="shared" si="282"/>
        <v>0</v>
      </c>
      <c r="AO958" s="668">
        <f t="shared" si="283"/>
        <v>0</v>
      </c>
      <c r="AP958" s="668">
        <f t="shared" si="299"/>
        <v>0</v>
      </c>
      <c r="AQ958" s="668">
        <f t="shared" si="284"/>
        <v>0</v>
      </c>
      <c r="AR958" s="668">
        <f t="shared" si="285"/>
        <v>0</v>
      </c>
      <c r="AS958" s="668"/>
      <c r="AT958" s="668"/>
      <c r="AU958" s="668"/>
      <c r="AV958" s="668"/>
      <c r="AW958" s="668"/>
      <c r="AX958" s="668">
        <v>100</v>
      </c>
      <c r="AY958" s="668"/>
      <c r="AZ958" s="668"/>
      <c r="BA958" s="668"/>
      <c r="BB958" s="668">
        <f t="shared" si="300"/>
        <v>0</v>
      </c>
      <c r="BC958" s="668"/>
      <c r="BD958" s="668"/>
      <c r="BE958" s="668"/>
      <c r="BF958" s="668"/>
      <c r="BG958" s="668"/>
      <c r="BH958" s="668"/>
      <c r="BI958" s="668"/>
    </row>
    <row r="959" spans="1:61" x14ac:dyDescent="0.2">
      <c r="A959" s="1022" t="s">
        <v>968</v>
      </c>
      <c r="B959" s="1022" t="s">
        <v>974</v>
      </c>
      <c r="C959" s="1022"/>
      <c r="D959" s="667"/>
      <c r="E959" s="667"/>
      <c r="F959" s="667"/>
      <c r="G959" s="667"/>
      <c r="H959" s="667"/>
      <c r="I959" s="667"/>
      <c r="J959" s="667"/>
      <c r="K959" s="667"/>
      <c r="L959" s="667"/>
      <c r="M959" s="667"/>
      <c r="N959" s="667"/>
      <c r="O959" s="667"/>
      <c r="P959" s="667"/>
      <c r="Q959" s="667"/>
      <c r="R959" s="667"/>
      <c r="S959" s="667">
        <v>2413</v>
      </c>
      <c r="T959" s="667"/>
      <c r="U959" s="1022"/>
      <c r="V959" s="668"/>
      <c r="W959" s="668"/>
      <c r="X959" s="668"/>
      <c r="Y959" s="668"/>
      <c r="Z959" s="668"/>
      <c r="AA959" s="668">
        <f t="shared" si="292"/>
        <v>2413</v>
      </c>
      <c r="AB959" s="668"/>
      <c r="AC959" s="668">
        <f t="shared" si="286"/>
        <v>0</v>
      </c>
      <c r="AD959" s="668"/>
      <c r="AE959" s="668"/>
      <c r="AF959" s="668"/>
      <c r="AG959" s="668"/>
      <c r="AH959" s="668"/>
      <c r="AI959" s="668"/>
      <c r="AJ959" s="668"/>
      <c r="AK959" s="668"/>
      <c r="AL959" s="668"/>
      <c r="AM959" s="668">
        <f t="shared" si="298"/>
        <v>0</v>
      </c>
      <c r="AN959" s="668">
        <f t="shared" si="282"/>
        <v>0</v>
      </c>
      <c r="AO959" s="668">
        <f t="shared" si="283"/>
        <v>0</v>
      </c>
      <c r="AP959" s="668">
        <f t="shared" si="299"/>
        <v>0</v>
      </c>
      <c r="AQ959" s="668">
        <f t="shared" si="284"/>
        <v>0</v>
      </c>
      <c r="AR959" s="668">
        <f t="shared" si="285"/>
        <v>0</v>
      </c>
      <c r="AS959" s="668"/>
      <c r="AT959" s="668"/>
      <c r="AU959" s="668"/>
      <c r="AV959" s="668"/>
      <c r="AW959" s="668"/>
      <c r="AX959" s="668">
        <v>1400</v>
      </c>
      <c r="AY959" s="668"/>
      <c r="AZ959" s="668"/>
      <c r="BA959" s="668"/>
      <c r="BB959" s="668">
        <f t="shared" si="300"/>
        <v>0</v>
      </c>
      <c r="BC959" s="668"/>
      <c r="BD959" s="668"/>
      <c r="BE959" s="668"/>
      <c r="BF959" s="668"/>
      <c r="BG959" s="668"/>
      <c r="BH959" s="668"/>
      <c r="BI959" s="668"/>
    </row>
    <row r="960" spans="1:61" x14ac:dyDescent="0.2">
      <c r="A960" s="1022" t="s">
        <v>969</v>
      </c>
      <c r="B960" s="1022" t="s">
        <v>974</v>
      </c>
      <c r="C960" s="1022"/>
      <c r="D960" s="667"/>
      <c r="E960" s="667"/>
      <c r="F960" s="667"/>
      <c r="G960" s="667"/>
      <c r="H960" s="667"/>
      <c r="I960" s="667"/>
      <c r="J960" s="667"/>
      <c r="K960" s="667"/>
      <c r="L960" s="667"/>
      <c r="M960" s="667"/>
      <c r="N960" s="667"/>
      <c r="O960" s="667"/>
      <c r="P960" s="667"/>
      <c r="Q960" s="667"/>
      <c r="R960" s="667"/>
      <c r="S960" s="667">
        <v>1551</v>
      </c>
      <c r="T960" s="667"/>
      <c r="U960" s="1022"/>
      <c r="V960" s="668"/>
      <c r="W960" s="668"/>
      <c r="X960" s="668"/>
      <c r="Y960" s="668"/>
      <c r="Z960" s="668"/>
      <c r="AA960" s="668">
        <f t="shared" si="292"/>
        <v>1551</v>
      </c>
      <c r="AB960" s="668"/>
      <c r="AC960" s="668">
        <f t="shared" si="286"/>
        <v>0</v>
      </c>
      <c r="AD960" s="668"/>
      <c r="AE960" s="668"/>
      <c r="AF960" s="668"/>
      <c r="AG960" s="668"/>
      <c r="AH960" s="668"/>
      <c r="AI960" s="668"/>
      <c r="AJ960" s="668"/>
      <c r="AK960" s="668"/>
      <c r="AL960" s="668"/>
      <c r="AM960" s="668">
        <f t="shared" si="298"/>
        <v>0</v>
      </c>
      <c r="AN960" s="668">
        <f t="shared" si="282"/>
        <v>0</v>
      </c>
      <c r="AO960" s="668">
        <f t="shared" si="283"/>
        <v>0</v>
      </c>
      <c r="AP960" s="668">
        <f t="shared" si="299"/>
        <v>0</v>
      </c>
      <c r="AQ960" s="668">
        <f t="shared" si="284"/>
        <v>0</v>
      </c>
      <c r="AR960" s="668">
        <f t="shared" si="285"/>
        <v>0</v>
      </c>
      <c r="AS960" s="668"/>
      <c r="AT960" s="668"/>
      <c r="AU960" s="668"/>
      <c r="AV960" s="668"/>
      <c r="AW960" s="668"/>
      <c r="AX960" s="668">
        <v>1300</v>
      </c>
      <c r="AY960" s="668"/>
      <c r="AZ960" s="668"/>
      <c r="BA960" s="668"/>
      <c r="BB960" s="668">
        <f t="shared" si="300"/>
        <v>0</v>
      </c>
      <c r="BC960" s="668"/>
      <c r="BD960" s="668"/>
      <c r="BE960" s="668"/>
      <c r="BF960" s="668"/>
      <c r="BG960" s="668"/>
      <c r="BH960" s="668"/>
      <c r="BI960" s="668"/>
    </row>
    <row r="961" spans="1:61" x14ac:dyDescent="0.2">
      <c r="A961" s="1020"/>
      <c r="B961" s="1020"/>
      <c r="C961" s="1020"/>
      <c r="D961" s="667"/>
      <c r="E961" s="667"/>
      <c r="F961" s="667"/>
      <c r="G961" s="667"/>
      <c r="H961" s="667"/>
      <c r="I961" s="667"/>
      <c r="J961" s="667"/>
      <c r="K961" s="667"/>
      <c r="L961" s="667"/>
      <c r="M961" s="667"/>
      <c r="N961" s="667"/>
      <c r="O961" s="667"/>
      <c r="P961" s="667"/>
      <c r="Q961" s="667"/>
      <c r="R961" s="667"/>
      <c r="S961" s="667"/>
      <c r="T961" s="667"/>
      <c r="U961" s="1020"/>
      <c r="V961" s="668">
        <f t="shared" si="287"/>
        <v>0</v>
      </c>
      <c r="W961" s="668">
        <f t="shared" si="288"/>
        <v>0</v>
      </c>
      <c r="X961" s="668">
        <f t="shared" si="289"/>
        <v>0</v>
      </c>
      <c r="Y961" s="668">
        <f t="shared" si="290"/>
        <v>0</v>
      </c>
      <c r="Z961" s="668">
        <f t="shared" si="291"/>
        <v>0</v>
      </c>
      <c r="AA961" s="668">
        <f t="shared" si="292"/>
        <v>0</v>
      </c>
      <c r="AB961" s="668">
        <f t="shared" si="293"/>
        <v>0</v>
      </c>
      <c r="AC961" s="668">
        <f t="shared" si="286"/>
        <v>0</v>
      </c>
      <c r="AD961" s="668">
        <f t="shared" si="294"/>
        <v>0</v>
      </c>
      <c r="AE961" s="668">
        <f t="shared" si="295"/>
        <v>0</v>
      </c>
      <c r="AF961" s="668">
        <f t="shared" si="296"/>
        <v>0</v>
      </c>
      <c r="AG961" s="668">
        <f t="shared" si="297"/>
        <v>0</v>
      </c>
      <c r="AH961" s="668"/>
      <c r="AI961" s="668"/>
      <c r="AJ961" s="668"/>
      <c r="AK961" s="668"/>
      <c r="AL961" s="668"/>
      <c r="AM961" s="668">
        <f t="shared" si="298"/>
        <v>0</v>
      </c>
      <c r="AN961" s="668">
        <f t="shared" si="282"/>
        <v>0</v>
      </c>
      <c r="AO961" s="668">
        <f t="shared" si="283"/>
        <v>0</v>
      </c>
      <c r="AP961" s="668">
        <f t="shared" si="299"/>
        <v>0</v>
      </c>
      <c r="AQ961" s="668">
        <f t="shared" si="284"/>
        <v>0</v>
      </c>
      <c r="AR961" s="668">
        <f t="shared" si="285"/>
        <v>0</v>
      </c>
      <c r="AS961" s="668"/>
      <c r="AT961" s="668"/>
      <c r="AU961" s="668"/>
      <c r="AV961" s="668"/>
      <c r="AW961" s="668"/>
      <c r="AX961" s="668"/>
      <c r="AY961" s="668"/>
      <c r="AZ961" s="668"/>
      <c r="BA961" s="668"/>
      <c r="BB961" s="668">
        <f t="shared" si="300"/>
        <v>0</v>
      </c>
      <c r="BC961" s="668"/>
      <c r="BD961" s="668"/>
      <c r="BE961" s="668"/>
      <c r="BF961" s="668"/>
      <c r="BG961" s="668"/>
      <c r="BH961" s="668"/>
      <c r="BI961" s="668"/>
    </row>
    <row r="962" spans="1:61" x14ac:dyDescent="0.2">
      <c r="A962" s="1021"/>
      <c r="B962" s="1019" t="s">
        <v>811</v>
      </c>
      <c r="C962" s="1021"/>
      <c r="D962" s="667"/>
      <c r="E962" s="667"/>
      <c r="F962" s="667"/>
      <c r="G962" s="667"/>
      <c r="H962" s="667"/>
      <c r="I962" s="667"/>
      <c r="J962" s="667"/>
      <c r="K962" s="667"/>
      <c r="L962" s="667"/>
      <c r="M962" s="667"/>
      <c r="N962" s="667"/>
      <c r="O962" s="667"/>
      <c r="P962" s="667"/>
      <c r="Q962" s="667"/>
      <c r="R962" s="667"/>
      <c r="S962" s="667"/>
      <c r="T962" s="667"/>
      <c r="U962" s="1021"/>
      <c r="V962" s="668">
        <f t="shared" si="287"/>
        <v>0</v>
      </c>
      <c r="W962" s="668">
        <f t="shared" si="288"/>
        <v>0</v>
      </c>
      <c r="X962" s="668">
        <f t="shared" si="289"/>
        <v>0</v>
      </c>
      <c r="Y962" s="668">
        <f t="shared" si="290"/>
        <v>0</v>
      </c>
      <c r="Z962" s="668">
        <f t="shared" si="291"/>
        <v>0</v>
      </c>
      <c r="AA962" s="668">
        <f t="shared" si="292"/>
        <v>0</v>
      </c>
      <c r="AB962" s="668">
        <f t="shared" si="293"/>
        <v>0</v>
      </c>
      <c r="AC962" s="668">
        <f t="shared" si="286"/>
        <v>0</v>
      </c>
      <c r="AD962" s="668">
        <f t="shared" si="294"/>
        <v>0</v>
      </c>
      <c r="AE962" s="668">
        <f t="shared" si="295"/>
        <v>0</v>
      </c>
      <c r="AF962" s="668">
        <f t="shared" si="296"/>
        <v>0</v>
      </c>
      <c r="AG962" s="668">
        <f t="shared" si="297"/>
        <v>0</v>
      </c>
      <c r="AH962" s="668"/>
      <c r="AI962" s="668"/>
      <c r="AJ962" s="668"/>
      <c r="AK962" s="668"/>
      <c r="AL962" s="668"/>
      <c r="AM962" s="668">
        <f t="shared" si="298"/>
        <v>0</v>
      </c>
      <c r="AN962" s="668">
        <f t="shared" si="282"/>
        <v>0</v>
      </c>
      <c r="AO962" s="668">
        <f t="shared" si="283"/>
        <v>0</v>
      </c>
      <c r="AP962" s="668">
        <f t="shared" si="299"/>
        <v>0</v>
      </c>
      <c r="AQ962" s="668">
        <f t="shared" si="284"/>
        <v>0</v>
      </c>
      <c r="AR962" s="668">
        <f t="shared" si="285"/>
        <v>0</v>
      </c>
      <c r="AS962" s="668"/>
      <c r="AT962" s="668"/>
      <c r="AU962" s="668"/>
      <c r="AV962" s="668">
        <f>+'Misc Take Off'!C63</f>
        <v>8499.0600000000013</v>
      </c>
      <c r="AW962" s="668"/>
      <c r="AX962" s="668"/>
      <c r="AY962" s="668"/>
      <c r="AZ962" s="668"/>
      <c r="BA962" s="668"/>
      <c r="BB962" s="668">
        <f t="shared" si="300"/>
        <v>0</v>
      </c>
      <c r="BC962" s="668"/>
      <c r="BD962" s="668"/>
      <c r="BE962" s="668"/>
      <c r="BF962" s="668"/>
      <c r="BG962" s="668"/>
      <c r="BH962" s="668"/>
      <c r="BI962" s="668"/>
    </row>
    <row r="963" spans="1:61" x14ac:dyDescent="0.2">
      <c r="A963" s="1021"/>
      <c r="B963" s="1019" t="s">
        <v>800</v>
      </c>
      <c r="C963" s="1021"/>
      <c r="D963" s="667"/>
      <c r="E963" s="667"/>
      <c r="F963" s="667"/>
      <c r="G963" s="667"/>
      <c r="H963" s="667"/>
      <c r="I963" s="667"/>
      <c r="J963" s="667"/>
      <c r="K963" s="667"/>
      <c r="L963" s="667"/>
      <c r="M963" s="667"/>
      <c r="N963" s="667"/>
      <c r="O963" s="667"/>
      <c r="P963" s="667"/>
      <c r="Q963" s="667"/>
      <c r="R963" s="667"/>
      <c r="S963" s="667"/>
      <c r="T963" s="667"/>
      <c r="U963" s="1021"/>
      <c r="V963" s="668">
        <f t="shared" si="287"/>
        <v>0</v>
      </c>
      <c r="W963" s="668">
        <f t="shared" si="288"/>
        <v>0</v>
      </c>
      <c r="X963" s="668">
        <f t="shared" si="289"/>
        <v>0</v>
      </c>
      <c r="Y963" s="668">
        <f t="shared" si="290"/>
        <v>0</v>
      </c>
      <c r="Z963" s="668">
        <f t="shared" si="291"/>
        <v>0</v>
      </c>
      <c r="AA963" s="668">
        <f t="shared" si="292"/>
        <v>0</v>
      </c>
      <c r="AB963" s="668">
        <f t="shared" si="293"/>
        <v>0</v>
      </c>
      <c r="AC963" s="668">
        <f t="shared" si="286"/>
        <v>0</v>
      </c>
      <c r="AD963" s="668">
        <f t="shared" si="294"/>
        <v>0</v>
      </c>
      <c r="AE963" s="668">
        <f t="shared" si="295"/>
        <v>0</v>
      </c>
      <c r="AF963" s="668">
        <f t="shared" si="296"/>
        <v>0</v>
      </c>
      <c r="AG963" s="668">
        <f t="shared" si="297"/>
        <v>0</v>
      </c>
      <c r="AH963" s="668"/>
      <c r="AI963" s="668"/>
      <c r="AJ963" s="668"/>
      <c r="AK963" s="668"/>
      <c r="AL963" s="668"/>
      <c r="AM963" s="668">
        <f t="shared" si="298"/>
        <v>0</v>
      </c>
      <c r="AN963" s="668">
        <f t="shared" si="282"/>
        <v>0</v>
      </c>
      <c r="AO963" s="668">
        <f t="shared" si="283"/>
        <v>0</v>
      </c>
      <c r="AP963" s="668">
        <f t="shared" si="299"/>
        <v>0</v>
      </c>
      <c r="AQ963" s="668">
        <f t="shared" si="284"/>
        <v>0</v>
      </c>
      <c r="AR963" s="668">
        <f t="shared" si="285"/>
        <v>0</v>
      </c>
      <c r="AS963" s="668"/>
      <c r="AT963" s="668"/>
      <c r="AU963" s="668"/>
      <c r="AV963" s="668"/>
      <c r="AW963" s="668"/>
      <c r="AX963" s="668"/>
      <c r="AY963" s="668"/>
      <c r="AZ963" s="668"/>
      <c r="BA963" s="668"/>
      <c r="BB963" s="668">
        <f t="shared" si="300"/>
        <v>0</v>
      </c>
      <c r="BC963" s="668"/>
      <c r="BD963" s="668"/>
      <c r="BE963" s="668"/>
      <c r="BF963" s="668"/>
      <c r="BG963" s="668"/>
      <c r="BH963" s="668"/>
      <c r="BI963" s="668"/>
    </row>
    <row r="964" spans="1:61" x14ac:dyDescent="0.2">
      <c r="A964" s="1021">
        <v>2180</v>
      </c>
      <c r="B964" s="1021" t="s">
        <v>845</v>
      </c>
      <c r="C964" s="1021"/>
      <c r="D964" s="667"/>
      <c r="E964" s="667"/>
      <c r="F964" s="667"/>
      <c r="G964" s="667"/>
      <c r="H964" s="667"/>
      <c r="I964" s="667"/>
      <c r="J964" s="667"/>
      <c r="K964" s="667"/>
      <c r="L964" s="667"/>
      <c r="M964" s="667"/>
      <c r="N964" s="667"/>
      <c r="O964" s="667"/>
      <c r="P964" s="667"/>
      <c r="Q964" s="667"/>
      <c r="R964" s="667"/>
      <c r="S964" s="667"/>
      <c r="T964" s="667"/>
      <c r="U964" s="1021"/>
      <c r="V964" s="668">
        <f t="shared" si="287"/>
        <v>0</v>
      </c>
      <c r="W964" s="668">
        <f t="shared" si="288"/>
        <v>0</v>
      </c>
      <c r="X964" s="668">
        <f t="shared" si="289"/>
        <v>0</v>
      </c>
      <c r="Y964" s="668">
        <f t="shared" si="290"/>
        <v>0</v>
      </c>
      <c r="Z964" s="668">
        <f t="shared" si="291"/>
        <v>0</v>
      </c>
      <c r="AA964" s="668">
        <f t="shared" si="292"/>
        <v>0</v>
      </c>
      <c r="AB964" s="668">
        <f t="shared" si="293"/>
        <v>0</v>
      </c>
      <c r="AC964" s="668">
        <f t="shared" si="286"/>
        <v>0</v>
      </c>
      <c r="AD964" s="668">
        <f t="shared" si="294"/>
        <v>0</v>
      </c>
      <c r="AE964" s="668">
        <f t="shared" si="295"/>
        <v>0</v>
      </c>
      <c r="AF964" s="668">
        <f t="shared" si="296"/>
        <v>0</v>
      </c>
      <c r="AG964" s="668">
        <f t="shared" si="297"/>
        <v>0</v>
      </c>
      <c r="AH964" s="668"/>
      <c r="AI964" s="668"/>
      <c r="AJ964" s="668"/>
      <c r="AK964" s="668"/>
      <c r="AL964" s="668"/>
      <c r="AM964" s="668">
        <f t="shared" si="298"/>
        <v>0</v>
      </c>
      <c r="AN964" s="668">
        <f t="shared" si="282"/>
        <v>0</v>
      </c>
      <c r="AO964" s="668">
        <f t="shared" si="283"/>
        <v>0</v>
      </c>
      <c r="AP964" s="668">
        <f t="shared" si="299"/>
        <v>0</v>
      </c>
      <c r="AQ964" s="668">
        <f t="shared" si="284"/>
        <v>0</v>
      </c>
      <c r="AR964" s="668">
        <f t="shared" si="285"/>
        <v>0</v>
      </c>
      <c r="AS964" s="668">
        <v>7</v>
      </c>
      <c r="AT964" s="668">
        <v>6</v>
      </c>
      <c r="AU964" s="668"/>
      <c r="AV964" s="668"/>
      <c r="AW964" s="668"/>
      <c r="AX964" s="668"/>
      <c r="AY964" s="668"/>
      <c r="AZ964" s="668"/>
      <c r="BA964" s="668"/>
      <c r="BB964" s="668">
        <f t="shared" si="300"/>
        <v>0</v>
      </c>
      <c r="BC964" s="668"/>
      <c r="BD964" s="668"/>
      <c r="BE964" s="668"/>
      <c r="BF964" s="668"/>
      <c r="BG964" s="668"/>
      <c r="BH964" s="668"/>
      <c r="BI964" s="668"/>
    </row>
    <row r="965" spans="1:61" x14ac:dyDescent="0.2">
      <c r="A965" s="1021">
        <v>5000</v>
      </c>
      <c r="B965" s="1021" t="s">
        <v>465</v>
      </c>
      <c r="C965" s="1021" t="s">
        <v>984</v>
      </c>
      <c r="D965" s="667">
        <v>141</v>
      </c>
      <c r="E965" s="667"/>
      <c r="F965" s="667"/>
      <c r="G965" s="667"/>
      <c r="H965" s="667"/>
      <c r="I965" s="667"/>
      <c r="J965" s="667"/>
      <c r="K965" s="667"/>
      <c r="L965" s="667"/>
      <c r="M965" s="667"/>
      <c r="N965" s="667"/>
      <c r="O965" s="667"/>
      <c r="P965" s="667"/>
      <c r="Q965" s="667"/>
      <c r="R965" s="667"/>
      <c r="S965" s="667"/>
      <c r="T965" s="667"/>
      <c r="U965" s="1021">
        <v>10</v>
      </c>
      <c r="V965" s="668">
        <f t="shared" si="287"/>
        <v>1410</v>
      </c>
      <c r="W965" s="668">
        <f t="shared" si="288"/>
        <v>0</v>
      </c>
      <c r="X965" s="668">
        <f t="shared" si="289"/>
        <v>0</v>
      </c>
      <c r="Y965" s="668">
        <f t="shared" si="290"/>
        <v>0</v>
      </c>
      <c r="Z965" s="668">
        <f t="shared" si="291"/>
        <v>1410</v>
      </c>
      <c r="AA965" s="668">
        <f t="shared" si="292"/>
        <v>0</v>
      </c>
      <c r="AB965" s="668">
        <f t="shared" si="293"/>
        <v>0</v>
      </c>
      <c r="AC965" s="668">
        <f t="shared" si="286"/>
        <v>0</v>
      </c>
      <c r="AD965" s="668">
        <f t="shared" si="294"/>
        <v>0</v>
      </c>
      <c r="AE965" s="668">
        <f t="shared" si="295"/>
        <v>0</v>
      </c>
      <c r="AF965" s="668">
        <f t="shared" si="296"/>
        <v>0</v>
      </c>
      <c r="AG965" s="668">
        <f t="shared" si="297"/>
        <v>0</v>
      </c>
      <c r="AH965" s="668"/>
      <c r="AI965" s="668"/>
      <c r="AJ965" s="668"/>
      <c r="AK965" s="668"/>
      <c r="AL965" s="668"/>
      <c r="AM965" s="668">
        <f t="shared" si="298"/>
        <v>0</v>
      </c>
      <c r="AN965" s="668">
        <f t="shared" si="282"/>
        <v>0</v>
      </c>
      <c r="AO965" s="668">
        <f t="shared" si="283"/>
        <v>0</v>
      </c>
      <c r="AP965" s="668">
        <f t="shared" si="299"/>
        <v>0</v>
      </c>
      <c r="AQ965" s="668">
        <f t="shared" si="284"/>
        <v>0</v>
      </c>
      <c r="AR965" s="668">
        <f t="shared" si="285"/>
        <v>0</v>
      </c>
      <c r="AS965" s="668"/>
      <c r="AT965" s="668"/>
      <c r="AU965" s="668"/>
      <c r="AV965" s="668"/>
      <c r="AW965" s="668"/>
      <c r="AX965" s="668"/>
      <c r="AY965" s="668"/>
      <c r="AZ965" s="668"/>
      <c r="BA965" s="668"/>
      <c r="BB965" s="668">
        <f t="shared" si="300"/>
        <v>0</v>
      </c>
      <c r="BC965" s="668"/>
      <c r="BD965" s="668"/>
      <c r="BE965" s="668"/>
      <c r="BF965" s="668"/>
      <c r="BG965" s="668"/>
      <c r="BH965" s="668"/>
      <c r="BI965" s="668"/>
    </row>
    <row r="966" spans="1:61" x14ac:dyDescent="0.2">
      <c r="A966" s="1021">
        <v>5001</v>
      </c>
      <c r="B966" s="1021" t="s">
        <v>820</v>
      </c>
      <c r="C966" s="1021"/>
      <c r="D966" s="667">
        <v>300</v>
      </c>
      <c r="E966" s="667"/>
      <c r="F966" s="667"/>
      <c r="G966" s="667"/>
      <c r="H966" s="667"/>
      <c r="I966" s="667"/>
      <c r="J966" s="667"/>
      <c r="K966" s="667"/>
      <c r="L966" s="667"/>
      <c r="M966" s="667"/>
      <c r="N966" s="667"/>
      <c r="O966" s="667"/>
      <c r="P966" s="667"/>
      <c r="Q966" s="667"/>
      <c r="R966" s="667"/>
      <c r="S966" s="667"/>
      <c r="T966" s="667"/>
      <c r="U966" s="1021">
        <v>11</v>
      </c>
      <c r="V966" s="668">
        <f t="shared" si="287"/>
        <v>3300</v>
      </c>
      <c r="W966" s="668">
        <f t="shared" si="288"/>
        <v>0</v>
      </c>
      <c r="X966" s="668">
        <f t="shared" si="289"/>
        <v>0</v>
      </c>
      <c r="Y966" s="668">
        <f t="shared" si="290"/>
        <v>0</v>
      </c>
      <c r="Z966" s="668">
        <f t="shared" si="291"/>
        <v>0</v>
      </c>
      <c r="AA966" s="668">
        <f t="shared" si="292"/>
        <v>0</v>
      </c>
      <c r="AB966" s="668">
        <f t="shared" si="293"/>
        <v>0</v>
      </c>
      <c r="AC966" s="668">
        <f t="shared" si="286"/>
        <v>0</v>
      </c>
      <c r="AD966" s="668">
        <f t="shared" si="294"/>
        <v>0</v>
      </c>
      <c r="AE966" s="668">
        <f t="shared" si="295"/>
        <v>0</v>
      </c>
      <c r="AF966" s="668">
        <f t="shared" si="296"/>
        <v>0</v>
      </c>
      <c r="AG966" s="668">
        <f t="shared" si="297"/>
        <v>0</v>
      </c>
      <c r="AH966" s="668"/>
      <c r="AI966" s="668"/>
      <c r="AJ966" s="668"/>
      <c r="AK966" s="668"/>
      <c r="AL966" s="668"/>
      <c r="AM966" s="668">
        <f t="shared" si="298"/>
        <v>0</v>
      </c>
      <c r="AN966" s="668">
        <f t="shared" si="282"/>
        <v>0</v>
      </c>
      <c r="AO966" s="668">
        <f t="shared" si="283"/>
        <v>0</v>
      </c>
      <c r="AP966" s="668">
        <f t="shared" si="299"/>
        <v>0</v>
      </c>
      <c r="AQ966" s="668">
        <f t="shared" si="284"/>
        <v>0</v>
      </c>
      <c r="AR966" s="668">
        <f t="shared" si="285"/>
        <v>0</v>
      </c>
      <c r="AS966" s="668"/>
      <c r="AT966" s="668"/>
      <c r="AU966" s="668"/>
      <c r="AV966" s="668"/>
      <c r="AW966" s="668"/>
      <c r="AX966" s="668"/>
      <c r="AY966" s="668"/>
      <c r="AZ966" s="668"/>
      <c r="BA966" s="668"/>
      <c r="BB966" s="668">
        <f t="shared" si="300"/>
        <v>0</v>
      </c>
      <c r="BC966" s="668"/>
      <c r="BD966" s="668"/>
      <c r="BE966" s="668"/>
      <c r="BF966" s="668"/>
      <c r="BG966" s="668"/>
      <c r="BH966" s="668"/>
      <c r="BI966" s="668"/>
    </row>
    <row r="967" spans="1:61" x14ac:dyDescent="0.2">
      <c r="A967" s="1021" t="s">
        <v>812</v>
      </c>
      <c r="B967" s="1021" t="s">
        <v>533</v>
      </c>
      <c r="C967" s="1021"/>
      <c r="D967" s="667"/>
      <c r="E967" s="667"/>
      <c r="F967" s="667"/>
      <c r="G967" s="667"/>
      <c r="H967" s="667"/>
      <c r="I967" s="667"/>
      <c r="J967" s="667"/>
      <c r="K967" s="667"/>
      <c r="L967" s="667"/>
      <c r="M967" s="667"/>
      <c r="N967" s="667"/>
      <c r="O967" s="667"/>
      <c r="P967" s="667"/>
      <c r="Q967" s="667"/>
      <c r="R967" s="667"/>
      <c r="S967" s="667"/>
      <c r="T967" s="667"/>
      <c r="U967" s="1021"/>
      <c r="V967" s="668">
        <f t="shared" si="287"/>
        <v>0</v>
      </c>
      <c r="W967" s="668">
        <f t="shared" si="288"/>
        <v>0</v>
      </c>
      <c r="X967" s="668">
        <f t="shared" si="289"/>
        <v>0</v>
      </c>
      <c r="Y967" s="668">
        <f t="shared" si="290"/>
        <v>0</v>
      </c>
      <c r="Z967" s="668">
        <f t="shared" si="291"/>
        <v>0</v>
      </c>
      <c r="AA967" s="668">
        <f t="shared" si="292"/>
        <v>0</v>
      </c>
      <c r="AB967" s="668">
        <f t="shared" si="293"/>
        <v>0</v>
      </c>
      <c r="AC967" s="668">
        <f t="shared" si="286"/>
        <v>0</v>
      </c>
      <c r="AD967" s="668">
        <f t="shared" si="294"/>
        <v>0</v>
      </c>
      <c r="AE967" s="668">
        <f t="shared" si="295"/>
        <v>0</v>
      </c>
      <c r="AF967" s="668">
        <f t="shared" si="296"/>
        <v>0</v>
      </c>
      <c r="AG967" s="668">
        <f t="shared" si="297"/>
        <v>0</v>
      </c>
      <c r="AH967" s="668"/>
      <c r="AI967" s="668"/>
      <c r="AJ967" s="668"/>
      <c r="AK967" s="668"/>
      <c r="AL967" s="668"/>
      <c r="AM967" s="668">
        <f t="shared" si="298"/>
        <v>0</v>
      </c>
      <c r="AN967" s="668">
        <f t="shared" si="282"/>
        <v>0</v>
      </c>
      <c r="AO967" s="668">
        <f t="shared" si="283"/>
        <v>0</v>
      </c>
      <c r="AP967" s="668">
        <f t="shared" si="299"/>
        <v>0</v>
      </c>
      <c r="AQ967" s="668">
        <f t="shared" si="284"/>
        <v>0</v>
      </c>
      <c r="AR967" s="668">
        <f t="shared" si="285"/>
        <v>0</v>
      </c>
      <c r="AS967" s="668"/>
      <c r="AT967" s="668"/>
      <c r="AU967" s="668"/>
      <c r="AV967" s="668"/>
      <c r="AW967" s="668"/>
      <c r="AX967" s="668"/>
      <c r="AY967" s="668"/>
      <c r="AZ967" s="668"/>
      <c r="BA967" s="668"/>
      <c r="BB967" s="668">
        <f t="shared" si="300"/>
        <v>0</v>
      </c>
      <c r="BC967" s="668"/>
      <c r="BD967" s="668"/>
      <c r="BE967" s="668"/>
      <c r="BF967" s="668"/>
      <c r="BG967" s="668"/>
      <c r="BH967" s="668"/>
      <c r="BI967" s="668"/>
    </row>
    <row r="968" spans="1:61" x14ac:dyDescent="0.2">
      <c r="A968" s="1021" t="s">
        <v>813</v>
      </c>
      <c r="B968" s="1021" t="s">
        <v>543</v>
      </c>
      <c r="C968" s="1021"/>
      <c r="D968" s="667"/>
      <c r="E968" s="667"/>
      <c r="F968" s="667"/>
      <c r="G968" s="667"/>
      <c r="H968" s="667"/>
      <c r="I968" s="667"/>
      <c r="J968" s="667"/>
      <c r="K968" s="667"/>
      <c r="L968" s="667"/>
      <c r="M968" s="667"/>
      <c r="N968" s="667"/>
      <c r="O968" s="667"/>
      <c r="P968" s="667"/>
      <c r="Q968" s="667"/>
      <c r="R968" s="667"/>
      <c r="S968" s="667"/>
      <c r="T968" s="667"/>
      <c r="U968" s="1021"/>
      <c r="V968" s="668">
        <f t="shared" si="287"/>
        <v>0</v>
      </c>
      <c r="W968" s="668">
        <f t="shared" si="288"/>
        <v>0</v>
      </c>
      <c r="X968" s="668">
        <f t="shared" si="289"/>
        <v>0</v>
      </c>
      <c r="Y968" s="668">
        <f t="shared" si="290"/>
        <v>0</v>
      </c>
      <c r="Z968" s="668">
        <f t="shared" si="291"/>
        <v>0</v>
      </c>
      <c r="AA968" s="668">
        <f t="shared" si="292"/>
        <v>0</v>
      </c>
      <c r="AB968" s="668">
        <f t="shared" si="293"/>
        <v>0</v>
      </c>
      <c r="AC968" s="668">
        <f t="shared" si="286"/>
        <v>0</v>
      </c>
      <c r="AD968" s="668">
        <f t="shared" si="294"/>
        <v>0</v>
      </c>
      <c r="AE968" s="668">
        <f t="shared" si="295"/>
        <v>0</v>
      </c>
      <c r="AF968" s="668">
        <f t="shared" si="296"/>
        <v>0</v>
      </c>
      <c r="AG968" s="668">
        <f t="shared" si="297"/>
        <v>0</v>
      </c>
      <c r="AH968" s="668"/>
      <c r="AI968" s="668"/>
      <c r="AJ968" s="668"/>
      <c r="AK968" s="668"/>
      <c r="AL968" s="668"/>
      <c r="AM968" s="668">
        <f t="shared" si="298"/>
        <v>0</v>
      </c>
      <c r="AN968" s="668">
        <f t="shared" ref="AN968:AN1033" si="301">+U968*E968</f>
        <v>0</v>
      </c>
      <c r="AO968" s="668">
        <f t="shared" ref="AO968:AO1033" si="302">+U968*O968</f>
        <v>0</v>
      </c>
      <c r="AP968" s="668">
        <f t="shared" si="299"/>
        <v>0</v>
      </c>
      <c r="AQ968" s="668">
        <f t="shared" ref="AQ968:AQ1031" si="303">+$AQ$4*K968</f>
        <v>0</v>
      </c>
      <c r="AR968" s="668">
        <f t="shared" ref="AR968:AR1031" si="304">+$AR$4*K968</f>
        <v>0</v>
      </c>
      <c r="AS968" s="668"/>
      <c r="AT968" s="668"/>
      <c r="AU968" s="668"/>
      <c r="AV968" s="668"/>
      <c r="AW968" s="668"/>
      <c r="AX968" s="668"/>
      <c r="AY968" s="668"/>
      <c r="AZ968" s="668"/>
      <c r="BA968" s="668"/>
      <c r="BB968" s="668">
        <f t="shared" si="300"/>
        <v>0</v>
      </c>
      <c r="BC968" s="668"/>
      <c r="BD968" s="668"/>
      <c r="BE968" s="668"/>
      <c r="BF968" s="668"/>
      <c r="BG968" s="668"/>
      <c r="BH968" s="668"/>
      <c r="BI968" s="668"/>
    </row>
    <row r="969" spans="1:61" x14ac:dyDescent="0.2">
      <c r="A969" s="1021" t="s">
        <v>814</v>
      </c>
      <c r="B969" s="1021" t="s">
        <v>466</v>
      </c>
      <c r="C969" s="1021"/>
      <c r="D969" s="667">
        <v>28</v>
      </c>
      <c r="E969" s="667"/>
      <c r="F969" s="667"/>
      <c r="G969" s="667"/>
      <c r="H969" s="667"/>
      <c r="I969" s="667"/>
      <c r="J969" s="667"/>
      <c r="K969" s="667"/>
      <c r="L969" s="667"/>
      <c r="M969" s="667"/>
      <c r="N969" s="667"/>
      <c r="O969" s="667"/>
      <c r="P969" s="667"/>
      <c r="Q969" s="667"/>
      <c r="R969" s="667"/>
      <c r="S969" s="667"/>
      <c r="T969" s="667"/>
      <c r="U969" s="1033">
        <v>3</v>
      </c>
      <c r="V969" s="668">
        <f t="shared" si="287"/>
        <v>84</v>
      </c>
      <c r="W969" s="668">
        <f t="shared" si="288"/>
        <v>0</v>
      </c>
      <c r="X969" s="668">
        <f t="shared" si="289"/>
        <v>0</v>
      </c>
      <c r="Y969" s="668">
        <f t="shared" si="290"/>
        <v>0</v>
      </c>
      <c r="Z969" s="668">
        <f t="shared" si="291"/>
        <v>0</v>
      </c>
      <c r="AA969" s="668">
        <f t="shared" si="292"/>
        <v>0</v>
      </c>
      <c r="AB969" s="668">
        <f t="shared" si="293"/>
        <v>0</v>
      </c>
      <c r="AC969" s="668">
        <f t="shared" si="286"/>
        <v>0</v>
      </c>
      <c r="AD969" s="668">
        <f t="shared" si="294"/>
        <v>0</v>
      </c>
      <c r="AE969" s="668">
        <f t="shared" si="295"/>
        <v>0</v>
      </c>
      <c r="AF969" s="668">
        <f t="shared" si="296"/>
        <v>0</v>
      </c>
      <c r="AG969" s="668">
        <f t="shared" si="297"/>
        <v>0</v>
      </c>
      <c r="AH969" s="668"/>
      <c r="AI969" s="668"/>
      <c r="AJ969" s="668"/>
      <c r="AK969" s="668"/>
      <c r="AL969" s="668"/>
      <c r="AM969" s="668">
        <f t="shared" si="298"/>
        <v>0</v>
      </c>
      <c r="AN969" s="668">
        <f t="shared" si="301"/>
        <v>0</v>
      </c>
      <c r="AO969" s="668">
        <f t="shared" si="302"/>
        <v>0</v>
      </c>
      <c r="AP969" s="668">
        <f t="shared" si="299"/>
        <v>0</v>
      </c>
      <c r="AQ969" s="668">
        <f t="shared" si="303"/>
        <v>0</v>
      </c>
      <c r="AR969" s="668">
        <f t="shared" si="304"/>
        <v>0</v>
      </c>
      <c r="AS969" s="668"/>
      <c r="AT969" s="668"/>
      <c r="AU969" s="668"/>
      <c r="AV969" s="668"/>
      <c r="AW969" s="668"/>
      <c r="AX969" s="668"/>
      <c r="AY969" s="668"/>
      <c r="AZ969" s="668"/>
      <c r="BA969" s="668"/>
      <c r="BB969" s="668">
        <f t="shared" si="300"/>
        <v>0</v>
      </c>
      <c r="BC969" s="668"/>
      <c r="BD969" s="668"/>
      <c r="BE969" s="668"/>
      <c r="BF969" s="668"/>
      <c r="BG969" s="668"/>
      <c r="BH969" s="668"/>
      <c r="BI969" s="668"/>
    </row>
    <row r="970" spans="1:61" x14ac:dyDescent="0.2">
      <c r="A970" s="1021" t="s">
        <v>815</v>
      </c>
      <c r="B970" s="1021" t="s">
        <v>466</v>
      </c>
      <c r="C970" s="1021"/>
      <c r="D970" s="667">
        <v>28</v>
      </c>
      <c r="E970" s="667"/>
      <c r="F970" s="667"/>
      <c r="G970" s="667"/>
      <c r="H970" s="667"/>
      <c r="I970" s="667"/>
      <c r="J970" s="667"/>
      <c r="K970" s="667"/>
      <c r="L970" s="667"/>
      <c r="M970" s="667"/>
      <c r="N970" s="667"/>
      <c r="O970" s="667"/>
      <c r="P970" s="667"/>
      <c r="Q970" s="667"/>
      <c r="R970" s="667"/>
      <c r="S970" s="667"/>
      <c r="T970" s="667"/>
      <c r="U970" s="1033">
        <v>3</v>
      </c>
      <c r="V970" s="668">
        <f t="shared" si="287"/>
        <v>84</v>
      </c>
      <c r="W970" s="668">
        <f t="shared" si="288"/>
        <v>0</v>
      </c>
      <c r="X970" s="668">
        <f t="shared" si="289"/>
        <v>0</v>
      </c>
      <c r="Y970" s="668">
        <f t="shared" si="290"/>
        <v>0</v>
      </c>
      <c r="Z970" s="668">
        <f t="shared" si="291"/>
        <v>0</v>
      </c>
      <c r="AA970" s="668">
        <f t="shared" si="292"/>
        <v>0</v>
      </c>
      <c r="AB970" s="668">
        <f t="shared" si="293"/>
        <v>0</v>
      </c>
      <c r="AC970" s="668">
        <f t="shared" ref="AC970:AC1035" si="305">+U970*P970</f>
        <v>0</v>
      </c>
      <c r="AD970" s="668">
        <f t="shared" si="294"/>
        <v>0</v>
      </c>
      <c r="AE970" s="668">
        <f t="shared" si="295"/>
        <v>0</v>
      </c>
      <c r="AF970" s="668">
        <f t="shared" si="296"/>
        <v>0</v>
      </c>
      <c r="AG970" s="668">
        <f t="shared" si="297"/>
        <v>0</v>
      </c>
      <c r="AH970" s="668"/>
      <c r="AI970" s="668"/>
      <c r="AJ970" s="668"/>
      <c r="AK970" s="668"/>
      <c r="AL970" s="668"/>
      <c r="AM970" s="668">
        <f t="shared" si="298"/>
        <v>0</v>
      </c>
      <c r="AN970" s="668">
        <f t="shared" si="301"/>
        <v>0</v>
      </c>
      <c r="AO970" s="668">
        <f t="shared" si="302"/>
        <v>0</v>
      </c>
      <c r="AP970" s="668">
        <f t="shared" si="299"/>
        <v>0</v>
      </c>
      <c r="AQ970" s="668">
        <f t="shared" si="303"/>
        <v>0</v>
      </c>
      <c r="AR970" s="668">
        <f t="shared" si="304"/>
        <v>0</v>
      </c>
      <c r="AS970" s="668"/>
      <c r="AT970" s="668"/>
      <c r="AU970" s="668"/>
      <c r="AV970" s="668"/>
      <c r="AW970" s="668"/>
      <c r="AX970" s="668"/>
      <c r="AY970" s="668"/>
      <c r="AZ970" s="668"/>
      <c r="BA970" s="668"/>
      <c r="BB970" s="668">
        <f t="shared" si="300"/>
        <v>0</v>
      </c>
      <c r="BC970" s="668"/>
      <c r="BD970" s="668"/>
      <c r="BE970" s="668"/>
      <c r="BF970" s="668"/>
      <c r="BG970" s="668"/>
      <c r="BH970" s="668"/>
      <c r="BI970" s="668"/>
    </row>
    <row r="971" spans="1:61" x14ac:dyDescent="0.2">
      <c r="A971" s="1021" t="s">
        <v>816</v>
      </c>
      <c r="B971" s="1021" t="s">
        <v>467</v>
      </c>
      <c r="C971" s="1021"/>
      <c r="D971" s="667">
        <v>28</v>
      </c>
      <c r="E971" s="667"/>
      <c r="F971" s="667"/>
      <c r="G971" s="667"/>
      <c r="H971" s="667"/>
      <c r="I971" s="667"/>
      <c r="J971" s="667"/>
      <c r="K971" s="667"/>
      <c r="L971" s="667"/>
      <c r="M971" s="667"/>
      <c r="N971" s="667"/>
      <c r="O971" s="667"/>
      <c r="P971" s="667"/>
      <c r="Q971" s="667"/>
      <c r="R971" s="667"/>
      <c r="S971" s="667"/>
      <c r="T971" s="667"/>
      <c r="U971" s="1033">
        <v>3</v>
      </c>
      <c r="V971" s="668">
        <f t="shared" si="287"/>
        <v>84</v>
      </c>
      <c r="W971" s="668">
        <f t="shared" si="288"/>
        <v>0</v>
      </c>
      <c r="X971" s="668">
        <f t="shared" si="289"/>
        <v>0</v>
      </c>
      <c r="Y971" s="668">
        <f t="shared" si="290"/>
        <v>0</v>
      </c>
      <c r="Z971" s="668">
        <f t="shared" si="291"/>
        <v>0</v>
      </c>
      <c r="AA971" s="668">
        <f t="shared" si="292"/>
        <v>0</v>
      </c>
      <c r="AB971" s="668">
        <f t="shared" si="293"/>
        <v>0</v>
      </c>
      <c r="AC971" s="668">
        <f t="shared" si="305"/>
        <v>0</v>
      </c>
      <c r="AD971" s="668">
        <f t="shared" si="294"/>
        <v>0</v>
      </c>
      <c r="AE971" s="668">
        <f t="shared" si="295"/>
        <v>0</v>
      </c>
      <c r="AF971" s="668">
        <f t="shared" si="296"/>
        <v>0</v>
      </c>
      <c r="AG971" s="668">
        <f t="shared" si="297"/>
        <v>0</v>
      </c>
      <c r="AH971" s="668"/>
      <c r="AI971" s="668"/>
      <c r="AJ971" s="668"/>
      <c r="AK971" s="668"/>
      <c r="AL971" s="668"/>
      <c r="AM971" s="668">
        <f t="shared" si="298"/>
        <v>0</v>
      </c>
      <c r="AN971" s="668">
        <f t="shared" si="301"/>
        <v>0</v>
      </c>
      <c r="AO971" s="668">
        <f t="shared" si="302"/>
        <v>0</v>
      </c>
      <c r="AP971" s="668">
        <f t="shared" si="299"/>
        <v>0</v>
      </c>
      <c r="AQ971" s="668">
        <f t="shared" si="303"/>
        <v>0</v>
      </c>
      <c r="AR971" s="668">
        <f t="shared" si="304"/>
        <v>0</v>
      </c>
      <c r="AS971" s="668"/>
      <c r="AT971" s="668"/>
      <c r="AU971" s="668"/>
      <c r="AV971" s="668"/>
      <c r="AW971" s="668"/>
      <c r="AX971" s="668"/>
      <c r="AY971" s="668"/>
      <c r="AZ971" s="668"/>
      <c r="BA971" s="668"/>
      <c r="BB971" s="668">
        <f t="shared" si="300"/>
        <v>0</v>
      </c>
      <c r="BC971" s="668"/>
      <c r="BD971" s="668"/>
      <c r="BE971" s="668"/>
      <c r="BF971" s="668"/>
      <c r="BG971" s="668"/>
      <c r="BH971" s="668"/>
      <c r="BI971" s="668"/>
    </row>
    <row r="972" spans="1:61" x14ac:dyDescent="0.2">
      <c r="A972" s="1021" t="s">
        <v>817</v>
      </c>
      <c r="B972" s="1021" t="s">
        <v>467</v>
      </c>
      <c r="C972" s="1021"/>
      <c r="D972" s="667">
        <v>28</v>
      </c>
      <c r="E972" s="667"/>
      <c r="F972" s="667"/>
      <c r="G972" s="667"/>
      <c r="H972" s="667"/>
      <c r="I972" s="667"/>
      <c r="J972" s="667"/>
      <c r="K972" s="667"/>
      <c r="L972" s="667"/>
      <c r="M972" s="667"/>
      <c r="N972" s="667"/>
      <c r="O972" s="667"/>
      <c r="P972" s="667"/>
      <c r="Q972" s="667"/>
      <c r="R972" s="667"/>
      <c r="S972" s="667"/>
      <c r="T972" s="667"/>
      <c r="U972" s="1033">
        <v>3</v>
      </c>
      <c r="V972" s="668">
        <f t="shared" si="287"/>
        <v>84</v>
      </c>
      <c r="W972" s="668">
        <f t="shared" si="288"/>
        <v>0</v>
      </c>
      <c r="X972" s="668">
        <f t="shared" si="289"/>
        <v>0</v>
      </c>
      <c r="Y972" s="668">
        <f t="shared" si="290"/>
        <v>0</v>
      </c>
      <c r="Z972" s="668">
        <f t="shared" si="291"/>
        <v>0</v>
      </c>
      <c r="AA972" s="668">
        <f t="shared" si="292"/>
        <v>0</v>
      </c>
      <c r="AB972" s="668">
        <f t="shared" si="293"/>
        <v>0</v>
      </c>
      <c r="AC972" s="668">
        <f t="shared" si="305"/>
        <v>0</v>
      </c>
      <c r="AD972" s="668">
        <f t="shared" si="294"/>
        <v>0</v>
      </c>
      <c r="AE972" s="668">
        <f t="shared" si="295"/>
        <v>0</v>
      </c>
      <c r="AF972" s="668">
        <f t="shared" si="296"/>
        <v>0</v>
      </c>
      <c r="AG972" s="668">
        <f t="shared" si="297"/>
        <v>0</v>
      </c>
      <c r="AH972" s="668"/>
      <c r="AI972" s="668"/>
      <c r="AJ972" s="668"/>
      <c r="AK972" s="668"/>
      <c r="AL972" s="668"/>
      <c r="AM972" s="668">
        <f t="shared" si="298"/>
        <v>0</v>
      </c>
      <c r="AN972" s="668">
        <f t="shared" si="301"/>
        <v>0</v>
      </c>
      <c r="AO972" s="668">
        <f t="shared" si="302"/>
        <v>0</v>
      </c>
      <c r="AP972" s="668">
        <f t="shared" si="299"/>
        <v>0</v>
      </c>
      <c r="AQ972" s="668">
        <f t="shared" si="303"/>
        <v>0</v>
      </c>
      <c r="AR972" s="668">
        <f t="shared" si="304"/>
        <v>0</v>
      </c>
      <c r="AS972" s="668"/>
      <c r="AT972" s="668"/>
      <c r="AU972" s="668"/>
      <c r="AV972" s="668"/>
      <c r="AW972" s="668"/>
      <c r="AX972" s="668"/>
      <c r="AY972" s="668"/>
      <c r="AZ972" s="668"/>
      <c r="BA972" s="668"/>
      <c r="BB972" s="668">
        <f t="shared" si="300"/>
        <v>0</v>
      </c>
      <c r="BC972" s="668"/>
      <c r="BD972" s="668"/>
      <c r="BE972" s="668"/>
      <c r="BF972" s="668"/>
      <c r="BG972" s="668"/>
      <c r="BH972" s="668"/>
      <c r="BI972" s="668"/>
    </row>
    <row r="973" spans="1:61" x14ac:dyDescent="0.2">
      <c r="A973" s="1021">
        <v>5006</v>
      </c>
      <c r="B973" s="1021" t="s">
        <v>534</v>
      </c>
      <c r="C973" s="1021"/>
      <c r="D973" s="667"/>
      <c r="E973" s="667"/>
      <c r="F973" s="667"/>
      <c r="G973" s="667"/>
      <c r="H973" s="667"/>
      <c r="I973" s="667"/>
      <c r="J973" s="667"/>
      <c r="K973" s="667"/>
      <c r="L973" s="667"/>
      <c r="M973" s="667"/>
      <c r="N973" s="667"/>
      <c r="O973" s="667"/>
      <c r="P973" s="667"/>
      <c r="Q973" s="667"/>
      <c r="R973" s="667"/>
      <c r="S973" s="667"/>
      <c r="T973" s="667"/>
      <c r="U973" s="1021"/>
      <c r="V973" s="668">
        <f t="shared" si="287"/>
        <v>0</v>
      </c>
      <c r="W973" s="668">
        <f t="shared" si="288"/>
        <v>0</v>
      </c>
      <c r="X973" s="668">
        <f t="shared" si="289"/>
        <v>0</v>
      </c>
      <c r="Y973" s="668">
        <f t="shared" si="290"/>
        <v>0</v>
      </c>
      <c r="Z973" s="668">
        <f t="shared" si="291"/>
        <v>0</v>
      </c>
      <c r="AA973" s="668">
        <f t="shared" si="292"/>
        <v>0</v>
      </c>
      <c r="AB973" s="668">
        <f t="shared" si="293"/>
        <v>0</v>
      </c>
      <c r="AC973" s="668">
        <f t="shared" si="305"/>
        <v>0</v>
      </c>
      <c r="AD973" s="668">
        <f t="shared" si="294"/>
        <v>0</v>
      </c>
      <c r="AE973" s="668">
        <f t="shared" si="295"/>
        <v>0</v>
      </c>
      <c r="AF973" s="668">
        <f t="shared" si="296"/>
        <v>0</v>
      </c>
      <c r="AG973" s="668">
        <f t="shared" si="297"/>
        <v>0</v>
      </c>
      <c r="AH973" s="668"/>
      <c r="AI973" s="668"/>
      <c r="AJ973" s="668"/>
      <c r="AK973" s="668"/>
      <c r="AL973" s="668"/>
      <c r="AM973" s="668">
        <f t="shared" si="298"/>
        <v>0</v>
      </c>
      <c r="AN973" s="668">
        <f t="shared" si="301"/>
        <v>0</v>
      </c>
      <c r="AO973" s="668">
        <f t="shared" si="302"/>
        <v>0</v>
      </c>
      <c r="AP973" s="668">
        <f t="shared" si="299"/>
        <v>0</v>
      </c>
      <c r="AQ973" s="668">
        <f t="shared" si="303"/>
        <v>0</v>
      </c>
      <c r="AR973" s="668">
        <f t="shared" si="304"/>
        <v>0</v>
      </c>
      <c r="AS973" s="668"/>
      <c r="AT973" s="668"/>
      <c r="AU973" s="668"/>
      <c r="AV973" s="668"/>
      <c r="AW973" s="668"/>
      <c r="AX973" s="668"/>
      <c r="AY973" s="668"/>
      <c r="AZ973" s="668"/>
      <c r="BA973" s="668"/>
      <c r="BB973" s="668">
        <f t="shared" si="300"/>
        <v>0</v>
      </c>
      <c r="BC973" s="668"/>
      <c r="BD973" s="668"/>
      <c r="BE973" s="668"/>
      <c r="BF973" s="668"/>
      <c r="BG973" s="668"/>
      <c r="BH973" s="668"/>
      <c r="BI973" s="668"/>
    </row>
    <row r="974" spans="1:61" x14ac:dyDescent="0.2">
      <c r="A974" s="1033">
        <v>5007</v>
      </c>
      <c r="B974" s="1033" t="s">
        <v>465</v>
      </c>
      <c r="C974" s="1033" t="s">
        <v>984</v>
      </c>
      <c r="D974" s="667">
        <v>34</v>
      </c>
      <c r="E974" s="667">
        <v>26</v>
      </c>
      <c r="F974" s="667"/>
      <c r="G974" s="667"/>
      <c r="H974" s="667"/>
      <c r="I974" s="667"/>
      <c r="J974" s="667"/>
      <c r="K974" s="667"/>
      <c r="L974" s="667"/>
      <c r="M974" s="667"/>
      <c r="N974" s="667"/>
      <c r="O974" s="667"/>
      <c r="P974" s="667"/>
      <c r="Q974" s="667"/>
      <c r="R974" s="667"/>
      <c r="S974" s="667"/>
      <c r="T974" s="667"/>
      <c r="U974" s="1033">
        <v>10</v>
      </c>
      <c r="V974" s="668">
        <f t="shared" ref="V974" si="306">+U974*D974</f>
        <v>340</v>
      </c>
      <c r="W974" s="668">
        <f t="shared" ref="W974" si="307">+U974*G974</f>
        <v>0</v>
      </c>
      <c r="X974" s="668">
        <f t="shared" ref="X974" si="308">+U974*H974</f>
        <v>0</v>
      </c>
      <c r="Y974" s="668">
        <f t="shared" ref="Y974" si="309">+U974*J974</f>
        <v>0</v>
      </c>
      <c r="Z974" s="668">
        <f t="shared" ref="Z974" si="310">IF(C974="y",V974+W974+X974+Y974,0)</f>
        <v>340</v>
      </c>
      <c r="AA974" s="668">
        <f t="shared" ref="AA974" si="311">+S974</f>
        <v>0</v>
      </c>
      <c r="AB974" s="668">
        <f t="shared" ref="AB974" si="312">+T974</f>
        <v>0</v>
      </c>
      <c r="AC974" s="668">
        <f t="shared" ref="AC974" si="313">+U974*P974</f>
        <v>0</v>
      </c>
      <c r="AD974" s="668">
        <f t="shared" ref="AD974" si="314">+Q974</f>
        <v>0</v>
      </c>
      <c r="AE974" s="668">
        <f t="shared" ref="AE974" si="315">+U974*M974</f>
        <v>0</v>
      </c>
      <c r="AF974" s="668">
        <f t="shared" ref="AF974" si="316">+L974*U974</f>
        <v>0</v>
      </c>
      <c r="AG974" s="668">
        <f t="shared" ref="AG974" si="317">+$AG$4*N974</f>
        <v>0</v>
      </c>
      <c r="AH974" s="668"/>
      <c r="AI974" s="668"/>
      <c r="AJ974" s="668"/>
      <c r="AK974" s="668"/>
      <c r="AL974" s="668"/>
      <c r="AM974" s="668">
        <f t="shared" ref="AM974" si="318">+I974</f>
        <v>0</v>
      </c>
      <c r="AN974" s="668">
        <f t="shared" ref="AN974" si="319">+U974*E974</f>
        <v>260</v>
      </c>
      <c r="AO974" s="668">
        <f t="shared" ref="AO974" si="320">+U974*O974</f>
        <v>0</v>
      </c>
      <c r="AP974" s="668">
        <f t="shared" ref="AP974" si="321">+U974*F974</f>
        <v>0</v>
      </c>
      <c r="AQ974" s="668">
        <f t="shared" si="303"/>
        <v>0</v>
      </c>
      <c r="AR974" s="668">
        <f t="shared" si="304"/>
        <v>0</v>
      </c>
      <c r="AS974" s="668"/>
      <c r="AT974" s="668"/>
      <c r="AU974" s="668"/>
      <c r="AV974" s="668"/>
      <c r="AW974" s="668"/>
      <c r="AX974" s="668"/>
      <c r="AY974" s="668"/>
      <c r="AZ974" s="668"/>
      <c r="BA974" s="668"/>
      <c r="BB974" s="668">
        <f t="shared" si="300"/>
        <v>0</v>
      </c>
      <c r="BC974" s="668"/>
      <c r="BD974" s="668"/>
      <c r="BE974" s="668"/>
      <c r="BF974" s="668"/>
      <c r="BG974" s="668"/>
      <c r="BH974" s="668"/>
      <c r="BI974" s="668"/>
    </row>
    <row r="975" spans="1:61" x14ac:dyDescent="0.2">
      <c r="A975" s="1021">
        <v>5008</v>
      </c>
      <c r="B975" s="1021" t="s">
        <v>476</v>
      </c>
      <c r="C975" s="1021"/>
      <c r="D975" s="667">
        <v>50</v>
      </c>
      <c r="E975" s="667"/>
      <c r="F975" s="667"/>
      <c r="G975" s="667"/>
      <c r="H975" s="667"/>
      <c r="I975" s="667"/>
      <c r="J975" s="667"/>
      <c r="K975" s="667"/>
      <c r="L975" s="667"/>
      <c r="M975" s="667"/>
      <c r="N975" s="667"/>
      <c r="O975" s="667"/>
      <c r="P975" s="667"/>
      <c r="Q975" s="667"/>
      <c r="R975" s="667"/>
      <c r="S975" s="667"/>
      <c r="T975" s="667"/>
      <c r="U975" s="1021">
        <v>12</v>
      </c>
      <c r="V975" s="668">
        <f t="shared" si="287"/>
        <v>600</v>
      </c>
      <c r="W975" s="668">
        <f t="shared" si="288"/>
        <v>0</v>
      </c>
      <c r="X975" s="668">
        <f t="shared" si="289"/>
        <v>0</v>
      </c>
      <c r="Y975" s="668">
        <f t="shared" si="290"/>
        <v>0</v>
      </c>
      <c r="Z975" s="668">
        <f t="shared" si="291"/>
        <v>0</v>
      </c>
      <c r="AA975" s="668">
        <f t="shared" si="292"/>
        <v>0</v>
      </c>
      <c r="AB975" s="668">
        <f t="shared" si="293"/>
        <v>0</v>
      </c>
      <c r="AC975" s="668">
        <f t="shared" si="305"/>
        <v>0</v>
      </c>
      <c r="AD975" s="668">
        <f t="shared" si="294"/>
        <v>0</v>
      </c>
      <c r="AE975" s="668">
        <f t="shared" si="295"/>
        <v>0</v>
      </c>
      <c r="AF975" s="668">
        <f t="shared" si="296"/>
        <v>0</v>
      </c>
      <c r="AG975" s="668">
        <f t="shared" si="297"/>
        <v>0</v>
      </c>
      <c r="AH975" s="668"/>
      <c r="AI975" s="668"/>
      <c r="AJ975" s="668"/>
      <c r="AK975" s="668"/>
      <c r="AL975" s="668"/>
      <c r="AM975" s="668">
        <f t="shared" si="298"/>
        <v>0</v>
      </c>
      <c r="AN975" s="668">
        <f t="shared" si="301"/>
        <v>0</v>
      </c>
      <c r="AO975" s="668">
        <f t="shared" si="302"/>
        <v>0</v>
      </c>
      <c r="AP975" s="668">
        <f t="shared" si="299"/>
        <v>0</v>
      </c>
      <c r="AQ975" s="668">
        <f t="shared" si="303"/>
        <v>0</v>
      </c>
      <c r="AR975" s="668">
        <f t="shared" si="304"/>
        <v>0</v>
      </c>
      <c r="AS975" s="668"/>
      <c r="AT975" s="668"/>
      <c r="AU975" s="668"/>
      <c r="AV975" s="668"/>
      <c r="AW975" s="668"/>
      <c r="AX975" s="668"/>
      <c r="AY975" s="668"/>
      <c r="AZ975" s="668"/>
      <c r="BA975" s="668"/>
      <c r="BB975" s="668">
        <f t="shared" si="300"/>
        <v>0</v>
      </c>
      <c r="BC975" s="668"/>
      <c r="BD975" s="668"/>
      <c r="BE975" s="668"/>
      <c r="BF975" s="668"/>
      <c r="BG975" s="668"/>
      <c r="BH975" s="668"/>
      <c r="BI975" s="668"/>
    </row>
    <row r="976" spans="1:61" x14ac:dyDescent="0.2">
      <c r="A976" s="1021">
        <v>5100</v>
      </c>
      <c r="B976" s="1021" t="s">
        <v>515</v>
      </c>
      <c r="C976" s="1021"/>
      <c r="D976" s="667">
        <v>260</v>
      </c>
      <c r="E976" s="667"/>
      <c r="F976" s="667"/>
      <c r="G976" s="667"/>
      <c r="H976" s="667"/>
      <c r="I976" s="667"/>
      <c r="J976" s="667"/>
      <c r="K976" s="667"/>
      <c r="L976" s="667"/>
      <c r="M976" s="667"/>
      <c r="N976" s="667"/>
      <c r="O976" s="667"/>
      <c r="P976" s="667"/>
      <c r="Q976" s="667"/>
      <c r="R976" s="667"/>
      <c r="S976" s="667"/>
      <c r="T976" s="667"/>
      <c r="U976" s="1021">
        <v>12</v>
      </c>
      <c r="V976" s="668">
        <f t="shared" si="287"/>
        <v>3120</v>
      </c>
      <c r="W976" s="668">
        <f t="shared" si="288"/>
        <v>0</v>
      </c>
      <c r="X976" s="668">
        <f t="shared" si="289"/>
        <v>0</v>
      </c>
      <c r="Y976" s="668">
        <f t="shared" si="290"/>
        <v>0</v>
      </c>
      <c r="Z976" s="668">
        <f t="shared" si="291"/>
        <v>0</v>
      </c>
      <c r="AA976" s="668">
        <f t="shared" si="292"/>
        <v>0</v>
      </c>
      <c r="AB976" s="668">
        <f t="shared" si="293"/>
        <v>0</v>
      </c>
      <c r="AC976" s="668">
        <f t="shared" si="305"/>
        <v>0</v>
      </c>
      <c r="AD976" s="668">
        <f t="shared" si="294"/>
        <v>0</v>
      </c>
      <c r="AE976" s="668">
        <f t="shared" si="295"/>
        <v>0</v>
      </c>
      <c r="AF976" s="668">
        <f t="shared" si="296"/>
        <v>0</v>
      </c>
      <c r="AG976" s="668">
        <f t="shared" si="297"/>
        <v>0</v>
      </c>
      <c r="AH976" s="668"/>
      <c r="AI976" s="668"/>
      <c r="AJ976" s="668"/>
      <c r="AK976" s="668"/>
      <c r="AL976" s="668"/>
      <c r="AM976" s="668">
        <f t="shared" si="298"/>
        <v>0</v>
      </c>
      <c r="AN976" s="668">
        <f t="shared" si="301"/>
        <v>0</v>
      </c>
      <c r="AO976" s="668">
        <f t="shared" si="302"/>
        <v>0</v>
      </c>
      <c r="AP976" s="668">
        <f t="shared" si="299"/>
        <v>0</v>
      </c>
      <c r="AQ976" s="668">
        <f t="shared" si="303"/>
        <v>0</v>
      </c>
      <c r="AR976" s="668">
        <f t="shared" si="304"/>
        <v>0</v>
      </c>
      <c r="AS976" s="668"/>
      <c r="AT976" s="668"/>
      <c r="AU976" s="668"/>
      <c r="AV976" s="668"/>
      <c r="AW976" s="668"/>
      <c r="AX976" s="668"/>
      <c r="AY976" s="668"/>
      <c r="AZ976" s="668"/>
      <c r="BA976" s="668"/>
      <c r="BB976" s="668">
        <f t="shared" si="300"/>
        <v>0</v>
      </c>
      <c r="BC976" s="668"/>
      <c r="BD976" s="668"/>
      <c r="BE976" s="668"/>
      <c r="BF976" s="668"/>
      <c r="BG976" s="668"/>
      <c r="BH976" s="668"/>
      <c r="BI976" s="668"/>
    </row>
    <row r="977" spans="1:61" x14ac:dyDescent="0.2">
      <c r="A977" s="1033">
        <v>5101</v>
      </c>
      <c r="B977" s="1033" t="s">
        <v>993</v>
      </c>
      <c r="C977" s="1033"/>
      <c r="D977" s="667">
        <v>28</v>
      </c>
      <c r="E977" s="667"/>
      <c r="F977" s="667"/>
      <c r="G977" s="667">
        <v>48</v>
      </c>
      <c r="H977" s="667"/>
      <c r="I977" s="667"/>
      <c r="J977" s="667"/>
      <c r="K977" s="667"/>
      <c r="L977" s="667"/>
      <c r="M977" s="667"/>
      <c r="N977" s="667"/>
      <c r="O977" s="667"/>
      <c r="P977" s="667"/>
      <c r="Q977" s="667"/>
      <c r="R977" s="667"/>
      <c r="S977" s="667"/>
      <c r="T977" s="667"/>
      <c r="U977" s="1033">
        <v>12</v>
      </c>
      <c r="V977" s="668">
        <f t="shared" ref="V977" si="322">+U977*D977</f>
        <v>336</v>
      </c>
      <c r="W977" s="668">
        <f t="shared" ref="W977" si="323">+U977*G977</f>
        <v>576</v>
      </c>
      <c r="X977" s="668">
        <f t="shared" ref="X977" si="324">+U977*H977</f>
        <v>0</v>
      </c>
      <c r="Y977" s="668">
        <f t="shared" ref="Y977" si="325">+U977*J977</f>
        <v>0</v>
      </c>
      <c r="Z977" s="668">
        <f t="shared" ref="Z977" si="326">IF(C977="y",V977+W977+X977+Y977,0)</f>
        <v>0</v>
      </c>
      <c r="AA977" s="668">
        <f t="shared" ref="AA977" si="327">+S977</f>
        <v>0</v>
      </c>
      <c r="AB977" s="668">
        <f t="shared" ref="AB977" si="328">+T977</f>
        <v>0</v>
      </c>
      <c r="AC977" s="668">
        <f t="shared" ref="AC977" si="329">+U977*P977</f>
        <v>0</v>
      </c>
      <c r="AD977" s="668">
        <f t="shared" ref="AD977" si="330">+Q977</f>
        <v>0</v>
      </c>
      <c r="AE977" s="668">
        <f t="shared" ref="AE977" si="331">+U977*M977</f>
        <v>0</v>
      </c>
      <c r="AF977" s="668">
        <f t="shared" ref="AF977" si="332">+L977*U977</f>
        <v>0</v>
      </c>
      <c r="AG977" s="668">
        <f t="shared" ref="AG977" si="333">+$AG$4*N977</f>
        <v>0</v>
      </c>
      <c r="AH977" s="668"/>
      <c r="AI977" s="668"/>
      <c r="AJ977" s="668"/>
      <c r="AK977" s="668"/>
      <c r="AL977" s="668"/>
      <c r="AM977" s="668"/>
      <c r="AN977" s="668"/>
      <c r="AO977" s="668"/>
      <c r="AP977" s="668"/>
      <c r="AQ977" s="668">
        <f t="shared" si="303"/>
        <v>0</v>
      </c>
      <c r="AR977" s="668">
        <f t="shared" si="304"/>
        <v>0</v>
      </c>
      <c r="AS977" s="668"/>
      <c r="AT977" s="668"/>
      <c r="AU977" s="668"/>
      <c r="AV977" s="668"/>
      <c r="AW977" s="668"/>
      <c r="AX977" s="668"/>
      <c r="AY977" s="668"/>
      <c r="AZ977" s="668"/>
      <c r="BA977" s="668"/>
      <c r="BB977" s="668">
        <f t="shared" si="300"/>
        <v>0</v>
      </c>
      <c r="BC977" s="668"/>
      <c r="BD977" s="668"/>
      <c r="BE977" s="668"/>
      <c r="BF977" s="668"/>
      <c r="BG977" s="668"/>
      <c r="BH977" s="668"/>
      <c r="BI977" s="668"/>
    </row>
    <row r="978" spans="1:61" x14ac:dyDescent="0.2">
      <c r="A978" s="1021">
        <v>5102</v>
      </c>
      <c r="B978" s="1021" t="s">
        <v>748</v>
      </c>
      <c r="C978" s="1021"/>
      <c r="D978" s="667">
        <v>50</v>
      </c>
      <c r="E978" s="667"/>
      <c r="F978" s="667"/>
      <c r="G978" s="667"/>
      <c r="H978" s="667"/>
      <c r="I978" s="667"/>
      <c r="J978" s="667"/>
      <c r="K978" s="667"/>
      <c r="L978" s="667"/>
      <c r="M978" s="667"/>
      <c r="N978" s="667"/>
      <c r="O978" s="667"/>
      <c r="P978" s="667"/>
      <c r="Q978" s="667"/>
      <c r="R978" s="667"/>
      <c r="S978" s="667"/>
      <c r="T978" s="667"/>
      <c r="U978" s="1021">
        <v>10</v>
      </c>
      <c r="V978" s="668">
        <f t="shared" si="287"/>
        <v>500</v>
      </c>
      <c r="W978" s="668">
        <f t="shared" si="288"/>
        <v>0</v>
      </c>
      <c r="X978" s="668">
        <f t="shared" si="289"/>
        <v>0</v>
      </c>
      <c r="Y978" s="668">
        <f t="shared" si="290"/>
        <v>0</v>
      </c>
      <c r="Z978" s="668">
        <f t="shared" si="291"/>
        <v>0</v>
      </c>
      <c r="AA978" s="668">
        <f t="shared" si="292"/>
        <v>0</v>
      </c>
      <c r="AB978" s="668">
        <f t="shared" si="293"/>
        <v>0</v>
      </c>
      <c r="AC978" s="668">
        <f t="shared" si="305"/>
        <v>0</v>
      </c>
      <c r="AD978" s="668">
        <f t="shared" si="294"/>
        <v>0</v>
      </c>
      <c r="AE978" s="668">
        <f t="shared" si="295"/>
        <v>0</v>
      </c>
      <c r="AF978" s="668">
        <f t="shared" si="296"/>
        <v>0</v>
      </c>
      <c r="AG978" s="668">
        <f t="shared" si="297"/>
        <v>0</v>
      </c>
      <c r="AH978" s="668"/>
      <c r="AI978" s="668"/>
      <c r="AJ978" s="668"/>
      <c r="AK978" s="668"/>
      <c r="AL978" s="668"/>
      <c r="AM978" s="668">
        <f t="shared" si="298"/>
        <v>0</v>
      </c>
      <c r="AN978" s="668">
        <f t="shared" si="301"/>
        <v>0</v>
      </c>
      <c r="AO978" s="668">
        <f t="shared" si="302"/>
        <v>0</v>
      </c>
      <c r="AP978" s="668">
        <f t="shared" si="299"/>
        <v>0</v>
      </c>
      <c r="AQ978" s="668">
        <f t="shared" si="303"/>
        <v>0</v>
      </c>
      <c r="AR978" s="668">
        <f t="shared" si="304"/>
        <v>0</v>
      </c>
      <c r="AS978" s="668"/>
      <c r="AT978" s="668"/>
      <c r="AU978" s="668"/>
      <c r="AV978" s="668"/>
      <c r="AW978" s="668"/>
      <c r="AX978" s="668"/>
      <c r="AY978" s="668"/>
      <c r="AZ978" s="668"/>
      <c r="BA978" s="668"/>
      <c r="BB978" s="668">
        <f t="shared" ref="BB978:BB1041" si="334">+AP978</f>
        <v>0</v>
      </c>
      <c r="BC978" s="668"/>
      <c r="BD978" s="668"/>
      <c r="BE978" s="668"/>
      <c r="BF978" s="668"/>
      <c r="BG978" s="668"/>
      <c r="BH978" s="668"/>
      <c r="BI978" s="668"/>
    </row>
    <row r="979" spans="1:61" x14ac:dyDescent="0.2">
      <c r="A979" s="1021" t="s">
        <v>818</v>
      </c>
      <c r="B979" s="1021" t="s">
        <v>821</v>
      </c>
      <c r="C979" s="1021"/>
      <c r="D979" s="667">
        <v>32</v>
      </c>
      <c r="E979" s="667"/>
      <c r="F979" s="667">
        <v>32</v>
      </c>
      <c r="G979" s="667"/>
      <c r="H979" s="667"/>
      <c r="I979" s="667"/>
      <c r="J979" s="667"/>
      <c r="K979" s="667"/>
      <c r="L979" s="667"/>
      <c r="M979" s="667"/>
      <c r="N979" s="667"/>
      <c r="O979" s="667"/>
      <c r="P979" s="667"/>
      <c r="Q979" s="667"/>
      <c r="R979" s="667"/>
      <c r="S979" s="667"/>
      <c r="T979" s="667"/>
      <c r="U979" s="1021">
        <v>10</v>
      </c>
      <c r="V979" s="668">
        <f t="shared" si="287"/>
        <v>320</v>
      </c>
      <c r="W979" s="668">
        <f t="shared" si="288"/>
        <v>0</v>
      </c>
      <c r="X979" s="668">
        <f t="shared" si="289"/>
        <v>0</v>
      </c>
      <c r="Y979" s="668">
        <f t="shared" si="290"/>
        <v>0</v>
      </c>
      <c r="Z979" s="668">
        <f t="shared" si="291"/>
        <v>0</v>
      </c>
      <c r="AA979" s="668">
        <f t="shared" si="292"/>
        <v>0</v>
      </c>
      <c r="AB979" s="668">
        <f t="shared" si="293"/>
        <v>0</v>
      </c>
      <c r="AC979" s="668">
        <f t="shared" si="305"/>
        <v>0</v>
      </c>
      <c r="AD979" s="668">
        <f t="shared" si="294"/>
        <v>0</v>
      </c>
      <c r="AE979" s="668">
        <f t="shared" si="295"/>
        <v>0</v>
      </c>
      <c r="AF979" s="668">
        <f t="shared" si="296"/>
        <v>0</v>
      </c>
      <c r="AG979" s="668">
        <f t="shared" si="297"/>
        <v>0</v>
      </c>
      <c r="AH979" s="668"/>
      <c r="AI979" s="668"/>
      <c r="AJ979" s="668"/>
      <c r="AK979" s="668"/>
      <c r="AL979" s="668"/>
      <c r="AM979" s="668">
        <f t="shared" ref="AM979:AM1042" si="335">+I979</f>
        <v>0</v>
      </c>
      <c r="AN979" s="668">
        <f t="shared" si="301"/>
        <v>0</v>
      </c>
      <c r="AO979" s="668">
        <f t="shared" si="302"/>
        <v>0</v>
      </c>
      <c r="AP979" s="668">
        <f t="shared" si="299"/>
        <v>320</v>
      </c>
      <c r="AQ979" s="668">
        <f t="shared" si="303"/>
        <v>0</v>
      </c>
      <c r="AR979" s="668">
        <f t="shared" si="304"/>
        <v>0</v>
      </c>
      <c r="AS979" s="668"/>
      <c r="AT979" s="668"/>
      <c r="AU979" s="668"/>
      <c r="AV979" s="668"/>
      <c r="AW979" s="668"/>
      <c r="AX979" s="668"/>
      <c r="AY979" s="668"/>
      <c r="AZ979" s="668"/>
      <c r="BA979" s="668"/>
      <c r="BB979" s="668">
        <f t="shared" si="334"/>
        <v>320</v>
      </c>
      <c r="BC979" s="668"/>
      <c r="BD979" s="668"/>
      <c r="BE979" s="668"/>
      <c r="BF979" s="668"/>
      <c r="BG979" s="668"/>
      <c r="BH979" s="668"/>
      <c r="BI979" s="668"/>
    </row>
    <row r="980" spans="1:61" x14ac:dyDescent="0.2">
      <c r="A980" s="1021" t="s">
        <v>819</v>
      </c>
      <c r="B980" s="1021" t="s">
        <v>821</v>
      </c>
      <c r="C980" s="1021"/>
      <c r="D980" s="667">
        <v>32</v>
      </c>
      <c r="E980" s="667"/>
      <c r="F980" s="667">
        <v>32</v>
      </c>
      <c r="G980" s="667"/>
      <c r="H980" s="667"/>
      <c r="I980" s="667"/>
      <c r="J980" s="667"/>
      <c r="K980" s="667"/>
      <c r="L980" s="667"/>
      <c r="M980" s="667"/>
      <c r="N980" s="667"/>
      <c r="O980" s="667"/>
      <c r="P980" s="667"/>
      <c r="Q980" s="667"/>
      <c r="R980" s="667"/>
      <c r="S980" s="667"/>
      <c r="T980" s="667"/>
      <c r="U980" s="1021">
        <v>10</v>
      </c>
      <c r="V980" s="668">
        <f t="shared" si="287"/>
        <v>320</v>
      </c>
      <c r="W980" s="668">
        <f t="shared" si="288"/>
        <v>0</v>
      </c>
      <c r="X980" s="668">
        <f t="shared" si="289"/>
        <v>0</v>
      </c>
      <c r="Y980" s="668">
        <f t="shared" si="290"/>
        <v>0</v>
      </c>
      <c r="Z980" s="668">
        <f t="shared" si="291"/>
        <v>0</v>
      </c>
      <c r="AA980" s="668">
        <f t="shared" si="292"/>
        <v>0</v>
      </c>
      <c r="AB980" s="668">
        <f t="shared" si="293"/>
        <v>0</v>
      </c>
      <c r="AC980" s="668">
        <f t="shared" si="305"/>
        <v>0</v>
      </c>
      <c r="AD980" s="668">
        <f t="shared" si="294"/>
        <v>0</v>
      </c>
      <c r="AE980" s="668">
        <f t="shared" si="295"/>
        <v>0</v>
      </c>
      <c r="AF980" s="668">
        <f t="shared" si="296"/>
        <v>0</v>
      </c>
      <c r="AG980" s="668">
        <f t="shared" si="297"/>
        <v>0</v>
      </c>
      <c r="AH980" s="668"/>
      <c r="AI980" s="668"/>
      <c r="AJ980" s="668"/>
      <c r="AK980" s="668"/>
      <c r="AL980" s="668"/>
      <c r="AM980" s="668">
        <f t="shared" si="335"/>
        <v>0</v>
      </c>
      <c r="AN980" s="668">
        <f t="shared" si="301"/>
        <v>0</v>
      </c>
      <c r="AO980" s="668">
        <f t="shared" si="302"/>
        <v>0</v>
      </c>
      <c r="AP980" s="668">
        <f t="shared" ref="AP980:AP1043" si="336">+U980*F980</f>
        <v>320</v>
      </c>
      <c r="AQ980" s="668">
        <f t="shared" si="303"/>
        <v>0</v>
      </c>
      <c r="AR980" s="668">
        <f t="shared" si="304"/>
        <v>0</v>
      </c>
      <c r="AS980" s="668"/>
      <c r="AT980" s="668"/>
      <c r="AU980" s="668"/>
      <c r="AV980" s="668"/>
      <c r="AW980" s="668"/>
      <c r="AX980" s="668"/>
      <c r="AY980" s="668"/>
      <c r="AZ980" s="668"/>
      <c r="BA980" s="668"/>
      <c r="BB980" s="668">
        <f t="shared" si="334"/>
        <v>320</v>
      </c>
      <c r="BC980" s="668"/>
      <c r="BD980" s="668"/>
      <c r="BE980" s="668"/>
      <c r="BF980" s="668"/>
      <c r="BG980" s="668"/>
      <c r="BH980" s="668"/>
      <c r="BI980" s="668"/>
    </row>
    <row r="981" spans="1:61" x14ac:dyDescent="0.2">
      <c r="A981" s="1021">
        <v>5104</v>
      </c>
      <c r="B981" s="1021" t="s">
        <v>686</v>
      </c>
      <c r="C981" s="1021"/>
      <c r="D981" s="667">
        <v>90</v>
      </c>
      <c r="E981" s="667"/>
      <c r="F981" s="667"/>
      <c r="G981" s="667"/>
      <c r="H981" s="667"/>
      <c r="I981" s="667"/>
      <c r="J981" s="667"/>
      <c r="K981" s="667"/>
      <c r="L981" s="667"/>
      <c r="M981" s="667"/>
      <c r="N981" s="667"/>
      <c r="O981" s="667"/>
      <c r="P981" s="667"/>
      <c r="Q981" s="667"/>
      <c r="R981" s="667"/>
      <c r="S981" s="667"/>
      <c r="T981" s="667"/>
      <c r="U981" s="1021">
        <v>10</v>
      </c>
      <c r="V981" s="668">
        <f t="shared" ref="V981:V1044" si="337">+U981*D981</f>
        <v>900</v>
      </c>
      <c r="W981" s="668">
        <f t="shared" ref="W981:W1044" si="338">+U981*G981</f>
        <v>0</v>
      </c>
      <c r="X981" s="668">
        <f t="shared" ref="X981:X1044" si="339">+U981*H981</f>
        <v>0</v>
      </c>
      <c r="Y981" s="668">
        <f t="shared" ref="Y981:Y1044" si="340">+U981*J981</f>
        <v>0</v>
      </c>
      <c r="Z981" s="668">
        <f t="shared" ref="Z981:Z1044" si="341">IF(C981="y",V981+W981+X981+Y981,0)</f>
        <v>0</v>
      </c>
      <c r="AA981" s="668">
        <f t="shared" ref="AA981:AA1044" si="342">+S981</f>
        <v>0</v>
      </c>
      <c r="AB981" s="668">
        <f t="shared" ref="AB981:AB1044" si="343">+T981</f>
        <v>0</v>
      </c>
      <c r="AC981" s="668">
        <f t="shared" si="305"/>
        <v>0</v>
      </c>
      <c r="AD981" s="668">
        <f t="shared" ref="AD981:AD1044" si="344">+Q981</f>
        <v>0</v>
      </c>
      <c r="AE981" s="668">
        <f t="shared" ref="AE981:AE1044" si="345">+U981*M981</f>
        <v>0</v>
      </c>
      <c r="AF981" s="668">
        <f t="shared" ref="AF981:AF1044" si="346">+L981*U981</f>
        <v>0</v>
      </c>
      <c r="AG981" s="668">
        <f t="shared" ref="AG981:AG1044" si="347">+$AG$4*N981</f>
        <v>0</v>
      </c>
      <c r="AH981" s="668"/>
      <c r="AI981" s="668"/>
      <c r="AJ981" s="668"/>
      <c r="AK981" s="668"/>
      <c r="AL981" s="668"/>
      <c r="AM981" s="668">
        <f t="shared" si="335"/>
        <v>0</v>
      </c>
      <c r="AN981" s="668">
        <f t="shared" si="301"/>
        <v>0</v>
      </c>
      <c r="AO981" s="668">
        <f t="shared" si="302"/>
        <v>0</v>
      </c>
      <c r="AP981" s="668">
        <f t="shared" si="336"/>
        <v>0</v>
      </c>
      <c r="AQ981" s="668">
        <f t="shared" si="303"/>
        <v>0</v>
      </c>
      <c r="AR981" s="668">
        <f t="shared" si="304"/>
        <v>0</v>
      </c>
      <c r="AS981" s="668"/>
      <c r="AT981" s="668"/>
      <c r="AU981" s="668"/>
      <c r="AV981" s="668"/>
      <c r="AW981" s="668"/>
      <c r="AX981" s="668"/>
      <c r="AY981" s="668"/>
      <c r="AZ981" s="668"/>
      <c r="BA981" s="668"/>
      <c r="BB981" s="668">
        <f t="shared" si="334"/>
        <v>0</v>
      </c>
      <c r="BC981" s="668"/>
      <c r="BD981" s="668"/>
      <c r="BE981" s="668"/>
      <c r="BF981" s="668"/>
      <c r="BG981" s="668"/>
      <c r="BH981" s="668"/>
      <c r="BI981" s="668"/>
    </row>
    <row r="982" spans="1:61" x14ac:dyDescent="0.2">
      <c r="A982" s="1021">
        <v>5105</v>
      </c>
      <c r="B982" s="1021" t="s">
        <v>476</v>
      </c>
      <c r="C982" s="1021"/>
      <c r="D982" s="667">
        <v>60</v>
      </c>
      <c r="E982" s="667"/>
      <c r="F982" s="667"/>
      <c r="G982" s="667"/>
      <c r="H982" s="667"/>
      <c r="I982" s="667"/>
      <c r="J982" s="667"/>
      <c r="K982" s="667"/>
      <c r="L982" s="667"/>
      <c r="M982" s="667"/>
      <c r="N982" s="667"/>
      <c r="O982" s="667"/>
      <c r="P982" s="667"/>
      <c r="Q982" s="667"/>
      <c r="R982" s="667"/>
      <c r="S982" s="667"/>
      <c r="T982" s="667"/>
      <c r="U982" s="1021">
        <v>12</v>
      </c>
      <c r="V982" s="668">
        <f t="shared" si="337"/>
        <v>720</v>
      </c>
      <c r="W982" s="668">
        <f t="shared" si="338"/>
        <v>0</v>
      </c>
      <c r="X982" s="668">
        <f t="shared" si="339"/>
        <v>0</v>
      </c>
      <c r="Y982" s="668">
        <f t="shared" si="340"/>
        <v>0</v>
      </c>
      <c r="Z982" s="668">
        <f t="shared" si="341"/>
        <v>0</v>
      </c>
      <c r="AA982" s="668">
        <f t="shared" si="342"/>
        <v>0</v>
      </c>
      <c r="AB982" s="668">
        <f t="shared" si="343"/>
        <v>0</v>
      </c>
      <c r="AC982" s="668">
        <f t="shared" si="305"/>
        <v>0</v>
      </c>
      <c r="AD982" s="668">
        <f t="shared" si="344"/>
        <v>0</v>
      </c>
      <c r="AE982" s="668">
        <f t="shared" si="345"/>
        <v>0</v>
      </c>
      <c r="AF982" s="668">
        <f t="shared" si="346"/>
        <v>0</v>
      </c>
      <c r="AG982" s="668">
        <f t="shared" si="347"/>
        <v>0</v>
      </c>
      <c r="AH982" s="668"/>
      <c r="AI982" s="668"/>
      <c r="AJ982" s="668"/>
      <c r="AK982" s="668"/>
      <c r="AL982" s="668"/>
      <c r="AM982" s="668">
        <f t="shared" si="335"/>
        <v>0</v>
      </c>
      <c r="AN982" s="668">
        <f t="shared" si="301"/>
        <v>0</v>
      </c>
      <c r="AO982" s="668">
        <f t="shared" si="302"/>
        <v>0</v>
      </c>
      <c r="AP982" s="668">
        <f t="shared" si="336"/>
        <v>0</v>
      </c>
      <c r="AQ982" s="668">
        <f t="shared" si="303"/>
        <v>0</v>
      </c>
      <c r="AR982" s="668">
        <f t="shared" si="304"/>
        <v>0</v>
      </c>
      <c r="AS982" s="668"/>
      <c r="AT982" s="668"/>
      <c r="AU982" s="668"/>
      <c r="AV982" s="668"/>
      <c r="AW982" s="668"/>
      <c r="AX982" s="668"/>
      <c r="AY982" s="668"/>
      <c r="AZ982" s="668"/>
      <c r="BA982" s="668"/>
      <c r="BB982" s="668">
        <f t="shared" si="334"/>
        <v>0</v>
      </c>
      <c r="BC982" s="668"/>
      <c r="BD982" s="668"/>
      <c r="BE982" s="668"/>
      <c r="BF982" s="668"/>
      <c r="BG982" s="668"/>
      <c r="BH982" s="668"/>
      <c r="BI982" s="668"/>
    </row>
    <row r="983" spans="1:61" x14ac:dyDescent="0.2">
      <c r="A983" s="1021">
        <v>5106</v>
      </c>
      <c r="B983" s="1021" t="s">
        <v>579</v>
      </c>
      <c r="C983" s="1021"/>
      <c r="D983" s="667">
        <v>50</v>
      </c>
      <c r="E983" s="667"/>
      <c r="F983" s="667"/>
      <c r="G983" s="667"/>
      <c r="H983" s="667"/>
      <c r="I983" s="667"/>
      <c r="J983" s="667"/>
      <c r="K983" s="667"/>
      <c r="L983" s="667"/>
      <c r="M983" s="667"/>
      <c r="N983" s="667"/>
      <c r="O983" s="667"/>
      <c r="P983" s="667"/>
      <c r="Q983" s="667"/>
      <c r="R983" s="667"/>
      <c r="S983" s="667"/>
      <c r="T983" s="667"/>
      <c r="U983" s="1021">
        <v>12</v>
      </c>
      <c r="V983" s="668">
        <f t="shared" si="337"/>
        <v>600</v>
      </c>
      <c r="W983" s="668">
        <f t="shared" si="338"/>
        <v>0</v>
      </c>
      <c r="X983" s="668">
        <f t="shared" si="339"/>
        <v>0</v>
      </c>
      <c r="Y983" s="668">
        <f t="shared" si="340"/>
        <v>0</v>
      </c>
      <c r="Z983" s="668">
        <f t="shared" si="341"/>
        <v>0</v>
      </c>
      <c r="AA983" s="668">
        <f t="shared" si="342"/>
        <v>0</v>
      </c>
      <c r="AB983" s="668">
        <f t="shared" si="343"/>
        <v>0</v>
      </c>
      <c r="AC983" s="668">
        <f t="shared" si="305"/>
        <v>0</v>
      </c>
      <c r="AD983" s="668">
        <f t="shared" si="344"/>
        <v>0</v>
      </c>
      <c r="AE983" s="668">
        <f t="shared" si="345"/>
        <v>0</v>
      </c>
      <c r="AF983" s="668">
        <f t="shared" si="346"/>
        <v>0</v>
      </c>
      <c r="AG983" s="668">
        <f t="shared" si="347"/>
        <v>0</v>
      </c>
      <c r="AH983" s="668"/>
      <c r="AI983" s="668"/>
      <c r="AJ983" s="668"/>
      <c r="AK983" s="668"/>
      <c r="AL983" s="668"/>
      <c r="AM983" s="668">
        <f t="shared" si="335"/>
        <v>0</v>
      </c>
      <c r="AN983" s="668">
        <f t="shared" si="301"/>
        <v>0</v>
      </c>
      <c r="AO983" s="668">
        <f t="shared" si="302"/>
        <v>0</v>
      </c>
      <c r="AP983" s="668">
        <f t="shared" si="336"/>
        <v>0</v>
      </c>
      <c r="AQ983" s="668">
        <f t="shared" si="303"/>
        <v>0</v>
      </c>
      <c r="AR983" s="668">
        <f t="shared" si="304"/>
        <v>0</v>
      </c>
      <c r="AS983" s="668"/>
      <c r="AT983" s="668"/>
      <c r="AU983" s="668"/>
      <c r="AV983" s="668"/>
      <c r="AW983" s="668"/>
      <c r="AX983" s="668"/>
      <c r="AY983" s="668"/>
      <c r="AZ983" s="668"/>
      <c r="BA983" s="668"/>
      <c r="BB983" s="668">
        <f t="shared" si="334"/>
        <v>0</v>
      </c>
      <c r="BC983" s="668"/>
      <c r="BD983" s="668"/>
      <c r="BE983" s="668"/>
      <c r="BF983" s="668"/>
      <c r="BG983" s="668"/>
      <c r="BH983" s="668"/>
      <c r="BI983" s="668"/>
    </row>
    <row r="984" spans="1:61" x14ac:dyDescent="0.2">
      <c r="A984" s="1021">
        <v>5107</v>
      </c>
      <c r="B984" s="1021" t="s">
        <v>736</v>
      </c>
      <c r="C984" s="1021"/>
      <c r="D984" s="667">
        <v>108</v>
      </c>
      <c r="E984" s="667"/>
      <c r="F984" s="667"/>
      <c r="G984" s="667"/>
      <c r="H984" s="667"/>
      <c r="I984" s="667"/>
      <c r="J984" s="667"/>
      <c r="K984" s="667"/>
      <c r="L984" s="667"/>
      <c r="M984" s="667"/>
      <c r="N984" s="667"/>
      <c r="O984" s="667"/>
      <c r="P984" s="667"/>
      <c r="Q984" s="667"/>
      <c r="R984" s="667"/>
      <c r="S984" s="667"/>
      <c r="T984" s="667"/>
      <c r="U984" s="1021">
        <v>10</v>
      </c>
      <c r="V984" s="668">
        <f t="shared" si="337"/>
        <v>1080</v>
      </c>
      <c r="W984" s="668">
        <f t="shared" si="338"/>
        <v>0</v>
      </c>
      <c r="X984" s="668">
        <f t="shared" si="339"/>
        <v>0</v>
      </c>
      <c r="Y984" s="668">
        <f t="shared" si="340"/>
        <v>0</v>
      </c>
      <c r="Z984" s="668">
        <f t="shared" si="341"/>
        <v>0</v>
      </c>
      <c r="AA984" s="668">
        <f t="shared" si="342"/>
        <v>0</v>
      </c>
      <c r="AB984" s="668">
        <f t="shared" si="343"/>
        <v>0</v>
      </c>
      <c r="AC984" s="668">
        <f t="shared" si="305"/>
        <v>0</v>
      </c>
      <c r="AD984" s="668">
        <f t="shared" si="344"/>
        <v>0</v>
      </c>
      <c r="AE984" s="668">
        <f t="shared" si="345"/>
        <v>0</v>
      </c>
      <c r="AF984" s="668">
        <f t="shared" si="346"/>
        <v>0</v>
      </c>
      <c r="AG984" s="668">
        <f t="shared" si="347"/>
        <v>0</v>
      </c>
      <c r="AH984" s="668"/>
      <c r="AI984" s="668"/>
      <c r="AJ984" s="668"/>
      <c r="AK984" s="668"/>
      <c r="AL984" s="668"/>
      <c r="AM984" s="668">
        <f t="shared" si="335"/>
        <v>0</v>
      </c>
      <c r="AN984" s="668">
        <f t="shared" si="301"/>
        <v>0</v>
      </c>
      <c r="AO984" s="668">
        <f t="shared" si="302"/>
        <v>0</v>
      </c>
      <c r="AP984" s="668">
        <f t="shared" si="336"/>
        <v>0</v>
      </c>
      <c r="AQ984" s="668">
        <f t="shared" si="303"/>
        <v>0</v>
      </c>
      <c r="AR984" s="668">
        <f t="shared" si="304"/>
        <v>0</v>
      </c>
      <c r="AS984" s="668"/>
      <c r="AT984" s="668"/>
      <c r="AU984" s="668"/>
      <c r="AV984" s="668"/>
      <c r="AW984" s="668"/>
      <c r="AX984" s="668"/>
      <c r="AY984" s="668"/>
      <c r="AZ984" s="668"/>
      <c r="BA984" s="668"/>
      <c r="BB984" s="668">
        <f t="shared" si="334"/>
        <v>0</v>
      </c>
      <c r="BC984" s="668"/>
      <c r="BD984" s="668"/>
      <c r="BE984" s="668"/>
      <c r="BF984" s="668"/>
      <c r="BG984" s="668"/>
      <c r="BH984" s="668"/>
      <c r="BI984" s="668"/>
    </row>
    <row r="985" spans="1:61" x14ac:dyDescent="0.2">
      <c r="A985" s="1021">
        <v>5108</v>
      </c>
      <c r="B985" s="1021" t="s">
        <v>737</v>
      </c>
      <c r="C985" s="1021" t="s">
        <v>984</v>
      </c>
      <c r="D985" s="667">
        <v>93</v>
      </c>
      <c r="E985" s="667">
        <v>63</v>
      </c>
      <c r="F985" s="667"/>
      <c r="G985" s="667"/>
      <c r="H985" s="667"/>
      <c r="I985" s="667">
        <v>262</v>
      </c>
      <c r="J985" s="667"/>
      <c r="K985" s="667"/>
      <c r="L985" s="667"/>
      <c r="M985" s="667"/>
      <c r="N985" s="667"/>
      <c r="O985" s="667"/>
      <c r="P985" s="667"/>
      <c r="Q985" s="667"/>
      <c r="R985" s="667"/>
      <c r="S985" s="667"/>
      <c r="T985" s="667"/>
      <c r="U985" s="1033">
        <v>11</v>
      </c>
      <c r="V985" s="668">
        <f t="shared" si="337"/>
        <v>1023</v>
      </c>
      <c r="W985" s="668">
        <f t="shared" si="338"/>
        <v>0</v>
      </c>
      <c r="X985" s="668">
        <f t="shared" si="339"/>
        <v>0</v>
      </c>
      <c r="Y985" s="668">
        <f t="shared" si="340"/>
        <v>0</v>
      </c>
      <c r="Z985" s="668">
        <f t="shared" si="341"/>
        <v>1023</v>
      </c>
      <c r="AA985" s="668">
        <f t="shared" si="342"/>
        <v>0</v>
      </c>
      <c r="AB985" s="668">
        <f t="shared" si="343"/>
        <v>0</v>
      </c>
      <c r="AC985" s="668">
        <f t="shared" si="305"/>
        <v>0</v>
      </c>
      <c r="AD985" s="668">
        <f t="shared" si="344"/>
        <v>0</v>
      </c>
      <c r="AE985" s="668">
        <f t="shared" si="345"/>
        <v>0</v>
      </c>
      <c r="AF985" s="668">
        <f t="shared" si="346"/>
        <v>0</v>
      </c>
      <c r="AG985" s="668">
        <f t="shared" si="347"/>
        <v>0</v>
      </c>
      <c r="AH985" s="668"/>
      <c r="AI985" s="668"/>
      <c r="AJ985" s="668"/>
      <c r="AK985" s="668"/>
      <c r="AL985" s="668"/>
      <c r="AM985" s="668">
        <f t="shared" si="335"/>
        <v>262</v>
      </c>
      <c r="AN985" s="668">
        <f t="shared" si="301"/>
        <v>693</v>
      </c>
      <c r="AO985" s="668">
        <f t="shared" si="302"/>
        <v>0</v>
      </c>
      <c r="AP985" s="668">
        <f t="shared" si="336"/>
        <v>0</v>
      </c>
      <c r="AQ985" s="668">
        <f t="shared" si="303"/>
        <v>0</v>
      </c>
      <c r="AR985" s="668">
        <f t="shared" si="304"/>
        <v>0</v>
      </c>
      <c r="AS985" s="668"/>
      <c r="AT985" s="668"/>
      <c r="AU985" s="668"/>
      <c r="AV985" s="668"/>
      <c r="AW985" s="668"/>
      <c r="AX985" s="668"/>
      <c r="AY985" s="668"/>
      <c r="AZ985" s="668"/>
      <c r="BA985" s="668"/>
      <c r="BB985" s="668">
        <f t="shared" si="334"/>
        <v>0</v>
      </c>
      <c r="BC985" s="668"/>
      <c r="BD985" s="668"/>
      <c r="BE985" s="668"/>
      <c r="BF985" s="668"/>
      <c r="BG985" s="668"/>
      <c r="BH985" s="668"/>
      <c r="BI985" s="668"/>
    </row>
    <row r="986" spans="1:61" x14ac:dyDescent="0.2">
      <c r="A986" s="1021">
        <v>5109</v>
      </c>
      <c r="B986" s="1021" t="s">
        <v>515</v>
      </c>
      <c r="C986" s="1021"/>
      <c r="D986" s="667">
        <v>80</v>
      </c>
      <c r="E986" s="667"/>
      <c r="F986" s="667">
        <v>45</v>
      </c>
      <c r="G986" s="667"/>
      <c r="H986" s="667"/>
      <c r="I986" s="667"/>
      <c r="J986" s="667"/>
      <c r="K986" s="667"/>
      <c r="L986" s="667"/>
      <c r="M986" s="667"/>
      <c r="N986" s="667"/>
      <c r="O986" s="667"/>
      <c r="P986" s="667"/>
      <c r="Q986" s="667"/>
      <c r="R986" s="667"/>
      <c r="S986" s="667"/>
      <c r="T986" s="667">
        <v>2000</v>
      </c>
      <c r="U986" s="1033">
        <v>12</v>
      </c>
      <c r="V986" s="668">
        <f t="shared" si="337"/>
        <v>960</v>
      </c>
      <c r="W986" s="668">
        <f t="shared" si="338"/>
        <v>0</v>
      </c>
      <c r="X986" s="668">
        <f t="shared" si="339"/>
        <v>0</v>
      </c>
      <c r="Y986" s="668">
        <f t="shared" si="340"/>
        <v>0</v>
      </c>
      <c r="Z986" s="668">
        <f t="shared" si="341"/>
        <v>0</v>
      </c>
      <c r="AA986" s="668">
        <f t="shared" si="342"/>
        <v>0</v>
      </c>
      <c r="AB986" s="668">
        <f t="shared" si="343"/>
        <v>2000</v>
      </c>
      <c r="AC986" s="668">
        <f t="shared" si="305"/>
        <v>0</v>
      </c>
      <c r="AD986" s="668">
        <f t="shared" si="344"/>
        <v>0</v>
      </c>
      <c r="AE986" s="668">
        <f t="shared" si="345"/>
        <v>0</v>
      </c>
      <c r="AF986" s="668">
        <f t="shared" si="346"/>
        <v>0</v>
      </c>
      <c r="AG986" s="668">
        <f t="shared" si="347"/>
        <v>0</v>
      </c>
      <c r="AH986" s="668"/>
      <c r="AI986" s="668"/>
      <c r="AJ986" s="668"/>
      <c r="AK986" s="668"/>
      <c r="AL986" s="668"/>
      <c r="AM986" s="668">
        <f t="shared" si="335"/>
        <v>0</v>
      </c>
      <c r="AN986" s="668">
        <f t="shared" si="301"/>
        <v>0</v>
      </c>
      <c r="AO986" s="668">
        <f t="shared" si="302"/>
        <v>0</v>
      </c>
      <c r="AP986" s="668">
        <f t="shared" si="336"/>
        <v>540</v>
      </c>
      <c r="AQ986" s="668">
        <f t="shared" si="303"/>
        <v>0</v>
      </c>
      <c r="AR986" s="668">
        <f t="shared" si="304"/>
        <v>0</v>
      </c>
      <c r="AS986" s="668"/>
      <c r="AT986" s="668"/>
      <c r="AU986" s="668"/>
      <c r="AV986" s="668"/>
      <c r="AW986" s="668"/>
      <c r="AX986" s="668"/>
      <c r="AY986" s="668"/>
      <c r="AZ986" s="668"/>
      <c r="BA986" s="668"/>
      <c r="BB986" s="668"/>
      <c r="BC986" s="668"/>
      <c r="BD986" s="668"/>
      <c r="BE986" s="668"/>
      <c r="BF986" s="668"/>
      <c r="BG986" s="668"/>
      <c r="BH986" s="668"/>
      <c r="BI986" s="668"/>
    </row>
    <row r="987" spans="1:61" x14ac:dyDescent="0.2">
      <c r="A987" s="1021">
        <v>5110</v>
      </c>
      <c r="B987" s="1021" t="s">
        <v>515</v>
      </c>
      <c r="C987" s="1021"/>
      <c r="D987" s="667">
        <v>128</v>
      </c>
      <c r="E987" s="667"/>
      <c r="F987" s="667">
        <v>70</v>
      </c>
      <c r="G987" s="667"/>
      <c r="H987" s="667"/>
      <c r="I987" s="667"/>
      <c r="J987" s="667"/>
      <c r="K987" s="667"/>
      <c r="L987" s="667"/>
      <c r="M987" s="667"/>
      <c r="N987" s="667"/>
      <c r="O987" s="667"/>
      <c r="P987" s="667"/>
      <c r="Q987" s="667"/>
      <c r="R987" s="667"/>
      <c r="S987" s="667"/>
      <c r="T987" s="667">
        <v>3459</v>
      </c>
      <c r="U987" s="1021">
        <v>12</v>
      </c>
      <c r="V987" s="668">
        <f t="shared" si="337"/>
        <v>1536</v>
      </c>
      <c r="W987" s="668">
        <f t="shared" si="338"/>
        <v>0</v>
      </c>
      <c r="X987" s="668">
        <f t="shared" si="339"/>
        <v>0</v>
      </c>
      <c r="Y987" s="668">
        <f t="shared" si="340"/>
        <v>0</v>
      </c>
      <c r="Z987" s="668">
        <f t="shared" si="341"/>
        <v>0</v>
      </c>
      <c r="AA987" s="668">
        <f t="shared" si="342"/>
        <v>0</v>
      </c>
      <c r="AB987" s="668">
        <f t="shared" si="343"/>
        <v>3459</v>
      </c>
      <c r="AC987" s="668">
        <f t="shared" si="305"/>
        <v>0</v>
      </c>
      <c r="AD987" s="668">
        <f t="shared" si="344"/>
        <v>0</v>
      </c>
      <c r="AE987" s="668">
        <f t="shared" si="345"/>
        <v>0</v>
      </c>
      <c r="AF987" s="668">
        <f t="shared" si="346"/>
        <v>0</v>
      </c>
      <c r="AG987" s="668">
        <f t="shared" si="347"/>
        <v>0</v>
      </c>
      <c r="AH987" s="668"/>
      <c r="AI987" s="668"/>
      <c r="AJ987" s="668"/>
      <c r="AK987" s="668"/>
      <c r="AL987" s="668"/>
      <c r="AM987" s="668">
        <f t="shared" si="335"/>
        <v>0</v>
      </c>
      <c r="AN987" s="668">
        <f t="shared" si="301"/>
        <v>0</v>
      </c>
      <c r="AO987" s="668">
        <f t="shared" si="302"/>
        <v>0</v>
      </c>
      <c r="AP987" s="668">
        <f t="shared" si="336"/>
        <v>840</v>
      </c>
      <c r="AQ987" s="668">
        <f t="shared" si="303"/>
        <v>0</v>
      </c>
      <c r="AR987" s="668">
        <f t="shared" si="304"/>
        <v>0</v>
      </c>
      <c r="AS987" s="668"/>
      <c r="AT987" s="668"/>
      <c r="AU987" s="668"/>
      <c r="AV987" s="668"/>
      <c r="AW987" s="668"/>
      <c r="AX987" s="668"/>
      <c r="AY987" s="668"/>
      <c r="AZ987" s="668"/>
      <c r="BA987" s="668"/>
      <c r="BB987" s="668"/>
      <c r="BC987" s="668"/>
      <c r="BD987" s="668"/>
      <c r="BE987" s="668"/>
      <c r="BF987" s="668"/>
      <c r="BG987" s="668"/>
      <c r="BH987" s="668"/>
      <c r="BI987" s="668"/>
    </row>
    <row r="988" spans="1:61" x14ac:dyDescent="0.2">
      <c r="A988" s="1021">
        <v>5111</v>
      </c>
      <c r="B988" s="1021" t="s">
        <v>519</v>
      </c>
      <c r="C988" s="1021"/>
      <c r="D988" s="667">
        <v>35</v>
      </c>
      <c r="E988" s="667"/>
      <c r="F988" s="667">
        <v>15</v>
      </c>
      <c r="G988" s="667"/>
      <c r="H988" s="667"/>
      <c r="I988" s="667"/>
      <c r="J988" s="667"/>
      <c r="K988" s="667"/>
      <c r="L988" s="667"/>
      <c r="M988" s="667"/>
      <c r="N988" s="667"/>
      <c r="O988" s="667"/>
      <c r="P988" s="667"/>
      <c r="Q988" s="667"/>
      <c r="R988" s="667"/>
      <c r="S988" s="667"/>
      <c r="T988" s="667">
        <v>150</v>
      </c>
      <c r="U988" s="1021">
        <v>12</v>
      </c>
      <c r="V988" s="668">
        <f t="shared" si="337"/>
        <v>420</v>
      </c>
      <c r="W988" s="668">
        <f t="shared" si="338"/>
        <v>0</v>
      </c>
      <c r="X988" s="668">
        <f t="shared" si="339"/>
        <v>0</v>
      </c>
      <c r="Y988" s="668">
        <f t="shared" si="340"/>
        <v>0</v>
      </c>
      <c r="Z988" s="668">
        <f t="shared" si="341"/>
        <v>0</v>
      </c>
      <c r="AA988" s="668">
        <f t="shared" si="342"/>
        <v>0</v>
      </c>
      <c r="AB988" s="668">
        <f t="shared" si="343"/>
        <v>150</v>
      </c>
      <c r="AC988" s="668">
        <f t="shared" si="305"/>
        <v>0</v>
      </c>
      <c r="AD988" s="668">
        <f t="shared" si="344"/>
        <v>0</v>
      </c>
      <c r="AE988" s="668">
        <f t="shared" si="345"/>
        <v>0</v>
      </c>
      <c r="AF988" s="668">
        <f t="shared" si="346"/>
        <v>0</v>
      </c>
      <c r="AG988" s="668">
        <f t="shared" si="347"/>
        <v>0</v>
      </c>
      <c r="AH988" s="668"/>
      <c r="AI988" s="668"/>
      <c r="AJ988" s="668"/>
      <c r="AK988" s="668"/>
      <c r="AL988" s="668"/>
      <c r="AM988" s="668">
        <f t="shared" si="335"/>
        <v>0</v>
      </c>
      <c r="AN988" s="668">
        <f t="shared" si="301"/>
        <v>0</v>
      </c>
      <c r="AO988" s="668">
        <f t="shared" si="302"/>
        <v>0</v>
      </c>
      <c r="AP988" s="668">
        <f t="shared" si="336"/>
        <v>180</v>
      </c>
      <c r="AQ988" s="668">
        <f t="shared" si="303"/>
        <v>0</v>
      </c>
      <c r="AR988" s="668">
        <f t="shared" si="304"/>
        <v>0</v>
      </c>
      <c r="AS988" s="668"/>
      <c r="AT988" s="668"/>
      <c r="AU988" s="668"/>
      <c r="AV988" s="668"/>
      <c r="AW988" s="668"/>
      <c r="AX988" s="668"/>
      <c r="AY988" s="668"/>
      <c r="AZ988" s="668"/>
      <c r="BA988" s="668"/>
      <c r="BB988" s="668">
        <f t="shared" si="334"/>
        <v>180</v>
      </c>
      <c r="BC988" s="668"/>
      <c r="BD988" s="668"/>
      <c r="BE988" s="668"/>
      <c r="BF988" s="668"/>
      <c r="BG988" s="668"/>
      <c r="BH988" s="668"/>
      <c r="BI988" s="668"/>
    </row>
    <row r="989" spans="1:61" x14ac:dyDescent="0.2">
      <c r="A989" s="1021">
        <v>5112</v>
      </c>
      <c r="B989" s="1021" t="s">
        <v>519</v>
      </c>
      <c r="C989" s="1021"/>
      <c r="D989" s="667">
        <v>35</v>
      </c>
      <c r="E989" s="667"/>
      <c r="F989" s="667">
        <v>15</v>
      </c>
      <c r="G989" s="667"/>
      <c r="H989" s="667"/>
      <c r="I989" s="667"/>
      <c r="J989" s="667"/>
      <c r="K989" s="667"/>
      <c r="L989" s="667"/>
      <c r="M989" s="667"/>
      <c r="N989" s="667"/>
      <c r="O989" s="667"/>
      <c r="P989" s="667"/>
      <c r="Q989" s="667"/>
      <c r="R989" s="667"/>
      <c r="S989" s="667"/>
      <c r="T989" s="667">
        <v>150</v>
      </c>
      <c r="U989" s="1021">
        <v>12</v>
      </c>
      <c r="V989" s="668">
        <f t="shared" si="337"/>
        <v>420</v>
      </c>
      <c r="W989" s="668">
        <f t="shared" si="338"/>
        <v>0</v>
      </c>
      <c r="X989" s="668">
        <f t="shared" si="339"/>
        <v>0</v>
      </c>
      <c r="Y989" s="668">
        <f t="shared" si="340"/>
        <v>0</v>
      </c>
      <c r="Z989" s="668">
        <f t="shared" si="341"/>
        <v>0</v>
      </c>
      <c r="AA989" s="668">
        <f t="shared" si="342"/>
        <v>0</v>
      </c>
      <c r="AB989" s="668">
        <f t="shared" si="343"/>
        <v>150</v>
      </c>
      <c r="AC989" s="668">
        <f t="shared" si="305"/>
        <v>0</v>
      </c>
      <c r="AD989" s="668">
        <f t="shared" si="344"/>
        <v>0</v>
      </c>
      <c r="AE989" s="668">
        <f t="shared" si="345"/>
        <v>0</v>
      </c>
      <c r="AF989" s="668">
        <f t="shared" si="346"/>
        <v>0</v>
      </c>
      <c r="AG989" s="668">
        <f t="shared" si="347"/>
        <v>0</v>
      </c>
      <c r="AH989" s="668"/>
      <c r="AI989" s="668"/>
      <c r="AJ989" s="668"/>
      <c r="AK989" s="668"/>
      <c r="AL989" s="668"/>
      <c r="AM989" s="668">
        <f t="shared" si="335"/>
        <v>0</v>
      </c>
      <c r="AN989" s="668">
        <f t="shared" si="301"/>
        <v>0</v>
      </c>
      <c r="AO989" s="668">
        <f t="shared" si="302"/>
        <v>0</v>
      </c>
      <c r="AP989" s="668">
        <f t="shared" si="336"/>
        <v>180</v>
      </c>
      <c r="AQ989" s="668">
        <f t="shared" si="303"/>
        <v>0</v>
      </c>
      <c r="AR989" s="668">
        <f t="shared" si="304"/>
        <v>0</v>
      </c>
      <c r="AS989" s="668"/>
      <c r="AT989" s="668"/>
      <c r="AU989" s="668"/>
      <c r="AV989" s="668"/>
      <c r="AW989" s="668"/>
      <c r="AX989" s="668"/>
      <c r="AY989" s="668"/>
      <c r="AZ989" s="668"/>
      <c r="BA989" s="668"/>
      <c r="BB989" s="668">
        <f t="shared" si="334"/>
        <v>180</v>
      </c>
      <c r="BC989" s="668"/>
      <c r="BD989" s="668"/>
      <c r="BE989" s="668"/>
      <c r="BF989" s="668"/>
      <c r="BG989" s="668"/>
      <c r="BH989" s="668"/>
      <c r="BI989" s="668"/>
    </row>
    <row r="990" spans="1:61" x14ac:dyDescent="0.2">
      <c r="A990" s="1021">
        <v>5113</v>
      </c>
      <c r="B990" s="1021" t="s">
        <v>467</v>
      </c>
      <c r="C990" s="1021"/>
      <c r="D990" s="667">
        <v>80</v>
      </c>
      <c r="E990" s="667"/>
      <c r="F990" s="667"/>
      <c r="G990" s="667"/>
      <c r="H990" s="667"/>
      <c r="I990" s="667"/>
      <c r="J990" s="667"/>
      <c r="K990" s="667"/>
      <c r="L990" s="667"/>
      <c r="M990" s="667"/>
      <c r="N990" s="667"/>
      <c r="O990" s="667"/>
      <c r="P990" s="667"/>
      <c r="Q990" s="667"/>
      <c r="R990" s="667"/>
      <c r="S990" s="667"/>
      <c r="T990" s="667"/>
      <c r="U990" s="1021">
        <v>3</v>
      </c>
      <c r="V990" s="668">
        <f t="shared" si="337"/>
        <v>240</v>
      </c>
      <c r="W990" s="668">
        <f t="shared" si="338"/>
        <v>0</v>
      </c>
      <c r="X990" s="668">
        <f t="shared" si="339"/>
        <v>0</v>
      </c>
      <c r="Y990" s="668">
        <f t="shared" si="340"/>
        <v>0</v>
      </c>
      <c r="Z990" s="668">
        <f t="shared" si="341"/>
        <v>0</v>
      </c>
      <c r="AA990" s="668">
        <f t="shared" si="342"/>
        <v>0</v>
      </c>
      <c r="AB990" s="668">
        <f t="shared" si="343"/>
        <v>0</v>
      </c>
      <c r="AC990" s="668">
        <f t="shared" si="305"/>
        <v>0</v>
      </c>
      <c r="AD990" s="668">
        <f t="shared" si="344"/>
        <v>0</v>
      </c>
      <c r="AE990" s="668">
        <f t="shared" si="345"/>
        <v>0</v>
      </c>
      <c r="AF990" s="668">
        <f t="shared" si="346"/>
        <v>0</v>
      </c>
      <c r="AG990" s="668">
        <f t="shared" si="347"/>
        <v>0</v>
      </c>
      <c r="AH990" s="668"/>
      <c r="AI990" s="668"/>
      <c r="AJ990" s="668"/>
      <c r="AK990" s="668"/>
      <c r="AL990" s="668"/>
      <c r="AM990" s="668">
        <f t="shared" si="335"/>
        <v>0</v>
      </c>
      <c r="AN990" s="668">
        <f t="shared" si="301"/>
        <v>0</v>
      </c>
      <c r="AO990" s="668">
        <f t="shared" si="302"/>
        <v>0</v>
      </c>
      <c r="AP990" s="668">
        <f t="shared" si="336"/>
        <v>0</v>
      </c>
      <c r="AQ990" s="668">
        <f t="shared" si="303"/>
        <v>0</v>
      </c>
      <c r="AR990" s="668">
        <f t="shared" si="304"/>
        <v>0</v>
      </c>
      <c r="AS990" s="668"/>
      <c r="AT990" s="668"/>
      <c r="AU990" s="668"/>
      <c r="AV990" s="668"/>
      <c r="AW990" s="668"/>
      <c r="AX990" s="668"/>
      <c r="AY990" s="668"/>
      <c r="AZ990" s="668"/>
      <c r="BA990" s="668"/>
      <c r="BB990" s="668">
        <f t="shared" si="334"/>
        <v>0</v>
      </c>
      <c r="BC990" s="668"/>
      <c r="BD990" s="668"/>
      <c r="BE990" s="668"/>
      <c r="BF990" s="668"/>
      <c r="BG990" s="668"/>
      <c r="BH990" s="668"/>
      <c r="BI990" s="668"/>
    </row>
    <row r="991" spans="1:61" x14ac:dyDescent="0.2">
      <c r="A991" s="1021">
        <v>5114</v>
      </c>
      <c r="B991" s="1021" t="s">
        <v>466</v>
      </c>
      <c r="C991" s="1021"/>
      <c r="D991" s="667">
        <v>80</v>
      </c>
      <c r="E991" s="667"/>
      <c r="F991" s="667"/>
      <c r="G991" s="667"/>
      <c r="H991" s="667"/>
      <c r="I991" s="667"/>
      <c r="J991" s="667"/>
      <c r="K991" s="667"/>
      <c r="L991" s="667"/>
      <c r="M991" s="667"/>
      <c r="N991" s="667"/>
      <c r="O991" s="667"/>
      <c r="P991" s="667"/>
      <c r="Q991" s="667"/>
      <c r="R991" s="667"/>
      <c r="S991" s="667"/>
      <c r="T991" s="667"/>
      <c r="U991" s="1021">
        <v>3</v>
      </c>
      <c r="V991" s="668">
        <f t="shared" si="337"/>
        <v>240</v>
      </c>
      <c r="W991" s="668">
        <f t="shared" si="338"/>
        <v>0</v>
      </c>
      <c r="X991" s="668">
        <f t="shared" si="339"/>
        <v>0</v>
      </c>
      <c r="Y991" s="668">
        <f t="shared" si="340"/>
        <v>0</v>
      </c>
      <c r="Z991" s="668">
        <f t="shared" si="341"/>
        <v>0</v>
      </c>
      <c r="AA991" s="668">
        <f t="shared" si="342"/>
        <v>0</v>
      </c>
      <c r="AB991" s="668">
        <f t="shared" si="343"/>
        <v>0</v>
      </c>
      <c r="AC991" s="668">
        <f t="shared" si="305"/>
        <v>0</v>
      </c>
      <c r="AD991" s="668">
        <f t="shared" si="344"/>
        <v>0</v>
      </c>
      <c r="AE991" s="668">
        <f t="shared" si="345"/>
        <v>0</v>
      </c>
      <c r="AF991" s="668">
        <f t="shared" si="346"/>
        <v>0</v>
      </c>
      <c r="AG991" s="668">
        <f t="shared" si="347"/>
        <v>0</v>
      </c>
      <c r="AH991" s="668"/>
      <c r="AI991" s="668"/>
      <c r="AJ991" s="668"/>
      <c r="AK991" s="668"/>
      <c r="AL991" s="668"/>
      <c r="AM991" s="668">
        <f t="shared" si="335"/>
        <v>0</v>
      </c>
      <c r="AN991" s="668">
        <f t="shared" si="301"/>
        <v>0</v>
      </c>
      <c r="AO991" s="668">
        <f t="shared" si="302"/>
        <v>0</v>
      </c>
      <c r="AP991" s="668">
        <f t="shared" si="336"/>
        <v>0</v>
      </c>
      <c r="AQ991" s="668">
        <f t="shared" si="303"/>
        <v>0</v>
      </c>
      <c r="AR991" s="668">
        <f t="shared" si="304"/>
        <v>0</v>
      </c>
      <c r="AS991" s="668"/>
      <c r="AT991" s="668"/>
      <c r="AU991" s="668"/>
      <c r="AV991" s="668"/>
      <c r="AW991" s="668"/>
      <c r="AX991" s="668"/>
      <c r="AY991" s="668"/>
      <c r="AZ991" s="668"/>
      <c r="BA991" s="668"/>
      <c r="BB991" s="668">
        <f t="shared" si="334"/>
        <v>0</v>
      </c>
      <c r="BC991" s="668"/>
      <c r="BD991" s="668"/>
      <c r="BE991" s="668"/>
      <c r="BF991" s="668"/>
      <c r="BG991" s="668"/>
      <c r="BH991" s="668"/>
      <c r="BI991" s="668"/>
    </row>
    <row r="992" spans="1:61" x14ac:dyDescent="0.2">
      <c r="A992" s="1021">
        <v>5115</v>
      </c>
      <c r="B992" s="1021" t="s">
        <v>684</v>
      </c>
      <c r="C992" s="1021"/>
      <c r="D992" s="667">
        <v>42</v>
      </c>
      <c r="E992" s="667"/>
      <c r="F992" s="667">
        <v>42</v>
      </c>
      <c r="G992" s="667"/>
      <c r="H992" s="667"/>
      <c r="I992" s="667"/>
      <c r="J992" s="667"/>
      <c r="K992" s="667"/>
      <c r="L992" s="667"/>
      <c r="M992" s="667"/>
      <c r="N992" s="667"/>
      <c r="O992" s="667"/>
      <c r="P992" s="667"/>
      <c r="Q992" s="667"/>
      <c r="R992" s="667"/>
      <c r="S992" s="667"/>
      <c r="T992" s="667"/>
      <c r="U992" s="1021">
        <v>10</v>
      </c>
      <c r="V992" s="668">
        <f t="shared" si="337"/>
        <v>420</v>
      </c>
      <c r="W992" s="668">
        <f t="shared" si="338"/>
        <v>0</v>
      </c>
      <c r="X992" s="668">
        <f t="shared" si="339"/>
        <v>0</v>
      </c>
      <c r="Y992" s="668">
        <f t="shared" si="340"/>
        <v>0</v>
      </c>
      <c r="Z992" s="668">
        <f t="shared" si="341"/>
        <v>0</v>
      </c>
      <c r="AA992" s="668">
        <f t="shared" si="342"/>
        <v>0</v>
      </c>
      <c r="AB992" s="668">
        <f t="shared" si="343"/>
        <v>0</v>
      </c>
      <c r="AC992" s="668">
        <f t="shared" si="305"/>
        <v>0</v>
      </c>
      <c r="AD992" s="668">
        <f t="shared" si="344"/>
        <v>0</v>
      </c>
      <c r="AE992" s="668">
        <f t="shared" si="345"/>
        <v>0</v>
      </c>
      <c r="AF992" s="668">
        <f t="shared" si="346"/>
        <v>0</v>
      </c>
      <c r="AG992" s="668">
        <f t="shared" si="347"/>
        <v>0</v>
      </c>
      <c r="AH992" s="668"/>
      <c r="AI992" s="668"/>
      <c r="AJ992" s="668"/>
      <c r="AK992" s="668"/>
      <c r="AL992" s="668"/>
      <c r="AM992" s="668">
        <f t="shared" si="335"/>
        <v>0</v>
      </c>
      <c r="AN992" s="668">
        <f t="shared" si="301"/>
        <v>0</v>
      </c>
      <c r="AO992" s="668">
        <f t="shared" si="302"/>
        <v>0</v>
      </c>
      <c r="AP992" s="668">
        <f t="shared" si="336"/>
        <v>420</v>
      </c>
      <c r="AQ992" s="668">
        <f t="shared" si="303"/>
        <v>0</v>
      </c>
      <c r="AR992" s="668">
        <f t="shared" si="304"/>
        <v>0</v>
      </c>
      <c r="AS992" s="668"/>
      <c r="AT992" s="668"/>
      <c r="AU992" s="668"/>
      <c r="AV992" s="668"/>
      <c r="AW992" s="668"/>
      <c r="AX992" s="668"/>
      <c r="AY992" s="668"/>
      <c r="AZ992" s="668"/>
      <c r="BA992" s="668"/>
      <c r="BB992" s="668"/>
      <c r="BC992" s="668"/>
      <c r="BD992" s="668"/>
      <c r="BE992" s="668"/>
      <c r="BF992" s="668"/>
      <c r="BG992" s="668"/>
      <c r="BH992" s="668"/>
      <c r="BI992" s="668"/>
    </row>
    <row r="993" spans="1:61" x14ac:dyDescent="0.2">
      <c r="A993" s="1021">
        <v>5116</v>
      </c>
      <c r="B993" s="1021" t="s">
        <v>516</v>
      </c>
      <c r="C993" s="1021"/>
      <c r="D993" s="667">
        <v>35</v>
      </c>
      <c r="E993" s="667"/>
      <c r="F993" s="667">
        <v>35</v>
      </c>
      <c r="G993" s="667"/>
      <c r="H993" s="667"/>
      <c r="I993" s="667"/>
      <c r="J993" s="667"/>
      <c r="K993" s="667"/>
      <c r="L993" s="667"/>
      <c r="M993" s="667"/>
      <c r="N993" s="667"/>
      <c r="O993" s="667"/>
      <c r="P993" s="667"/>
      <c r="Q993" s="667"/>
      <c r="R993" s="667"/>
      <c r="S993" s="667"/>
      <c r="T993" s="667"/>
      <c r="U993" s="1021">
        <v>10</v>
      </c>
      <c r="V993" s="668">
        <f t="shared" si="337"/>
        <v>350</v>
      </c>
      <c r="W993" s="668">
        <f t="shared" si="338"/>
        <v>0</v>
      </c>
      <c r="X993" s="668">
        <f t="shared" si="339"/>
        <v>0</v>
      </c>
      <c r="Y993" s="668">
        <f t="shared" si="340"/>
        <v>0</v>
      </c>
      <c r="Z993" s="668">
        <f t="shared" si="341"/>
        <v>0</v>
      </c>
      <c r="AA993" s="668">
        <f t="shared" si="342"/>
        <v>0</v>
      </c>
      <c r="AB993" s="668">
        <f t="shared" si="343"/>
        <v>0</v>
      </c>
      <c r="AC993" s="668">
        <f t="shared" si="305"/>
        <v>0</v>
      </c>
      <c r="AD993" s="668">
        <f t="shared" si="344"/>
        <v>0</v>
      </c>
      <c r="AE993" s="668">
        <f t="shared" si="345"/>
        <v>0</v>
      </c>
      <c r="AF993" s="668">
        <f t="shared" si="346"/>
        <v>0</v>
      </c>
      <c r="AG993" s="668">
        <f t="shared" si="347"/>
        <v>0</v>
      </c>
      <c r="AH993" s="668"/>
      <c r="AI993" s="668"/>
      <c r="AJ993" s="668"/>
      <c r="AK993" s="668"/>
      <c r="AL993" s="668"/>
      <c r="AM993" s="668">
        <f t="shared" si="335"/>
        <v>0</v>
      </c>
      <c r="AN993" s="668">
        <f t="shared" si="301"/>
        <v>0</v>
      </c>
      <c r="AO993" s="668">
        <f t="shared" si="302"/>
        <v>0</v>
      </c>
      <c r="AP993" s="668">
        <f t="shared" si="336"/>
        <v>350</v>
      </c>
      <c r="AQ993" s="668">
        <f t="shared" si="303"/>
        <v>0</v>
      </c>
      <c r="AR993" s="668">
        <f t="shared" si="304"/>
        <v>0</v>
      </c>
      <c r="AS993" s="668"/>
      <c r="AT993" s="668"/>
      <c r="AU993" s="668"/>
      <c r="AV993" s="668"/>
      <c r="AW993" s="668"/>
      <c r="AX993" s="668"/>
      <c r="AY993" s="668"/>
      <c r="AZ993" s="668"/>
      <c r="BA993" s="668"/>
      <c r="BB993" s="668"/>
      <c r="BC993" s="668"/>
      <c r="BD993" s="668"/>
      <c r="BE993" s="668"/>
      <c r="BF993" s="668"/>
      <c r="BG993" s="668"/>
      <c r="BH993" s="668"/>
      <c r="BI993" s="668"/>
    </row>
    <row r="994" spans="1:61" x14ac:dyDescent="0.2">
      <c r="A994" s="1021" t="s">
        <v>822</v>
      </c>
      <c r="B994" s="1021" t="s">
        <v>685</v>
      </c>
      <c r="C994" s="1021"/>
      <c r="D994" s="667">
        <v>83</v>
      </c>
      <c r="E994" s="667"/>
      <c r="F994" s="667"/>
      <c r="G994" s="667"/>
      <c r="H994" s="667"/>
      <c r="I994" s="667"/>
      <c r="J994" s="667"/>
      <c r="K994" s="667"/>
      <c r="L994" s="667"/>
      <c r="M994" s="667"/>
      <c r="N994" s="667"/>
      <c r="O994" s="667"/>
      <c r="P994" s="667"/>
      <c r="Q994" s="667"/>
      <c r="R994" s="667"/>
      <c r="S994" s="667"/>
      <c r="T994" s="667"/>
      <c r="U994" s="1021">
        <v>10</v>
      </c>
      <c r="V994" s="668">
        <f t="shared" si="337"/>
        <v>830</v>
      </c>
      <c r="W994" s="668">
        <f t="shared" si="338"/>
        <v>0</v>
      </c>
      <c r="X994" s="668">
        <f t="shared" si="339"/>
        <v>0</v>
      </c>
      <c r="Y994" s="668">
        <f t="shared" si="340"/>
        <v>0</v>
      </c>
      <c r="Z994" s="668">
        <f t="shared" si="341"/>
        <v>0</v>
      </c>
      <c r="AA994" s="668">
        <f t="shared" si="342"/>
        <v>0</v>
      </c>
      <c r="AB994" s="668">
        <f t="shared" si="343"/>
        <v>0</v>
      </c>
      <c r="AC994" s="668">
        <f t="shared" si="305"/>
        <v>0</v>
      </c>
      <c r="AD994" s="668">
        <f t="shared" si="344"/>
        <v>0</v>
      </c>
      <c r="AE994" s="668">
        <f t="shared" si="345"/>
        <v>0</v>
      </c>
      <c r="AF994" s="668">
        <f t="shared" si="346"/>
        <v>0</v>
      </c>
      <c r="AG994" s="668">
        <f t="shared" si="347"/>
        <v>0</v>
      </c>
      <c r="AH994" s="668"/>
      <c r="AI994" s="668"/>
      <c r="AJ994" s="668"/>
      <c r="AK994" s="668"/>
      <c r="AL994" s="668"/>
      <c r="AM994" s="668">
        <f t="shared" si="335"/>
        <v>0</v>
      </c>
      <c r="AN994" s="668">
        <f t="shared" si="301"/>
        <v>0</v>
      </c>
      <c r="AO994" s="668">
        <f t="shared" si="302"/>
        <v>0</v>
      </c>
      <c r="AP994" s="668">
        <f t="shared" si="336"/>
        <v>0</v>
      </c>
      <c r="AQ994" s="668">
        <f t="shared" si="303"/>
        <v>0</v>
      </c>
      <c r="AR994" s="668">
        <f t="shared" si="304"/>
        <v>0</v>
      </c>
      <c r="AS994" s="668"/>
      <c r="AT994" s="668"/>
      <c r="AU994" s="668"/>
      <c r="AV994" s="668"/>
      <c r="AW994" s="668"/>
      <c r="AX994" s="668"/>
      <c r="AY994" s="668"/>
      <c r="AZ994" s="668"/>
      <c r="BA994" s="668"/>
      <c r="BB994" s="668">
        <f t="shared" si="334"/>
        <v>0</v>
      </c>
      <c r="BC994" s="668"/>
      <c r="BD994" s="668"/>
      <c r="BE994" s="668"/>
      <c r="BF994" s="668"/>
      <c r="BG994" s="668"/>
      <c r="BH994" s="668"/>
      <c r="BI994" s="668"/>
    </row>
    <row r="995" spans="1:61" x14ac:dyDescent="0.2">
      <c r="A995" s="1021" t="s">
        <v>823</v>
      </c>
      <c r="B995" s="1021" t="s">
        <v>517</v>
      </c>
      <c r="C995" s="1021"/>
      <c r="D995" s="667">
        <v>52</v>
      </c>
      <c r="E995" s="667"/>
      <c r="F995" s="667"/>
      <c r="G995" s="667"/>
      <c r="H995" s="667"/>
      <c r="I995" s="667"/>
      <c r="J995" s="667"/>
      <c r="K995" s="667"/>
      <c r="L995" s="667"/>
      <c r="M995" s="667"/>
      <c r="N995" s="667"/>
      <c r="O995" s="667"/>
      <c r="P995" s="667"/>
      <c r="Q995" s="667"/>
      <c r="R995" s="667"/>
      <c r="S995" s="667"/>
      <c r="T995" s="667"/>
      <c r="U995" s="1021">
        <v>10</v>
      </c>
      <c r="V995" s="668">
        <f t="shared" si="337"/>
        <v>520</v>
      </c>
      <c r="W995" s="668">
        <f t="shared" si="338"/>
        <v>0</v>
      </c>
      <c r="X995" s="668">
        <f t="shared" si="339"/>
        <v>0</v>
      </c>
      <c r="Y995" s="668">
        <f t="shared" si="340"/>
        <v>0</v>
      </c>
      <c r="Z995" s="668">
        <f t="shared" si="341"/>
        <v>0</v>
      </c>
      <c r="AA995" s="668">
        <f t="shared" si="342"/>
        <v>0</v>
      </c>
      <c r="AB995" s="668">
        <f t="shared" si="343"/>
        <v>0</v>
      </c>
      <c r="AC995" s="668">
        <f t="shared" si="305"/>
        <v>0</v>
      </c>
      <c r="AD995" s="668">
        <f t="shared" si="344"/>
        <v>0</v>
      </c>
      <c r="AE995" s="668">
        <f t="shared" si="345"/>
        <v>0</v>
      </c>
      <c r="AF995" s="668">
        <f t="shared" si="346"/>
        <v>0</v>
      </c>
      <c r="AG995" s="668">
        <f t="shared" si="347"/>
        <v>0</v>
      </c>
      <c r="AH995" s="668"/>
      <c r="AI995" s="668"/>
      <c r="AJ995" s="668"/>
      <c r="AK995" s="668"/>
      <c r="AL995" s="668"/>
      <c r="AM995" s="668">
        <f t="shared" si="335"/>
        <v>0</v>
      </c>
      <c r="AN995" s="668">
        <f t="shared" si="301"/>
        <v>0</v>
      </c>
      <c r="AO995" s="668">
        <f t="shared" si="302"/>
        <v>0</v>
      </c>
      <c r="AP995" s="668">
        <f t="shared" si="336"/>
        <v>0</v>
      </c>
      <c r="AQ995" s="668">
        <f t="shared" si="303"/>
        <v>0</v>
      </c>
      <c r="AR995" s="668">
        <f t="shared" si="304"/>
        <v>0</v>
      </c>
      <c r="AS995" s="668"/>
      <c r="AT995" s="668"/>
      <c r="AU995" s="668"/>
      <c r="AV995" s="668"/>
      <c r="AW995" s="668"/>
      <c r="AX995" s="668"/>
      <c r="AY995" s="668"/>
      <c r="AZ995" s="668"/>
      <c r="BA995" s="668"/>
      <c r="BB995" s="668">
        <f t="shared" si="334"/>
        <v>0</v>
      </c>
      <c r="BC995" s="668"/>
      <c r="BD995" s="668"/>
      <c r="BE995" s="668"/>
      <c r="BF995" s="668"/>
      <c r="BG995" s="668"/>
      <c r="BH995" s="668"/>
      <c r="BI995" s="668"/>
    </row>
    <row r="996" spans="1:61" x14ac:dyDescent="0.2">
      <c r="A996" s="1021">
        <v>5118</v>
      </c>
      <c r="B996" s="1021" t="s">
        <v>519</v>
      </c>
      <c r="C996" s="1021"/>
      <c r="D996" s="667">
        <v>35</v>
      </c>
      <c r="E996" s="667"/>
      <c r="F996" s="667">
        <v>15</v>
      </c>
      <c r="G996" s="667"/>
      <c r="H996" s="667"/>
      <c r="I996" s="667"/>
      <c r="J996" s="667"/>
      <c r="K996" s="667"/>
      <c r="L996" s="667"/>
      <c r="M996" s="667"/>
      <c r="N996" s="667"/>
      <c r="O996" s="667"/>
      <c r="P996" s="667"/>
      <c r="Q996" s="667"/>
      <c r="R996" s="667"/>
      <c r="S996" s="667"/>
      <c r="T996" s="667">
        <v>150</v>
      </c>
      <c r="U996" s="1021">
        <v>12</v>
      </c>
      <c r="V996" s="668">
        <f t="shared" si="337"/>
        <v>420</v>
      </c>
      <c r="W996" s="668">
        <f t="shared" si="338"/>
        <v>0</v>
      </c>
      <c r="X996" s="668">
        <f t="shared" si="339"/>
        <v>0</v>
      </c>
      <c r="Y996" s="668">
        <f t="shared" si="340"/>
        <v>0</v>
      </c>
      <c r="Z996" s="668">
        <f t="shared" si="341"/>
        <v>0</v>
      </c>
      <c r="AA996" s="668">
        <f t="shared" si="342"/>
        <v>0</v>
      </c>
      <c r="AB996" s="668">
        <f t="shared" si="343"/>
        <v>150</v>
      </c>
      <c r="AC996" s="668">
        <f t="shared" si="305"/>
        <v>0</v>
      </c>
      <c r="AD996" s="668">
        <f t="shared" si="344"/>
        <v>0</v>
      </c>
      <c r="AE996" s="668">
        <f t="shared" si="345"/>
        <v>0</v>
      </c>
      <c r="AF996" s="668">
        <f t="shared" si="346"/>
        <v>0</v>
      </c>
      <c r="AG996" s="668">
        <f t="shared" si="347"/>
        <v>0</v>
      </c>
      <c r="AH996" s="668"/>
      <c r="AI996" s="668"/>
      <c r="AJ996" s="668"/>
      <c r="AK996" s="668"/>
      <c r="AL996" s="668"/>
      <c r="AM996" s="668">
        <f t="shared" si="335"/>
        <v>0</v>
      </c>
      <c r="AN996" s="668">
        <f t="shared" si="301"/>
        <v>0</v>
      </c>
      <c r="AO996" s="668">
        <f t="shared" si="302"/>
        <v>0</v>
      </c>
      <c r="AP996" s="668">
        <f t="shared" si="336"/>
        <v>180</v>
      </c>
      <c r="AQ996" s="668">
        <f t="shared" si="303"/>
        <v>0</v>
      </c>
      <c r="AR996" s="668">
        <f t="shared" si="304"/>
        <v>0</v>
      </c>
      <c r="AS996" s="668"/>
      <c r="AT996" s="668"/>
      <c r="AU996" s="668"/>
      <c r="AV996" s="668"/>
      <c r="AW996" s="668"/>
      <c r="AX996" s="668"/>
      <c r="AY996" s="668"/>
      <c r="AZ996" s="668"/>
      <c r="BA996" s="668"/>
      <c r="BB996" s="668">
        <f t="shared" si="334"/>
        <v>180</v>
      </c>
      <c r="BC996" s="668"/>
      <c r="BD996" s="668"/>
      <c r="BE996" s="668"/>
      <c r="BF996" s="668"/>
      <c r="BG996" s="668"/>
      <c r="BH996" s="668"/>
      <c r="BI996" s="668"/>
    </row>
    <row r="997" spans="1:61" x14ac:dyDescent="0.2">
      <c r="A997" s="1021">
        <v>5119</v>
      </c>
      <c r="B997" s="1021" t="s">
        <v>519</v>
      </c>
      <c r="C997" s="1021"/>
      <c r="D997" s="667">
        <v>35</v>
      </c>
      <c r="E997" s="667"/>
      <c r="F997" s="667">
        <v>15</v>
      </c>
      <c r="G997" s="667"/>
      <c r="H997" s="667"/>
      <c r="I997" s="667"/>
      <c r="J997" s="667"/>
      <c r="K997" s="667"/>
      <c r="L997" s="667"/>
      <c r="M997" s="667"/>
      <c r="N997" s="667"/>
      <c r="O997" s="667"/>
      <c r="P997" s="667"/>
      <c r="Q997" s="667"/>
      <c r="R997" s="667"/>
      <c r="S997" s="667"/>
      <c r="T997" s="667">
        <v>150</v>
      </c>
      <c r="U997" s="1021">
        <v>12</v>
      </c>
      <c r="V997" s="668">
        <f t="shared" si="337"/>
        <v>420</v>
      </c>
      <c r="W997" s="668">
        <f t="shared" si="338"/>
        <v>0</v>
      </c>
      <c r="X997" s="668">
        <f t="shared" si="339"/>
        <v>0</v>
      </c>
      <c r="Y997" s="668">
        <f t="shared" si="340"/>
        <v>0</v>
      </c>
      <c r="Z997" s="668">
        <f t="shared" si="341"/>
        <v>0</v>
      </c>
      <c r="AA997" s="668">
        <f t="shared" si="342"/>
        <v>0</v>
      </c>
      <c r="AB997" s="668">
        <f t="shared" si="343"/>
        <v>150</v>
      </c>
      <c r="AC997" s="668">
        <f t="shared" si="305"/>
        <v>0</v>
      </c>
      <c r="AD997" s="668">
        <f t="shared" si="344"/>
        <v>0</v>
      </c>
      <c r="AE997" s="668">
        <f t="shared" si="345"/>
        <v>0</v>
      </c>
      <c r="AF997" s="668">
        <f t="shared" si="346"/>
        <v>0</v>
      </c>
      <c r="AG997" s="668">
        <f t="shared" si="347"/>
        <v>0</v>
      </c>
      <c r="AH997" s="668"/>
      <c r="AI997" s="668"/>
      <c r="AJ997" s="668"/>
      <c r="AK997" s="668"/>
      <c r="AL997" s="668"/>
      <c r="AM997" s="668">
        <f t="shared" si="335"/>
        <v>0</v>
      </c>
      <c r="AN997" s="668">
        <f t="shared" si="301"/>
        <v>0</v>
      </c>
      <c r="AO997" s="668">
        <f t="shared" si="302"/>
        <v>0</v>
      </c>
      <c r="AP997" s="668">
        <f t="shared" si="336"/>
        <v>180</v>
      </c>
      <c r="AQ997" s="668">
        <f t="shared" si="303"/>
        <v>0</v>
      </c>
      <c r="AR997" s="668">
        <f t="shared" si="304"/>
        <v>0</v>
      </c>
      <c r="AS997" s="668"/>
      <c r="AT997" s="668"/>
      <c r="AU997" s="668"/>
      <c r="AV997" s="668"/>
      <c r="AW997" s="668"/>
      <c r="AX997" s="668"/>
      <c r="AY997" s="668"/>
      <c r="AZ997" s="668"/>
      <c r="BA997" s="668"/>
      <c r="BB997" s="668">
        <f t="shared" si="334"/>
        <v>180</v>
      </c>
      <c r="BC997" s="668"/>
      <c r="BD997" s="668"/>
      <c r="BE997" s="668"/>
      <c r="BF997" s="668"/>
      <c r="BG997" s="668"/>
      <c r="BH997" s="668"/>
      <c r="BI997" s="668"/>
    </row>
    <row r="998" spans="1:61" x14ac:dyDescent="0.2">
      <c r="A998" s="1021">
        <v>5120</v>
      </c>
      <c r="B998" s="1021" t="s">
        <v>515</v>
      </c>
      <c r="C998" s="1021"/>
      <c r="D998" s="667">
        <v>70</v>
      </c>
      <c r="E998" s="667"/>
      <c r="F998" s="667">
        <v>50</v>
      </c>
      <c r="G998" s="667"/>
      <c r="H998" s="667"/>
      <c r="I998" s="667"/>
      <c r="J998" s="667"/>
      <c r="K998" s="667"/>
      <c r="L998" s="667"/>
      <c r="M998" s="667"/>
      <c r="N998" s="667"/>
      <c r="O998" s="667"/>
      <c r="P998" s="667"/>
      <c r="Q998" s="667"/>
      <c r="R998" s="667"/>
      <c r="S998" s="667"/>
      <c r="T998" s="667">
        <v>1712</v>
      </c>
      <c r="U998" s="1021">
        <v>12</v>
      </c>
      <c r="V998" s="668">
        <f t="shared" si="337"/>
        <v>840</v>
      </c>
      <c r="W998" s="668">
        <f t="shared" si="338"/>
        <v>0</v>
      </c>
      <c r="X998" s="668">
        <f t="shared" si="339"/>
        <v>0</v>
      </c>
      <c r="Y998" s="668">
        <f t="shared" si="340"/>
        <v>0</v>
      </c>
      <c r="Z998" s="668">
        <f t="shared" si="341"/>
        <v>0</v>
      </c>
      <c r="AA998" s="668">
        <f t="shared" si="342"/>
        <v>0</v>
      </c>
      <c r="AB998" s="668">
        <f t="shared" si="343"/>
        <v>1712</v>
      </c>
      <c r="AC998" s="668">
        <f t="shared" si="305"/>
        <v>0</v>
      </c>
      <c r="AD998" s="668">
        <f t="shared" si="344"/>
        <v>0</v>
      </c>
      <c r="AE998" s="668">
        <f t="shared" si="345"/>
        <v>0</v>
      </c>
      <c r="AF998" s="668">
        <f t="shared" si="346"/>
        <v>0</v>
      </c>
      <c r="AG998" s="668">
        <f t="shared" si="347"/>
        <v>0</v>
      </c>
      <c r="AH998" s="668"/>
      <c r="AI998" s="668"/>
      <c r="AJ998" s="668"/>
      <c r="AK998" s="668"/>
      <c r="AL998" s="668"/>
      <c r="AM998" s="668">
        <f t="shared" si="335"/>
        <v>0</v>
      </c>
      <c r="AN998" s="668">
        <f t="shared" si="301"/>
        <v>0</v>
      </c>
      <c r="AO998" s="668">
        <f t="shared" si="302"/>
        <v>0</v>
      </c>
      <c r="AP998" s="668">
        <f t="shared" si="336"/>
        <v>600</v>
      </c>
      <c r="AQ998" s="668">
        <f t="shared" si="303"/>
        <v>0</v>
      </c>
      <c r="AR998" s="668">
        <f t="shared" si="304"/>
        <v>0</v>
      </c>
      <c r="AS998" s="668"/>
      <c r="AT998" s="668"/>
      <c r="AU998" s="668"/>
      <c r="AV998" s="668"/>
      <c r="AW998" s="668"/>
      <c r="AX998" s="668"/>
      <c r="AY998" s="668"/>
      <c r="AZ998" s="668"/>
      <c r="BA998" s="668"/>
      <c r="BB998" s="668"/>
      <c r="BC998" s="668"/>
      <c r="BD998" s="668"/>
      <c r="BE998" s="668"/>
      <c r="BF998" s="668"/>
      <c r="BG998" s="668"/>
      <c r="BH998" s="668"/>
      <c r="BI998" s="668"/>
    </row>
    <row r="999" spans="1:61" x14ac:dyDescent="0.2">
      <c r="A999" s="1021">
        <v>5121</v>
      </c>
      <c r="B999" s="1021" t="s">
        <v>465</v>
      </c>
      <c r="C999" s="1021"/>
      <c r="D999" s="667">
        <v>51</v>
      </c>
      <c r="E999" s="667"/>
      <c r="F999" s="667">
        <v>60</v>
      </c>
      <c r="G999" s="667"/>
      <c r="H999" s="667"/>
      <c r="I999" s="667"/>
      <c r="J999" s="667"/>
      <c r="K999" s="667"/>
      <c r="L999" s="667"/>
      <c r="M999" s="667"/>
      <c r="N999" s="667"/>
      <c r="O999" s="667"/>
      <c r="P999" s="667"/>
      <c r="Q999" s="667"/>
      <c r="R999" s="667"/>
      <c r="S999" s="667"/>
      <c r="T999" s="667"/>
      <c r="U999" s="1021">
        <v>10</v>
      </c>
      <c r="V999" s="668">
        <f t="shared" si="337"/>
        <v>510</v>
      </c>
      <c r="W999" s="668">
        <f t="shared" si="338"/>
        <v>0</v>
      </c>
      <c r="X999" s="668">
        <f t="shared" si="339"/>
        <v>0</v>
      </c>
      <c r="Y999" s="668">
        <f t="shared" si="340"/>
        <v>0</v>
      </c>
      <c r="Z999" s="668">
        <f t="shared" si="341"/>
        <v>0</v>
      </c>
      <c r="AA999" s="668">
        <f t="shared" si="342"/>
        <v>0</v>
      </c>
      <c r="AB999" s="668">
        <f t="shared" si="343"/>
        <v>0</v>
      </c>
      <c r="AC999" s="668">
        <f t="shared" si="305"/>
        <v>0</v>
      </c>
      <c r="AD999" s="668">
        <f t="shared" si="344"/>
        <v>0</v>
      </c>
      <c r="AE999" s="668">
        <f t="shared" si="345"/>
        <v>0</v>
      </c>
      <c r="AF999" s="668">
        <f t="shared" si="346"/>
        <v>0</v>
      </c>
      <c r="AG999" s="668">
        <f t="shared" si="347"/>
        <v>0</v>
      </c>
      <c r="AH999" s="668"/>
      <c r="AI999" s="668"/>
      <c r="AJ999" s="668"/>
      <c r="AK999" s="668"/>
      <c r="AL999" s="668"/>
      <c r="AM999" s="668">
        <f t="shared" si="335"/>
        <v>0</v>
      </c>
      <c r="AN999" s="668">
        <f t="shared" si="301"/>
        <v>0</v>
      </c>
      <c r="AO999" s="668">
        <f t="shared" si="302"/>
        <v>0</v>
      </c>
      <c r="AP999" s="668">
        <f t="shared" si="336"/>
        <v>600</v>
      </c>
      <c r="AQ999" s="668">
        <f t="shared" si="303"/>
        <v>0</v>
      </c>
      <c r="AR999" s="668">
        <f t="shared" si="304"/>
        <v>0</v>
      </c>
      <c r="AS999" s="668"/>
      <c r="AT999" s="668"/>
      <c r="AU999" s="668"/>
      <c r="AV999" s="668"/>
      <c r="AW999" s="668"/>
      <c r="AX999" s="668"/>
      <c r="AY999" s="668"/>
      <c r="AZ999" s="668"/>
      <c r="BA999" s="668"/>
      <c r="BB999" s="668"/>
      <c r="BC999" s="668"/>
      <c r="BD999" s="668"/>
      <c r="BE999" s="668"/>
      <c r="BF999" s="668"/>
      <c r="BG999" s="668"/>
      <c r="BH999" s="668"/>
      <c r="BI999" s="668"/>
    </row>
    <row r="1000" spans="1:61" x14ac:dyDescent="0.2">
      <c r="A1000" s="1021">
        <v>5122</v>
      </c>
      <c r="B1000" s="1021" t="s">
        <v>624</v>
      </c>
      <c r="C1000" s="1021"/>
      <c r="D1000" s="667">
        <v>35</v>
      </c>
      <c r="E1000" s="667"/>
      <c r="F1000" s="667">
        <v>15</v>
      </c>
      <c r="G1000" s="667"/>
      <c r="H1000" s="667"/>
      <c r="I1000" s="667"/>
      <c r="J1000" s="667"/>
      <c r="K1000" s="667"/>
      <c r="L1000" s="667"/>
      <c r="M1000" s="667"/>
      <c r="N1000" s="667"/>
      <c r="O1000" s="667"/>
      <c r="P1000" s="667"/>
      <c r="Q1000" s="667"/>
      <c r="R1000" s="667"/>
      <c r="S1000" s="667"/>
      <c r="T1000" s="667"/>
      <c r="U1000" s="1021">
        <v>10</v>
      </c>
      <c r="V1000" s="668">
        <f t="shared" si="337"/>
        <v>350</v>
      </c>
      <c r="W1000" s="668">
        <f t="shared" si="338"/>
        <v>0</v>
      </c>
      <c r="X1000" s="668">
        <f t="shared" si="339"/>
        <v>0</v>
      </c>
      <c r="Y1000" s="668">
        <f t="shared" si="340"/>
        <v>0</v>
      </c>
      <c r="Z1000" s="668">
        <f t="shared" si="341"/>
        <v>0</v>
      </c>
      <c r="AA1000" s="668">
        <f t="shared" si="342"/>
        <v>0</v>
      </c>
      <c r="AB1000" s="668">
        <f t="shared" si="343"/>
        <v>0</v>
      </c>
      <c r="AC1000" s="668">
        <f t="shared" si="305"/>
        <v>0</v>
      </c>
      <c r="AD1000" s="668">
        <f t="shared" si="344"/>
        <v>0</v>
      </c>
      <c r="AE1000" s="668">
        <f t="shared" si="345"/>
        <v>0</v>
      </c>
      <c r="AF1000" s="668">
        <f t="shared" si="346"/>
        <v>0</v>
      </c>
      <c r="AG1000" s="668">
        <f t="shared" si="347"/>
        <v>0</v>
      </c>
      <c r="AH1000" s="668"/>
      <c r="AI1000" s="668"/>
      <c r="AJ1000" s="668"/>
      <c r="AK1000" s="668"/>
      <c r="AL1000" s="668"/>
      <c r="AM1000" s="668">
        <f t="shared" si="335"/>
        <v>0</v>
      </c>
      <c r="AN1000" s="668">
        <f t="shared" si="301"/>
        <v>0</v>
      </c>
      <c r="AO1000" s="668">
        <f t="shared" si="302"/>
        <v>0</v>
      </c>
      <c r="AP1000" s="668">
        <f t="shared" si="336"/>
        <v>150</v>
      </c>
      <c r="AQ1000" s="668">
        <f t="shared" si="303"/>
        <v>0</v>
      </c>
      <c r="AR1000" s="668">
        <f t="shared" si="304"/>
        <v>0</v>
      </c>
      <c r="AS1000" s="668"/>
      <c r="AT1000" s="668"/>
      <c r="AU1000" s="668"/>
      <c r="AV1000" s="668"/>
      <c r="AW1000" s="668"/>
      <c r="AX1000" s="668"/>
      <c r="AY1000" s="668"/>
      <c r="AZ1000" s="668"/>
      <c r="BA1000" s="668"/>
      <c r="BB1000" s="668">
        <f t="shared" si="334"/>
        <v>150</v>
      </c>
      <c r="BC1000" s="668"/>
      <c r="BD1000" s="668"/>
      <c r="BE1000" s="668"/>
      <c r="BF1000" s="668"/>
      <c r="BG1000" s="668"/>
      <c r="BH1000" s="668"/>
      <c r="BI1000" s="668"/>
    </row>
    <row r="1001" spans="1:61" x14ac:dyDescent="0.2">
      <c r="A1001" s="1021">
        <v>5123</v>
      </c>
      <c r="B1001" s="1021" t="s">
        <v>519</v>
      </c>
      <c r="C1001" s="1021"/>
      <c r="D1001" s="667">
        <v>35</v>
      </c>
      <c r="E1001" s="667"/>
      <c r="F1001" s="667">
        <v>15</v>
      </c>
      <c r="G1001" s="667"/>
      <c r="H1001" s="667"/>
      <c r="I1001" s="667"/>
      <c r="J1001" s="667"/>
      <c r="K1001" s="667"/>
      <c r="L1001" s="667"/>
      <c r="M1001" s="667"/>
      <c r="N1001" s="667"/>
      <c r="O1001" s="667"/>
      <c r="P1001" s="667"/>
      <c r="Q1001" s="667"/>
      <c r="R1001" s="667"/>
      <c r="S1001" s="667"/>
      <c r="T1001" s="667">
        <v>150</v>
      </c>
      <c r="U1001" s="1021">
        <v>12</v>
      </c>
      <c r="V1001" s="668">
        <f t="shared" si="337"/>
        <v>420</v>
      </c>
      <c r="W1001" s="668">
        <f t="shared" si="338"/>
        <v>0</v>
      </c>
      <c r="X1001" s="668">
        <f t="shared" si="339"/>
        <v>0</v>
      </c>
      <c r="Y1001" s="668">
        <f t="shared" si="340"/>
        <v>0</v>
      </c>
      <c r="Z1001" s="668">
        <f t="shared" si="341"/>
        <v>0</v>
      </c>
      <c r="AA1001" s="668">
        <f t="shared" si="342"/>
        <v>0</v>
      </c>
      <c r="AB1001" s="668">
        <f t="shared" si="343"/>
        <v>150</v>
      </c>
      <c r="AC1001" s="668">
        <f t="shared" si="305"/>
        <v>0</v>
      </c>
      <c r="AD1001" s="668">
        <f t="shared" si="344"/>
        <v>0</v>
      </c>
      <c r="AE1001" s="668">
        <f t="shared" si="345"/>
        <v>0</v>
      </c>
      <c r="AF1001" s="668">
        <f t="shared" si="346"/>
        <v>0</v>
      </c>
      <c r="AG1001" s="668">
        <f t="shared" si="347"/>
        <v>0</v>
      </c>
      <c r="AH1001" s="668"/>
      <c r="AI1001" s="668"/>
      <c r="AJ1001" s="668"/>
      <c r="AK1001" s="668"/>
      <c r="AL1001" s="668"/>
      <c r="AM1001" s="668">
        <f t="shared" si="335"/>
        <v>0</v>
      </c>
      <c r="AN1001" s="668">
        <f t="shared" si="301"/>
        <v>0</v>
      </c>
      <c r="AO1001" s="668">
        <f t="shared" si="302"/>
        <v>0</v>
      </c>
      <c r="AP1001" s="668">
        <f t="shared" si="336"/>
        <v>180</v>
      </c>
      <c r="AQ1001" s="668">
        <f t="shared" si="303"/>
        <v>0</v>
      </c>
      <c r="AR1001" s="668">
        <f t="shared" si="304"/>
        <v>0</v>
      </c>
      <c r="AS1001" s="668"/>
      <c r="AT1001" s="668"/>
      <c r="AU1001" s="668"/>
      <c r="AV1001" s="668"/>
      <c r="AW1001" s="668"/>
      <c r="AX1001" s="668"/>
      <c r="AY1001" s="668"/>
      <c r="AZ1001" s="668"/>
      <c r="BA1001" s="668"/>
      <c r="BB1001" s="668">
        <f t="shared" si="334"/>
        <v>180</v>
      </c>
      <c r="BC1001" s="668"/>
      <c r="BD1001" s="668"/>
      <c r="BE1001" s="668"/>
      <c r="BF1001" s="668"/>
      <c r="BG1001" s="668"/>
      <c r="BH1001" s="668"/>
      <c r="BI1001" s="668"/>
    </row>
    <row r="1002" spans="1:61" x14ac:dyDescent="0.2">
      <c r="A1002" s="1021">
        <v>5124</v>
      </c>
      <c r="B1002" s="1021" t="s">
        <v>579</v>
      </c>
      <c r="C1002" s="1021"/>
      <c r="D1002" s="667">
        <v>46</v>
      </c>
      <c r="E1002" s="667"/>
      <c r="F1002" s="667"/>
      <c r="G1002" s="667"/>
      <c r="H1002" s="667"/>
      <c r="I1002" s="667"/>
      <c r="J1002" s="667"/>
      <c r="K1002" s="667"/>
      <c r="L1002" s="667"/>
      <c r="M1002" s="667"/>
      <c r="N1002" s="667"/>
      <c r="O1002" s="667"/>
      <c r="P1002" s="667"/>
      <c r="Q1002" s="667"/>
      <c r="R1002" s="667"/>
      <c r="S1002" s="667"/>
      <c r="T1002" s="667"/>
      <c r="U1002" s="1021">
        <v>12</v>
      </c>
      <c r="V1002" s="668">
        <f t="shared" si="337"/>
        <v>552</v>
      </c>
      <c r="W1002" s="668">
        <f t="shared" si="338"/>
        <v>0</v>
      </c>
      <c r="X1002" s="668">
        <f t="shared" si="339"/>
        <v>0</v>
      </c>
      <c r="Y1002" s="668">
        <f t="shared" si="340"/>
        <v>0</v>
      </c>
      <c r="Z1002" s="668">
        <f t="shared" si="341"/>
        <v>0</v>
      </c>
      <c r="AA1002" s="668">
        <f t="shared" si="342"/>
        <v>0</v>
      </c>
      <c r="AB1002" s="668">
        <f t="shared" si="343"/>
        <v>0</v>
      </c>
      <c r="AC1002" s="668">
        <f t="shared" si="305"/>
        <v>0</v>
      </c>
      <c r="AD1002" s="668">
        <f t="shared" si="344"/>
        <v>0</v>
      </c>
      <c r="AE1002" s="668">
        <f t="shared" si="345"/>
        <v>0</v>
      </c>
      <c r="AF1002" s="668">
        <f t="shared" si="346"/>
        <v>0</v>
      </c>
      <c r="AG1002" s="668">
        <f t="shared" si="347"/>
        <v>0</v>
      </c>
      <c r="AH1002" s="668"/>
      <c r="AI1002" s="668"/>
      <c r="AJ1002" s="668"/>
      <c r="AK1002" s="668"/>
      <c r="AL1002" s="668"/>
      <c r="AM1002" s="668">
        <f t="shared" si="335"/>
        <v>0</v>
      </c>
      <c r="AN1002" s="668">
        <f t="shared" si="301"/>
        <v>0</v>
      </c>
      <c r="AO1002" s="668">
        <f t="shared" si="302"/>
        <v>0</v>
      </c>
      <c r="AP1002" s="668">
        <f t="shared" si="336"/>
        <v>0</v>
      </c>
      <c r="AQ1002" s="668">
        <f t="shared" si="303"/>
        <v>0</v>
      </c>
      <c r="AR1002" s="668">
        <f t="shared" si="304"/>
        <v>0</v>
      </c>
      <c r="AS1002" s="668"/>
      <c r="AT1002" s="668"/>
      <c r="AU1002" s="668"/>
      <c r="AV1002" s="668"/>
      <c r="AW1002" s="668"/>
      <c r="AX1002" s="668"/>
      <c r="AY1002" s="668"/>
      <c r="AZ1002" s="668"/>
      <c r="BA1002" s="668"/>
      <c r="BB1002" s="668">
        <f t="shared" si="334"/>
        <v>0</v>
      </c>
      <c r="BC1002" s="668"/>
      <c r="BD1002" s="668"/>
      <c r="BE1002" s="668"/>
      <c r="BF1002" s="668"/>
      <c r="BG1002" s="668"/>
      <c r="BH1002" s="668"/>
      <c r="BI1002" s="668"/>
    </row>
    <row r="1003" spans="1:61" x14ac:dyDescent="0.2">
      <c r="A1003" s="1021">
        <v>5125</v>
      </c>
      <c r="B1003" s="1021" t="s">
        <v>476</v>
      </c>
      <c r="C1003" s="1021"/>
      <c r="D1003" s="667">
        <v>50</v>
      </c>
      <c r="E1003" s="667"/>
      <c r="F1003" s="667"/>
      <c r="G1003" s="667"/>
      <c r="H1003" s="667"/>
      <c r="I1003" s="667"/>
      <c r="J1003" s="667"/>
      <c r="K1003" s="667"/>
      <c r="L1003" s="667"/>
      <c r="M1003" s="667"/>
      <c r="N1003" s="667"/>
      <c r="O1003" s="667"/>
      <c r="P1003" s="667"/>
      <c r="Q1003" s="667"/>
      <c r="R1003" s="667"/>
      <c r="S1003" s="667"/>
      <c r="T1003" s="667"/>
      <c r="U1003" s="1021">
        <v>12</v>
      </c>
      <c r="V1003" s="668">
        <f t="shared" si="337"/>
        <v>600</v>
      </c>
      <c r="W1003" s="668">
        <f t="shared" si="338"/>
        <v>0</v>
      </c>
      <c r="X1003" s="668">
        <f t="shared" si="339"/>
        <v>0</v>
      </c>
      <c r="Y1003" s="668">
        <f t="shared" si="340"/>
        <v>0</v>
      </c>
      <c r="Z1003" s="668">
        <f t="shared" si="341"/>
        <v>0</v>
      </c>
      <c r="AA1003" s="668">
        <f t="shared" si="342"/>
        <v>0</v>
      </c>
      <c r="AB1003" s="668">
        <f t="shared" si="343"/>
        <v>0</v>
      </c>
      <c r="AC1003" s="668">
        <f t="shared" si="305"/>
        <v>0</v>
      </c>
      <c r="AD1003" s="668">
        <f t="shared" si="344"/>
        <v>0</v>
      </c>
      <c r="AE1003" s="668">
        <f t="shared" si="345"/>
        <v>0</v>
      </c>
      <c r="AF1003" s="668">
        <f t="shared" si="346"/>
        <v>0</v>
      </c>
      <c r="AG1003" s="668">
        <f t="shared" si="347"/>
        <v>0</v>
      </c>
      <c r="AH1003" s="668"/>
      <c r="AI1003" s="668"/>
      <c r="AJ1003" s="668"/>
      <c r="AK1003" s="668"/>
      <c r="AL1003" s="668"/>
      <c r="AM1003" s="668">
        <f t="shared" si="335"/>
        <v>0</v>
      </c>
      <c r="AN1003" s="668">
        <f t="shared" si="301"/>
        <v>0</v>
      </c>
      <c r="AO1003" s="668">
        <f t="shared" si="302"/>
        <v>0</v>
      </c>
      <c r="AP1003" s="668">
        <f t="shared" si="336"/>
        <v>0</v>
      </c>
      <c r="AQ1003" s="668">
        <f t="shared" si="303"/>
        <v>0</v>
      </c>
      <c r="AR1003" s="668">
        <f t="shared" si="304"/>
        <v>0</v>
      </c>
      <c r="AS1003" s="668"/>
      <c r="AT1003" s="668"/>
      <c r="AU1003" s="668"/>
      <c r="AV1003" s="668"/>
      <c r="AW1003" s="668"/>
      <c r="AX1003" s="668"/>
      <c r="AY1003" s="668"/>
      <c r="AZ1003" s="668"/>
      <c r="BA1003" s="668"/>
      <c r="BB1003" s="668">
        <f t="shared" si="334"/>
        <v>0</v>
      </c>
      <c r="BC1003" s="668"/>
      <c r="BD1003" s="668"/>
      <c r="BE1003" s="668"/>
      <c r="BF1003" s="668"/>
      <c r="BG1003" s="668"/>
      <c r="BH1003" s="668"/>
      <c r="BI1003" s="668"/>
    </row>
    <row r="1004" spans="1:61" x14ac:dyDescent="0.2">
      <c r="A1004" s="1021">
        <v>5126</v>
      </c>
      <c r="B1004" s="1021" t="s">
        <v>517</v>
      </c>
      <c r="C1004" s="1021"/>
      <c r="D1004" s="667">
        <v>52</v>
      </c>
      <c r="E1004" s="667"/>
      <c r="F1004" s="667"/>
      <c r="G1004" s="667"/>
      <c r="H1004" s="667"/>
      <c r="I1004" s="667"/>
      <c r="J1004" s="667"/>
      <c r="K1004" s="667"/>
      <c r="L1004" s="667"/>
      <c r="M1004" s="667"/>
      <c r="N1004" s="667"/>
      <c r="O1004" s="667"/>
      <c r="P1004" s="667"/>
      <c r="Q1004" s="667"/>
      <c r="R1004" s="667"/>
      <c r="S1004" s="667"/>
      <c r="T1004" s="667"/>
      <c r="U1004" s="1021">
        <v>12</v>
      </c>
      <c r="V1004" s="668">
        <f t="shared" si="337"/>
        <v>624</v>
      </c>
      <c r="W1004" s="668">
        <f t="shared" si="338"/>
        <v>0</v>
      </c>
      <c r="X1004" s="668">
        <f t="shared" si="339"/>
        <v>0</v>
      </c>
      <c r="Y1004" s="668">
        <f t="shared" si="340"/>
        <v>0</v>
      </c>
      <c r="Z1004" s="668">
        <f t="shared" si="341"/>
        <v>0</v>
      </c>
      <c r="AA1004" s="668">
        <f t="shared" si="342"/>
        <v>0</v>
      </c>
      <c r="AB1004" s="668">
        <f t="shared" si="343"/>
        <v>0</v>
      </c>
      <c r="AC1004" s="668">
        <f t="shared" si="305"/>
        <v>0</v>
      </c>
      <c r="AD1004" s="668">
        <f t="shared" si="344"/>
        <v>0</v>
      </c>
      <c r="AE1004" s="668">
        <f t="shared" si="345"/>
        <v>0</v>
      </c>
      <c r="AF1004" s="668">
        <f t="shared" si="346"/>
        <v>0</v>
      </c>
      <c r="AG1004" s="668">
        <f t="shared" si="347"/>
        <v>0</v>
      </c>
      <c r="AH1004" s="668"/>
      <c r="AI1004" s="668"/>
      <c r="AJ1004" s="668"/>
      <c r="AK1004" s="668"/>
      <c r="AL1004" s="668"/>
      <c r="AM1004" s="668">
        <f t="shared" si="335"/>
        <v>0</v>
      </c>
      <c r="AN1004" s="668">
        <f t="shared" si="301"/>
        <v>0</v>
      </c>
      <c r="AO1004" s="668">
        <f t="shared" si="302"/>
        <v>0</v>
      </c>
      <c r="AP1004" s="668">
        <f t="shared" si="336"/>
        <v>0</v>
      </c>
      <c r="AQ1004" s="668">
        <f t="shared" si="303"/>
        <v>0</v>
      </c>
      <c r="AR1004" s="668">
        <f t="shared" si="304"/>
        <v>0</v>
      </c>
      <c r="AS1004" s="668"/>
      <c r="AT1004" s="668"/>
      <c r="AU1004" s="668"/>
      <c r="AV1004" s="668"/>
      <c r="AW1004" s="668"/>
      <c r="AX1004" s="668"/>
      <c r="AY1004" s="668"/>
      <c r="AZ1004" s="668"/>
      <c r="BA1004" s="668"/>
      <c r="BB1004" s="668">
        <f t="shared" si="334"/>
        <v>0</v>
      </c>
      <c r="BC1004" s="668"/>
      <c r="BD1004" s="668"/>
      <c r="BE1004" s="668"/>
      <c r="BF1004" s="668"/>
      <c r="BG1004" s="668"/>
      <c r="BH1004" s="668"/>
      <c r="BI1004" s="668"/>
    </row>
    <row r="1005" spans="1:61" x14ac:dyDescent="0.2">
      <c r="A1005" s="1021">
        <v>5127</v>
      </c>
      <c r="B1005" s="1021" t="s">
        <v>684</v>
      </c>
      <c r="C1005" s="1021"/>
      <c r="D1005" s="667">
        <v>42</v>
      </c>
      <c r="E1005" s="667"/>
      <c r="F1005" s="667">
        <v>42</v>
      </c>
      <c r="G1005" s="667"/>
      <c r="H1005" s="667"/>
      <c r="I1005" s="667"/>
      <c r="J1005" s="667"/>
      <c r="K1005" s="667"/>
      <c r="L1005" s="667"/>
      <c r="M1005" s="667"/>
      <c r="N1005" s="667"/>
      <c r="O1005" s="667"/>
      <c r="P1005" s="667"/>
      <c r="Q1005" s="667"/>
      <c r="R1005" s="667"/>
      <c r="S1005" s="667"/>
      <c r="T1005" s="667"/>
      <c r="U1005" s="1021">
        <v>10</v>
      </c>
      <c r="V1005" s="668">
        <f t="shared" si="337"/>
        <v>420</v>
      </c>
      <c r="W1005" s="668">
        <f t="shared" si="338"/>
        <v>0</v>
      </c>
      <c r="X1005" s="668">
        <f t="shared" si="339"/>
        <v>0</v>
      </c>
      <c r="Y1005" s="668">
        <f t="shared" si="340"/>
        <v>0</v>
      </c>
      <c r="Z1005" s="668">
        <f t="shared" si="341"/>
        <v>0</v>
      </c>
      <c r="AA1005" s="668">
        <f t="shared" si="342"/>
        <v>0</v>
      </c>
      <c r="AB1005" s="668">
        <f t="shared" si="343"/>
        <v>0</v>
      </c>
      <c r="AC1005" s="668">
        <f t="shared" si="305"/>
        <v>0</v>
      </c>
      <c r="AD1005" s="668">
        <f t="shared" si="344"/>
        <v>0</v>
      </c>
      <c r="AE1005" s="668">
        <f t="shared" si="345"/>
        <v>0</v>
      </c>
      <c r="AF1005" s="668">
        <f t="shared" si="346"/>
        <v>0</v>
      </c>
      <c r="AG1005" s="668">
        <f t="shared" si="347"/>
        <v>0</v>
      </c>
      <c r="AH1005" s="668"/>
      <c r="AI1005" s="668"/>
      <c r="AJ1005" s="668"/>
      <c r="AK1005" s="668"/>
      <c r="AL1005" s="668"/>
      <c r="AM1005" s="668">
        <f t="shared" si="335"/>
        <v>0</v>
      </c>
      <c r="AN1005" s="668">
        <f t="shared" si="301"/>
        <v>0</v>
      </c>
      <c r="AO1005" s="668">
        <f t="shared" si="302"/>
        <v>0</v>
      </c>
      <c r="AP1005" s="668">
        <f t="shared" si="336"/>
        <v>420</v>
      </c>
      <c r="AQ1005" s="668">
        <f t="shared" si="303"/>
        <v>0</v>
      </c>
      <c r="AR1005" s="668">
        <f t="shared" si="304"/>
        <v>0</v>
      </c>
      <c r="AS1005" s="668"/>
      <c r="AT1005" s="668"/>
      <c r="AU1005" s="668"/>
      <c r="AV1005" s="668"/>
      <c r="AW1005" s="668"/>
      <c r="AX1005" s="668"/>
      <c r="AY1005" s="668"/>
      <c r="AZ1005" s="668"/>
      <c r="BA1005" s="668"/>
      <c r="BB1005" s="668"/>
      <c r="BC1005" s="668"/>
      <c r="BD1005" s="668"/>
      <c r="BE1005" s="668"/>
      <c r="BF1005" s="668"/>
      <c r="BG1005" s="668"/>
      <c r="BH1005" s="668"/>
      <c r="BI1005" s="668"/>
    </row>
    <row r="1006" spans="1:61" x14ac:dyDescent="0.2">
      <c r="A1006" s="1021" t="s">
        <v>824</v>
      </c>
      <c r="B1006" s="1021" t="s">
        <v>516</v>
      </c>
      <c r="C1006" s="1021"/>
      <c r="D1006" s="667">
        <v>32</v>
      </c>
      <c r="E1006" s="667"/>
      <c r="F1006" s="667">
        <v>32</v>
      </c>
      <c r="G1006" s="667"/>
      <c r="H1006" s="667"/>
      <c r="I1006" s="667"/>
      <c r="J1006" s="667"/>
      <c r="K1006" s="667"/>
      <c r="L1006" s="667"/>
      <c r="M1006" s="667"/>
      <c r="N1006" s="667"/>
      <c r="O1006" s="667"/>
      <c r="P1006" s="667"/>
      <c r="Q1006" s="667"/>
      <c r="R1006" s="667"/>
      <c r="S1006" s="667"/>
      <c r="T1006" s="667"/>
      <c r="U1006" s="1021">
        <v>10</v>
      </c>
      <c r="V1006" s="668">
        <f t="shared" si="337"/>
        <v>320</v>
      </c>
      <c r="W1006" s="668">
        <f t="shared" si="338"/>
        <v>0</v>
      </c>
      <c r="X1006" s="668">
        <f t="shared" si="339"/>
        <v>0</v>
      </c>
      <c r="Y1006" s="668">
        <f t="shared" si="340"/>
        <v>0</v>
      </c>
      <c r="Z1006" s="668">
        <f t="shared" si="341"/>
        <v>0</v>
      </c>
      <c r="AA1006" s="668">
        <f t="shared" si="342"/>
        <v>0</v>
      </c>
      <c r="AB1006" s="668">
        <f t="shared" si="343"/>
        <v>0</v>
      </c>
      <c r="AC1006" s="668">
        <f t="shared" si="305"/>
        <v>0</v>
      </c>
      <c r="AD1006" s="668">
        <f t="shared" si="344"/>
        <v>0</v>
      </c>
      <c r="AE1006" s="668">
        <f t="shared" si="345"/>
        <v>0</v>
      </c>
      <c r="AF1006" s="668">
        <f t="shared" si="346"/>
        <v>0</v>
      </c>
      <c r="AG1006" s="668">
        <f t="shared" si="347"/>
        <v>0</v>
      </c>
      <c r="AH1006" s="668"/>
      <c r="AI1006" s="668"/>
      <c r="AJ1006" s="668"/>
      <c r="AK1006" s="668"/>
      <c r="AL1006" s="668"/>
      <c r="AM1006" s="668">
        <f t="shared" si="335"/>
        <v>0</v>
      </c>
      <c r="AN1006" s="668">
        <f t="shared" si="301"/>
        <v>0</v>
      </c>
      <c r="AO1006" s="668">
        <f t="shared" si="302"/>
        <v>0</v>
      </c>
      <c r="AP1006" s="668">
        <f t="shared" si="336"/>
        <v>320</v>
      </c>
      <c r="AQ1006" s="668">
        <f t="shared" si="303"/>
        <v>0</v>
      </c>
      <c r="AR1006" s="668">
        <f t="shared" si="304"/>
        <v>0</v>
      </c>
      <c r="AS1006" s="668"/>
      <c r="AT1006" s="668"/>
      <c r="AU1006" s="668"/>
      <c r="AV1006" s="668"/>
      <c r="AW1006" s="668"/>
      <c r="AX1006" s="668"/>
      <c r="AY1006" s="668"/>
      <c r="AZ1006" s="668"/>
      <c r="BA1006" s="668"/>
      <c r="BB1006" s="668"/>
      <c r="BC1006" s="668"/>
      <c r="BD1006" s="668"/>
      <c r="BE1006" s="668"/>
      <c r="BF1006" s="668"/>
      <c r="BG1006" s="668"/>
      <c r="BH1006" s="668"/>
      <c r="BI1006" s="668"/>
    </row>
    <row r="1007" spans="1:61" x14ac:dyDescent="0.2">
      <c r="A1007" s="1021" t="s">
        <v>825</v>
      </c>
      <c r="B1007" s="1021" t="s">
        <v>517</v>
      </c>
      <c r="C1007" s="1021"/>
      <c r="D1007" s="667">
        <v>50</v>
      </c>
      <c r="E1007" s="667"/>
      <c r="F1007" s="667"/>
      <c r="G1007" s="667"/>
      <c r="H1007" s="667"/>
      <c r="I1007" s="667"/>
      <c r="J1007" s="667"/>
      <c r="K1007" s="667"/>
      <c r="L1007" s="667"/>
      <c r="M1007" s="667"/>
      <c r="N1007" s="667"/>
      <c r="O1007" s="667"/>
      <c r="P1007" s="667"/>
      <c r="Q1007" s="667"/>
      <c r="R1007" s="667"/>
      <c r="S1007" s="667"/>
      <c r="T1007" s="667"/>
      <c r="U1007" s="1021">
        <v>12</v>
      </c>
      <c r="V1007" s="668">
        <f t="shared" si="337"/>
        <v>600</v>
      </c>
      <c r="W1007" s="668">
        <f t="shared" si="338"/>
        <v>0</v>
      </c>
      <c r="X1007" s="668">
        <f t="shared" si="339"/>
        <v>0</v>
      </c>
      <c r="Y1007" s="668">
        <f t="shared" si="340"/>
        <v>0</v>
      </c>
      <c r="Z1007" s="668">
        <f t="shared" si="341"/>
        <v>0</v>
      </c>
      <c r="AA1007" s="668">
        <f t="shared" si="342"/>
        <v>0</v>
      </c>
      <c r="AB1007" s="668">
        <f t="shared" si="343"/>
        <v>0</v>
      </c>
      <c r="AC1007" s="668">
        <f t="shared" si="305"/>
        <v>0</v>
      </c>
      <c r="AD1007" s="668">
        <f t="shared" si="344"/>
        <v>0</v>
      </c>
      <c r="AE1007" s="668">
        <f t="shared" si="345"/>
        <v>0</v>
      </c>
      <c r="AF1007" s="668">
        <f t="shared" si="346"/>
        <v>0</v>
      </c>
      <c r="AG1007" s="668">
        <f t="shared" si="347"/>
        <v>0</v>
      </c>
      <c r="AH1007" s="668"/>
      <c r="AI1007" s="668"/>
      <c r="AJ1007" s="668"/>
      <c r="AK1007" s="668"/>
      <c r="AL1007" s="668"/>
      <c r="AM1007" s="668">
        <f t="shared" si="335"/>
        <v>0</v>
      </c>
      <c r="AN1007" s="668">
        <f t="shared" si="301"/>
        <v>0</v>
      </c>
      <c r="AO1007" s="668">
        <f t="shared" si="302"/>
        <v>0</v>
      </c>
      <c r="AP1007" s="668">
        <f t="shared" si="336"/>
        <v>0</v>
      </c>
      <c r="AQ1007" s="668">
        <f t="shared" si="303"/>
        <v>0</v>
      </c>
      <c r="AR1007" s="668">
        <f t="shared" si="304"/>
        <v>0</v>
      </c>
      <c r="AS1007" s="668"/>
      <c r="AT1007" s="668"/>
      <c r="AU1007" s="668"/>
      <c r="AV1007" s="668"/>
      <c r="AW1007" s="668"/>
      <c r="AX1007" s="668"/>
      <c r="AY1007" s="668"/>
      <c r="AZ1007" s="668"/>
      <c r="BA1007" s="668"/>
      <c r="BB1007" s="668">
        <f t="shared" si="334"/>
        <v>0</v>
      </c>
      <c r="BC1007" s="668"/>
      <c r="BD1007" s="668"/>
      <c r="BE1007" s="668"/>
      <c r="BF1007" s="668"/>
      <c r="BG1007" s="668"/>
      <c r="BH1007" s="668"/>
      <c r="BI1007" s="668"/>
    </row>
    <row r="1008" spans="1:61" x14ac:dyDescent="0.2">
      <c r="A1008" s="1021">
        <v>5129</v>
      </c>
      <c r="B1008" s="1021" t="s">
        <v>624</v>
      </c>
      <c r="C1008" s="1021"/>
      <c r="D1008" s="667">
        <v>35</v>
      </c>
      <c r="E1008" s="667"/>
      <c r="F1008" s="667">
        <v>15</v>
      </c>
      <c r="G1008" s="667"/>
      <c r="H1008" s="667"/>
      <c r="I1008" s="667"/>
      <c r="J1008" s="667"/>
      <c r="K1008" s="667"/>
      <c r="L1008" s="667"/>
      <c r="M1008" s="667"/>
      <c r="N1008" s="667"/>
      <c r="O1008" s="667"/>
      <c r="P1008" s="667"/>
      <c r="Q1008" s="667"/>
      <c r="R1008" s="667"/>
      <c r="S1008" s="667"/>
      <c r="T1008" s="667"/>
      <c r="U1008" s="1021">
        <v>10</v>
      </c>
      <c r="V1008" s="668">
        <f t="shared" si="337"/>
        <v>350</v>
      </c>
      <c r="W1008" s="668">
        <f t="shared" si="338"/>
        <v>0</v>
      </c>
      <c r="X1008" s="668">
        <f t="shared" si="339"/>
        <v>0</v>
      </c>
      <c r="Y1008" s="668">
        <f t="shared" si="340"/>
        <v>0</v>
      </c>
      <c r="Z1008" s="668">
        <f t="shared" si="341"/>
        <v>0</v>
      </c>
      <c r="AA1008" s="668">
        <f t="shared" si="342"/>
        <v>0</v>
      </c>
      <c r="AB1008" s="668">
        <f t="shared" si="343"/>
        <v>0</v>
      </c>
      <c r="AC1008" s="668">
        <f t="shared" si="305"/>
        <v>0</v>
      </c>
      <c r="AD1008" s="668">
        <f t="shared" si="344"/>
        <v>0</v>
      </c>
      <c r="AE1008" s="668">
        <f t="shared" si="345"/>
        <v>0</v>
      </c>
      <c r="AF1008" s="668">
        <f t="shared" si="346"/>
        <v>0</v>
      </c>
      <c r="AG1008" s="668">
        <f t="shared" si="347"/>
        <v>0</v>
      </c>
      <c r="AH1008" s="668"/>
      <c r="AI1008" s="668"/>
      <c r="AJ1008" s="668"/>
      <c r="AK1008" s="668"/>
      <c r="AL1008" s="668"/>
      <c r="AM1008" s="668">
        <f t="shared" si="335"/>
        <v>0</v>
      </c>
      <c r="AN1008" s="668">
        <f t="shared" si="301"/>
        <v>0</v>
      </c>
      <c r="AO1008" s="668">
        <f t="shared" si="302"/>
        <v>0</v>
      </c>
      <c r="AP1008" s="668">
        <f t="shared" si="336"/>
        <v>150</v>
      </c>
      <c r="AQ1008" s="668">
        <f t="shared" si="303"/>
        <v>0</v>
      </c>
      <c r="AR1008" s="668">
        <f t="shared" si="304"/>
        <v>0</v>
      </c>
      <c r="AS1008" s="668"/>
      <c r="AT1008" s="668"/>
      <c r="AU1008" s="668"/>
      <c r="AV1008" s="668"/>
      <c r="AW1008" s="668"/>
      <c r="AX1008" s="668"/>
      <c r="AY1008" s="668"/>
      <c r="AZ1008" s="668"/>
      <c r="BA1008" s="668"/>
      <c r="BB1008" s="668">
        <f t="shared" si="334"/>
        <v>150</v>
      </c>
      <c r="BC1008" s="668"/>
      <c r="BD1008" s="668"/>
      <c r="BE1008" s="668"/>
      <c r="BF1008" s="668"/>
      <c r="BG1008" s="668"/>
      <c r="BH1008" s="668"/>
      <c r="BI1008" s="668"/>
    </row>
    <row r="1009" spans="1:61" x14ac:dyDescent="0.2">
      <c r="A1009" s="1021">
        <v>5130</v>
      </c>
      <c r="B1009" s="1021" t="s">
        <v>624</v>
      </c>
      <c r="C1009" s="1021"/>
      <c r="D1009" s="667">
        <v>35</v>
      </c>
      <c r="E1009" s="667"/>
      <c r="F1009" s="667">
        <v>15</v>
      </c>
      <c r="G1009" s="667"/>
      <c r="H1009" s="667"/>
      <c r="I1009" s="667"/>
      <c r="J1009" s="667"/>
      <c r="K1009" s="667"/>
      <c r="L1009" s="667"/>
      <c r="M1009" s="667"/>
      <c r="N1009" s="667"/>
      <c r="O1009" s="667"/>
      <c r="P1009" s="667"/>
      <c r="Q1009" s="667"/>
      <c r="R1009" s="667"/>
      <c r="S1009" s="667"/>
      <c r="T1009" s="667"/>
      <c r="U1009" s="1021">
        <v>10</v>
      </c>
      <c r="V1009" s="668">
        <f t="shared" si="337"/>
        <v>350</v>
      </c>
      <c r="W1009" s="668">
        <f t="shared" si="338"/>
        <v>0</v>
      </c>
      <c r="X1009" s="668">
        <f t="shared" si="339"/>
        <v>0</v>
      </c>
      <c r="Y1009" s="668">
        <f t="shared" si="340"/>
        <v>0</v>
      </c>
      <c r="Z1009" s="668">
        <f t="shared" si="341"/>
        <v>0</v>
      </c>
      <c r="AA1009" s="668">
        <f t="shared" si="342"/>
        <v>0</v>
      </c>
      <c r="AB1009" s="668">
        <f t="shared" si="343"/>
        <v>0</v>
      </c>
      <c r="AC1009" s="668">
        <f t="shared" si="305"/>
        <v>0</v>
      </c>
      <c r="AD1009" s="668">
        <f t="shared" si="344"/>
        <v>0</v>
      </c>
      <c r="AE1009" s="668">
        <f t="shared" si="345"/>
        <v>0</v>
      </c>
      <c r="AF1009" s="668">
        <f t="shared" si="346"/>
        <v>0</v>
      </c>
      <c r="AG1009" s="668">
        <f t="shared" si="347"/>
        <v>0</v>
      </c>
      <c r="AH1009" s="668"/>
      <c r="AI1009" s="668"/>
      <c r="AJ1009" s="668"/>
      <c r="AK1009" s="668"/>
      <c r="AL1009" s="668"/>
      <c r="AM1009" s="668">
        <f t="shared" si="335"/>
        <v>0</v>
      </c>
      <c r="AN1009" s="668">
        <f t="shared" si="301"/>
        <v>0</v>
      </c>
      <c r="AO1009" s="668">
        <f t="shared" si="302"/>
        <v>0</v>
      </c>
      <c r="AP1009" s="668">
        <f t="shared" si="336"/>
        <v>150</v>
      </c>
      <c r="AQ1009" s="668">
        <f t="shared" si="303"/>
        <v>0</v>
      </c>
      <c r="AR1009" s="668">
        <f t="shared" si="304"/>
        <v>0</v>
      </c>
      <c r="AS1009" s="668"/>
      <c r="AT1009" s="668"/>
      <c r="AU1009" s="668"/>
      <c r="AV1009" s="668"/>
      <c r="AW1009" s="668"/>
      <c r="AX1009" s="668"/>
      <c r="AY1009" s="668"/>
      <c r="AZ1009" s="668"/>
      <c r="BA1009" s="668"/>
      <c r="BB1009" s="668">
        <f t="shared" si="334"/>
        <v>150</v>
      </c>
      <c r="BC1009" s="668"/>
      <c r="BD1009" s="668"/>
      <c r="BE1009" s="668"/>
      <c r="BF1009" s="668"/>
      <c r="BG1009" s="668"/>
      <c r="BH1009" s="668"/>
      <c r="BI1009" s="668"/>
    </row>
    <row r="1010" spans="1:61" x14ac:dyDescent="0.2">
      <c r="A1010" s="1021">
        <v>5131</v>
      </c>
      <c r="B1010" s="1021" t="s">
        <v>517</v>
      </c>
      <c r="C1010" s="1021"/>
      <c r="D1010" s="667">
        <v>65</v>
      </c>
      <c r="E1010" s="667"/>
      <c r="F1010" s="667"/>
      <c r="G1010" s="667"/>
      <c r="H1010" s="667"/>
      <c r="I1010" s="667"/>
      <c r="J1010" s="667"/>
      <c r="K1010" s="667"/>
      <c r="L1010" s="667"/>
      <c r="M1010" s="667"/>
      <c r="N1010" s="667"/>
      <c r="O1010" s="667"/>
      <c r="P1010" s="667"/>
      <c r="Q1010" s="667"/>
      <c r="R1010" s="667"/>
      <c r="S1010" s="667"/>
      <c r="T1010" s="667"/>
      <c r="U1010" s="1021">
        <v>12</v>
      </c>
      <c r="V1010" s="668">
        <f t="shared" si="337"/>
        <v>780</v>
      </c>
      <c r="W1010" s="668">
        <f t="shared" si="338"/>
        <v>0</v>
      </c>
      <c r="X1010" s="668">
        <f t="shared" si="339"/>
        <v>0</v>
      </c>
      <c r="Y1010" s="668">
        <f t="shared" si="340"/>
        <v>0</v>
      </c>
      <c r="Z1010" s="668">
        <f t="shared" si="341"/>
        <v>0</v>
      </c>
      <c r="AA1010" s="668">
        <f t="shared" si="342"/>
        <v>0</v>
      </c>
      <c r="AB1010" s="668">
        <f t="shared" si="343"/>
        <v>0</v>
      </c>
      <c r="AC1010" s="668">
        <f t="shared" si="305"/>
        <v>0</v>
      </c>
      <c r="AD1010" s="668">
        <f t="shared" si="344"/>
        <v>0</v>
      </c>
      <c r="AE1010" s="668">
        <f t="shared" si="345"/>
        <v>0</v>
      </c>
      <c r="AF1010" s="668">
        <f t="shared" si="346"/>
        <v>0</v>
      </c>
      <c r="AG1010" s="668">
        <f t="shared" si="347"/>
        <v>0</v>
      </c>
      <c r="AH1010" s="668"/>
      <c r="AI1010" s="668"/>
      <c r="AJ1010" s="668"/>
      <c r="AK1010" s="668"/>
      <c r="AL1010" s="668"/>
      <c r="AM1010" s="668">
        <f t="shared" si="335"/>
        <v>0</v>
      </c>
      <c r="AN1010" s="668">
        <f t="shared" si="301"/>
        <v>0</v>
      </c>
      <c r="AO1010" s="668">
        <f t="shared" si="302"/>
        <v>0</v>
      </c>
      <c r="AP1010" s="668">
        <f t="shared" si="336"/>
        <v>0</v>
      </c>
      <c r="AQ1010" s="668">
        <f t="shared" si="303"/>
        <v>0</v>
      </c>
      <c r="AR1010" s="668">
        <f t="shared" si="304"/>
        <v>0</v>
      </c>
      <c r="AS1010" s="668"/>
      <c r="AT1010" s="668"/>
      <c r="AU1010" s="668"/>
      <c r="AV1010" s="668"/>
      <c r="AW1010" s="668"/>
      <c r="AX1010" s="668"/>
      <c r="AY1010" s="668"/>
      <c r="AZ1010" s="668"/>
      <c r="BA1010" s="668"/>
      <c r="BB1010" s="668">
        <f t="shared" si="334"/>
        <v>0</v>
      </c>
      <c r="BC1010" s="668"/>
      <c r="BD1010" s="668"/>
      <c r="BE1010" s="668"/>
      <c r="BF1010" s="668"/>
      <c r="BG1010" s="668"/>
      <c r="BH1010" s="668"/>
      <c r="BI1010" s="668"/>
    </row>
    <row r="1011" spans="1:61" x14ac:dyDescent="0.2">
      <c r="A1011" s="1021">
        <v>5132</v>
      </c>
      <c r="B1011" s="1021" t="s">
        <v>515</v>
      </c>
      <c r="C1011" s="1021"/>
      <c r="D1011" s="667">
        <v>55</v>
      </c>
      <c r="E1011" s="667"/>
      <c r="F1011" s="667">
        <v>34</v>
      </c>
      <c r="G1011" s="667"/>
      <c r="H1011" s="667"/>
      <c r="I1011" s="667"/>
      <c r="J1011" s="667"/>
      <c r="K1011" s="667"/>
      <c r="L1011" s="667"/>
      <c r="M1011" s="667"/>
      <c r="N1011" s="667"/>
      <c r="O1011" s="667"/>
      <c r="P1011" s="667"/>
      <c r="Q1011" s="667"/>
      <c r="R1011" s="667"/>
      <c r="S1011" s="667"/>
      <c r="T1011" s="667">
        <v>2000</v>
      </c>
      <c r="U1011" s="1033">
        <v>12</v>
      </c>
      <c r="V1011" s="668">
        <f t="shared" si="337"/>
        <v>660</v>
      </c>
      <c r="W1011" s="668">
        <f t="shared" si="338"/>
        <v>0</v>
      </c>
      <c r="X1011" s="668">
        <f t="shared" si="339"/>
        <v>0</v>
      </c>
      <c r="Y1011" s="668">
        <f t="shared" si="340"/>
        <v>0</v>
      </c>
      <c r="Z1011" s="668">
        <f t="shared" si="341"/>
        <v>0</v>
      </c>
      <c r="AA1011" s="668">
        <f t="shared" si="342"/>
        <v>0</v>
      </c>
      <c r="AB1011" s="668">
        <f t="shared" si="343"/>
        <v>2000</v>
      </c>
      <c r="AC1011" s="668">
        <f t="shared" si="305"/>
        <v>0</v>
      </c>
      <c r="AD1011" s="668">
        <f t="shared" si="344"/>
        <v>0</v>
      </c>
      <c r="AE1011" s="668">
        <f t="shared" si="345"/>
        <v>0</v>
      </c>
      <c r="AF1011" s="668">
        <f t="shared" si="346"/>
        <v>0</v>
      </c>
      <c r="AG1011" s="668">
        <f t="shared" si="347"/>
        <v>0</v>
      </c>
      <c r="AH1011" s="668"/>
      <c r="AI1011" s="668"/>
      <c r="AJ1011" s="668"/>
      <c r="AK1011" s="668"/>
      <c r="AL1011" s="668"/>
      <c r="AM1011" s="668">
        <f t="shared" si="335"/>
        <v>0</v>
      </c>
      <c r="AN1011" s="668">
        <f t="shared" si="301"/>
        <v>0</v>
      </c>
      <c r="AO1011" s="668">
        <f t="shared" si="302"/>
        <v>0</v>
      </c>
      <c r="AP1011" s="668">
        <f t="shared" si="336"/>
        <v>408</v>
      </c>
      <c r="AQ1011" s="668">
        <f t="shared" si="303"/>
        <v>0</v>
      </c>
      <c r="AR1011" s="668">
        <f t="shared" si="304"/>
        <v>0</v>
      </c>
      <c r="AS1011" s="668"/>
      <c r="AT1011" s="668"/>
      <c r="AU1011" s="668"/>
      <c r="AV1011" s="668"/>
      <c r="AW1011" s="668"/>
      <c r="AX1011" s="668"/>
      <c r="AY1011" s="668"/>
      <c r="AZ1011" s="668"/>
      <c r="BA1011" s="668"/>
      <c r="BB1011" s="668"/>
      <c r="BC1011" s="668"/>
      <c r="BD1011" s="668"/>
      <c r="BE1011" s="668"/>
      <c r="BF1011" s="668"/>
      <c r="BG1011" s="668"/>
      <c r="BH1011" s="668"/>
      <c r="BI1011" s="668"/>
    </row>
    <row r="1012" spans="1:61" x14ac:dyDescent="0.2">
      <c r="A1012" s="1021">
        <v>5133</v>
      </c>
      <c r="B1012" s="1021" t="s">
        <v>515</v>
      </c>
      <c r="C1012" s="1021"/>
      <c r="D1012" s="667">
        <v>118</v>
      </c>
      <c r="E1012" s="667"/>
      <c r="F1012" s="667">
        <v>55</v>
      </c>
      <c r="G1012" s="667"/>
      <c r="H1012" s="667"/>
      <c r="I1012" s="667"/>
      <c r="J1012" s="667"/>
      <c r="K1012" s="667"/>
      <c r="L1012" s="667"/>
      <c r="M1012" s="667"/>
      <c r="N1012" s="667"/>
      <c r="O1012" s="667"/>
      <c r="P1012" s="667"/>
      <c r="Q1012" s="667"/>
      <c r="R1012" s="667"/>
      <c r="S1012" s="667"/>
      <c r="T1012" s="667">
        <v>3000</v>
      </c>
      <c r="U1012" s="1033">
        <v>12</v>
      </c>
      <c r="V1012" s="668">
        <f t="shared" si="337"/>
        <v>1416</v>
      </c>
      <c r="W1012" s="668">
        <f t="shared" si="338"/>
        <v>0</v>
      </c>
      <c r="X1012" s="668">
        <f t="shared" si="339"/>
        <v>0</v>
      </c>
      <c r="Y1012" s="668">
        <f t="shared" si="340"/>
        <v>0</v>
      </c>
      <c r="Z1012" s="668">
        <f t="shared" si="341"/>
        <v>0</v>
      </c>
      <c r="AA1012" s="668">
        <f t="shared" si="342"/>
        <v>0</v>
      </c>
      <c r="AB1012" s="668">
        <f t="shared" si="343"/>
        <v>3000</v>
      </c>
      <c r="AC1012" s="668">
        <f t="shared" si="305"/>
        <v>0</v>
      </c>
      <c r="AD1012" s="668">
        <f t="shared" si="344"/>
        <v>0</v>
      </c>
      <c r="AE1012" s="668">
        <f t="shared" si="345"/>
        <v>0</v>
      </c>
      <c r="AF1012" s="668">
        <f t="shared" si="346"/>
        <v>0</v>
      </c>
      <c r="AG1012" s="668">
        <f t="shared" si="347"/>
        <v>0</v>
      </c>
      <c r="AH1012" s="668"/>
      <c r="AI1012" s="668"/>
      <c r="AJ1012" s="668"/>
      <c r="AK1012" s="668"/>
      <c r="AL1012" s="668"/>
      <c r="AM1012" s="668">
        <f t="shared" si="335"/>
        <v>0</v>
      </c>
      <c r="AN1012" s="668">
        <f t="shared" si="301"/>
        <v>0</v>
      </c>
      <c r="AO1012" s="668">
        <f t="shared" si="302"/>
        <v>0</v>
      </c>
      <c r="AP1012" s="668">
        <f t="shared" si="336"/>
        <v>660</v>
      </c>
      <c r="AQ1012" s="668">
        <f t="shared" si="303"/>
        <v>0</v>
      </c>
      <c r="AR1012" s="668">
        <f t="shared" si="304"/>
        <v>0</v>
      </c>
      <c r="AS1012" s="668"/>
      <c r="AT1012" s="668"/>
      <c r="AU1012" s="668"/>
      <c r="AV1012" s="668"/>
      <c r="AW1012" s="668"/>
      <c r="AX1012" s="668"/>
      <c r="AY1012" s="668"/>
      <c r="AZ1012" s="668"/>
      <c r="BA1012" s="668"/>
      <c r="BB1012" s="668"/>
      <c r="BC1012" s="668"/>
      <c r="BD1012" s="668"/>
      <c r="BE1012" s="668"/>
      <c r="BF1012" s="668"/>
      <c r="BG1012" s="668"/>
      <c r="BH1012" s="668"/>
      <c r="BI1012" s="668"/>
    </row>
    <row r="1013" spans="1:61" x14ac:dyDescent="0.2">
      <c r="A1013" s="1021">
        <v>5134</v>
      </c>
      <c r="B1013" s="1021" t="s">
        <v>519</v>
      </c>
      <c r="C1013" s="1021"/>
      <c r="D1013" s="667">
        <v>35</v>
      </c>
      <c r="E1013" s="667"/>
      <c r="F1013" s="667">
        <v>15</v>
      </c>
      <c r="G1013" s="667"/>
      <c r="H1013" s="667"/>
      <c r="I1013" s="667"/>
      <c r="J1013" s="667"/>
      <c r="K1013" s="667"/>
      <c r="L1013" s="667"/>
      <c r="M1013" s="667"/>
      <c r="N1013" s="667"/>
      <c r="O1013" s="667"/>
      <c r="P1013" s="667"/>
      <c r="Q1013" s="667"/>
      <c r="R1013" s="667"/>
      <c r="S1013" s="667"/>
      <c r="T1013" s="667">
        <v>150</v>
      </c>
      <c r="U1013" s="1033">
        <v>12</v>
      </c>
      <c r="V1013" s="668">
        <f t="shared" si="337"/>
        <v>420</v>
      </c>
      <c r="W1013" s="668">
        <f t="shared" si="338"/>
        <v>0</v>
      </c>
      <c r="X1013" s="668">
        <f t="shared" si="339"/>
        <v>0</v>
      </c>
      <c r="Y1013" s="668">
        <f t="shared" si="340"/>
        <v>0</v>
      </c>
      <c r="Z1013" s="668">
        <f t="shared" si="341"/>
        <v>0</v>
      </c>
      <c r="AA1013" s="668">
        <f t="shared" si="342"/>
        <v>0</v>
      </c>
      <c r="AB1013" s="668">
        <f t="shared" si="343"/>
        <v>150</v>
      </c>
      <c r="AC1013" s="668">
        <f t="shared" si="305"/>
        <v>0</v>
      </c>
      <c r="AD1013" s="668">
        <f t="shared" si="344"/>
        <v>0</v>
      </c>
      <c r="AE1013" s="668">
        <f t="shared" si="345"/>
        <v>0</v>
      </c>
      <c r="AF1013" s="668">
        <f t="shared" si="346"/>
        <v>0</v>
      </c>
      <c r="AG1013" s="668">
        <f t="shared" si="347"/>
        <v>0</v>
      </c>
      <c r="AH1013" s="668"/>
      <c r="AI1013" s="668"/>
      <c r="AJ1013" s="668"/>
      <c r="AK1013" s="668"/>
      <c r="AL1013" s="668"/>
      <c r="AM1013" s="668">
        <f t="shared" si="335"/>
        <v>0</v>
      </c>
      <c r="AN1013" s="668">
        <f t="shared" si="301"/>
        <v>0</v>
      </c>
      <c r="AO1013" s="668">
        <f t="shared" si="302"/>
        <v>0</v>
      </c>
      <c r="AP1013" s="668">
        <f t="shared" si="336"/>
        <v>180</v>
      </c>
      <c r="AQ1013" s="668">
        <f t="shared" si="303"/>
        <v>0</v>
      </c>
      <c r="AR1013" s="668">
        <f t="shared" si="304"/>
        <v>0</v>
      </c>
      <c r="AS1013" s="668"/>
      <c r="AT1013" s="668"/>
      <c r="AU1013" s="668"/>
      <c r="AV1013" s="668"/>
      <c r="AW1013" s="668"/>
      <c r="AX1013" s="668"/>
      <c r="AY1013" s="668"/>
      <c r="AZ1013" s="668"/>
      <c r="BA1013" s="668"/>
      <c r="BB1013" s="668">
        <f t="shared" si="334"/>
        <v>180</v>
      </c>
      <c r="BC1013" s="668"/>
      <c r="BD1013" s="668"/>
      <c r="BE1013" s="668"/>
      <c r="BF1013" s="668"/>
      <c r="BG1013" s="668"/>
      <c r="BH1013" s="668"/>
      <c r="BI1013" s="668"/>
    </row>
    <row r="1014" spans="1:61" x14ac:dyDescent="0.2">
      <c r="A1014" s="1021" t="s">
        <v>826</v>
      </c>
      <c r="B1014" s="1021" t="s">
        <v>747</v>
      </c>
      <c r="C1014" s="1021"/>
      <c r="D1014" s="667">
        <v>80</v>
      </c>
      <c r="E1014" s="667"/>
      <c r="F1014" s="667"/>
      <c r="G1014" s="667"/>
      <c r="H1014" s="667"/>
      <c r="I1014" s="667"/>
      <c r="J1014" s="667"/>
      <c r="K1014" s="667"/>
      <c r="L1014" s="667"/>
      <c r="M1014" s="667"/>
      <c r="N1014" s="667"/>
      <c r="O1014" s="667">
        <v>1</v>
      </c>
      <c r="P1014" s="667"/>
      <c r="Q1014" s="667"/>
      <c r="R1014" s="667"/>
      <c r="S1014" s="667"/>
      <c r="T1014" s="667"/>
      <c r="U1014" s="1033">
        <v>10</v>
      </c>
      <c r="V1014" s="668">
        <f t="shared" si="337"/>
        <v>800</v>
      </c>
      <c r="W1014" s="668">
        <f t="shared" si="338"/>
        <v>0</v>
      </c>
      <c r="X1014" s="668">
        <f t="shared" si="339"/>
        <v>0</v>
      </c>
      <c r="Y1014" s="668">
        <f t="shared" si="340"/>
        <v>0</v>
      </c>
      <c r="Z1014" s="668">
        <f t="shared" si="341"/>
        <v>0</v>
      </c>
      <c r="AA1014" s="668">
        <f t="shared" si="342"/>
        <v>0</v>
      </c>
      <c r="AB1014" s="668">
        <f t="shared" si="343"/>
        <v>0</v>
      </c>
      <c r="AC1014" s="668">
        <f t="shared" si="305"/>
        <v>0</v>
      </c>
      <c r="AD1014" s="668">
        <f t="shared" si="344"/>
        <v>0</v>
      </c>
      <c r="AE1014" s="668">
        <f t="shared" si="345"/>
        <v>0</v>
      </c>
      <c r="AF1014" s="668">
        <f t="shared" si="346"/>
        <v>0</v>
      </c>
      <c r="AG1014" s="668">
        <f t="shared" si="347"/>
        <v>0</v>
      </c>
      <c r="AH1014" s="668"/>
      <c r="AI1014" s="668"/>
      <c r="AJ1014" s="668"/>
      <c r="AK1014" s="668"/>
      <c r="AL1014" s="668"/>
      <c r="AM1014" s="668">
        <f t="shared" si="335"/>
        <v>0</v>
      </c>
      <c r="AN1014" s="668">
        <f t="shared" si="301"/>
        <v>0</v>
      </c>
      <c r="AO1014" s="668">
        <f t="shared" si="302"/>
        <v>10</v>
      </c>
      <c r="AP1014" s="668">
        <f t="shared" si="336"/>
        <v>0</v>
      </c>
      <c r="AQ1014" s="668">
        <f t="shared" si="303"/>
        <v>0</v>
      </c>
      <c r="AR1014" s="668">
        <f t="shared" si="304"/>
        <v>0</v>
      </c>
      <c r="AS1014" s="668"/>
      <c r="AT1014" s="668"/>
      <c r="AU1014" s="668"/>
      <c r="AV1014" s="668"/>
      <c r="AW1014" s="668"/>
      <c r="AX1014" s="668"/>
      <c r="AY1014" s="668"/>
      <c r="AZ1014" s="668"/>
      <c r="BA1014" s="668"/>
      <c r="BB1014" s="668">
        <f t="shared" si="334"/>
        <v>0</v>
      </c>
      <c r="BC1014" s="668"/>
      <c r="BD1014" s="668"/>
      <c r="BE1014" s="668"/>
      <c r="BF1014" s="668"/>
      <c r="BG1014" s="668"/>
      <c r="BH1014" s="668"/>
      <c r="BI1014" s="668"/>
    </row>
    <row r="1015" spans="1:61" x14ac:dyDescent="0.2">
      <c r="A1015" s="1021" t="s">
        <v>827</v>
      </c>
      <c r="B1015" s="1021" t="s">
        <v>696</v>
      </c>
      <c r="C1015" s="1021"/>
      <c r="D1015" s="667">
        <v>50</v>
      </c>
      <c r="E1015" s="667"/>
      <c r="F1015" s="667"/>
      <c r="G1015" s="667"/>
      <c r="H1015" s="667"/>
      <c r="I1015" s="667"/>
      <c r="J1015" s="667"/>
      <c r="K1015" s="667"/>
      <c r="L1015" s="667"/>
      <c r="M1015" s="667"/>
      <c r="N1015" s="667"/>
      <c r="O1015" s="667"/>
      <c r="P1015" s="667"/>
      <c r="Q1015" s="667"/>
      <c r="R1015" s="667"/>
      <c r="S1015" s="667"/>
      <c r="T1015" s="667"/>
      <c r="U1015" s="1033">
        <v>10</v>
      </c>
      <c r="V1015" s="668">
        <f t="shared" si="337"/>
        <v>500</v>
      </c>
      <c r="W1015" s="668">
        <f t="shared" si="338"/>
        <v>0</v>
      </c>
      <c r="X1015" s="668">
        <f t="shared" si="339"/>
        <v>0</v>
      </c>
      <c r="Y1015" s="668">
        <f t="shared" si="340"/>
        <v>0</v>
      </c>
      <c r="Z1015" s="668">
        <f t="shared" si="341"/>
        <v>0</v>
      </c>
      <c r="AA1015" s="668">
        <f t="shared" si="342"/>
        <v>0</v>
      </c>
      <c r="AB1015" s="668">
        <f t="shared" si="343"/>
        <v>0</v>
      </c>
      <c r="AC1015" s="668">
        <f t="shared" si="305"/>
        <v>0</v>
      </c>
      <c r="AD1015" s="668">
        <f t="shared" si="344"/>
        <v>0</v>
      </c>
      <c r="AE1015" s="668">
        <f t="shared" si="345"/>
        <v>0</v>
      </c>
      <c r="AF1015" s="668">
        <f t="shared" si="346"/>
        <v>0</v>
      </c>
      <c r="AG1015" s="668">
        <f t="shared" si="347"/>
        <v>0</v>
      </c>
      <c r="AH1015" s="668"/>
      <c r="AI1015" s="668"/>
      <c r="AJ1015" s="668"/>
      <c r="AK1015" s="668"/>
      <c r="AL1015" s="668"/>
      <c r="AM1015" s="668">
        <f t="shared" si="335"/>
        <v>0</v>
      </c>
      <c r="AN1015" s="668">
        <f t="shared" si="301"/>
        <v>0</v>
      </c>
      <c r="AO1015" s="668">
        <f t="shared" si="302"/>
        <v>0</v>
      </c>
      <c r="AP1015" s="668">
        <f t="shared" si="336"/>
        <v>0</v>
      </c>
      <c r="AQ1015" s="668">
        <f t="shared" si="303"/>
        <v>0</v>
      </c>
      <c r="AR1015" s="668">
        <f t="shared" si="304"/>
        <v>0</v>
      </c>
      <c r="AS1015" s="668"/>
      <c r="AT1015" s="668"/>
      <c r="AU1015" s="668"/>
      <c r="AV1015" s="668"/>
      <c r="AW1015" s="668"/>
      <c r="AX1015" s="668"/>
      <c r="AY1015" s="668"/>
      <c r="AZ1015" s="668"/>
      <c r="BA1015" s="668"/>
      <c r="BB1015" s="668">
        <f t="shared" si="334"/>
        <v>0</v>
      </c>
      <c r="BC1015" s="668"/>
      <c r="BD1015" s="668"/>
      <c r="BE1015" s="668"/>
      <c r="BF1015" s="668"/>
      <c r="BG1015" s="668"/>
      <c r="BH1015" s="668"/>
      <c r="BI1015" s="668"/>
    </row>
    <row r="1016" spans="1:61" x14ac:dyDescent="0.2">
      <c r="A1016" s="1021">
        <v>5136</v>
      </c>
      <c r="B1016" s="1021" t="s">
        <v>780</v>
      </c>
      <c r="C1016" s="1021"/>
      <c r="D1016" s="667">
        <v>80</v>
      </c>
      <c r="E1016" s="667"/>
      <c r="F1016" s="667"/>
      <c r="G1016" s="667"/>
      <c r="H1016" s="667"/>
      <c r="I1016" s="667"/>
      <c r="J1016" s="667"/>
      <c r="K1016" s="667"/>
      <c r="L1016" s="667"/>
      <c r="M1016" s="667"/>
      <c r="N1016" s="667"/>
      <c r="O1016" s="667"/>
      <c r="P1016" s="667"/>
      <c r="Q1016" s="667"/>
      <c r="R1016" s="667"/>
      <c r="S1016" s="667"/>
      <c r="T1016" s="667"/>
      <c r="U1016" s="1033">
        <v>10</v>
      </c>
      <c r="V1016" s="668">
        <f t="shared" si="337"/>
        <v>800</v>
      </c>
      <c r="W1016" s="668">
        <f t="shared" si="338"/>
        <v>0</v>
      </c>
      <c r="X1016" s="668">
        <f t="shared" si="339"/>
        <v>0</v>
      </c>
      <c r="Y1016" s="668">
        <f t="shared" si="340"/>
        <v>0</v>
      </c>
      <c r="Z1016" s="668">
        <f t="shared" si="341"/>
        <v>0</v>
      </c>
      <c r="AA1016" s="668">
        <f t="shared" si="342"/>
        <v>0</v>
      </c>
      <c r="AB1016" s="668">
        <f t="shared" si="343"/>
        <v>0</v>
      </c>
      <c r="AC1016" s="668">
        <f t="shared" si="305"/>
        <v>0</v>
      </c>
      <c r="AD1016" s="668">
        <f t="shared" si="344"/>
        <v>0</v>
      </c>
      <c r="AE1016" s="668">
        <f t="shared" si="345"/>
        <v>0</v>
      </c>
      <c r="AF1016" s="668">
        <f t="shared" si="346"/>
        <v>0</v>
      </c>
      <c r="AG1016" s="668">
        <f t="shared" si="347"/>
        <v>0</v>
      </c>
      <c r="AH1016" s="668"/>
      <c r="AI1016" s="668"/>
      <c r="AJ1016" s="668"/>
      <c r="AK1016" s="668"/>
      <c r="AL1016" s="668"/>
      <c r="AM1016" s="668">
        <f t="shared" si="335"/>
        <v>0</v>
      </c>
      <c r="AN1016" s="668">
        <f t="shared" si="301"/>
        <v>0</v>
      </c>
      <c r="AO1016" s="668">
        <f t="shared" si="302"/>
        <v>0</v>
      </c>
      <c r="AP1016" s="668">
        <f t="shared" si="336"/>
        <v>0</v>
      </c>
      <c r="AQ1016" s="668">
        <f t="shared" si="303"/>
        <v>0</v>
      </c>
      <c r="AR1016" s="668">
        <f t="shared" si="304"/>
        <v>0</v>
      </c>
      <c r="AS1016" s="668"/>
      <c r="AT1016" s="668"/>
      <c r="AU1016" s="668"/>
      <c r="AV1016" s="668"/>
      <c r="AW1016" s="668"/>
      <c r="AX1016" s="668"/>
      <c r="AY1016" s="668"/>
      <c r="AZ1016" s="668"/>
      <c r="BA1016" s="668"/>
      <c r="BB1016" s="668">
        <f t="shared" si="334"/>
        <v>0</v>
      </c>
      <c r="BC1016" s="668"/>
      <c r="BD1016" s="668"/>
      <c r="BE1016" s="668"/>
      <c r="BF1016" s="668"/>
      <c r="BG1016" s="668"/>
      <c r="BH1016" s="668"/>
      <c r="BI1016" s="668"/>
    </row>
    <row r="1017" spans="1:61" x14ac:dyDescent="0.2">
      <c r="A1017" s="1021">
        <v>5137</v>
      </c>
      <c r="B1017" s="1021" t="s">
        <v>517</v>
      </c>
      <c r="C1017" s="1021"/>
      <c r="D1017" s="667">
        <v>50</v>
      </c>
      <c r="E1017" s="667"/>
      <c r="F1017" s="667"/>
      <c r="G1017" s="667"/>
      <c r="H1017" s="667"/>
      <c r="I1017" s="667"/>
      <c r="J1017" s="667"/>
      <c r="K1017" s="667"/>
      <c r="L1017" s="667"/>
      <c r="M1017" s="667"/>
      <c r="N1017" s="667"/>
      <c r="O1017" s="667"/>
      <c r="P1017" s="667"/>
      <c r="Q1017" s="667"/>
      <c r="R1017" s="667"/>
      <c r="S1017" s="667"/>
      <c r="T1017" s="667"/>
      <c r="U1017" s="1033">
        <v>12</v>
      </c>
      <c r="V1017" s="668">
        <f t="shared" si="337"/>
        <v>600</v>
      </c>
      <c r="W1017" s="668">
        <f t="shared" si="338"/>
        <v>0</v>
      </c>
      <c r="X1017" s="668">
        <f t="shared" si="339"/>
        <v>0</v>
      </c>
      <c r="Y1017" s="668">
        <f t="shared" si="340"/>
        <v>0</v>
      </c>
      <c r="Z1017" s="668">
        <f t="shared" si="341"/>
        <v>0</v>
      </c>
      <c r="AA1017" s="668">
        <f t="shared" si="342"/>
        <v>0</v>
      </c>
      <c r="AB1017" s="668">
        <f t="shared" si="343"/>
        <v>0</v>
      </c>
      <c r="AC1017" s="668">
        <f t="shared" si="305"/>
        <v>0</v>
      </c>
      <c r="AD1017" s="668">
        <f t="shared" si="344"/>
        <v>0</v>
      </c>
      <c r="AE1017" s="668">
        <f t="shared" si="345"/>
        <v>0</v>
      </c>
      <c r="AF1017" s="668">
        <f t="shared" si="346"/>
        <v>0</v>
      </c>
      <c r="AG1017" s="668">
        <f t="shared" si="347"/>
        <v>0</v>
      </c>
      <c r="AH1017" s="668"/>
      <c r="AI1017" s="668"/>
      <c r="AJ1017" s="668"/>
      <c r="AK1017" s="668"/>
      <c r="AL1017" s="668"/>
      <c r="AM1017" s="668">
        <f t="shared" si="335"/>
        <v>0</v>
      </c>
      <c r="AN1017" s="668">
        <f t="shared" si="301"/>
        <v>0</v>
      </c>
      <c r="AO1017" s="668">
        <f t="shared" si="302"/>
        <v>0</v>
      </c>
      <c r="AP1017" s="668">
        <f t="shared" si="336"/>
        <v>0</v>
      </c>
      <c r="AQ1017" s="668">
        <f t="shared" si="303"/>
        <v>0</v>
      </c>
      <c r="AR1017" s="668">
        <f t="shared" si="304"/>
        <v>0</v>
      </c>
      <c r="AS1017" s="668"/>
      <c r="AT1017" s="668"/>
      <c r="AU1017" s="668"/>
      <c r="AV1017" s="668"/>
      <c r="AW1017" s="668"/>
      <c r="AX1017" s="668"/>
      <c r="AY1017" s="668"/>
      <c r="AZ1017" s="668"/>
      <c r="BA1017" s="668"/>
      <c r="BB1017" s="668">
        <f t="shared" si="334"/>
        <v>0</v>
      </c>
      <c r="BC1017" s="668"/>
      <c r="BD1017" s="668"/>
      <c r="BE1017" s="668"/>
      <c r="BF1017" s="668"/>
      <c r="BG1017" s="668"/>
      <c r="BH1017" s="668"/>
      <c r="BI1017" s="668"/>
    </row>
    <row r="1018" spans="1:61" x14ac:dyDescent="0.2">
      <c r="A1018" s="1021">
        <v>5138</v>
      </c>
      <c r="B1018" s="1021" t="s">
        <v>519</v>
      </c>
      <c r="C1018" s="1021"/>
      <c r="D1018" s="667">
        <v>35</v>
      </c>
      <c r="E1018" s="667"/>
      <c r="F1018" s="667">
        <v>15</v>
      </c>
      <c r="G1018" s="667"/>
      <c r="H1018" s="667"/>
      <c r="I1018" s="667"/>
      <c r="J1018" s="667"/>
      <c r="K1018" s="667"/>
      <c r="L1018" s="667"/>
      <c r="M1018" s="667"/>
      <c r="N1018" s="667"/>
      <c r="O1018" s="667"/>
      <c r="P1018" s="667"/>
      <c r="Q1018" s="667"/>
      <c r="R1018" s="667"/>
      <c r="S1018" s="667"/>
      <c r="T1018" s="667">
        <v>150</v>
      </c>
      <c r="U1018" s="1033">
        <v>12</v>
      </c>
      <c r="V1018" s="668">
        <f t="shared" si="337"/>
        <v>420</v>
      </c>
      <c r="W1018" s="668">
        <f t="shared" si="338"/>
        <v>0</v>
      </c>
      <c r="X1018" s="668">
        <f t="shared" si="339"/>
        <v>0</v>
      </c>
      <c r="Y1018" s="668">
        <f t="shared" si="340"/>
        <v>0</v>
      </c>
      <c r="Z1018" s="668">
        <f t="shared" si="341"/>
        <v>0</v>
      </c>
      <c r="AA1018" s="668">
        <f t="shared" si="342"/>
        <v>0</v>
      </c>
      <c r="AB1018" s="668">
        <f t="shared" si="343"/>
        <v>150</v>
      </c>
      <c r="AC1018" s="668">
        <f t="shared" si="305"/>
        <v>0</v>
      </c>
      <c r="AD1018" s="668">
        <f t="shared" si="344"/>
        <v>0</v>
      </c>
      <c r="AE1018" s="668">
        <f t="shared" si="345"/>
        <v>0</v>
      </c>
      <c r="AF1018" s="668">
        <f t="shared" si="346"/>
        <v>0</v>
      </c>
      <c r="AG1018" s="668">
        <f t="shared" si="347"/>
        <v>0</v>
      </c>
      <c r="AH1018" s="668"/>
      <c r="AI1018" s="668"/>
      <c r="AJ1018" s="668"/>
      <c r="AK1018" s="668"/>
      <c r="AL1018" s="668"/>
      <c r="AM1018" s="668">
        <f t="shared" si="335"/>
        <v>0</v>
      </c>
      <c r="AN1018" s="668">
        <f t="shared" si="301"/>
        <v>0</v>
      </c>
      <c r="AO1018" s="668">
        <f t="shared" si="302"/>
        <v>0</v>
      </c>
      <c r="AP1018" s="668">
        <f t="shared" si="336"/>
        <v>180</v>
      </c>
      <c r="AQ1018" s="668">
        <f t="shared" si="303"/>
        <v>0</v>
      </c>
      <c r="AR1018" s="668">
        <f t="shared" si="304"/>
        <v>0</v>
      </c>
      <c r="AS1018" s="668"/>
      <c r="AT1018" s="668"/>
      <c r="AU1018" s="668"/>
      <c r="AV1018" s="668"/>
      <c r="AW1018" s="668"/>
      <c r="AX1018" s="668"/>
      <c r="AY1018" s="668"/>
      <c r="AZ1018" s="668"/>
      <c r="BA1018" s="668"/>
      <c r="BB1018" s="668">
        <f t="shared" si="334"/>
        <v>180</v>
      </c>
      <c r="BC1018" s="668"/>
      <c r="BD1018" s="668"/>
      <c r="BE1018" s="668"/>
      <c r="BF1018" s="668"/>
      <c r="BG1018" s="668"/>
      <c r="BH1018" s="668"/>
      <c r="BI1018" s="668"/>
    </row>
    <row r="1019" spans="1:61" x14ac:dyDescent="0.2">
      <c r="A1019" s="1021">
        <v>5139</v>
      </c>
      <c r="B1019" s="1021" t="s">
        <v>828</v>
      </c>
      <c r="C1019" s="1021"/>
      <c r="D1019" s="667">
        <v>80</v>
      </c>
      <c r="E1019" s="667"/>
      <c r="F1019" s="667">
        <v>40</v>
      </c>
      <c r="G1019" s="667"/>
      <c r="H1019" s="667"/>
      <c r="I1019" s="667"/>
      <c r="J1019" s="667"/>
      <c r="K1019" s="667"/>
      <c r="L1019" s="667"/>
      <c r="M1019" s="667"/>
      <c r="N1019" s="667"/>
      <c r="O1019" s="667">
        <v>2</v>
      </c>
      <c r="P1019" s="667"/>
      <c r="Q1019" s="667"/>
      <c r="R1019" s="667"/>
      <c r="S1019" s="667"/>
      <c r="T1019" s="667"/>
      <c r="U1019" s="1033">
        <v>10</v>
      </c>
      <c r="V1019" s="668">
        <f t="shared" si="337"/>
        <v>800</v>
      </c>
      <c r="W1019" s="668">
        <f t="shared" si="338"/>
        <v>0</v>
      </c>
      <c r="X1019" s="668">
        <f t="shared" si="339"/>
        <v>0</v>
      </c>
      <c r="Y1019" s="668">
        <f t="shared" si="340"/>
        <v>0</v>
      </c>
      <c r="Z1019" s="668">
        <f t="shared" si="341"/>
        <v>0</v>
      </c>
      <c r="AA1019" s="668">
        <f t="shared" si="342"/>
        <v>0</v>
      </c>
      <c r="AB1019" s="668">
        <f t="shared" si="343"/>
        <v>0</v>
      </c>
      <c r="AC1019" s="668">
        <f t="shared" si="305"/>
        <v>0</v>
      </c>
      <c r="AD1019" s="668">
        <f t="shared" si="344"/>
        <v>0</v>
      </c>
      <c r="AE1019" s="668">
        <f t="shared" si="345"/>
        <v>0</v>
      </c>
      <c r="AF1019" s="668">
        <f t="shared" si="346"/>
        <v>0</v>
      </c>
      <c r="AG1019" s="668">
        <f t="shared" si="347"/>
        <v>0</v>
      </c>
      <c r="AH1019" s="668"/>
      <c r="AI1019" s="668"/>
      <c r="AJ1019" s="668"/>
      <c r="AK1019" s="668"/>
      <c r="AL1019" s="668"/>
      <c r="AM1019" s="668">
        <f t="shared" si="335"/>
        <v>0</v>
      </c>
      <c r="AN1019" s="668">
        <f t="shared" si="301"/>
        <v>0</v>
      </c>
      <c r="AO1019" s="668">
        <f t="shared" si="302"/>
        <v>20</v>
      </c>
      <c r="AP1019" s="668">
        <f t="shared" si="336"/>
        <v>400</v>
      </c>
      <c r="AQ1019" s="668">
        <f t="shared" si="303"/>
        <v>0</v>
      </c>
      <c r="AR1019" s="668">
        <f t="shared" si="304"/>
        <v>0</v>
      </c>
      <c r="AS1019" s="668"/>
      <c r="AT1019" s="668"/>
      <c r="AU1019" s="668"/>
      <c r="AV1019" s="668"/>
      <c r="AW1019" s="668"/>
      <c r="AX1019" s="668"/>
      <c r="AY1019" s="668"/>
      <c r="AZ1019" s="668"/>
      <c r="BA1019" s="668"/>
      <c r="BB1019" s="668">
        <f t="shared" si="334"/>
        <v>400</v>
      </c>
      <c r="BC1019" s="668"/>
      <c r="BD1019" s="668"/>
      <c r="BE1019" s="668"/>
      <c r="BF1019" s="668"/>
      <c r="BG1019" s="668"/>
      <c r="BH1019" s="668"/>
      <c r="BI1019" s="668"/>
    </row>
    <row r="1020" spans="1:61" x14ac:dyDescent="0.2">
      <c r="A1020" s="1021">
        <v>5140</v>
      </c>
      <c r="B1020" s="1021" t="s">
        <v>465</v>
      </c>
      <c r="C1020" s="1021" t="s">
        <v>984</v>
      </c>
      <c r="D1020" s="667">
        <v>160</v>
      </c>
      <c r="E1020" s="667"/>
      <c r="F1020" s="667"/>
      <c r="G1020" s="667"/>
      <c r="H1020" s="667"/>
      <c r="I1020" s="667"/>
      <c r="J1020" s="667"/>
      <c r="K1020" s="667"/>
      <c r="L1020" s="667"/>
      <c r="M1020" s="667"/>
      <c r="N1020" s="667"/>
      <c r="O1020" s="667"/>
      <c r="P1020" s="667"/>
      <c r="Q1020" s="667"/>
      <c r="R1020" s="667"/>
      <c r="S1020" s="667"/>
      <c r="T1020" s="667"/>
      <c r="U1020" s="1021">
        <v>10</v>
      </c>
      <c r="V1020" s="668">
        <f t="shared" si="337"/>
        <v>1600</v>
      </c>
      <c r="W1020" s="668">
        <f t="shared" si="338"/>
        <v>0</v>
      </c>
      <c r="X1020" s="668">
        <f t="shared" si="339"/>
        <v>0</v>
      </c>
      <c r="Y1020" s="668">
        <f t="shared" si="340"/>
        <v>0</v>
      </c>
      <c r="Z1020" s="668">
        <f t="shared" si="341"/>
        <v>1600</v>
      </c>
      <c r="AA1020" s="668">
        <f t="shared" si="342"/>
        <v>0</v>
      </c>
      <c r="AB1020" s="668">
        <f t="shared" si="343"/>
        <v>0</v>
      </c>
      <c r="AC1020" s="668">
        <f t="shared" si="305"/>
        <v>0</v>
      </c>
      <c r="AD1020" s="668">
        <f t="shared" si="344"/>
        <v>0</v>
      </c>
      <c r="AE1020" s="668">
        <f t="shared" si="345"/>
        <v>0</v>
      </c>
      <c r="AF1020" s="668">
        <f t="shared" si="346"/>
        <v>0</v>
      </c>
      <c r="AG1020" s="668">
        <f t="shared" si="347"/>
        <v>0</v>
      </c>
      <c r="AH1020" s="668"/>
      <c r="AI1020" s="668"/>
      <c r="AJ1020" s="668"/>
      <c r="AK1020" s="668"/>
      <c r="AL1020" s="668"/>
      <c r="AM1020" s="668">
        <f t="shared" si="335"/>
        <v>0</v>
      </c>
      <c r="AN1020" s="668">
        <f t="shared" si="301"/>
        <v>0</v>
      </c>
      <c r="AO1020" s="668">
        <f t="shared" si="302"/>
        <v>0</v>
      </c>
      <c r="AP1020" s="668">
        <f t="shared" si="336"/>
        <v>0</v>
      </c>
      <c r="AQ1020" s="668">
        <f t="shared" si="303"/>
        <v>0</v>
      </c>
      <c r="AR1020" s="668">
        <f t="shared" si="304"/>
        <v>0</v>
      </c>
      <c r="AS1020" s="668"/>
      <c r="AT1020" s="668"/>
      <c r="AU1020" s="668"/>
      <c r="AV1020" s="668"/>
      <c r="AW1020" s="668"/>
      <c r="AX1020" s="668"/>
      <c r="AY1020" s="668"/>
      <c r="AZ1020" s="668"/>
      <c r="BA1020" s="668"/>
      <c r="BB1020" s="668">
        <f t="shared" si="334"/>
        <v>0</v>
      </c>
      <c r="BC1020" s="668"/>
      <c r="BD1020" s="668"/>
      <c r="BE1020" s="668"/>
      <c r="BF1020" s="668"/>
      <c r="BG1020" s="668"/>
      <c r="BH1020" s="668"/>
      <c r="BI1020" s="668"/>
    </row>
    <row r="1021" spans="1:61" x14ac:dyDescent="0.2">
      <c r="A1021" s="1021">
        <v>5146</v>
      </c>
      <c r="B1021" s="1021" t="s">
        <v>781</v>
      </c>
      <c r="C1021" s="1021"/>
      <c r="D1021" s="667"/>
      <c r="E1021" s="667"/>
      <c r="F1021" s="667"/>
      <c r="G1021" s="667"/>
      <c r="H1021" s="667"/>
      <c r="I1021" s="667"/>
      <c r="J1021" s="667"/>
      <c r="K1021" s="667"/>
      <c r="L1021" s="667"/>
      <c r="M1021" s="667"/>
      <c r="N1021" s="667"/>
      <c r="O1021" s="667"/>
      <c r="P1021" s="667"/>
      <c r="Q1021" s="667"/>
      <c r="R1021" s="667"/>
      <c r="S1021" s="667"/>
      <c r="T1021" s="667"/>
      <c r="U1021" s="1021"/>
      <c r="V1021" s="668">
        <f t="shared" si="337"/>
        <v>0</v>
      </c>
      <c r="W1021" s="668">
        <f t="shared" si="338"/>
        <v>0</v>
      </c>
      <c r="X1021" s="668">
        <f t="shared" si="339"/>
        <v>0</v>
      </c>
      <c r="Y1021" s="668">
        <f t="shared" si="340"/>
        <v>0</v>
      </c>
      <c r="Z1021" s="668">
        <f t="shared" si="341"/>
        <v>0</v>
      </c>
      <c r="AA1021" s="668">
        <f t="shared" si="342"/>
        <v>0</v>
      </c>
      <c r="AB1021" s="668">
        <f t="shared" si="343"/>
        <v>0</v>
      </c>
      <c r="AC1021" s="668">
        <f t="shared" si="305"/>
        <v>0</v>
      </c>
      <c r="AD1021" s="668">
        <f t="shared" si="344"/>
        <v>0</v>
      </c>
      <c r="AE1021" s="668">
        <f t="shared" si="345"/>
        <v>0</v>
      </c>
      <c r="AF1021" s="668">
        <f t="shared" si="346"/>
        <v>0</v>
      </c>
      <c r="AG1021" s="668">
        <f t="shared" si="347"/>
        <v>0</v>
      </c>
      <c r="AH1021" s="668"/>
      <c r="AI1021" s="668"/>
      <c r="AJ1021" s="668"/>
      <c r="AK1021" s="668"/>
      <c r="AL1021" s="668"/>
      <c r="AM1021" s="668">
        <f t="shared" si="335"/>
        <v>0</v>
      </c>
      <c r="AN1021" s="668">
        <f t="shared" si="301"/>
        <v>0</v>
      </c>
      <c r="AO1021" s="668">
        <f t="shared" si="302"/>
        <v>0</v>
      </c>
      <c r="AP1021" s="668">
        <f t="shared" si="336"/>
        <v>0</v>
      </c>
      <c r="AQ1021" s="668">
        <f t="shared" si="303"/>
        <v>0</v>
      </c>
      <c r="AR1021" s="668">
        <f t="shared" si="304"/>
        <v>0</v>
      </c>
      <c r="AS1021" s="668"/>
      <c r="AT1021" s="668"/>
      <c r="AU1021" s="668"/>
      <c r="AV1021" s="668"/>
      <c r="AW1021" s="668"/>
      <c r="AX1021" s="668"/>
      <c r="AY1021" s="668"/>
      <c r="AZ1021" s="668"/>
      <c r="BA1021" s="668"/>
      <c r="BB1021" s="668">
        <f t="shared" si="334"/>
        <v>0</v>
      </c>
      <c r="BC1021" s="668"/>
      <c r="BD1021" s="668"/>
      <c r="BE1021" s="668"/>
      <c r="BF1021" s="668"/>
      <c r="BG1021" s="668"/>
      <c r="BH1021" s="668"/>
      <c r="BI1021" s="668"/>
    </row>
    <row r="1022" spans="1:61" x14ac:dyDescent="0.2">
      <c r="A1022" s="1021">
        <v>5160</v>
      </c>
      <c r="B1022" s="1021" t="s">
        <v>519</v>
      </c>
      <c r="C1022" s="1021"/>
      <c r="D1022" s="667">
        <v>35</v>
      </c>
      <c r="E1022" s="667"/>
      <c r="F1022" s="667">
        <v>15</v>
      </c>
      <c r="G1022" s="667"/>
      <c r="H1022" s="667"/>
      <c r="I1022" s="667"/>
      <c r="J1022" s="667"/>
      <c r="K1022" s="667"/>
      <c r="L1022" s="667"/>
      <c r="M1022" s="667"/>
      <c r="N1022" s="667"/>
      <c r="O1022" s="667"/>
      <c r="P1022" s="667"/>
      <c r="Q1022" s="667"/>
      <c r="R1022" s="667"/>
      <c r="S1022" s="667"/>
      <c r="T1022" s="667">
        <v>152</v>
      </c>
      <c r="U1022" s="1021">
        <v>12</v>
      </c>
      <c r="V1022" s="668">
        <f t="shared" si="337"/>
        <v>420</v>
      </c>
      <c r="W1022" s="668">
        <f t="shared" si="338"/>
        <v>0</v>
      </c>
      <c r="X1022" s="668">
        <f t="shared" si="339"/>
        <v>0</v>
      </c>
      <c r="Y1022" s="668">
        <f t="shared" si="340"/>
        <v>0</v>
      </c>
      <c r="Z1022" s="668">
        <f t="shared" si="341"/>
        <v>0</v>
      </c>
      <c r="AA1022" s="668">
        <f t="shared" si="342"/>
        <v>0</v>
      </c>
      <c r="AB1022" s="668">
        <f t="shared" si="343"/>
        <v>152</v>
      </c>
      <c r="AC1022" s="668">
        <f t="shared" si="305"/>
        <v>0</v>
      </c>
      <c r="AD1022" s="668">
        <f t="shared" si="344"/>
        <v>0</v>
      </c>
      <c r="AE1022" s="668">
        <f t="shared" si="345"/>
        <v>0</v>
      </c>
      <c r="AF1022" s="668">
        <f t="shared" si="346"/>
        <v>0</v>
      </c>
      <c r="AG1022" s="668">
        <f t="shared" si="347"/>
        <v>0</v>
      </c>
      <c r="AH1022" s="668"/>
      <c r="AI1022" s="668"/>
      <c r="AJ1022" s="668"/>
      <c r="AK1022" s="668"/>
      <c r="AL1022" s="668"/>
      <c r="AM1022" s="668">
        <f t="shared" si="335"/>
        <v>0</v>
      </c>
      <c r="AN1022" s="668">
        <f t="shared" si="301"/>
        <v>0</v>
      </c>
      <c r="AO1022" s="668">
        <f t="shared" si="302"/>
        <v>0</v>
      </c>
      <c r="AP1022" s="668">
        <f t="shared" si="336"/>
        <v>180</v>
      </c>
      <c r="AQ1022" s="668">
        <f t="shared" si="303"/>
        <v>0</v>
      </c>
      <c r="AR1022" s="668">
        <f t="shared" si="304"/>
        <v>0</v>
      </c>
      <c r="AS1022" s="668"/>
      <c r="AT1022" s="668"/>
      <c r="AU1022" s="668"/>
      <c r="AV1022" s="668"/>
      <c r="AW1022" s="668"/>
      <c r="AX1022" s="668"/>
      <c r="AY1022" s="668"/>
      <c r="AZ1022" s="668"/>
      <c r="BA1022" s="668"/>
      <c r="BB1022" s="668">
        <f t="shared" si="334"/>
        <v>180</v>
      </c>
      <c r="BC1022" s="668"/>
      <c r="BD1022" s="668"/>
      <c r="BE1022" s="668"/>
      <c r="BF1022" s="668"/>
      <c r="BG1022" s="668"/>
      <c r="BH1022" s="668"/>
      <c r="BI1022" s="668"/>
    </row>
    <row r="1023" spans="1:61" x14ac:dyDescent="0.2">
      <c r="A1023" s="1021">
        <v>5161</v>
      </c>
      <c r="B1023" s="1021" t="s">
        <v>515</v>
      </c>
      <c r="C1023" s="1021"/>
      <c r="D1023" s="667">
        <v>68</v>
      </c>
      <c r="E1023" s="667"/>
      <c r="F1023" s="667">
        <v>90</v>
      </c>
      <c r="G1023" s="667"/>
      <c r="H1023" s="667"/>
      <c r="I1023" s="667"/>
      <c r="J1023" s="667"/>
      <c r="K1023" s="667"/>
      <c r="L1023" s="667"/>
      <c r="M1023" s="667"/>
      <c r="N1023" s="667"/>
      <c r="O1023" s="667"/>
      <c r="P1023" s="667"/>
      <c r="Q1023" s="667"/>
      <c r="R1023" s="667"/>
      <c r="S1023" s="667"/>
      <c r="T1023" s="667">
        <v>3000</v>
      </c>
      <c r="U1023" s="1033">
        <v>12</v>
      </c>
      <c r="V1023" s="668">
        <f t="shared" si="337"/>
        <v>816</v>
      </c>
      <c r="W1023" s="668">
        <f t="shared" si="338"/>
        <v>0</v>
      </c>
      <c r="X1023" s="668">
        <f t="shared" si="339"/>
        <v>0</v>
      </c>
      <c r="Y1023" s="668">
        <f t="shared" si="340"/>
        <v>0</v>
      </c>
      <c r="Z1023" s="668">
        <f t="shared" si="341"/>
        <v>0</v>
      </c>
      <c r="AA1023" s="668">
        <f t="shared" si="342"/>
        <v>0</v>
      </c>
      <c r="AB1023" s="668">
        <f t="shared" si="343"/>
        <v>3000</v>
      </c>
      <c r="AC1023" s="668">
        <f t="shared" si="305"/>
        <v>0</v>
      </c>
      <c r="AD1023" s="668">
        <f t="shared" si="344"/>
        <v>0</v>
      </c>
      <c r="AE1023" s="668">
        <f t="shared" si="345"/>
        <v>0</v>
      </c>
      <c r="AF1023" s="668">
        <f t="shared" si="346"/>
        <v>0</v>
      </c>
      <c r="AG1023" s="668">
        <f t="shared" si="347"/>
        <v>0</v>
      </c>
      <c r="AH1023" s="668"/>
      <c r="AI1023" s="668"/>
      <c r="AJ1023" s="668"/>
      <c r="AK1023" s="668"/>
      <c r="AL1023" s="668"/>
      <c r="AM1023" s="668">
        <f t="shared" si="335"/>
        <v>0</v>
      </c>
      <c r="AN1023" s="668">
        <f t="shared" si="301"/>
        <v>0</v>
      </c>
      <c r="AO1023" s="668">
        <f t="shared" si="302"/>
        <v>0</v>
      </c>
      <c r="AP1023" s="668">
        <f t="shared" si="336"/>
        <v>1080</v>
      </c>
      <c r="AQ1023" s="668">
        <f t="shared" si="303"/>
        <v>0</v>
      </c>
      <c r="AR1023" s="668">
        <f t="shared" si="304"/>
        <v>0</v>
      </c>
      <c r="AS1023" s="668"/>
      <c r="AT1023" s="668"/>
      <c r="AU1023" s="668"/>
      <c r="AV1023" s="668"/>
      <c r="AW1023" s="668"/>
      <c r="AX1023" s="668"/>
      <c r="AY1023" s="668"/>
      <c r="AZ1023" s="668"/>
      <c r="BA1023" s="668"/>
      <c r="BB1023" s="668"/>
      <c r="BC1023" s="668"/>
      <c r="BD1023" s="668"/>
      <c r="BE1023" s="668"/>
      <c r="BF1023" s="668"/>
      <c r="BG1023" s="668"/>
      <c r="BH1023" s="668"/>
      <c r="BI1023" s="668"/>
    </row>
    <row r="1024" spans="1:61" x14ac:dyDescent="0.2">
      <c r="A1024" s="1021">
        <v>5162</v>
      </c>
      <c r="B1024" s="1021" t="s">
        <v>684</v>
      </c>
      <c r="C1024" s="1021"/>
      <c r="D1024" s="667">
        <v>42</v>
      </c>
      <c r="E1024" s="667"/>
      <c r="F1024" s="667">
        <v>42</v>
      </c>
      <c r="G1024" s="667"/>
      <c r="H1024" s="667"/>
      <c r="I1024" s="667"/>
      <c r="J1024" s="667"/>
      <c r="K1024" s="667"/>
      <c r="L1024" s="667"/>
      <c r="M1024" s="667"/>
      <c r="N1024" s="667"/>
      <c r="O1024" s="667"/>
      <c r="P1024" s="667"/>
      <c r="Q1024" s="667"/>
      <c r="R1024" s="667"/>
      <c r="S1024" s="667"/>
      <c r="T1024" s="667"/>
      <c r="U1024" s="1033">
        <v>10</v>
      </c>
      <c r="V1024" s="668">
        <f t="shared" si="337"/>
        <v>420</v>
      </c>
      <c r="W1024" s="668">
        <f t="shared" si="338"/>
        <v>0</v>
      </c>
      <c r="X1024" s="668">
        <f t="shared" si="339"/>
        <v>0</v>
      </c>
      <c r="Y1024" s="668">
        <f t="shared" si="340"/>
        <v>0</v>
      </c>
      <c r="Z1024" s="668">
        <f t="shared" si="341"/>
        <v>0</v>
      </c>
      <c r="AA1024" s="668">
        <f t="shared" si="342"/>
        <v>0</v>
      </c>
      <c r="AB1024" s="668">
        <f t="shared" si="343"/>
        <v>0</v>
      </c>
      <c r="AC1024" s="668">
        <f t="shared" si="305"/>
        <v>0</v>
      </c>
      <c r="AD1024" s="668">
        <f t="shared" si="344"/>
        <v>0</v>
      </c>
      <c r="AE1024" s="668">
        <f t="shared" si="345"/>
        <v>0</v>
      </c>
      <c r="AF1024" s="668">
        <f t="shared" si="346"/>
        <v>0</v>
      </c>
      <c r="AG1024" s="668">
        <f t="shared" si="347"/>
        <v>0</v>
      </c>
      <c r="AH1024" s="668"/>
      <c r="AI1024" s="668"/>
      <c r="AJ1024" s="668"/>
      <c r="AK1024" s="668"/>
      <c r="AL1024" s="668"/>
      <c r="AM1024" s="668">
        <f t="shared" si="335"/>
        <v>0</v>
      </c>
      <c r="AN1024" s="668">
        <f t="shared" si="301"/>
        <v>0</v>
      </c>
      <c r="AO1024" s="668">
        <f t="shared" si="302"/>
        <v>0</v>
      </c>
      <c r="AP1024" s="668">
        <f t="shared" si="336"/>
        <v>420</v>
      </c>
      <c r="AQ1024" s="668">
        <f t="shared" si="303"/>
        <v>0</v>
      </c>
      <c r="AR1024" s="668">
        <f t="shared" si="304"/>
        <v>0</v>
      </c>
      <c r="AS1024" s="668"/>
      <c r="AT1024" s="668"/>
      <c r="AU1024" s="668"/>
      <c r="AV1024" s="668"/>
      <c r="AW1024" s="668"/>
      <c r="AX1024" s="668"/>
      <c r="AY1024" s="668"/>
      <c r="AZ1024" s="668"/>
      <c r="BA1024" s="668"/>
      <c r="BB1024" s="668"/>
      <c r="BC1024" s="668"/>
      <c r="BD1024" s="668"/>
      <c r="BE1024" s="668"/>
      <c r="BF1024" s="668"/>
      <c r="BG1024" s="668"/>
      <c r="BH1024" s="668"/>
      <c r="BI1024" s="668"/>
    </row>
    <row r="1025" spans="1:61" x14ac:dyDescent="0.2">
      <c r="A1025" s="1021">
        <v>5163</v>
      </c>
      <c r="B1025" s="1021" t="s">
        <v>519</v>
      </c>
      <c r="C1025" s="1021"/>
      <c r="D1025" s="667">
        <v>35</v>
      </c>
      <c r="E1025" s="667"/>
      <c r="F1025" s="667">
        <v>15</v>
      </c>
      <c r="G1025" s="667"/>
      <c r="H1025" s="667"/>
      <c r="I1025" s="667"/>
      <c r="J1025" s="667"/>
      <c r="K1025" s="667"/>
      <c r="L1025" s="667"/>
      <c r="M1025" s="667"/>
      <c r="N1025" s="667"/>
      <c r="O1025" s="667"/>
      <c r="P1025" s="667"/>
      <c r="Q1025" s="667"/>
      <c r="R1025" s="667"/>
      <c r="S1025" s="667"/>
      <c r="T1025" s="667">
        <v>150</v>
      </c>
      <c r="U1025" s="1021">
        <v>12</v>
      </c>
      <c r="V1025" s="668">
        <f t="shared" si="337"/>
        <v>420</v>
      </c>
      <c r="W1025" s="668">
        <f t="shared" si="338"/>
        <v>0</v>
      </c>
      <c r="X1025" s="668">
        <f t="shared" si="339"/>
        <v>0</v>
      </c>
      <c r="Y1025" s="668">
        <f t="shared" si="340"/>
        <v>0</v>
      </c>
      <c r="Z1025" s="668">
        <f t="shared" si="341"/>
        <v>0</v>
      </c>
      <c r="AA1025" s="668">
        <f t="shared" si="342"/>
        <v>0</v>
      </c>
      <c r="AB1025" s="668">
        <f t="shared" si="343"/>
        <v>150</v>
      </c>
      <c r="AC1025" s="668">
        <f t="shared" si="305"/>
        <v>0</v>
      </c>
      <c r="AD1025" s="668">
        <f t="shared" si="344"/>
        <v>0</v>
      </c>
      <c r="AE1025" s="668">
        <f t="shared" si="345"/>
        <v>0</v>
      </c>
      <c r="AF1025" s="668">
        <f t="shared" si="346"/>
        <v>0</v>
      </c>
      <c r="AG1025" s="668">
        <f t="shared" si="347"/>
        <v>0</v>
      </c>
      <c r="AH1025" s="668"/>
      <c r="AI1025" s="668"/>
      <c r="AJ1025" s="668"/>
      <c r="AK1025" s="668"/>
      <c r="AL1025" s="668"/>
      <c r="AM1025" s="668">
        <f t="shared" si="335"/>
        <v>0</v>
      </c>
      <c r="AN1025" s="668">
        <f t="shared" si="301"/>
        <v>0</v>
      </c>
      <c r="AO1025" s="668">
        <f t="shared" si="302"/>
        <v>0</v>
      </c>
      <c r="AP1025" s="668">
        <f t="shared" si="336"/>
        <v>180</v>
      </c>
      <c r="AQ1025" s="668">
        <f t="shared" si="303"/>
        <v>0</v>
      </c>
      <c r="AR1025" s="668">
        <f t="shared" si="304"/>
        <v>0</v>
      </c>
      <c r="AS1025" s="668"/>
      <c r="AT1025" s="668"/>
      <c r="AU1025" s="668"/>
      <c r="AV1025" s="668"/>
      <c r="AW1025" s="668"/>
      <c r="AX1025" s="668"/>
      <c r="AY1025" s="668"/>
      <c r="AZ1025" s="668"/>
      <c r="BA1025" s="668"/>
      <c r="BB1025" s="668">
        <f t="shared" si="334"/>
        <v>180</v>
      </c>
      <c r="BC1025" s="668"/>
      <c r="BD1025" s="668"/>
      <c r="BE1025" s="668"/>
      <c r="BF1025" s="668"/>
      <c r="BG1025" s="668"/>
      <c r="BH1025" s="668"/>
      <c r="BI1025" s="668"/>
    </row>
    <row r="1026" spans="1:61" x14ac:dyDescent="0.2">
      <c r="A1026" s="1021">
        <v>5164</v>
      </c>
      <c r="B1026" s="1021" t="s">
        <v>519</v>
      </c>
      <c r="C1026" s="1021"/>
      <c r="D1026" s="667">
        <v>35</v>
      </c>
      <c r="E1026" s="667"/>
      <c r="F1026" s="667">
        <v>15</v>
      </c>
      <c r="G1026" s="667"/>
      <c r="H1026" s="667"/>
      <c r="I1026" s="667"/>
      <c r="J1026" s="667"/>
      <c r="K1026" s="667"/>
      <c r="L1026" s="667"/>
      <c r="M1026" s="667"/>
      <c r="N1026" s="667"/>
      <c r="O1026" s="667"/>
      <c r="P1026" s="667"/>
      <c r="Q1026" s="667"/>
      <c r="R1026" s="667"/>
      <c r="S1026" s="667"/>
      <c r="T1026" s="667">
        <v>150</v>
      </c>
      <c r="U1026" s="1021">
        <v>12</v>
      </c>
      <c r="V1026" s="668">
        <f t="shared" si="337"/>
        <v>420</v>
      </c>
      <c r="W1026" s="668">
        <f t="shared" si="338"/>
        <v>0</v>
      </c>
      <c r="X1026" s="668">
        <f t="shared" si="339"/>
        <v>0</v>
      </c>
      <c r="Y1026" s="668">
        <f t="shared" si="340"/>
        <v>0</v>
      </c>
      <c r="Z1026" s="668">
        <f t="shared" si="341"/>
        <v>0</v>
      </c>
      <c r="AA1026" s="668">
        <f t="shared" si="342"/>
        <v>0</v>
      </c>
      <c r="AB1026" s="668">
        <f t="shared" si="343"/>
        <v>150</v>
      </c>
      <c r="AC1026" s="668">
        <f t="shared" si="305"/>
        <v>0</v>
      </c>
      <c r="AD1026" s="668">
        <f t="shared" si="344"/>
        <v>0</v>
      </c>
      <c r="AE1026" s="668">
        <f t="shared" si="345"/>
        <v>0</v>
      </c>
      <c r="AF1026" s="668">
        <f t="shared" si="346"/>
        <v>0</v>
      </c>
      <c r="AG1026" s="668">
        <f t="shared" si="347"/>
        <v>0</v>
      </c>
      <c r="AH1026" s="668"/>
      <c r="AI1026" s="668"/>
      <c r="AJ1026" s="668"/>
      <c r="AK1026" s="668"/>
      <c r="AL1026" s="668"/>
      <c r="AM1026" s="668">
        <f t="shared" si="335"/>
        <v>0</v>
      </c>
      <c r="AN1026" s="668">
        <f t="shared" si="301"/>
        <v>0</v>
      </c>
      <c r="AO1026" s="668">
        <f t="shared" si="302"/>
        <v>0</v>
      </c>
      <c r="AP1026" s="668">
        <f t="shared" si="336"/>
        <v>180</v>
      </c>
      <c r="AQ1026" s="668">
        <f t="shared" si="303"/>
        <v>0</v>
      </c>
      <c r="AR1026" s="668">
        <f t="shared" si="304"/>
        <v>0</v>
      </c>
      <c r="AS1026" s="668"/>
      <c r="AT1026" s="668"/>
      <c r="AU1026" s="668"/>
      <c r="AV1026" s="668"/>
      <c r="AW1026" s="668"/>
      <c r="AX1026" s="668"/>
      <c r="AY1026" s="668"/>
      <c r="AZ1026" s="668"/>
      <c r="BA1026" s="668"/>
      <c r="BB1026" s="668">
        <f t="shared" si="334"/>
        <v>180</v>
      </c>
      <c r="BC1026" s="668"/>
      <c r="BD1026" s="668"/>
      <c r="BE1026" s="668"/>
      <c r="BF1026" s="668"/>
      <c r="BG1026" s="668"/>
      <c r="BH1026" s="668"/>
      <c r="BI1026" s="668"/>
    </row>
    <row r="1027" spans="1:61" x14ac:dyDescent="0.2">
      <c r="A1027" s="1021">
        <v>5165</v>
      </c>
      <c r="B1027" s="1021" t="s">
        <v>476</v>
      </c>
      <c r="C1027" s="1021"/>
      <c r="D1027" s="667">
        <v>48</v>
      </c>
      <c r="E1027" s="667"/>
      <c r="F1027" s="667"/>
      <c r="G1027" s="667"/>
      <c r="H1027" s="667"/>
      <c r="I1027" s="667"/>
      <c r="J1027" s="667"/>
      <c r="K1027" s="667"/>
      <c r="L1027" s="667"/>
      <c r="M1027" s="667"/>
      <c r="N1027" s="667"/>
      <c r="O1027" s="667"/>
      <c r="P1027" s="667"/>
      <c r="Q1027" s="667"/>
      <c r="R1027" s="667"/>
      <c r="S1027" s="667"/>
      <c r="T1027" s="667"/>
      <c r="U1027" s="1021">
        <v>12</v>
      </c>
      <c r="V1027" s="668">
        <f t="shared" si="337"/>
        <v>576</v>
      </c>
      <c r="W1027" s="668">
        <f t="shared" si="338"/>
        <v>0</v>
      </c>
      <c r="X1027" s="668">
        <f t="shared" si="339"/>
        <v>0</v>
      </c>
      <c r="Y1027" s="668">
        <f t="shared" si="340"/>
        <v>0</v>
      </c>
      <c r="Z1027" s="668">
        <f t="shared" si="341"/>
        <v>0</v>
      </c>
      <c r="AA1027" s="668">
        <f t="shared" si="342"/>
        <v>0</v>
      </c>
      <c r="AB1027" s="668">
        <f t="shared" si="343"/>
        <v>0</v>
      </c>
      <c r="AC1027" s="668">
        <f t="shared" si="305"/>
        <v>0</v>
      </c>
      <c r="AD1027" s="668">
        <f t="shared" si="344"/>
        <v>0</v>
      </c>
      <c r="AE1027" s="668">
        <f t="shared" si="345"/>
        <v>0</v>
      </c>
      <c r="AF1027" s="668">
        <f t="shared" si="346"/>
        <v>0</v>
      </c>
      <c r="AG1027" s="668">
        <f t="shared" si="347"/>
        <v>0</v>
      </c>
      <c r="AH1027" s="668"/>
      <c r="AI1027" s="668"/>
      <c r="AJ1027" s="668"/>
      <c r="AK1027" s="668"/>
      <c r="AL1027" s="668"/>
      <c r="AM1027" s="668">
        <f t="shared" si="335"/>
        <v>0</v>
      </c>
      <c r="AN1027" s="668">
        <f t="shared" si="301"/>
        <v>0</v>
      </c>
      <c r="AO1027" s="668">
        <f t="shared" si="302"/>
        <v>0</v>
      </c>
      <c r="AP1027" s="668">
        <f t="shared" si="336"/>
        <v>0</v>
      </c>
      <c r="AQ1027" s="668">
        <f t="shared" si="303"/>
        <v>0</v>
      </c>
      <c r="AR1027" s="668">
        <f t="shared" si="304"/>
        <v>0</v>
      </c>
      <c r="AS1027" s="668"/>
      <c r="AT1027" s="668"/>
      <c r="AU1027" s="668"/>
      <c r="AV1027" s="668"/>
      <c r="AW1027" s="668"/>
      <c r="AX1027" s="668"/>
      <c r="AY1027" s="668"/>
      <c r="AZ1027" s="668"/>
      <c r="BA1027" s="668"/>
      <c r="BB1027" s="668">
        <f t="shared" si="334"/>
        <v>0</v>
      </c>
      <c r="BC1027" s="668"/>
      <c r="BD1027" s="668"/>
      <c r="BE1027" s="668"/>
      <c r="BF1027" s="668"/>
      <c r="BG1027" s="668"/>
      <c r="BH1027" s="668"/>
      <c r="BI1027" s="668"/>
    </row>
    <row r="1028" spans="1:61" x14ac:dyDescent="0.2">
      <c r="A1028" s="1021">
        <v>5166</v>
      </c>
      <c r="B1028" s="1021" t="s">
        <v>579</v>
      </c>
      <c r="C1028" s="1021"/>
      <c r="D1028" s="667">
        <v>46</v>
      </c>
      <c r="E1028" s="667"/>
      <c r="F1028" s="667"/>
      <c r="G1028" s="667"/>
      <c r="H1028" s="667"/>
      <c r="I1028" s="667"/>
      <c r="J1028" s="667"/>
      <c r="K1028" s="667"/>
      <c r="L1028" s="667"/>
      <c r="M1028" s="667"/>
      <c r="N1028" s="667"/>
      <c r="O1028" s="667"/>
      <c r="P1028" s="667"/>
      <c r="Q1028" s="667"/>
      <c r="R1028" s="667"/>
      <c r="S1028" s="667"/>
      <c r="T1028" s="667"/>
      <c r="U1028" s="1021">
        <v>12</v>
      </c>
      <c r="V1028" s="668">
        <f t="shared" si="337"/>
        <v>552</v>
      </c>
      <c r="W1028" s="668">
        <f t="shared" si="338"/>
        <v>0</v>
      </c>
      <c r="X1028" s="668">
        <f t="shared" si="339"/>
        <v>0</v>
      </c>
      <c r="Y1028" s="668">
        <f t="shared" si="340"/>
        <v>0</v>
      </c>
      <c r="Z1028" s="668">
        <f t="shared" si="341"/>
        <v>0</v>
      </c>
      <c r="AA1028" s="668">
        <f t="shared" si="342"/>
        <v>0</v>
      </c>
      <c r="AB1028" s="668">
        <f t="shared" si="343"/>
        <v>0</v>
      </c>
      <c r="AC1028" s="668">
        <f t="shared" si="305"/>
        <v>0</v>
      </c>
      <c r="AD1028" s="668">
        <f t="shared" si="344"/>
        <v>0</v>
      </c>
      <c r="AE1028" s="668">
        <f t="shared" si="345"/>
        <v>0</v>
      </c>
      <c r="AF1028" s="668">
        <f t="shared" si="346"/>
        <v>0</v>
      </c>
      <c r="AG1028" s="668">
        <f t="shared" si="347"/>
        <v>0</v>
      </c>
      <c r="AH1028" s="668"/>
      <c r="AI1028" s="668"/>
      <c r="AJ1028" s="668"/>
      <c r="AK1028" s="668"/>
      <c r="AL1028" s="668"/>
      <c r="AM1028" s="668">
        <f t="shared" si="335"/>
        <v>0</v>
      </c>
      <c r="AN1028" s="668">
        <f t="shared" si="301"/>
        <v>0</v>
      </c>
      <c r="AO1028" s="668">
        <f t="shared" si="302"/>
        <v>0</v>
      </c>
      <c r="AP1028" s="668">
        <f t="shared" si="336"/>
        <v>0</v>
      </c>
      <c r="AQ1028" s="668">
        <f t="shared" si="303"/>
        <v>0</v>
      </c>
      <c r="AR1028" s="668">
        <f t="shared" si="304"/>
        <v>0</v>
      </c>
      <c r="AS1028" s="668"/>
      <c r="AT1028" s="668"/>
      <c r="AU1028" s="668"/>
      <c r="AV1028" s="668"/>
      <c r="AW1028" s="668"/>
      <c r="AX1028" s="668"/>
      <c r="AY1028" s="668"/>
      <c r="AZ1028" s="668"/>
      <c r="BA1028" s="668"/>
      <c r="BB1028" s="668">
        <f t="shared" si="334"/>
        <v>0</v>
      </c>
      <c r="BC1028" s="668"/>
      <c r="BD1028" s="668"/>
      <c r="BE1028" s="668"/>
      <c r="BF1028" s="668"/>
      <c r="BG1028" s="668"/>
      <c r="BH1028" s="668"/>
      <c r="BI1028" s="668"/>
    </row>
    <row r="1029" spans="1:61" x14ac:dyDescent="0.2">
      <c r="A1029" s="1021">
        <v>5167</v>
      </c>
      <c r="B1029" s="1021" t="s">
        <v>517</v>
      </c>
      <c r="C1029" s="1021"/>
      <c r="D1029" s="667">
        <v>50</v>
      </c>
      <c r="E1029" s="667"/>
      <c r="F1029" s="667"/>
      <c r="G1029" s="667"/>
      <c r="H1029" s="667"/>
      <c r="I1029" s="667"/>
      <c r="J1029" s="667"/>
      <c r="K1029" s="667"/>
      <c r="L1029" s="667"/>
      <c r="M1029" s="667"/>
      <c r="N1029" s="667"/>
      <c r="O1029" s="667"/>
      <c r="P1029" s="667"/>
      <c r="Q1029" s="667"/>
      <c r="R1029" s="667"/>
      <c r="S1029" s="667"/>
      <c r="T1029" s="667"/>
      <c r="U1029" s="1021">
        <v>12</v>
      </c>
      <c r="V1029" s="668">
        <f t="shared" si="337"/>
        <v>600</v>
      </c>
      <c r="W1029" s="668">
        <f t="shared" si="338"/>
        <v>0</v>
      </c>
      <c r="X1029" s="668">
        <f t="shared" si="339"/>
        <v>0</v>
      </c>
      <c r="Y1029" s="668">
        <f t="shared" si="340"/>
        <v>0</v>
      </c>
      <c r="Z1029" s="668">
        <f t="shared" si="341"/>
        <v>0</v>
      </c>
      <c r="AA1029" s="668">
        <f t="shared" si="342"/>
        <v>0</v>
      </c>
      <c r="AB1029" s="668">
        <f t="shared" si="343"/>
        <v>0</v>
      </c>
      <c r="AC1029" s="668">
        <f t="shared" si="305"/>
        <v>0</v>
      </c>
      <c r="AD1029" s="668">
        <f t="shared" si="344"/>
        <v>0</v>
      </c>
      <c r="AE1029" s="668">
        <f t="shared" si="345"/>
        <v>0</v>
      </c>
      <c r="AF1029" s="668">
        <f t="shared" si="346"/>
        <v>0</v>
      </c>
      <c r="AG1029" s="668">
        <f t="shared" si="347"/>
        <v>0</v>
      </c>
      <c r="AH1029" s="668"/>
      <c r="AI1029" s="668"/>
      <c r="AJ1029" s="668"/>
      <c r="AK1029" s="668"/>
      <c r="AL1029" s="668"/>
      <c r="AM1029" s="668">
        <f t="shared" si="335"/>
        <v>0</v>
      </c>
      <c r="AN1029" s="668">
        <f t="shared" si="301"/>
        <v>0</v>
      </c>
      <c r="AO1029" s="668">
        <f t="shared" si="302"/>
        <v>0</v>
      </c>
      <c r="AP1029" s="668">
        <f t="shared" si="336"/>
        <v>0</v>
      </c>
      <c r="AQ1029" s="668">
        <f t="shared" si="303"/>
        <v>0</v>
      </c>
      <c r="AR1029" s="668">
        <f t="shared" si="304"/>
        <v>0</v>
      </c>
      <c r="AS1029" s="668"/>
      <c r="AT1029" s="668"/>
      <c r="AU1029" s="668"/>
      <c r="AV1029" s="668"/>
      <c r="AW1029" s="668"/>
      <c r="AX1029" s="668"/>
      <c r="AY1029" s="668"/>
      <c r="AZ1029" s="668"/>
      <c r="BA1029" s="668"/>
      <c r="BB1029" s="668">
        <f t="shared" si="334"/>
        <v>0</v>
      </c>
      <c r="BC1029" s="668"/>
      <c r="BD1029" s="668"/>
      <c r="BE1029" s="668"/>
      <c r="BF1029" s="668"/>
      <c r="BG1029" s="668"/>
      <c r="BH1029" s="668"/>
      <c r="BI1029" s="668"/>
    </row>
    <row r="1030" spans="1:61" x14ac:dyDescent="0.2">
      <c r="A1030" s="1021">
        <v>5168</v>
      </c>
      <c r="B1030" s="1021" t="s">
        <v>821</v>
      </c>
      <c r="C1030" s="1021"/>
      <c r="D1030" s="667">
        <v>32</v>
      </c>
      <c r="E1030" s="667"/>
      <c r="F1030" s="667">
        <v>32</v>
      </c>
      <c r="G1030" s="667"/>
      <c r="H1030" s="667"/>
      <c r="I1030" s="667"/>
      <c r="J1030" s="667"/>
      <c r="K1030" s="667"/>
      <c r="L1030" s="667"/>
      <c r="M1030" s="667"/>
      <c r="N1030" s="667"/>
      <c r="O1030" s="667"/>
      <c r="P1030" s="667"/>
      <c r="Q1030" s="667"/>
      <c r="R1030" s="667"/>
      <c r="S1030" s="667"/>
      <c r="T1030" s="667"/>
      <c r="U1030" s="1021">
        <v>10</v>
      </c>
      <c r="V1030" s="668">
        <f t="shared" si="337"/>
        <v>320</v>
      </c>
      <c r="W1030" s="668">
        <f t="shared" si="338"/>
        <v>0</v>
      </c>
      <c r="X1030" s="668">
        <f t="shared" si="339"/>
        <v>0</v>
      </c>
      <c r="Y1030" s="668">
        <f t="shared" si="340"/>
        <v>0</v>
      </c>
      <c r="Z1030" s="668">
        <f t="shared" si="341"/>
        <v>0</v>
      </c>
      <c r="AA1030" s="668">
        <f t="shared" si="342"/>
        <v>0</v>
      </c>
      <c r="AB1030" s="668">
        <f t="shared" si="343"/>
        <v>0</v>
      </c>
      <c r="AC1030" s="668">
        <f t="shared" si="305"/>
        <v>0</v>
      </c>
      <c r="AD1030" s="668">
        <f t="shared" si="344"/>
        <v>0</v>
      </c>
      <c r="AE1030" s="668">
        <f t="shared" si="345"/>
        <v>0</v>
      </c>
      <c r="AF1030" s="668">
        <f t="shared" si="346"/>
        <v>0</v>
      </c>
      <c r="AG1030" s="668">
        <f t="shared" si="347"/>
        <v>0</v>
      </c>
      <c r="AH1030" s="668"/>
      <c r="AI1030" s="668"/>
      <c r="AJ1030" s="668"/>
      <c r="AK1030" s="668"/>
      <c r="AL1030" s="668"/>
      <c r="AM1030" s="668">
        <f t="shared" si="335"/>
        <v>0</v>
      </c>
      <c r="AN1030" s="668">
        <f t="shared" si="301"/>
        <v>0</v>
      </c>
      <c r="AO1030" s="668">
        <f t="shared" si="302"/>
        <v>0</v>
      </c>
      <c r="AP1030" s="668">
        <f t="shared" si="336"/>
        <v>320</v>
      </c>
      <c r="AQ1030" s="668">
        <f t="shared" si="303"/>
        <v>0</v>
      </c>
      <c r="AR1030" s="668">
        <f t="shared" si="304"/>
        <v>0</v>
      </c>
      <c r="AS1030" s="668"/>
      <c r="AT1030" s="668"/>
      <c r="AU1030" s="668"/>
      <c r="AV1030" s="668"/>
      <c r="AW1030" s="668"/>
      <c r="AX1030" s="668"/>
      <c r="AY1030" s="668"/>
      <c r="AZ1030" s="668"/>
      <c r="BA1030" s="668"/>
      <c r="BB1030" s="668">
        <f t="shared" si="334"/>
        <v>320</v>
      </c>
      <c r="BC1030" s="668"/>
      <c r="BD1030" s="668"/>
      <c r="BE1030" s="668"/>
      <c r="BF1030" s="668"/>
      <c r="BG1030" s="668"/>
      <c r="BH1030" s="668"/>
      <c r="BI1030" s="668"/>
    </row>
    <row r="1031" spans="1:61" x14ac:dyDescent="0.2">
      <c r="A1031" s="1021">
        <v>5169</v>
      </c>
      <c r="B1031" s="1021" t="s">
        <v>821</v>
      </c>
      <c r="C1031" s="1021"/>
      <c r="D1031" s="667">
        <v>32</v>
      </c>
      <c r="E1031" s="667"/>
      <c r="F1031" s="667">
        <v>32</v>
      </c>
      <c r="G1031" s="667"/>
      <c r="H1031" s="667"/>
      <c r="I1031" s="667"/>
      <c r="J1031" s="667"/>
      <c r="K1031" s="667"/>
      <c r="L1031" s="667"/>
      <c r="M1031" s="667"/>
      <c r="N1031" s="667"/>
      <c r="O1031" s="667"/>
      <c r="P1031" s="667"/>
      <c r="Q1031" s="667"/>
      <c r="R1031" s="667"/>
      <c r="S1031" s="667"/>
      <c r="T1031" s="667"/>
      <c r="U1031" s="1021">
        <v>10</v>
      </c>
      <c r="V1031" s="668">
        <f t="shared" si="337"/>
        <v>320</v>
      </c>
      <c r="W1031" s="668">
        <f t="shared" si="338"/>
        <v>0</v>
      </c>
      <c r="X1031" s="668">
        <f t="shared" si="339"/>
        <v>0</v>
      </c>
      <c r="Y1031" s="668">
        <f t="shared" si="340"/>
        <v>0</v>
      </c>
      <c r="Z1031" s="668">
        <f t="shared" si="341"/>
        <v>0</v>
      </c>
      <c r="AA1031" s="668">
        <f t="shared" si="342"/>
        <v>0</v>
      </c>
      <c r="AB1031" s="668">
        <f t="shared" si="343"/>
        <v>0</v>
      </c>
      <c r="AC1031" s="668">
        <f t="shared" si="305"/>
        <v>0</v>
      </c>
      <c r="AD1031" s="668">
        <f t="shared" si="344"/>
        <v>0</v>
      </c>
      <c r="AE1031" s="668">
        <f t="shared" si="345"/>
        <v>0</v>
      </c>
      <c r="AF1031" s="668">
        <f t="shared" si="346"/>
        <v>0</v>
      </c>
      <c r="AG1031" s="668">
        <f t="shared" si="347"/>
        <v>0</v>
      </c>
      <c r="AH1031" s="668"/>
      <c r="AI1031" s="668"/>
      <c r="AJ1031" s="668"/>
      <c r="AK1031" s="668"/>
      <c r="AL1031" s="668"/>
      <c r="AM1031" s="668">
        <f t="shared" si="335"/>
        <v>0</v>
      </c>
      <c r="AN1031" s="668">
        <f t="shared" si="301"/>
        <v>0</v>
      </c>
      <c r="AO1031" s="668">
        <f t="shared" si="302"/>
        <v>0</v>
      </c>
      <c r="AP1031" s="668">
        <f t="shared" si="336"/>
        <v>320</v>
      </c>
      <c r="AQ1031" s="668">
        <f t="shared" si="303"/>
        <v>0</v>
      </c>
      <c r="AR1031" s="668">
        <f t="shared" si="304"/>
        <v>0</v>
      </c>
      <c r="AS1031" s="668"/>
      <c r="AT1031" s="668"/>
      <c r="AU1031" s="668"/>
      <c r="AV1031" s="668"/>
      <c r="AW1031" s="668"/>
      <c r="AX1031" s="668"/>
      <c r="AY1031" s="668"/>
      <c r="AZ1031" s="668"/>
      <c r="BA1031" s="668"/>
      <c r="BB1031" s="668">
        <f t="shared" si="334"/>
        <v>320</v>
      </c>
      <c r="BC1031" s="668"/>
      <c r="BD1031" s="668"/>
      <c r="BE1031" s="668"/>
      <c r="BF1031" s="668"/>
      <c r="BG1031" s="668"/>
      <c r="BH1031" s="668"/>
      <c r="BI1031" s="668"/>
    </row>
    <row r="1032" spans="1:61" x14ac:dyDescent="0.2">
      <c r="A1032" s="1021">
        <v>5170</v>
      </c>
      <c r="B1032" s="1021" t="s">
        <v>685</v>
      </c>
      <c r="C1032" s="1021"/>
      <c r="D1032" s="667">
        <v>80</v>
      </c>
      <c r="E1032" s="667"/>
      <c r="F1032" s="667"/>
      <c r="G1032" s="667"/>
      <c r="H1032" s="667"/>
      <c r="I1032" s="667"/>
      <c r="J1032" s="667"/>
      <c r="K1032" s="667"/>
      <c r="L1032" s="667"/>
      <c r="M1032" s="667"/>
      <c r="N1032" s="667"/>
      <c r="O1032" s="667"/>
      <c r="P1032" s="667"/>
      <c r="Q1032" s="667"/>
      <c r="R1032" s="667"/>
      <c r="S1032" s="667"/>
      <c r="T1032" s="667"/>
      <c r="U1032" s="1021">
        <v>12</v>
      </c>
      <c r="V1032" s="668">
        <f t="shared" si="337"/>
        <v>960</v>
      </c>
      <c r="W1032" s="668">
        <f t="shared" si="338"/>
        <v>0</v>
      </c>
      <c r="X1032" s="668">
        <f t="shared" si="339"/>
        <v>0</v>
      </c>
      <c r="Y1032" s="668">
        <f t="shared" si="340"/>
        <v>0</v>
      </c>
      <c r="Z1032" s="668">
        <f t="shared" si="341"/>
        <v>0</v>
      </c>
      <c r="AA1032" s="668">
        <f t="shared" si="342"/>
        <v>0</v>
      </c>
      <c r="AB1032" s="668">
        <f t="shared" si="343"/>
        <v>0</v>
      </c>
      <c r="AC1032" s="668">
        <f t="shared" si="305"/>
        <v>0</v>
      </c>
      <c r="AD1032" s="668">
        <f t="shared" si="344"/>
        <v>0</v>
      </c>
      <c r="AE1032" s="668">
        <f t="shared" si="345"/>
        <v>0</v>
      </c>
      <c r="AF1032" s="668">
        <f t="shared" si="346"/>
        <v>0</v>
      </c>
      <c r="AG1032" s="668">
        <f t="shared" si="347"/>
        <v>0</v>
      </c>
      <c r="AH1032" s="668"/>
      <c r="AI1032" s="668"/>
      <c r="AJ1032" s="668"/>
      <c r="AK1032" s="668"/>
      <c r="AL1032" s="668"/>
      <c r="AM1032" s="668">
        <f t="shared" si="335"/>
        <v>0</v>
      </c>
      <c r="AN1032" s="668">
        <f t="shared" si="301"/>
        <v>0</v>
      </c>
      <c r="AO1032" s="668">
        <f t="shared" si="302"/>
        <v>0</v>
      </c>
      <c r="AP1032" s="668">
        <f t="shared" si="336"/>
        <v>0</v>
      </c>
      <c r="AQ1032" s="668">
        <f t="shared" ref="AQ1032:AQ1095" si="348">+$AQ$4*K1032</f>
        <v>0</v>
      </c>
      <c r="AR1032" s="668">
        <f t="shared" ref="AR1032:AR1095" si="349">+$AR$4*K1032</f>
        <v>0</v>
      </c>
      <c r="AS1032" s="668"/>
      <c r="AT1032" s="668"/>
      <c r="AU1032" s="668"/>
      <c r="AV1032" s="668"/>
      <c r="AW1032" s="668"/>
      <c r="AX1032" s="668"/>
      <c r="AY1032" s="668"/>
      <c r="AZ1032" s="668"/>
      <c r="BA1032" s="668"/>
      <c r="BB1032" s="668">
        <f t="shared" si="334"/>
        <v>0</v>
      </c>
      <c r="BC1032" s="668"/>
      <c r="BD1032" s="668"/>
      <c r="BE1032" s="668"/>
      <c r="BF1032" s="668"/>
      <c r="BG1032" s="668"/>
      <c r="BH1032" s="668"/>
      <c r="BI1032" s="668"/>
    </row>
    <row r="1033" spans="1:61" x14ac:dyDescent="0.2">
      <c r="A1033" s="1021">
        <v>5171</v>
      </c>
      <c r="B1033" s="1021" t="s">
        <v>517</v>
      </c>
      <c r="C1033" s="1021"/>
      <c r="D1033" s="667">
        <v>50</v>
      </c>
      <c r="E1033" s="667"/>
      <c r="F1033" s="667"/>
      <c r="G1033" s="667"/>
      <c r="H1033" s="667"/>
      <c r="I1033" s="667"/>
      <c r="J1033" s="667"/>
      <c r="K1033" s="667"/>
      <c r="L1033" s="667"/>
      <c r="M1033" s="667"/>
      <c r="N1033" s="667"/>
      <c r="O1033" s="667"/>
      <c r="P1033" s="667"/>
      <c r="Q1033" s="667"/>
      <c r="R1033" s="667"/>
      <c r="S1033" s="667"/>
      <c r="T1033" s="667"/>
      <c r="U1033" s="1021">
        <v>12</v>
      </c>
      <c r="V1033" s="668">
        <f t="shared" si="337"/>
        <v>600</v>
      </c>
      <c r="W1033" s="668">
        <f t="shared" si="338"/>
        <v>0</v>
      </c>
      <c r="X1033" s="668">
        <f t="shared" si="339"/>
        <v>0</v>
      </c>
      <c r="Y1033" s="668">
        <f t="shared" si="340"/>
        <v>0</v>
      </c>
      <c r="Z1033" s="668">
        <f t="shared" si="341"/>
        <v>0</v>
      </c>
      <c r="AA1033" s="668">
        <f t="shared" si="342"/>
        <v>0</v>
      </c>
      <c r="AB1033" s="668">
        <f t="shared" si="343"/>
        <v>0</v>
      </c>
      <c r="AC1033" s="668">
        <f t="shared" si="305"/>
        <v>0</v>
      </c>
      <c r="AD1033" s="668">
        <f t="shared" si="344"/>
        <v>0</v>
      </c>
      <c r="AE1033" s="668">
        <f t="shared" si="345"/>
        <v>0</v>
      </c>
      <c r="AF1033" s="668">
        <f t="shared" si="346"/>
        <v>0</v>
      </c>
      <c r="AG1033" s="668">
        <f t="shared" si="347"/>
        <v>0</v>
      </c>
      <c r="AH1033" s="668"/>
      <c r="AI1033" s="668"/>
      <c r="AJ1033" s="668"/>
      <c r="AK1033" s="668"/>
      <c r="AL1033" s="668"/>
      <c r="AM1033" s="668">
        <f t="shared" si="335"/>
        <v>0</v>
      </c>
      <c r="AN1033" s="668">
        <f t="shared" si="301"/>
        <v>0</v>
      </c>
      <c r="AO1033" s="668">
        <f t="shared" si="302"/>
        <v>0</v>
      </c>
      <c r="AP1033" s="668">
        <f t="shared" si="336"/>
        <v>0</v>
      </c>
      <c r="AQ1033" s="668">
        <f t="shared" si="348"/>
        <v>0</v>
      </c>
      <c r="AR1033" s="668">
        <f t="shared" si="349"/>
        <v>0</v>
      </c>
      <c r="AS1033" s="668"/>
      <c r="AT1033" s="668"/>
      <c r="AU1033" s="668"/>
      <c r="AV1033" s="668"/>
      <c r="AW1033" s="668"/>
      <c r="AX1033" s="668"/>
      <c r="AY1033" s="668"/>
      <c r="AZ1033" s="668"/>
      <c r="BA1033" s="668"/>
      <c r="BB1033" s="668">
        <f t="shared" si="334"/>
        <v>0</v>
      </c>
      <c r="BC1033" s="668"/>
      <c r="BD1033" s="668"/>
      <c r="BE1033" s="668"/>
      <c r="BF1033" s="668"/>
      <c r="BG1033" s="668"/>
      <c r="BH1033" s="668"/>
      <c r="BI1033" s="668"/>
    </row>
    <row r="1034" spans="1:61" x14ac:dyDescent="0.2">
      <c r="A1034" s="1021">
        <v>5172</v>
      </c>
      <c r="B1034" s="1021" t="s">
        <v>534</v>
      </c>
      <c r="C1034" s="1021"/>
      <c r="D1034" s="667">
        <v>45</v>
      </c>
      <c r="E1034" s="667"/>
      <c r="F1034" s="667"/>
      <c r="G1034" s="667"/>
      <c r="H1034" s="667"/>
      <c r="I1034" s="667"/>
      <c r="J1034" s="667"/>
      <c r="K1034" s="667"/>
      <c r="L1034" s="667"/>
      <c r="M1034" s="667"/>
      <c r="N1034" s="667"/>
      <c r="O1034" s="667"/>
      <c r="P1034" s="667"/>
      <c r="Q1034" s="667"/>
      <c r="R1034" s="667"/>
      <c r="S1034" s="667"/>
      <c r="T1034" s="667"/>
      <c r="U1034" s="1021">
        <v>10</v>
      </c>
      <c r="V1034" s="668">
        <f t="shared" si="337"/>
        <v>450</v>
      </c>
      <c r="W1034" s="668">
        <f t="shared" si="338"/>
        <v>0</v>
      </c>
      <c r="X1034" s="668">
        <f t="shared" si="339"/>
        <v>0</v>
      </c>
      <c r="Y1034" s="668">
        <f t="shared" si="340"/>
        <v>0</v>
      </c>
      <c r="Z1034" s="668">
        <f t="shared" si="341"/>
        <v>0</v>
      </c>
      <c r="AA1034" s="668">
        <f t="shared" si="342"/>
        <v>0</v>
      </c>
      <c r="AB1034" s="668">
        <f t="shared" si="343"/>
        <v>0</v>
      </c>
      <c r="AC1034" s="668">
        <f t="shared" si="305"/>
        <v>0</v>
      </c>
      <c r="AD1034" s="668">
        <f t="shared" si="344"/>
        <v>0</v>
      </c>
      <c r="AE1034" s="668">
        <f t="shared" si="345"/>
        <v>0</v>
      </c>
      <c r="AF1034" s="668">
        <f t="shared" si="346"/>
        <v>0</v>
      </c>
      <c r="AG1034" s="668">
        <f t="shared" si="347"/>
        <v>0</v>
      </c>
      <c r="AH1034" s="668"/>
      <c r="AI1034" s="668"/>
      <c r="AJ1034" s="668"/>
      <c r="AK1034" s="668"/>
      <c r="AL1034" s="668"/>
      <c r="AM1034" s="668">
        <f t="shared" si="335"/>
        <v>0</v>
      </c>
      <c r="AN1034" s="668">
        <f t="shared" ref="AN1034:AN1098" si="350">+U1034*E1034</f>
        <v>0</v>
      </c>
      <c r="AO1034" s="668">
        <f t="shared" ref="AO1034:AO1098" si="351">+U1034*O1034</f>
        <v>0</v>
      </c>
      <c r="AP1034" s="668">
        <f t="shared" si="336"/>
        <v>0</v>
      </c>
      <c r="AQ1034" s="668">
        <f t="shared" si="348"/>
        <v>0</v>
      </c>
      <c r="AR1034" s="668">
        <f t="shared" si="349"/>
        <v>0</v>
      </c>
      <c r="AS1034" s="668"/>
      <c r="AT1034" s="668"/>
      <c r="AU1034" s="668"/>
      <c r="AV1034" s="668"/>
      <c r="AW1034" s="668"/>
      <c r="AX1034" s="668"/>
      <c r="AY1034" s="668"/>
      <c r="AZ1034" s="668"/>
      <c r="BA1034" s="668"/>
      <c r="BB1034" s="668">
        <f t="shared" si="334"/>
        <v>0</v>
      </c>
      <c r="BC1034" s="668"/>
      <c r="BD1034" s="668"/>
      <c r="BE1034" s="668"/>
      <c r="BF1034" s="668"/>
      <c r="BG1034" s="668"/>
      <c r="BH1034" s="668"/>
      <c r="BI1034" s="668"/>
    </row>
    <row r="1035" spans="1:61" x14ac:dyDescent="0.2">
      <c r="A1035" s="1021">
        <v>5173</v>
      </c>
      <c r="B1035" s="1020" t="s">
        <v>519</v>
      </c>
      <c r="C1035" s="1020"/>
      <c r="D1035" s="667">
        <v>35</v>
      </c>
      <c r="E1035" s="667"/>
      <c r="F1035" s="667">
        <v>15</v>
      </c>
      <c r="G1035" s="667"/>
      <c r="H1035" s="667"/>
      <c r="I1035" s="667"/>
      <c r="J1035" s="667"/>
      <c r="K1035" s="667"/>
      <c r="L1035" s="667"/>
      <c r="M1035" s="667"/>
      <c r="N1035" s="667"/>
      <c r="O1035" s="667"/>
      <c r="P1035" s="667"/>
      <c r="Q1035" s="667"/>
      <c r="R1035" s="667"/>
      <c r="S1035" s="667"/>
      <c r="T1035" s="667">
        <v>150</v>
      </c>
      <c r="U1035" s="1020">
        <v>12</v>
      </c>
      <c r="V1035" s="668">
        <f t="shared" si="337"/>
        <v>420</v>
      </c>
      <c r="W1035" s="668">
        <f t="shared" si="338"/>
        <v>0</v>
      </c>
      <c r="X1035" s="668">
        <f t="shared" si="339"/>
        <v>0</v>
      </c>
      <c r="Y1035" s="668">
        <f t="shared" si="340"/>
        <v>0</v>
      </c>
      <c r="Z1035" s="668">
        <f t="shared" si="341"/>
        <v>0</v>
      </c>
      <c r="AA1035" s="668">
        <f t="shared" si="342"/>
        <v>0</v>
      </c>
      <c r="AB1035" s="668">
        <f t="shared" si="343"/>
        <v>150</v>
      </c>
      <c r="AC1035" s="668">
        <f t="shared" si="305"/>
        <v>0</v>
      </c>
      <c r="AD1035" s="668">
        <f t="shared" si="344"/>
        <v>0</v>
      </c>
      <c r="AE1035" s="668">
        <f t="shared" si="345"/>
        <v>0</v>
      </c>
      <c r="AF1035" s="668">
        <f t="shared" si="346"/>
        <v>0</v>
      </c>
      <c r="AG1035" s="668">
        <f t="shared" si="347"/>
        <v>0</v>
      </c>
      <c r="AH1035" s="668"/>
      <c r="AI1035" s="668"/>
      <c r="AJ1035" s="668"/>
      <c r="AK1035" s="668"/>
      <c r="AL1035" s="668"/>
      <c r="AM1035" s="668">
        <f t="shared" si="335"/>
        <v>0</v>
      </c>
      <c r="AN1035" s="668">
        <f t="shared" si="350"/>
        <v>0</v>
      </c>
      <c r="AO1035" s="668">
        <f t="shared" si="351"/>
        <v>0</v>
      </c>
      <c r="AP1035" s="668">
        <f t="shared" si="336"/>
        <v>180</v>
      </c>
      <c r="AQ1035" s="668">
        <f t="shared" si="348"/>
        <v>0</v>
      </c>
      <c r="AR1035" s="668">
        <f t="shared" si="349"/>
        <v>0</v>
      </c>
      <c r="AS1035" s="668"/>
      <c r="AT1035" s="668"/>
      <c r="AU1035" s="668"/>
      <c r="AV1035" s="668"/>
      <c r="AW1035" s="668"/>
      <c r="AX1035" s="668"/>
      <c r="AY1035" s="668"/>
      <c r="AZ1035" s="668"/>
      <c r="BA1035" s="668"/>
      <c r="BB1035" s="668">
        <f t="shared" si="334"/>
        <v>180</v>
      </c>
      <c r="BC1035" s="668"/>
      <c r="BD1035" s="668"/>
      <c r="BE1035" s="668"/>
      <c r="BF1035" s="668"/>
      <c r="BG1035" s="668"/>
      <c r="BH1035" s="668"/>
      <c r="BI1035" s="668"/>
    </row>
    <row r="1036" spans="1:61" x14ac:dyDescent="0.2">
      <c r="A1036" s="1021">
        <v>5174</v>
      </c>
      <c r="B1036" s="1020" t="s">
        <v>515</v>
      </c>
      <c r="C1036" s="1020"/>
      <c r="D1036" s="667">
        <v>94</v>
      </c>
      <c r="E1036" s="667"/>
      <c r="F1036" s="667">
        <v>88</v>
      </c>
      <c r="G1036" s="667"/>
      <c r="H1036" s="667"/>
      <c r="I1036" s="667"/>
      <c r="J1036" s="667"/>
      <c r="K1036" s="667"/>
      <c r="L1036" s="667"/>
      <c r="M1036" s="667"/>
      <c r="N1036" s="667"/>
      <c r="O1036" s="667"/>
      <c r="P1036" s="667"/>
      <c r="Q1036" s="667"/>
      <c r="R1036" s="667"/>
      <c r="S1036" s="667"/>
      <c r="T1036" s="667">
        <v>2795</v>
      </c>
      <c r="U1036" s="1033">
        <v>12</v>
      </c>
      <c r="V1036" s="668">
        <f t="shared" si="337"/>
        <v>1128</v>
      </c>
      <c r="W1036" s="668">
        <f t="shared" si="338"/>
        <v>0</v>
      </c>
      <c r="X1036" s="668">
        <f t="shared" si="339"/>
        <v>0</v>
      </c>
      <c r="Y1036" s="668">
        <f t="shared" si="340"/>
        <v>0</v>
      </c>
      <c r="Z1036" s="668">
        <f t="shared" si="341"/>
        <v>0</v>
      </c>
      <c r="AA1036" s="668">
        <f t="shared" si="342"/>
        <v>0</v>
      </c>
      <c r="AB1036" s="668">
        <f t="shared" si="343"/>
        <v>2795</v>
      </c>
      <c r="AC1036" s="668">
        <f t="shared" ref="AC1036:AC1100" si="352">+U1036*P1036</f>
        <v>0</v>
      </c>
      <c r="AD1036" s="668">
        <f t="shared" si="344"/>
        <v>0</v>
      </c>
      <c r="AE1036" s="668">
        <f t="shared" si="345"/>
        <v>0</v>
      </c>
      <c r="AF1036" s="668">
        <f t="shared" si="346"/>
        <v>0</v>
      </c>
      <c r="AG1036" s="668">
        <f t="shared" si="347"/>
        <v>0</v>
      </c>
      <c r="AH1036" s="668"/>
      <c r="AI1036" s="668"/>
      <c r="AJ1036" s="668"/>
      <c r="AK1036" s="668"/>
      <c r="AL1036" s="668"/>
      <c r="AM1036" s="668">
        <f t="shared" si="335"/>
        <v>0</v>
      </c>
      <c r="AN1036" s="668">
        <f t="shared" si="350"/>
        <v>0</v>
      </c>
      <c r="AO1036" s="668">
        <f t="shared" si="351"/>
        <v>0</v>
      </c>
      <c r="AP1036" s="668">
        <f t="shared" si="336"/>
        <v>1056</v>
      </c>
      <c r="AQ1036" s="668">
        <f t="shared" si="348"/>
        <v>0</v>
      </c>
      <c r="AR1036" s="668">
        <f t="shared" si="349"/>
        <v>0</v>
      </c>
      <c r="AS1036" s="668"/>
      <c r="AT1036" s="668"/>
      <c r="AU1036" s="668"/>
      <c r="AV1036" s="668"/>
      <c r="AW1036" s="668"/>
      <c r="AX1036" s="668"/>
      <c r="AY1036" s="668"/>
      <c r="AZ1036" s="668"/>
      <c r="BA1036" s="668"/>
      <c r="BB1036" s="668"/>
      <c r="BC1036" s="668"/>
      <c r="BD1036" s="668"/>
      <c r="BE1036" s="668"/>
      <c r="BF1036" s="668"/>
      <c r="BG1036" s="668"/>
      <c r="BH1036" s="668"/>
      <c r="BI1036" s="668"/>
    </row>
    <row r="1037" spans="1:61" x14ac:dyDescent="0.2">
      <c r="A1037" s="1021">
        <v>5175</v>
      </c>
      <c r="B1037" s="1020" t="s">
        <v>515</v>
      </c>
      <c r="C1037" s="1020"/>
      <c r="D1037" s="667">
        <v>140</v>
      </c>
      <c r="E1037" s="667"/>
      <c r="F1037" s="667">
        <v>70</v>
      </c>
      <c r="G1037" s="667"/>
      <c r="H1037" s="667"/>
      <c r="I1037" s="667"/>
      <c r="J1037" s="667"/>
      <c r="K1037" s="667"/>
      <c r="L1037" s="667"/>
      <c r="M1037" s="667"/>
      <c r="N1037" s="667"/>
      <c r="O1037" s="667"/>
      <c r="P1037" s="667"/>
      <c r="Q1037" s="667"/>
      <c r="R1037" s="667"/>
      <c r="S1037" s="667"/>
      <c r="T1037" s="667">
        <v>4282</v>
      </c>
      <c r="U1037" s="1033">
        <v>12</v>
      </c>
      <c r="V1037" s="668">
        <f t="shared" si="337"/>
        <v>1680</v>
      </c>
      <c r="W1037" s="668">
        <f t="shared" si="338"/>
        <v>0</v>
      </c>
      <c r="X1037" s="668">
        <f t="shared" si="339"/>
        <v>0</v>
      </c>
      <c r="Y1037" s="668">
        <f t="shared" si="340"/>
        <v>0</v>
      </c>
      <c r="Z1037" s="668">
        <f t="shared" si="341"/>
        <v>0</v>
      </c>
      <c r="AA1037" s="668">
        <f t="shared" si="342"/>
        <v>0</v>
      </c>
      <c r="AB1037" s="668">
        <f t="shared" si="343"/>
        <v>4282</v>
      </c>
      <c r="AC1037" s="668">
        <f t="shared" si="352"/>
        <v>0</v>
      </c>
      <c r="AD1037" s="668">
        <f t="shared" si="344"/>
        <v>0</v>
      </c>
      <c r="AE1037" s="668">
        <f t="shared" si="345"/>
        <v>0</v>
      </c>
      <c r="AF1037" s="668">
        <f t="shared" si="346"/>
        <v>0</v>
      </c>
      <c r="AG1037" s="668">
        <f t="shared" si="347"/>
        <v>0</v>
      </c>
      <c r="AH1037" s="668"/>
      <c r="AI1037" s="668"/>
      <c r="AJ1037" s="668"/>
      <c r="AK1037" s="668"/>
      <c r="AL1037" s="668"/>
      <c r="AM1037" s="668">
        <f t="shared" si="335"/>
        <v>0</v>
      </c>
      <c r="AN1037" s="668">
        <f t="shared" si="350"/>
        <v>0</v>
      </c>
      <c r="AO1037" s="668">
        <f t="shared" si="351"/>
        <v>0</v>
      </c>
      <c r="AP1037" s="668">
        <f t="shared" si="336"/>
        <v>840</v>
      </c>
      <c r="AQ1037" s="668">
        <f t="shared" si="348"/>
        <v>0</v>
      </c>
      <c r="AR1037" s="668">
        <f t="shared" si="349"/>
        <v>0</v>
      </c>
      <c r="AS1037" s="668"/>
      <c r="AT1037" s="668"/>
      <c r="AU1037" s="668"/>
      <c r="AV1037" s="668"/>
      <c r="AW1037" s="668"/>
      <c r="AX1037" s="668"/>
      <c r="AY1037" s="668"/>
      <c r="AZ1037" s="668"/>
      <c r="BA1037" s="668"/>
      <c r="BB1037" s="668"/>
      <c r="BC1037" s="668"/>
      <c r="BD1037" s="668"/>
      <c r="BE1037" s="668"/>
      <c r="BF1037" s="668"/>
      <c r="BG1037" s="668"/>
      <c r="BH1037" s="668"/>
      <c r="BI1037" s="668"/>
    </row>
    <row r="1038" spans="1:61" x14ac:dyDescent="0.2">
      <c r="A1038" s="1021">
        <v>5176</v>
      </c>
      <c r="B1038" s="1020" t="s">
        <v>519</v>
      </c>
      <c r="C1038" s="1020"/>
      <c r="D1038" s="667">
        <v>35</v>
      </c>
      <c r="E1038" s="667"/>
      <c r="F1038" s="667">
        <v>15</v>
      </c>
      <c r="G1038" s="667"/>
      <c r="H1038" s="667"/>
      <c r="I1038" s="667"/>
      <c r="J1038" s="667"/>
      <c r="K1038" s="667"/>
      <c r="L1038" s="667"/>
      <c r="M1038" s="667"/>
      <c r="N1038" s="667"/>
      <c r="O1038" s="667"/>
      <c r="P1038" s="667"/>
      <c r="Q1038" s="667"/>
      <c r="R1038" s="667"/>
      <c r="S1038" s="667"/>
      <c r="T1038" s="667">
        <v>150</v>
      </c>
      <c r="U1038" s="1020">
        <v>12</v>
      </c>
      <c r="V1038" s="668">
        <f t="shared" si="337"/>
        <v>420</v>
      </c>
      <c r="W1038" s="668">
        <f t="shared" si="338"/>
        <v>0</v>
      </c>
      <c r="X1038" s="668">
        <f t="shared" si="339"/>
        <v>0</v>
      </c>
      <c r="Y1038" s="668">
        <f t="shared" si="340"/>
        <v>0</v>
      </c>
      <c r="Z1038" s="668">
        <f t="shared" si="341"/>
        <v>0</v>
      </c>
      <c r="AA1038" s="668">
        <f t="shared" si="342"/>
        <v>0</v>
      </c>
      <c r="AB1038" s="668">
        <f t="shared" si="343"/>
        <v>150</v>
      </c>
      <c r="AC1038" s="668">
        <f t="shared" si="352"/>
        <v>0</v>
      </c>
      <c r="AD1038" s="668">
        <f t="shared" si="344"/>
        <v>0</v>
      </c>
      <c r="AE1038" s="668">
        <f t="shared" si="345"/>
        <v>0</v>
      </c>
      <c r="AF1038" s="668">
        <f t="shared" si="346"/>
        <v>0</v>
      </c>
      <c r="AG1038" s="668">
        <f t="shared" si="347"/>
        <v>0</v>
      </c>
      <c r="AH1038" s="668"/>
      <c r="AI1038" s="668"/>
      <c r="AJ1038" s="668"/>
      <c r="AK1038" s="668"/>
      <c r="AL1038" s="668"/>
      <c r="AM1038" s="668">
        <f t="shared" si="335"/>
        <v>0</v>
      </c>
      <c r="AN1038" s="668">
        <f t="shared" si="350"/>
        <v>0</v>
      </c>
      <c r="AO1038" s="668">
        <f t="shared" si="351"/>
        <v>0</v>
      </c>
      <c r="AP1038" s="668">
        <f t="shared" si="336"/>
        <v>180</v>
      </c>
      <c r="AQ1038" s="668">
        <f t="shared" si="348"/>
        <v>0</v>
      </c>
      <c r="AR1038" s="668">
        <f t="shared" si="349"/>
        <v>0</v>
      </c>
      <c r="AS1038" s="668"/>
      <c r="AT1038" s="668"/>
      <c r="AU1038" s="668"/>
      <c r="AV1038" s="668"/>
      <c r="AW1038" s="668"/>
      <c r="AX1038" s="668"/>
      <c r="AY1038" s="668"/>
      <c r="AZ1038" s="668"/>
      <c r="BA1038" s="668"/>
      <c r="BB1038" s="668">
        <f t="shared" si="334"/>
        <v>180</v>
      </c>
      <c r="BC1038" s="668"/>
      <c r="BD1038" s="668"/>
      <c r="BE1038" s="668"/>
      <c r="BF1038" s="668"/>
      <c r="BG1038" s="668"/>
      <c r="BH1038" s="668"/>
      <c r="BI1038" s="668"/>
    </row>
    <row r="1039" spans="1:61" x14ac:dyDescent="0.2">
      <c r="A1039" s="1021">
        <v>5177</v>
      </c>
      <c r="B1039" s="1020" t="s">
        <v>519</v>
      </c>
      <c r="C1039" s="1020"/>
      <c r="D1039" s="667">
        <v>35</v>
      </c>
      <c r="E1039" s="667"/>
      <c r="F1039" s="667">
        <v>15</v>
      </c>
      <c r="G1039" s="667"/>
      <c r="H1039" s="667"/>
      <c r="I1039" s="667"/>
      <c r="J1039" s="667"/>
      <c r="K1039" s="667"/>
      <c r="L1039" s="667"/>
      <c r="M1039" s="667"/>
      <c r="N1039" s="667"/>
      <c r="O1039" s="667"/>
      <c r="P1039" s="667"/>
      <c r="Q1039" s="667"/>
      <c r="R1039" s="667"/>
      <c r="S1039" s="667"/>
      <c r="T1039" s="667">
        <v>150</v>
      </c>
      <c r="U1039" s="1020">
        <v>12</v>
      </c>
      <c r="V1039" s="668">
        <f t="shared" si="337"/>
        <v>420</v>
      </c>
      <c r="W1039" s="668">
        <f t="shared" si="338"/>
        <v>0</v>
      </c>
      <c r="X1039" s="668">
        <f t="shared" si="339"/>
        <v>0</v>
      </c>
      <c r="Y1039" s="668">
        <f t="shared" si="340"/>
        <v>0</v>
      </c>
      <c r="Z1039" s="668">
        <f t="shared" si="341"/>
        <v>0</v>
      </c>
      <c r="AA1039" s="668">
        <f t="shared" si="342"/>
        <v>0</v>
      </c>
      <c r="AB1039" s="668">
        <f t="shared" si="343"/>
        <v>150</v>
      </c>
      <c r="AC1039" s="668">
        <f t="shared" si="352"/>
        <v>0</v>
      </c>
      <c r="AD1039" s="668">
        <f t="shared" si="344"/>
        <v>0</v>
      </c>
      <c r="AE1039" s="668">
        <f t="shared" si="345"/>
        <v>0</v>
      </c>
      <c r="AF1039" s="668">
        <f t="shared" si="346"/>
        <v>0</v>
      </c>
      <c r="AG1039" s="668">
        <f t="shared" si="347"/>
        <v>0</v>
      </c>
      <c r="AH1039" s="668"/>
      <c r="AI1039" s="668"/>
      <c r="AJ1039" s="668"/>
      <c r="AK1039" s="668"/>
      <c r="AL1039" s="668"/>
      <c r="AM1039" s="668">
        <f t="shared" si="335"/>
        <v>0</v>
      </c>
      <c r="AN1039" s="668">
        <f t="shared" si="350"/>
        <v>0</v>
      </c>
      <c r="AO1039" s="668">
        <f t="shared" si="351"/>
        <v>0</v>
      </c>
      <c r="AP1039" s="668">
        <f t="shared" si="336"/>
        <v>180</v>
      </c>
      <c r="AQ1039" s="668">
        <f t="shared" si="348"/>
        <v>0</v>
      </c>
      <c r="AR1039" s="668">
        <f t="shared" si="349"/>
        <v>0</v>
      </c>
      <c r="AS1039" s="668"/>
      <c r="AT1039" s="668"/>
      <c r="AU1039" s="668"/>
      <c r="AV1039" s="668"/>
      <c r="AW1039" s="668"/>
      <c r="AX1039" s="668"/>
      <c r="AY1039" s="668"/>
      <c r="AZ1039" s="668"/>
      <c r="BA1039" s="668"/>
      <c r="BB1039" s="668">
        <f t="shared" si="334"/>
        <v>180</v>
      </c>
      <c r="BC1039" s="668"/>
      <c r="BD1039" s="668"/>
      <c r="BE1039" s="668"/>
      <c r="BF1039" s="668"/>
      <c r="BG1039" s="668"/>
      <c r="BH1039" s="668"/>
      <c r="BI1039" s="668"/>
    </row>
    <row r="1040" spans="1:61" x14ac:dyDescent="0.2">
      <c r="A1040" s="1021">
        <v>5178</v>
      </c>
      <c r="B1040" s="1020" t="s">
        <v>467</v>
      </c>
      <c r="C1040" s="1020"/>
      <c r="D1040" s="667">
        <v>80</v>
      </c>
      <c r="E1040" s="667"/>
      <c r="F1040" s="667"/>
      <c r="G1040" s="667"/>
      <c r="H1040" s="667"/>
      <c r="I1040" s="667"/>
      <c r="J1040" s="667"/>
      <c r="K1040" s="667"/>
      <c r="L1040" s="667"/>
      <c r="M1040" s="667"/>
      <c r="N1040" s="667"/>
      <c r="O1040" s="667"/>
      <c r="P1040" s="667"/>
      <c r="Q1040" s="667"/>
      <c r="R1040" s="667"/>
      <c r="S1040" s="667"/>
      <c r="T1040" s="667"/>
      <c r="U1040" s="1033">
        <v>3</v>
      </c>
      <c r="V1040" s="668">
        <f t="shared" si="337"/>
        <v>240</v>
      </c>
      <c r="W1040" s="668">
        <f t="shared" si="338"/>
        <v>0</v>
      </c>
      <c r="X1040" s="668">
        <f t="shared" si="339"/>
        <v>0</v>
      </c>
      <c r="Y1040" s="668">
        <f t="shared" si="340"/>
        <v>0</v>
      </c>
      <c r="Z1040" s="668">
        <f t="shared" si="341"/>
        <v>0</v>
      </c>
      <c r="AA1040" s="668">
        <f t="shared" si="342"/>
        <v>0</v>
      </c>
      <c r="AB1040" s="668">
        <f t="shared" si="343"/>
        <v>0</v>
      </c>
      <c r="AC1040" s="668">
        <f t="shared" si="352"/>
        <v>0</v>
      </c>
      <c r="AD1040" s="668">
        <f t="shared" si="344"/>
        <v>0</v>
      </c>
      <c r="AE1040" s="668">
        <f t="shared" si="345"/>
        <v>0</v>
      </c>
      <c r="AF1040" s="668">
        <f t="shared" si="346"/>
        <v>0</v>
      </c>
      <c r="AG1040" s="668">
        <f t="shared" si="347"/>
        <v>0</v>
      </c>
      <c r="AH1040" s="668"/>
      <c r="AI1040" s="668"/>
      <c r="AJ1040" s="668"/>
      <c r="AK1040" s="668"/>
      <c r="AL1040" s="668"/>
      <c r="AM1040" s="668">
        <f t="shared" si="335"/>
        <v>0</v>
      </c>
      <c r="AN1040" s="668">
        <f t="shared" si="350"/>
        <v>0</v>
      </c>
      <c r="AO1040" s="668">
        <f t="shared" si="351"/>
        <v>0</v>
      </c>
      <c r="AP1040" s="668">
        <f t="shared" si="336"/>
        <v>0</v>
      </c>
      <c r="AQ1040" s="668">
        <f t="shared" si="348"/>
        <v>0</v>
      </c>
      <c r="AR1040" s="668">
        <f t="shared" si="349"/>
        <v>0</v>
      </c>
      <c r="AS1040" s="668"/>
      <c r="AT1040" s="668"/>
      <c r="AU1040" s="668"/>
      <c r="AV1040" s="668"/>
      <c r="AW1040" s="668"/>
      <c r="AX1040" s="668"/>
      <c r="AY1040" s="668"/>
      <c r="AZ1040" s="668"/>
      <c r="BA1040" s="668"/>
      <c r="BB1040" s="668">
        <f t="shared" si="334"/>
        <v>0</v>
      </c>
      <c r="BC1040" s="668"/>
      <c r="BD1040" s="668"/>
      <c r="BE1040" s="668"/>
      <c r="BF1040" s="668"/>
      <c r="BG1040" s="668"/>
      <c r="BH1040" s="668"/>
      <c r="BI1040" s="668"/>
    </row>
    <row r="1041" spans="1:61" x14ac:dyDescent="0.2">
      <c r="A1041" s="1021">
        <v>5179</v>
      </c>
      <c r="B1041" s="1020" t="s">
        <v>466</v>
      </c>
      <c r="C1041" s="1020"/>
      <c r="D1041" s="667">
        <v>80</v>
      </c>
      <c r="E1041" s="667"/>
      <c r="F1041" s="667"/>
      <c r="G1041" s="667"/>
      <c r="H1041" s="667"/>
      <c r="I1041" s="667"/>
      <c r="J1041" s="667"/>
      <c r="K1041" s="667"/>
      <c r="L1041" s="667"/>
      <c r="M1041" s="667"/>
      <c r="N1041" s="667"/>
      <c r="O1041" s="667"/>
      <c r="P1041" s="667"/>
      <c r="Q1041" s="667"/>
      <c r="R1041" s="667"/>
      <c r="S1041" s="667"/>
      <c r="T1041" s="667"/>
      <c r="U1041" s="1033">
        <v>3</v>
      </c>
      <c r="V1041" s="668">
        <f t="shared" si="337"/>
        <v>240</v>
      </c>
      <c r="W1041" s="668">
        <f t="shared" si="338"/>
        <v>0</v>
      </c>
      <c r="X1041" s="668">
        <f t="shared" si="339"/>
        <v>0</v>
      </c>
      <c r="Y1041" s="668">
        <f t="shared" si="340"/>
        <v>0</v>
      </c>
      <c r="Z1041" s="668">
        <f t="shared" si="341"/>
        <v>0</v>
      </c>
      <c r="AA1041" s="668">
        <f t="shared" si="342"/>
        <v>0</v>
      </c>
      <c r="AB1041" s="668">
        <f t="shared" si="343"/>
        <v>0</v>
      </c>
      <c r="AC1041" s="668">
        <f t="shared" si="352"/>
        <v>0</v>
      </c>
      <c r="AD1041" s="668">
        <f t="shared" si="344"/>
        <v>0</v>
      </c>
      <c r="AE1041" s="668">
        <f t="shared" si="345"/>
        <v>0</v>
      </c>
      <c r="AF1041" s="668">
        <f t="shared" si="346"/>
        <v>0</v>
      </c>
      <c r="AG1041" s="668">
        <f t="shared" si="347"/>
        <v>0</v>
      </c>
      <c r="AH1041" s="668"/>
      <c r="AI1041" s="668"/>
      <c r="AJ1041" s="668"/>
      <c r="AK1041" s="668"/>
      <c r="AL1041" s="668"/>
      <c r="AM1041" s="668">
        <f t="shared" si="335"/>
        <v>0</v>
      </c>
      <c r="AN1041" s="668">
        <f t="shared" si="350"/>
        <v>0</v>
      </c>
      <c r="AO1041" s="668">
        <f t="shared" si="351"/>
        <v>0</v>
      </c>
      <c r="AP1041" s="668">
        <f t="shared" si="336"/>
        <v>0</v>
      </c>
      <c r="AQ1041" s="668">
        <f t="shared" si="348"/>
        <v>0</v>
      </c>
      <c r="AR1041" s="668">
        <f t="shared" si="349"/>
        <v>0</v>
      </c>
      <c r="AS1041" s="668"/>
      <c r="AT1041" s="668"/>
      <c r="AU1041" s="668"/>
      <c r="AV1041" s="668"/>
      <c r="AW1041" s="668"/>
      <c r="AX1041" s="668"/>
      <c r="AY1041" s="668"/>
      <c r="AZ1041" s="668"/>
      <c r="BA1041" s="668"/>
      <c r="BB1041" s="668">
        <f t="shared" si="334"/>
        <v>0</v>
      </c>
      <c r="BC1041" s="668"/>
      <c r="BD1041" s="668"/>
      <c r="BE1041" s="668"/>
      <c r="BF1041" s="668"/>
      <c r="BG1041" s="668"/>
      <c r="BH1041" s="668"/>
      <c r="BI1041" s="668"/>
    </row>
    <row r="1042" spans="1:61" x14ac:dyDescent="0.2">
      <c r="A1042" s="1021">
        <v>5180</v>
      </c>
      <c r="B1042" s="1020" t="s">
        <v>829</v>
      </c>
      <c r="C1042" s="1020"/>
      <c r="D1042" s="667">
        <v>44</v>
      </c>
      <c r="E1042" s="667"/>
      <c r="F1042" s="667"/>
      <c r="G1042" s="667"/>
      <c r="H1042" s="667"/>
      <c r="I1042" s="667"/>
      <c r="J1042" s="667"/>
      <c r="K1042" s="667"/>
      <c r="L1042" s="667"/>
      <c r="M1042" s="667"/>
      <c r="N1042" s="667"/>
      <c r="O1042" s="667"/>
      <c r="P1042" s="667"/>
      <c r="Q1042" s="667"/>
      <c r="R1042" s="667"/>
      <c r="S1042" s="667"/>
      <c r="T1042" s="667"/>
      <c r="U1042" s="1033">
        <v>10</v>
      </c>
      <c r="V1042" s="668">
        <f t="shared" si="337"/>
        <v>440</v>
      </c>
      <c r="W1042" s="668">
        <f t="shared" si="338"/>
        <v>0</v>
      </c>
      <c r="X1042" s="668">
        <f t="shared" si="339"/>
        <v>0</v>
      </c>
      <c r="Y1042" s="668">
        <f t="shared" si="340"/>
        <v>0</v>
      </c>
      <c r="Z1042" s="668">
        <f t="shared" si="341"/>
        <v>0</v>
      </c>
      <c r="AA1042" s="668">
        <f t="shared" si="342"/>
        <v>0</v>
      </c>
      <c r="AB1042" s="668">
        <f t="shared" si="343"/>
        <v>0</v>
      </c>
      <c r="AC1042" s="668">
        <f t="shared" si="352"/>
        <v>0</v>
      </c>
      <c r="AD1042" s="668">
        <f t="shared" si="344"/>
        <v>0</v>
      </c>
      <c r="AE1042" s="668">
        <f t="shared" si="345"/>
        <v>0</v>
      </c>
      <c r="AF1042" s="668">
        <f t="shared" si="346"/>
        <v>0</v>
      </c>
      <c r="AG1042" s="668">
        <f t="shared" si="347"/>
        <v>0</v>
      </c>
      <c r="AH1042" s="668"/>
      <c r="AI1042" s="668"/>
      <c r="AJ1042" s="668"/>
      <c r="AK1042" s="668"/>
      <c r="AL1042" s="668"/>
      <c r="AM1042" s="668">
        <f t="shared" si="335"/>
        <v>0</v>
      </c>
      <c r="AN1042" s="668">
        <f t="shared" si="350"/>
        <v>0</v>
      </c>
      <c r="AO1042" s="668">
        <f t="shared" si="351"/>
        <v>0</v>
      </c>
      <c r="AP1042" s="668">
        <f t="shared" si="336"/>
        <v>0</v>
      </c>
      <c r="AQ1042" s="668">
        <f t="shared" si="348"/>
        <v>0</v>
      </c>
      <c r="AR1042" s="668">
        <f t="shared" si="349"/>
        <v>0</v>
      </c>
      <c r="AS1042" s="668"/>
      <c r="AT1042" s="668"/>
      <c r="AU1042" s="668"/>
      <c r="AV1042" s="668"/>
      <c r="AW1042" s="668"/>
      <c r="AX1042" s="668"/>
      <c r="AY1042" s="668"/>
      <c r="AZ1042" s="668"/>
      <c r="BA1042" s="668"/>
      <c r="BB1042" s="668">
        <f t="shared" ref="BB1042:BB1105" si="353">+AP1042</f>
        <v>0</v>
      </c>
      <c r="BC1042" s="668"/>
      <c r="BD1042" s="668"/>
      <c r="BE1042" s="668"/>
      <c r="BF1042" s="668"/>
      <c r="BG1042" s="668"/>
      <c r="BH1042" s="668"/>
      <c r="BI1042" s="668"/>
    </row>
    <row r="1043" spans="1:61" x14ac:dyDescent="0.2">
      <c r="A1043" s="1021">
        <v>5181</v>
      </c>
      <c r="B1043" s="1020" t="s">
        <v>686</v>
      </c>
      <c r="C1043" s="1020"/>
      <c r="D1043" s="667">
        <v>105</v>
      </c>
      <c r="E1043" s="667"/>
      <c r="F1043" s="667"/>
      <c r="G1043" s="667"/>
      <c r="H1043" s="667"/>
      <c r="I1043" s="667"/>
      <c r="J1043" s="667"/>
      <c r="K1043" s="667"/>
      <c r="L1043" s="667"/>
      <c r="M1043" s="667"/>
      <c r="N1043" s="667"/>
      <c r="O1043" s="667"/>
      <c r="P1043" s="667"/>
      <c r="Q1043" s="667"/>
      <c r="R1043" s="667"/>
      <c r="S1043" s="667"/>
      <c r="T1043" s="667"/>
      <c r="U1043" s="1033">
        <v>12</v>
      </c>
      <c r="V1043" s="668">
        <f t="shared" si="337"/>
        <v>1260</v>
      </c>
      <c r="W1043" s="668">
        <f t="shared" si="338"/>
        <v>0</v>
      </c>
      <c r="X1043" s="668">
        <f t="shared" si="339"/>
        <v>0</v>
      </c>
      <c r="Y1043" s="668">
        <f t="shared" si="340"/>
        <v>0</v>
      </c>
      <c r="Z1043" s="668">
        <f t="shared" si="341"/>
        <v>0</v>
      </c>
      <c r="AA1043" s="668">
        <f t="shared" si="342"/>
        <v>0</v>
      </c>
      <c r="AB1043" s="668">
        <f t="shared" si="343"/>
        <v>0</v>
      </c>
      <c r="AC1043" s="668">
        <f t="shared" si="352"/>
        <v>0</v>
      </c>
      <c r="AD1043" s="668">
        <f t="shared" si="344"/>
        <v>0</v>
      </c>
      <c r="AE1043" s="668">
        <f t="shared" si="345"/>
        <v>0</v>
      </c>
      <c r="AF1043" s="668">
        <f t="shared" si="346"/>
        <v>0</v>
      </c>
      <c r="AG1043" s="668">
        <f t="shared" si="347"/>
        <v>0</v>
      </c>
      <c r="AH1043" s="668"/>
      <c r="AI1043" s="668"/>
      <c r="AJ1043" s="668"/>
      <c r="AK1043" s="668"/>
      <c r="AL1043" s="668"/>
      <c r="AM1043" s="668">
        <f t="shared" ref="AM1043:AM1107" si="354">+I1043</f>
        <v>0</v>
      </c>
      <c r="AN1043" s="668">
        <f t="shared" si="350"/>
        <v>0</v>
      </c>
      <c r="AO1043" s="668">
        <f t="shared" si="351"/>
        <v>0</v>
      </c>
      <c r="AP1043" s="668">
        <f t="shared" si="336"/>
        <v>0</v>
      </c>
      <c r="AQ1043" s="668">
        <f t="shared" si="348"/>
        <v>0</v>
      </c>
      <c r="AR1043" s="668">
        <f t="shared" si="349"/>
        <v>0</v>
      </c>
      <c r="AS1043" s="668"/>
      <c r="AT1043" s="668"/>
      <c r="AU1043" s="668"/>
      <c r="AV1043" s="668"/>
      <c r="AW1043" s="668"/>
      <c r="AX1043" s="668"/>
      <c r="AY1043" s="668"/>
      <c r="AZ1043" s="668"/>
      <c r="BA1043" s="668"/>
      <c r="BB1043" s="668">
        <f t="shared" si="353"/>
        <v>0</v>
      </c>
      <c r="BC1043" s="668"/>
      <c r="BD1043" s="668"/>
      <c r="BE1043" s="668"/>
      <c r="BF1043" s="668"/>
      <c r="BG1043" s="668"/>
      <c r="BH1043" s="668"/>
      <c r="BI1043" s="668"/>
    </row>
    <row r="1044" spans="1:61" x14ac:dyDescent="0.2">
      <c r="A1044" s="1021">
        <v>5182</v>
      </c>
      <c r="B1044" s="1020" t="s">
        <v>684</v>
      </c>
      <c r="C1044" s="1020"/>
      <c r="D1044" s="667">
        <v>42</v>
      </c>
      <c r="E1044" s="667"/>
      <c r="F1044" s="667">
        <v>42</v>
      </c>
      <c r="G1044" s="667"/>
      <c r="H1044" s="667"/>
      <c r="I1044" s="667"/>
      <c r="J1044" s="667"/>
      <c r="K1044" s="667"/>
      <c r="L1044" s="667"/>
      <c r="M1044" s="667"/>
      <c r="N1044" s="667"/>
      <c r="O1044" s="667"/>
      <c r="P1044" s="667"/>
      <c r="Q1044" s="667"/>
      <c r="R1044" s="667"/>
      <c r="S1044" s="667"/>
      <c r="T1044" s="667"/>
      <c r="U1044" s="1033">
        <v>10</v>
      </c>
      <c r="V1044" s="668">
        <f t="shared" si="337"/>
        <v>420</v>
      </c>
      <c r="W1044" s="668">
        <f t="shared" si="338"/>
        <v>0</v>
      </c>
      <c r="X1044" s="668">
        <f t="shared" si="339"/>
        <v>0</v>
      </c>
      <c r="Y1044" s="668">
        <f t="shared" si="340"/>
        <v>0</v>
      </c>
      <c r="Z1044" s="668">
        <f t="shared" si="341"/>
        <v>0</v>
      </c>
      <c r="AA1044" s="668">
        <f t="shared" si="342"/>
        <v>0</v>
      </c>
      <c r="AB1044" s="668">
        <f t="shared" si="343"/>
        <v>0</v>
      </c>
      <c r="AC1044" s="668">
        <f t="shared" si="352"/>
        <v>0</v>
      </c>
      <c r="AD1044" s="668">
        <f t="shared" si="344"/>
        <v>0</v>
      </c>
      <c r="AE1044" s="668">
        <f t="shared" si="345"/>
        <v>0</v>
      </c>
      <c r="AF1044" s="668">
        <f t="shared" si="346"/>
        <v>0</v>
      </c>
      <c r="AG1044" s="668">
        <f t="shared" si="347"/>
        <v>0</v>
      </c>
      <c r="AH1044" s="668"/>
      <c r="AI1044" s="668"/>
      <c r="AJ1044" s="668"/>
      <c r="AK1044" s="668"/>
      <c r="AL1044" s="668"/>
      <c r="AM1044" s="668">
        <f t="shared" si="354"/>
        <v>0</v>
      </c>
      <c r="AN1044" s="668">
        <f t="shared" si="350"/>
        <v>0</v>
      </c>
      <c r="AO1044" s="668">
        <f t="shared" si="351"/>
        <v>0</v>
      </c>
      <c r="AP1044" s="668">
        <f t="shared" ref="AP1044:AP1108" si="355">+U1044*F1044</f>
        <v>420</v>
      </c>
      <c r="AQ1044" s="668">
        <f t="shared" si="348"/>
        <v>0</v>
      </c>
      <c r="AR1044" s="668">
        <f t="shared" si="349"/>
        <v>0</v>
      </c>
      <c r="AS1044" s="668"/>
      <c r="AT1044" s="668"/>
      <c r="AU1044" s="668"/>
      <c r="AV1044" s="668"/>
      <c r="AW1044" s="668"/>
      <c r="AX1044" s="668"/>
      <c r="AY1044" s="668"/>
      <c r="AZ1044" s="668"/>
      <c r="BA1044" s="668"/>
      <c r="BB1044" s="668"/>
      <c r="BC1044" s="668"/>
      <c r="BD1044" s="668"/>
      <c r="BE1044" s="668"/>
      <c r="BF1044" s="668"/>
      <c r="BG1044" s="668"/>
      <c r="BH1044" s="668"/>
      <c r="BI1044" s="668"/>
    </row>
    <row r="1045" spans="1:61" x14ac:dyDescent="0.2">
      <c r="A1045" s="1021" t="s">
        <v>830</v>
      </c>
      <c r="B1045" s="1012" t="s">
        <v>516</v>
      </c>
      <c r="C1045" s="1012"/>
      <c r="D1045" s="667">
        <v>32</v>
      </c>
      <c r="E1045" s="667"/>
      <c r="F1045" s="667">
        <v>32</v>
      </c>
      <c r="G1045" s="667"/>
      <c r="H1045" s="667"/>
      <c r="I1045" s="667"/>
      <c r="J1045" s="667"/>
      <c r="K1045" s="667"/>
      <c r="L1045" s="667"/>
      <c r="M1045" s="667"/>
      <c r="N1045" s="667"/>
      <c r="O1045" s="667"/>
      <c r="P1045" s="667"/>
      <c r="Q1045" s="667"/>
      <c r="R1045" s="667"/>
      <c r="S1045" s="667"/>
      <c r="T1045" s="667"/>
      <c r="U1045" s="1033">
        <v>10</v>
      </c>
      <c r="V1045" s="668">
        <f t="shared" ref="V1045:V1109" si="356">+U1045*D1045</f>
        <v>320</v>
      </c>
      <c r="W1045" s="668">
        <f t="shared" ref="W1045:W1109" si="357">+U1045*G1045</f>
        <v>0</v>
      </c>
      <c r="X1045" s="668">
        <f t="shared" ref="X1045:X1109" si="358">+U1045*H1045</f>
        <v>0</v>
      </c>
      <c r="Y1045" s="668">
        <f t="shared" ref="Y1045:Y1109" si="359">+U1045*J1045</f>
        <v>0</v>
      </c>
      <c r="Z1045" s="668">
        <f t="shared" ref="Z1045:Z1109" si="360">IF(C1045="y",V1045+W1045+X1045+Y1045,0)</f>
        <v>0</v>
      </c>
      <c r="AA1045" s="668">
        <f t="shared" ref="AA1045:AA1109" si="361">+S1045</f>
        <v>0</v>
      </c>
      <c r="AB1045" s="668">
        <f t="shared" ref="AB1045:AB1109" si="362">+T1045</f>
        <v>0</v>
      </c>
      <c r="AC1045" s="668">
        <f t="shared" si="352"/>
        <v>0</v>
      </c>
      <c r="AD1045" s="668">
        <f t="shared" ref="AD1045:AD1109" si="363">+Q1045</f>
        <v>0</v>
      </c>
      <c r="AE1045" s="668">
        <f t="shared" ref="AE1045:AE1109" si="364">+U1045*M1045</f>
        <v>0</v>
      </c>
      <c r="AF1045" s="668">
        <f t="shared" ref="AF1045:AF1109" si="365">+L1045*U1045</f>
        <v>0</v>
      </c>
      <c r="AG1045" s="668">
        <f t="shared" ref="AG1045:AG1109" si="366">+$AG$4*N1045</f>
        <v>0</v>
      </c>
      <c r="AH1045" s="668"/>
      <c r="AI1045" s="668"/>
      <c r="AJ1045" s="668"/>
      <c r="AK1045" s="668"/>
      <c r="AL1045" s="668"/>
      <c r="AM1045" s="668">
        <f t="shared" si="354"/>
        <v>0</v>
      </c>
      <c r="AN1045" s="668">
        <f t="shared" si="350"/>
        <v>0</v>
      </c>
      <c r="AO1045" s="668">
        <f t="shared" si="351"/>
        <v>0</v>
      </c>
      <c r="AP1045" s="668">
        <f t="shared" si="355"/>
        <v>320</v>
      </c>
      <c r="AQ1045" s="668">
        <f t="shared" si="348"/>
        <v>0</v>
      </c>
      <c r="AR1045" s="668">
        <f t="shared" si="349"/>
        <v>0</v>
      </c>
      <c r="AS1045" s="668"/>
      <c r="AT1045" s="668"/>
      <c r="AU1045" s="668"/>
      <c r="AV1045" s="668"/>
      <c r="AW1045" s="668"/>
      <c r="AX1045" s="668"/>
      <c r="AY1045" s="668"/>
      <c r="AZ1045" s="668"/>
      <c r="BA1045" s="668"/>
      <c r="BB1045" s="668"/>
      <c r="BC1045" s="668"/>
      <c r="BD1045" s="668"/>
      <c r="BE1045" s="668"/>
      <c r="BF1045" s="668"/>
      <c r="BG1045" s="668"/>
      <c r="BH1045" s="668"/>
      <c r="BI1045" s="668"/>
    </row>
    <row r="1046" spans="1:61" x14ac:dyDescent="0.2">
      <c r="A1046" s="1021" t="s">
        <v>831</v>
      </c>
      <c r="B1046" s="1021" t="s">
        <v>517</v>
      </c>
      <c r="C1046" s="1021"/>
      <c r="D1046" s="667">
        <v>50</v>
      </c>
      <c r="E1046" s="667"/>
      <c r="F1046" s="667"/>
      <c r="G1046" s="667"/>
      <c r="H1046" s="667"/>
      <c r="I1046" s="667"/>
      <c r="J1046" s="667"/>
      <c r="K1046" s="667"/>
      <c r="L1046" s="667"/>
      <c r="M1046" s="667"/>
      <c r="N1046" s="667"/>
      <c r="O1046" s="667"/>
      <c r="P1046" s="667"/>
      <c r="Q1046" s="667"/>
      <c r="R1046" s="667"/>
      <c r="S1046" s="667"/>
      <c r="T1046" s="667"/>
      <c r="U1046" s="1033">
        <v>12</v>
      </c>
      <c r="V1046" s="668">
        <f t="shared" si="356"/>
        <v>600</v>
      </c>
      <c r="W1046" s="668">
        <f t="shared" si="357"/>
        <v>0</v>
      </c>
      <c r="X1046" s="668">
        <f t="shared" si="358"/>
        <v>0</v>
      </c>
      <c r="Y1046" s="668">
        <f t="shared" si="359"/>
        <v>0</v>
      </c>
      <c r="Z1046" s="668">
        <f t="shared" si="360"/>
        <v>0</v>
      </c>
      <c r="AA1046" s="668">
        <f t="shared" si="361"/>
        <v>0</v>
      </c>
      <c r="AB1046" s="668">
        <f t="shared" si="362"/>
        <v>0</v>
      </c>
      <c r="AC1046" s="668">
        <f t="shared" si="352"/>
        <v>0</v>
      </c>
      <c r="AD1046" s="668">
        <f t="shared" si="363"/>
        <v>0</v>
      </c>
      <c r="AE1046" s="668">
        <f t="shared" si="364"/>
        <v>0</v>
      </c>
      <c r="AF1046" s="668">
        <f t="shared" si="365"/>
        <v>0</v>
      </c>
      <c r="AG1046" s="668">
        <f t="shared" si="366"/>
        <v>0</v>
      </c>
      <c r="AH1046" s="668"/>
      <c r="AI1046" s="668"/>
      <c r="AJ1046" s="668"/>
      <c r="AK1046" s="668"/>
      <c r="AL1046" s="668"/>
      <c r="AM1046" s="668">
        <f t="shared" si="354"/>
        <v>0</v>
      </c>
      <c r="AN1046" s="668">
        <f t="shared" si="350"/>
        <v>0</v>
      </c>
      <c r="AO1046" s="668">
        <f t="shared" si="351"/>
        <v>0</v>
      </c>
      <c r="AP1046" s="668">
        <f t="shared" si="355"/>
        <v>0</v>
      </c>
      <c r="AQ1046" s="668">
        <f t="shared" si="348"/>
        <v>0</v>
      </c>
      <c r="AR1046" s="668">
        <f t="shared" si="349"/>
        <v>0</v>
      </c>
      <c r="AS1046" s="668"/>
      <c r="AT1046" s="668"/>
      <c r="AU1046" s="668"/>
      <c r="AV1046" s="668"/>
      <c r="AW1046" s="668"/>
      <c r="AX1046" s="668"/>
      <c r="AY1046" s="668"/>
      <c r="AZ1046" s="668"/>
      <c r="BA1046" s="668"/>
      <c r="BB1046" s="668">
        <f t="shared" si="353"/>
        <v>0</v>
      </c>
      <c r="BC1046" s="668"/>
      <c r="BD1046" s="668"/>
      <c r="BE1046" s="668"/>
      <c r="BF1046" s="668"/>
      <c r="BG1046" s="668"/>
      <c r="BH1046" s="668"/>
      <c r="BI1046" s="668"/>
    </row>
    <row r="1047" spans="1:61" x14ac:dyDescent="0.2">
      <c r="A1047" s="1021">
        <v>5184</v>
      </c>
      <c r="B1047" s="1012" t="s">
        <v>624</v>
      </c>
      <c r="C1047" s="1012"/>
      <c r="D1047" s="667">
        <v>35</v>
      </c>
      <c r="E1047" s="667"/>
      <c r="F1047" s="667">
        <v>15</v>
      </c>
      <c r="G1047" s="667"/>
      <c r="H1047" s="667"/>
      <c r="I1047" s="667"/>
      <c r="J1047" s="667"/>
      <c r="K1047" s="667"/>
      <c r="L1047" s="667"/>
      <c r="M1047" s="667"/>
      <c r="N1047" s="667"/>
      <c r="O1047" s="667"/>
      <c r="P1047" s="667"/>
      <c r="Q1047" s="667"/>
      <c r="R1047" s="667"/>
      <c r="S1047" s="667"/>
      <c r="T1047" s="667"/>
      <c r="U1047" s="1033">
        <v>10</v>
      </c>
      <c r="V1047" s="668">
        <f t="shared" si="356"/>
        <v>350</v>
      </c>
      <c r="W1047" s="668">
        <f t="shared" si="357"/>
        <v>0</v>
      </c>
      <c r="X1047" s="668">
        <f t="shared" si="358"/>
        <v>0</v>
      </c>
      <c r="Y1047" s="668">
        <f t="shared" si="359"/>
        <v>0</v>
      </c>
      <c r="Z1047" s="668">
        <f t="shared" si="360"/>
        <v>0</v>
      </c>
      <c r="AA1047" s="668">
        <f t="shared" si="361"/>
        <v>0</v>
      </c>
      <c r="AB1047" s="668">
        <f t="shared" si="362"/>
        <v>0</v>
      </c>
      <c r="AC1047" s="668">
        <f t="shared" si="352"/>
        <v>0</v>
      </c>
      <c r="AD1047" s="668">
        <f t="shared" si="363"/>
        <v>0</v>
      </c>
      <c r="AE1047" s="668">
        <f t="shared" si="364"/>
        <v>0</v>
      </c>
      <c r="AF1047" s="668">
        <f t="shared" si="365"/>
        <v>0</v>
      </c>
      <c r="AG1047" s="668">
        <f t="shared" si="366"/>
        <v>0</v>
      </c>
      <c r="AH1047" s="668"/>
      <c r="AI1047" s="668"/>
      <c r="AJ1047" s="668"/>
      <c r="AK1047" s="668"/>
      <c r="AL1047" s="668"/>
      <c r="AM1047" s="668">
        <f t="shared" si="354"/>
        <v>0</v>
      </c>
      <c r="AN1047" s="668">
        <f t="shared" si="350"/>
        <v>0</v>
      </c>
      <c r="AO1047" s="668">
        <f t="shared" si="351"/>
        <v>0</v>
      </c>
      <c r="AP1047" s="668">
        <f t="shared" si="355"/>
        <v>150</v>
      </c>
      <c r="AQ1047" s="668">
        <f t="shared" si="348"/>
        <v>0</v>
      </c>
      <c r="AR1047" s="668">
        <f t="shared" si="349"/>
        <v>0</v>
      </c>
      <c r="AS1047" s="668"/>
      <c r="AT1047" s="668"/>
      <c r="AU1047" s="668"/>
      <c r="AV1047" s="668"/>
      <c r="AW1047" s="668"/>
      <c r="AX1047" s="668"/>
      <c r="AY1047" s="668"/>
      <c r="AZ1047" s="668"/>
      <c r="BA1047" s="668"/>
      <c r="BB1047" s="668">
        <f t="shared" si="353"/>
        <v>150</v>
      </c>
      <c r="BC1047" s="668"/>
      <c r="BD1047" s="668"/>
      <c r="BE1047" s="668"/>
      <c r="BF1047" s="668"/>
      <c r="BG1047" s="668"/>
      <c r="BH1047" s="668"/>
      <c r="BI1047" s="668"/>
    </row>
    <row r="1048" spans="1:61" x14ac:dyDescent="0.2">
      <c r="A1048" s="1021">
        <v>5185</v>
      </c>
      <c r="B1048" s="1012" t="s">
        <v>624</v>
      </c>
      <c r="C1048" s="1012"/>
      <c r="D1048" s="667">
        <v>35</v>
      </c>
      <c r="E1048" s="667"/>
      <c r="F1048" s="667">
        <v>15</v>
      </c>
      <c r="G1048" s="667"/>
      <c r="H1048" s="667"/>
      <c r="I1048" s="667"/>
      <c r="J1048" s="667"/>
      <c r="K1048" s="667"/>
      <c r="L1048" s="667"/>
      <c r="M1048" s="667"/>
      <c r="N1048" s="667"/>
      <c r="O1048" s="667"/>
      <c r="P1048" s="667"/>
      <c r="Q1048" s="667"/>
      <c r="R1048" s="667"/>
      <c r="S1048" s="667"/>
      <c r="T1048" s="667"/>
      <c r="U1048" s="1033">
        <v>10</v>
      </c>
      <c r="V1048" s="668">
        <f t="shared" si="356"/>
        <v>350</v>
      </c>
      <c r="W1048" s="668">
        <f t="shared" si="357"/>
        <v>0</v>
      </c>
      <c r="X1048" s="668">
        <f t="shared" si="358"/>
        <v>0</v>
      </c>
      <c r="Y1048" s="668">
        <f t="shared" si="359"/>
        <v>0</v>
      </c>
      <c r="Z1048" s="668">
        <f t="shared" si="360"/>
        <v>0</v>
      </c>
      <c r="AA1048" s="668">
        <f t="shared" si="361"/>
        <v>0</v>
      </c>
      <c r="AB1048" s="668">
        <f t="shared" si="362"/>
        <v>0</v>
      </c>
      <c r="AC1048" s="668">
        <f t="shared" si="352"/>
        <v>0</v>
      </c>
      <c r="AD1048" s="668">
        <f t="shared" si="363"/>
        <v>0</v>
      </c>
      <c r="AE1048" s="668">
        <f t="shared" si="364"/>
        <v>0</v>
      </c>
      <c r="AF1048" s="668">
        <f t="shared" si="365"/>
        <v>0</v>
      </c>
      <c r="AG1048" s="668">
        <f t="shared" si="366"/>
        <v>0</v>
      </c>
      <c r="AH1048" s="668"/>
      <c r="AI1048" s="668"/>
      <c r="AJ1048" s="668"/>
      <c r="AK1048" s="668"/>
      <c r="AL1048" s="668"/>
      <c r="AM1048" s="668">
        <f t="shared" si="354"/>
        <v>0</v>
      </c>
      <c r="AN1048" s="668">
        <f t="shared" si="350"/>
        <v>0</v>
      </c>
      <c r="AO1048" s="668">
        <f t="shared" si="351"/>
        <v>0</v>
      </c>
      <c r="AP1048" s="668">
        <f t="shared" si="355"/>
        <v>150</v>
      </c>
      <c r="AQ1048" s="668">
        <f t="shared" si="348"/>
        <v>0</v>
      </c>
      <c r="AR1048" s="668">
        <f t="shared" si="349"/>
        <v>0</v>
      </c>
      <c r="AS1048" s="668"/>
      <c r="AT1048" s="668"/>
      <c r="AU1048" s="668"/>
      <c r="AV1048" s="668"/>
      <c r="AW1048" s="668"/>
      <c r="AX1048" s="668"/>
      <c r="AY1048" s="668"/>
      <c r="AZ1048" s="668"/>
      <c r="BA1048" s="668"/>
      <c r="BB1048" s="668">
        <f t="shared" si="353"/>
        <v>150</v>
      </c>
      <c r="BC1048" s="668"/>
      <c r="BD1048" s="668"/>
      <c r="BE1048" s="668"/>
      <c r="BF1048" s="668"/>
      <c r="BG1048" s="668"/>
      <c r="BH1048" s="668"/>
      <c r="BI1048" s="668"/>
    </row>
    <row r="1049" spans="1:61" x14ac:dyDescent="0.2">
      <c r="A1049" s="1021">
        <v>5186</v>
      </c>
      <c r="B1049" s="1012" t="s">
        <v>519</v>
      </c>
      <c r="C1049" s="1012"/>
      <c r="D1049" s="667">
        <v>35</v>
      </c>
      <c r="E1049" s="667"/>
      <c r="F1049" s="667">
        <v>15</v>
      </c>
      <c r="G1049" s="667"/>
      <c r="H1049" s="667"/>
      <c r="I1049" s="667"/>
      <c r="J1049" s="667"/>
      <c r="K1049" s="667"/>
      <c r="L1049" s="667"/>
      <c r="M1049" s="667"/>
      <c r="N1049" s="667"/>
      <c r="O1049" s="667"/>
      <c r="P1049" s="667"/>
      <c r="Q1049" s="667"/>
      <c r="R1049" s="667"/>
      <c r="S1049" s="667"/>
      <c r="T1049" s="667">
        <v>150</v>
      </c>
      <c r="U1049" s="1033">
        <v>12</v>
      </c>
      <c r="V1049" s="668">
        <f t="shared" si="356"/>
        <v>420</v>
      </c>
      <c r="W1049" s="668">
        <f t="shared" si="357"/>
        <v>0</v>
      </c>
      <c r="X1049" s="668">
        <f t="shared" si="358"/>
        <v>0</v>
      </c>
      <c r="Y1049" s="668">
        <f t="shared" si="359"/>
        <v>0</v>
      </c>
      <c r="Z1049" s="668">
        <f t="shared" si="360"/>
        <v>0</v>
      </c>
      <c r="AA1049" s="668">
        <f t="shared" si="361"/>
        <v>0</v>
      </c>
      <c r="AB1049" s="668">
        <f t="shared" si="362"/>
        <v>150</v>
      </c>
      <c r="AC1049" s="668">
        <f t="shared" si="352"/>
        <v>0</v>
      </c>
      <c r="AD1049" s="668">
        <f t="shared" si="363"/>
        <v>0</v>
      </c>
      <c r="AE1049" s="668">
        <f t="shared" si="364"/>
        <v>0</v>
      </c>
      <c r="AF1049" s="668">
        <f t="shared" si="365"/>
        <v>0</v>
      </c>
      <c r="AG1049" s="668">
        <f t="shared" si="366"/>
        <v>0</v>
      </c>
      <c r="AH1049" s="668"/>
      <c r="AI1049" s="668"/>
      <c r="AJ1049" s="668"/>
      <c r="AK1049" s="668"/>
      <c r="AL1049" s="668"/>
      <c r="AM1049" s="668">
        <f t="shared" si="354"/>
        <v>0</v>
      </c>
      <c r="AN1049" s="668">
        <f t="shared" si="350"/>
        <v>0</v>
      </c>
      <c r="AO1049" s="668">
        <f t="shared" si="351"/>
        <v>0</v>
      </c>
      <c r="AP1049" s="668">
        <f t="shared" si="355"/>
        <v>180</v>
      </c>
      <c r="AQ1049" s="668">
        <f t="shared" si="348"/>
        <v>0</v>
      </c>
      <c r="AR1049" s="668">
        <f t="shared" si="349"/>
        <v>0</v>
      </c>
      <c r="AS1049" s="668"/>
      <c r="AT1049" s="668"/>
      <c r="AU1049" s="668"/>
      <c r="AV1049" s="668"/>
      <c r="AW1049" s="668"/>
      <c r="AX1049" s="668"/>
      <c r="AY1049" s="668"/>
      <c r="AZ1049" s="668"/>
      <c r="BA1049" s="668"/>
      <c r="BB1049" s="668">
        <f t="shared" si="353"/>
        <v>180</v>
      </c>
      <c r="BC1049" s="668"/>
      <c r="BD1049" s="668"/>
      <c r="BE1049" s="668"/>
      <c r="BF1049" s="668"/>
      <c r="BG1049" s="668"/>
      <c r="BH1049" s="668"/>
      <c r="BI1049" s="668"/>
    </row>
    <row r="1050" spans="1:61" x14ac:dyDescent="0.2">
      <c r="A1050" s="1021">
        <v>5187</v>
      </c>
      <c r="B1050" s="1021" t="s">
        <v>519</v>
      </c>
      <c r="C1050" s="1021"/>
      <c r="D1050" s="667">
        <v>35</v>
      </c>
      <c r="E1050" s="667"/>
      <c r="F1050" s="667">
        <v>15</v>
      </c>
      <c r="G1050" s="667"/>
      <c r="H1050" s="667"/>
      <c r="I1050" s="667"/>
      <c r="J1050" s="667"/>
      <c r="K1050" s="667"/>
      <c r="L1050" s="667"/>
      <c r="M1050" s="667"/>
      <c r="N1050" s="667"/>
      <c r="O1050" s="667"/>
      <c r="P1050" s="667"/>
      <c r="Q1050" s="667"/>
      <c r="R1050" s="667"/>
      <c r="S1050" s="667"/>
      <c r="T1050" s="667">
        <v>150</v>
      </c>
      <c r="U1050" s="1033">
        <v>12</v>
      </c>
      <c r="V1050" s="668">
        <f t="shared" si="356"/>
        <v>420</v>
      </c>
      <c r="W1050" s="668">
        <f t="shared" si="357"/>
        <v>0</v>
      </c>
      <c r="X1050" s="668">
        <f t="shared" si="358"/>
        <v>0</v>
      </c>
      <c r="Y1050" s="668">
        <f t="shared" si="359"/>
        <v>0</v>
      </c>
      <c r="Z1050" s="668">
        <f t="shared" si="360"/>
        <v>0</v>
      </c>
      <c r="AA1050" s="668">
        <f t="shared" si="361"/>
        <v>0</v>
      </c>
      <c r="AB1050" s="668">
        <f t="shared" si="362"/>
        <v>150</v>
      </c>
      <c r="AC1050" s="668">
        <f t="shared" si="352"/>
        <v>0</v>
      </c>
      <c r="AD1050" s="668">
        <f t="shared" si="363"/>
        <v>0</v>
      </c>
      <c r="AE1050" s="668">
        <f t="shared" si="364"/>
        <v>0</v>
      </c>
      <c r="AF1050" s="668">
        <f t="shared" si="365"/>
        <v>0</v>
      </c>
      <c r="AG1050" s="668">
        <f t="shared" si="366"/>
        <v>0</v>
      </c>
      <c r="AH1050" s="668"/>
      <c r="AI1050" s="668"/>
      <c r="AJ1050" s="668"/>
      <c r="AK1050" s="668"/>
      <c r="AL1050" s="668"/>
      <c r="AM1050" s="668">
        <f t="shared" si="354"/>
        <v>0</v>
      </c>
      <c r="AN1050" s="668">
        <f t="shared" si="350"/>
        <v>0</v>
      </c>
      <c r="AO1050" s="668">
        <f t="shared" si="351"/>
        <v>0</v>
      </c>
      <c r="AP1050" s="668">
        <f t="shared" si="355"/>
        <v>180</v>
      </c>
      <c r="AQ1050" s="668">
        <f t="shared" si="348"/>
        <v>0</v>
      </c>
      <c r="AR1050" s="668">
        <f t="shared" si="349"/>
        <v>0</v>
      </c>
      <c r="AS1050" s="668"/>
      <c r="AT1050" s="668"/>
      <c r="AU1050" s="668"/>
      <c r="AV1050" s="668"/>
      <c r="AW1050" s="668"/>
      <c r="AX1050" s="668"/>
      <c r="AY1050" s="668"/>
      <c r="AZ1050" s="668"/>
      <c r="BA1050" s="668"/>
      <c r="BB1050" s="668">
        <f t="shared" si="353"/>
        <v>180</v>
      </c>
      <c r="BC1050" s="668"/>
      <c r="BD1050" s="668"/>
      <c r="BE1050" s="668"/>
      <c r="BF1050" s="668"/>
      <c r="BG1050" s="668"/>
      <c r="BH1050" s="668"/>
      <c r="BI1050" s="668"/>
    </row>
    <row r="1051" spans="1:61" x14ac:dyDescent="0.2">
      <c r="A1051" s="1021">
        <v>5188</v>
      </c>
      <c r="B1051" s="1021" t="s">
        <v>515</v>
      </c>
      <c r="C1051" s="1021"/>
      <c r="D1051" s="667">
        <v>80</v>
      </c>
      <c r="E1051" s="667"/>
      <c r="F1051" s="667">
        <v>60</v>
      </c>
      <c r="G1051" s="667"/>
      <c r="H1051" s="667"/>
      <c r="I1051" s="667"/>
      <c r="J1051" s="667"/>
      <c r="K1051" s="667"/>
      <c r="L1051" s="667"/>
      <c r="M1051" s="667"/>
      <c r="N1051" s="667"/>
      <c r="O1051" s="667"/>
      <c r="P1051" s="667"/>
      <c r="Q1051" s="667"/>
      <c r="R1051" s="667"/>
      <c r="S1051" s="667"/>
      <c r="T1051" s="667">
        <v>2122</v>
      </c>
      <c r="U1051" s="1021">
        <v>12</v>
      </c>
      <c r="V1051" s="668">
        <f t="shared" si="356"/>
        <v>960</v>
      </c>
      <c r="W1051" s="668">
        <f t="shared" si="357"/>
        <v>0</v>
      </c>
      <c r="X1051" s="668">
        <f t="shared" si="358"/>
        <v>0</v>
      </c>
      <c r="Y1051" s="668">
        <f t="shared" si="359"/>
        <v>0</v>
      </c>
      <c r="Z1051" s="668">
        <f t="shared" si="360"/>
        <v>0</v>
      </c>
      <c r="AA1051" s="668">
        <f t="shared" si="361"/>
        <v>0</v>
      </c>
      <c r="AB1051" s="668">
        <f t="shared" si="362"/>
        <v>2122</v>
      </c>
      <c r="AC1051" s="668">
        <f t="shared" si="352"/>
        <v>0</v>
      </c>
      <c r="AD1051" s="668">
        <f t="shared" si="363"/>
        <v>0</v>
      </c>
      <c r="AE1051" s="668">
        <f t="shared" si="364"/>
        <v>0</v>
      </c>
      <c r="AF1051" s="668">
        <f t="shared" si="365"/>
        <v>0</v>
      </c>
      <c r="AG1051" s="668">
        <f t="shared" si="366"/>
        <v>0</v>
      </c>
      <c r="AH1051" s="668"/>
      <c r="AI1051" s="668"/>
      <c r="AJ1051" s="668"/>
      <c r="AK1051" s="668"/>
      <c r="AL1051" s="668"/>
      <c r="AM1051" s="668">
        <f t="shared" si="354"/>
        <v>0</v>
      </c>
      <c r="AN1051" s="668">
        <f t="shared" si="350"/>
        <v>0</v>
      </c>
      <c r="AO1051" s="668">
        <f t="shared" si="351"/>
        <v>0</v>
      </c>
      <c r="AP1051" s="668">
        <f t="shared" si="355"/>
        <v>720</v>
      </c>
      <c r="AQ1051" s="668">
        <f t="shared" si="348"/>
        <v>0</v>
      </c>
      <c r="AR1051" s="668">
        <f t="shared" si="349"/>
        <v>0</v>
      </c>
      <c r="AS1051" s="668"/>
      <c r="AT1051" s="668"/>
      <c r="AU1051" s="668"/>
      <c r="AV1051" s="668"/>
      <c r="AW1051" s="668"/>
      <c r="AX1051" s="668"/>
      <c r="AY1051" s="668"/>
      <c r="AZ1051" s="668"/>
      <c r="BA1051" s="668"/>
      <c r="BB1051" s="668"/>
      <c r="BC1051" s="668"/>
      <c r="BD1051" s="668"/>
      <c r="BE1051" s="668"/>
      <c r="BF1051" s="668"/>
      <c r="BG1051" s="668"/>
      <c r="BH1051" s="668"/>
      <c r="BI1051" s="668"/>
    </row>
    <row r="1052" spans="1:61" x14ac:dyDescent="0.2">
      <c r="A1052" s="1021">
        <v>5189</v>
      </c>
      <c r="B1052" s="1021" t="s">
        <v>515</v>
      </c>
      <c r="C1052" s="1021"/>
      <c r="D1052" s="667">
        <v>128</v>
      </c>
      <c r="E1052" s="667"/>
      <c r="F1052" s="667">
        <v>50</v>
      </c>
      <c r="G1052" s="667"/>
      <c r="H1052" s="667"/>
      <c r="I1052" s="667"/>
      <c r="J1052" s="667"/>
      <c r="K1052" s="667"/>
      <c r="L1052" s="667"/>
      <c r="M1052" s="667"/>
      <c r="N1052" s="667"/>
      <c r="O1052" s="667"/>
      <c r="P1052" s="667"/>
      <c r="Q1052" s="667"/>
      <c r="R1052" s="667"/>
      <c r="S1052" s="667"/>
      <c r="T1052" s="667">
        <v>2515</v>
      </c>
      <c r="U1052" s="1021">
        <v>12</v>
      </c>
      <c r="V1052" s="668">
        <f t="shared" si="356"/>
        <v>1536</v>
      </c>
      <c r="W1052" s="668">
        <f t="shared" si="357"/>
        <v>0</v>
      </c>
      <c r="X1052" s="668">
        <f t="shared" si="358"/>
        <v>0</v>
      </c>
      <c r="Y1052" s="668">
        <f t="shared" si="359"/>
        <v>0</v>
      </c>
      <c r="Z1052" s="668">
        <f t="shared" si="360"/>
        <v>0</v>
      </c>
      <c r="AA1052" s="668">
        <f t="shared" si="361"/>
        <v>0</v>
      </c>
      <c r="AB1052" s="668">
        <f t="shared" si="362"/>
        <v>2515</v>
      </c>
      <c r="AC1052" s="668">
        <f t="shared" si="352"/>
        <v>0</v>
      </c>
      <c r="AD1052" s="668">
        <f t="shared" si="363"/>
        <v>0</v>
      </c>
      <c r="AE1052" s="668">
        <f t="shared" si="364"/>
        <v>0</v>
      </c>
      <c r="AF1052" s="668">
        <f t="shared" si="365"/>
        <v>0</v>
      </c>
      <c r="AG1052" s="668">
        <f t="shared" si="366"/>
        <v>0</v>
      </c>
      <c r="AH1052" s="668"/>
      <c r="AI1052" s="668"/>
      <c r="AJ1052" s="668"/>
      <c r="AK1052" s="668"/>
      <c r="AL1052" s="668"/>
      <c r="AM1052" s="668">
        <f t="shared" si="354"/>
        <v>0</v>
      </c>
      <c r="AN1052" s="668">
        <f t="shared" si="350"/>
        <v>0</v>
      </c>
      <c r="AO1052" s="668">
        <f t="shared" si="351"/>
        <v>0</v>
      </c>
      <c r="AP1052" s="668">
        <f t="shared" si="355"/>
        <v>600</v>
      </c>
      <c r="AQ1052" s="668">
        <f t="shared" si="348"/>
        <v>0</v>
      </c>
      <c r="AR1052" s="668">
        <f t="shared" si="349"/>
        <v>0</v>
      </c>
      <c r="AS1052" s="668"/>
      <c r="AT1052" s="668"/>
      <c r="AU1052" s="668"/>
      <c r="AV1052" s="668"/>
      <c r="AW1052" s="668"/>
      <c r="AX1052" s="668"/>
      <c r="AY1052" s="668"/>
      <c r="AZ1052" s="668"/>
      <c r="BA1052" s="668"/>
      <c r="BB1052" s="668"/>
      <c r="BC1052" s="668"/>
      <c r="BD1052" s="668"/>
      <c r="BE1052" s="668"/>
      <c r="BF1052" s="668"/>
      <c r="BG1052" s="668"/>
      <c r="BH1052" s="668"/>
      <c r="BI1052" s="668"/>
    </row>
    <row r="1053" spans="1:61" x14ac:dyDescent="0.2">
      <c r="A1053" s="1021">
        <v>5190</v>
      </c>
      <c r="B1053" s="1021" t="s">
        <v>519</v>
      </c>
      <c r="C1053" s="1021"/>
      <c r="D1053" s="667">
        <v>35</v>
      </c>
      <c r="E1053" s="667"/>
      <c r="F1053" s="667">
        <v>15</v>
      </c>
      <c r="G1053" s="667"/>
      <c r="H1053" s="667"/>
      <c r="I1053" s="667"/>
      <c r="J1053" s="667"/>
      <c r="K1053" s="667"/>
      <c r="L1053" s="667"/>
      <c r="M1053" s="667"/>
      <c r="N1053" s="667"/>
      <c r="O1053" s="667"/>
      <c r="P1053" s="667"/>
      <c r="Q1053" s="667"/>
      <c r="R1053" s="667"/>
      <c r="S1053" s="667"/>
      <c r="T1053" s="667">
        <v>150</v>
      </c>
      <c r="U1053" s="1021">
        <v>12</v>
      </c>
      <c r="V1053" s="668">
        <f t="shared" si="356"/>
        <v>420</v>
      </c>
      <c r="W1053" s="668">
        <f t="shared" si="357"/>
        <v>0</v>
      </c>
      <c r="X1053" s="668">
        <f t="shared" si="358"/>
        <v>0</v>
      </c>
      <c r="Y1053" s="668">
        <f t="shared" si="359"/>
        <v>0</v>
      </c>
      <c r="Z1053" s="668">
        <f t="shared" si="360"/>
        <v>0</v>
      </c>
      <c r="AA1053" s="668">
        <f t="shared" si="361"/>
        <v>0</v>
      </c>
      <c r="AB1053" s="668">
        <f t="shared" si="362"/>
        <v>150</v>
      </c>
      <c r="AC1053" s="668">
        <f t="shared" si="352"/>
        <v>0</v>
      </c>
      <c r="AD1053" s="668">
        <f t="shared" si="363"/>
        <v>0</v>
      </c>
      <c r="AE1053" s="668">
        <f t="shared" si="364"/>
        <v>0</v>
      </c>
      <c r="AF1053" s="668">
        <f t="shared" si="365"/>
        <v>0</v>
      </c>
      <c r="AG1053" s="668">
        <f t="shared" si="366"/>
        <v>0</v>
      </c>
      <c r="AH1053" s="668"/>
      <c r="AI1053" s="668"/>
      <c r="AJ1053" s="668"/>
      <c r="AK1053" s="668"/>
      <c r="AL1053" s="668"/>
      <c r="AM1053" s="668">
        <f t="shared" si="354"/>
        <v>0</v>
      </c>
      <c r="AN1053" s="668">
        <f t="shared" si="350"/>
        <v>0</v>
      </c>
      <c r="AO1053" s="668">
        <f t="shared" si="351"/>
        <v>0</v>
      </c>
      <c r="AP1053" s="668">
        <f t="shared" si="355"/>
        <v>180</v>
      </c>
      <c r="AQ1053" s="668">
        <f t="shared" si="348"/>
        <v>0</v>
      </c>
      <c r="AR1053" s="668">
        <f t="shared" si="349"/>
        <v>0</v>
      </c>
      <c r="AS1053" s="668"/>
      <c r="AT1053" s="668"/>
      <c r="AU1053" s="668"/>
      <c r="AV1053" s="668"/>
      <c r="AW1053" s="668"/>
      <c r="AX1053" s="668"/>
      <c r="AY1053" s="668"/>
      <c r="AZ1053" s="668"/>
      <c r="BA1053" s="668"/>
      <c r="BB1053" s="668">
        <f t="shared" si="353"/>
        <v>180</v>
      </c>
      <c r="BC1053" s="668"/>
      <c r="BD1053" s="668"/>
      <c r="BE1053" s="668"/>
      <c r="BF1053" s="668"/>
      <c r="BG1053" s="668"/>
      <c r="BH1053" s="668"/>
      <c r="BI1053" s="668"/>
    </row>
    <row r="1054" spans="1:61" x14ac:dyDescent="0.2">
      <c r="A1054" s="1021">
        <v>5191</v>
      </c>
      <c r="B1054" s="1021" t="s">
        <v>519</v>
      </c>
      <c r="C1054" s="1021"/>
      <c r="D1054" s="667">
        <v>35</v>
      </c>
      <c r="E1054" s="667"/>
      <c r="F1054" s="667">
        <v>15</v>
      </c>
      <c r="G1054" s="667"/>
      <c r="H1054" s="667"/>
      <c r="I1054" s="667"/>
      <c r="J1054" s="667"/>
      <c r="K1054" s="667"/>
      <c r="L1054" s="667"/>
      <c r="M1054" s="667"/>
      <c r="N1054" s="667"/>
      <c r="O1054" s="667"/>
      <c r="P1054" s="667"/>
      <c r="Q1054" s="667"/>
      <c r="R1054" s="667"/>
      <c r="S1054" s="667"/>
      <c r="T1054" s="667">
        <v>150</v>
      </c>
      <c r="U1054" s="1021">
        <v>12</v>
      </c>
      <c r="V1054" s="668">
        <f t="shared" si="356"/>
        <v>420</v>
      </c>
      <c r="W1054" s="668">
        <f t="shared" si="357"/>
        <v>0</v>
      </c>
      <c r="X1054" s="668">
        <f t="shared" si="358"/>
        <v>0</v>
      </c>
      <c r="Y1054" s="668">
        <f t="shared" si="359"/>
        <v>0</v>
      </c>
      <c r="Z1054" s="668">
        <f t="shared" si="360"/>
        <v>0</v>
      </c>
      <c r="AA1054" s="668">
        <f t="shared" si="361"/>
        <v>0</v>
      </c>
      <c r="AB1054" s="668">
        <f t="shared" si="362"/>
        <v>150</v>
      </c>
      <c r="AC1054" s="668">
        <f t="shared" si="352"/>
        <v>0</v>
      </c>
      <c r="AD1054" s="668">
        <f t="shared" si="363"/>
        <v>0</v>
      </c>
      <c r="AE1054" s="668">
        <f t="shared" si="364"/>
        <v>0</v>
      </c>
      <c r="AF1054" s="668">
        <f t="shared" si="365"/>
        <v>0</v>
      </c>
      <c r="AG1054" s="668">
        <f t="shared" si="366"/>
        <v>0</v>
      </c>
      <c r="AH1054" s="668"/>
      <c r="AI1054" s="668"/>
      <c r="AJ1054" s="668"/>
      <c r="AK1054" s="668"/>
      <c r="AL1054" s="668"/>
      <c r="AM1054" s="668">
        <f t="shared" si="354"/>
        <v>0</v>
      </c>
      <c r="AN1054" s="668">
        <f t="shared" si="350"/>
        <v>0</v>
      </c>
      <c r="AO1054" s="668">
        <f t="shared" si="351"/>
        <v>0</v>
      </c>
      <c r="AP1054" s="668">
        <f t="shared" si="355"/>
        <v>180</v>
      </c>
      <c r="AQ1054" s="668">
        <f t="shared" si="348"/>
        <v>0</v>
      </c>
      <c r="AR1054" s="668">
        <f t="shared" si="349"/>
        <v>0</v>
      </c>
      <c r="AS1054" s="668"/>
      <c r="AT1054" s="668"/>
      <c r="AU1054" s="668"/>
      <c r="AV1054" s="668"/>
      <c r="AW1054" s="668"/>
      <c r="AX1054" s="668"/>
      <c r="AY1054" s="668"/>
      <c r="AZ1054" s="668"/>
      <c r="BA1054" s="668"/>
      <c r="BB1054" s="668">
        <f t="shared" si="353"/>
        <v>180</v>
      </c>
      <c r="BC1054" s="668"/>
      <c r="BD1054" s="668"/>
      <c r="BE1054" s="668"/>
      <c r="BF1054" s="668"/>
      <c r="BG1054" s="668"/>
      <c r="BH1054" s="668"/>
      <c r="BI1054" s="668"/>
    </row>
    <row r="1055" spans="1:61" x14ac:dyDescent="0.2">
      <c r="A1055" s="1021">
        <v>5193</v>
      </c>
      <c r="B1055" s="1021" t="s">
        <v>686</v>
      </c>
      <c r="C1055" s="1021"/>
      <c r="D1055" s="667">
        <v>105</v>
      </c>
      <c r="E1055" s="667"/>
      <c r="F1055" s="667"/>
      <c r="G1055" s="667"/>
      <c r="H1055" s="667"/>
      <c r="I1055" s="667"/>
      <c r="J1055" s="667"/>
      <c r="K1055" s="667"/>
      <c r="L1055" s="667"/>
      <c r="M1055" s="667"/>
      <c r="N1055" s="667"/>
      <c r="O1055" s="667"/>
      <c r="P1055" s="667"/>
      <c r="Q1055" s="667"/>
      <c r="R1055" s="667"/>
      <c r="S1055" s="667"/>
      <c r="T1055" s="667"/>
      <c r="U1055" s="1021">
        <v>10</v>
      </c>
      <c r="V1055" s="668">
        <f t="shared" si="356"/>
        <v>1050</v>
      </c>
      <c r="W1055" s="668">
        <f t="shared" si="357"/>
        <v>0</v>
      </c>
      <c r="X1055" s="668">
        <f t="shared" si="358"/>
        <v>0</v>
      </c>
      <c r="Y1055" s="668">
        <f t="shared" si="359"/>
        <v>0</v>
      </c>
      <c r="Z1055" s="668">
        <f t="shared" si="360"/>
        <v>0</v>
      </c>
      <c r="AA1055" s="668">
        <f t="shared" si="361"/>
        <v>0</v>
      </c>
      <c r="AB1055" s="668">
        <f t="shared" si="362"/>
        <v>0</v>
      </c>
      <c r="AC1055" s="668">
        <f t="shared" si="352"/>
        <v>0</v>
      </c>
      <c r="AD1055" s="668">
        <f t="shared" si="363"/>
        <v>0</v>
      </c>
      <c r="AE1055" s="668">
        <f t="shared" si="364"/>
        <v>0</v>
      </c>
      <c r="AF1055" s="668">
        <f t="shared" si="365"/>
        <v>0</v>
      </c>
      <c r="AG1055" s="668">
        <f t="shared" si="366"/>
        <v>0</v>
      </c>
      <c r="AH1055" s="668"/>
      <c r="AI1055" s="668"/>
      <c r="AJ1055" s="668"/>
      <c r="AK1055" s="668"/>
      <c r="AL1055" s="668"/>
      <c r="AM1055" s="668">
        <f t="shared" si="354"/>
        <v>0</v>
      </c>
      <c r="AN1055" s="668">
        <f t="shared" si="350"/>
        <v>0</v>
      </c>
      <c r="AO1055" s="668">
        <f t="shared" si="351"/>
        <v>0</v>
      </c>
      <c r="AP1055" s="668">
        <f t="shared" si="355"/>
        <v>0</v>
      </c>
      <c r="AQ1055" s="668">
        <f t="shared" si="348"/>
        <v>0</v>
      </c>
      <c r="AR1055" s="668">
        <f t="shared" si="349"/>
        <v>0</v>
      </c>
      <c r="AS1055" s="668"/>
      <c r="AT1055" s="668"/>
      <c r="AU1055" s="668"/>
      <c r="AV1055" s="668"/>
      <c r="AW1055" s="668"/>
      <c r="AX1055" s="668"/>
      <c r="AY1055" s="668"/>
      <c r="AZ1055" s="668"/>
      <c r="BA1055" s="668"/>
      <c r="BB1055" s="668">
        <f t="shared" si="353"/>
        <v>0</v>
      </c>
      <c r="BC1055" s="668"/>
      <c r="BD1055" s="668"/>
      <c r="BE1055" s="668"/>
      <c r="BF1055" s="668"/>
      <c r="BG1055" s="668"/>
      <c r="BH1055" s="668"/>
      <c r="BI1055" s="668"/>
    </row>
    <row r="1056" spans="1:61" x14ac:dyDescent="0.2">
      <c r="A1056" s="1021">
        <v>5195</v>
      </c>
      <c r="B1056" s="1021" t="s">
        <v>821</v>
      </c>
      <c r="C1056" s="1021"/>
      <c r="D1056" s="667">
        <v>32</v>
      </c>
      <c r="E1056" s="667"/>
      <c r="F1056" s="667">
        <v>32</v>
      </c>
      <c r="G1056" s="667"/>
      <c r="H1056" s="667"/>
      <c r="I1056" s="667"/>
      <c r="J1056" s="667"/>
      <c r="K1056" s="667"/>
      <c r="L1056" s="667"/>
      <c r="M1056" s="667"/>
      <c r="N1056" s="667"/>
      <c r="O1056" s="667"/>
      <c r="P1056" s="667"/>
      <c r="Q1056" s="667"/>
      <c r="R1056" s="667"/>
      <c r="S1056" s="667"/>
      <c r="T1056" s="667"/>
      <c r="U1056" s="1021">
        <v>10</v>
      </c>
      <c r="V1056" s="668">
        <f t="shared" si="356"/>
        <v>320</v>
      </c>
      <c r="W1056" s="668">
        <f t="shared" si="357"/>
        <v>0</v>
      </c>
      <c r="X1056" s="668">
        <f t="shared" si="358"/>
        <v>0</v>
      </c>
      <c r="Y1056" s="668">
        <f t="shared" si="359"/>
        <v>0</v>
      </c>
      <c r="Z1056" s="668">
        <f t="shared" si="360"/>
        <v>0</v>
      </c>
      <c r="AA1056" s="668">
        <f t="shared" si="361"/>
        <v>0</v>
      </c>
      <c r="AB1056" s="668">
        <f t="shared" si="362"/>
        <v>0</v>
      </c>
      <c r="AC1056" s="668">
        <f t="shared" si="352"/>
        <v>0</v>
      </c>
      <c r="AD1056" s="668">
        <f t="shared" si="363"/>
        <v>0</v>
      </c>
      <c r="AE1056" s="668">
        <f t="shared" si="364"/>
        <v>0</v>
      </c>
      <c r="AF1056" s="668">
        <f t="shared" si="365"/>
        <v>0</v>
      </c>
      <c r="AG1056" s="668">
        <f t="shared" si="366"/>
        <v>0</v>
      </c>
      <c r="AH1056" s="668"/>
      <c r="AI1056" s="668"/>
      <c r="AJ1056" s="668"/>
      <c r="AK1056" s="668"/>
      <c r="AL1056" s="668"/>
      <c r="AM1056" s="668">
        <f t="shared" si="354"/>
        <v>0</v>
      </c>
      <c r="AN1056" s="668">
        <f t="shared" si="350"/>
        <v>0</v>
      </c>
      <c r="AO1056" s="668">
        <f t="shared" si="351"/>
        <v>0</v>
      </c>
      <c r="AP1056" s="668">
        <f t="shared" si="355"/>
        <v>320</v>
      </c>
      <c r="AQ1056" s="668">
        <f t="shared" si="348"/>
        <v>0</v>
      </c>
      <c r="AR1056" s="668">
        <f t="shared" si="349"/>
        <v>0</v>
      </c>
      <c r="AS1056" s="668"/>
      <c r="AT1056" s="668"/>
      <c r="AU1056" s="668"/>
      <c r="AV1056" s="668"/>
      <c r="AW1056" s="668"/>
      <c r="AX1056" s="668"/>
      <c r="AY1056" s="668"/>
      <c r="AZ1056" s="668"/>
      <c r="BA1056" s="668"/>
      <c r="BB1056" s="668">
        <f t="shared" si="353"/>
        <v>320</v>
      </c>
      <c r="BC1056" s="668"/>
      <c r="BD1056" s="668"/>
      <c r="BE1056" s="668"/>
      <c r="BF1056" s="668"/>
      <c r="BG1056" s="668"/>
      <c r="BH1056" s="668"/>
      <c r="BI1056" s="668"/>
    </row>
    <row r="1057" spans="1:61" x14ac:dyDescent="0.2">
      <c r="A1057" s="1021">
        <v>5196</v>
      </c>
      <c r="B1057" s="1021" t="s">
        <v>684</v>
      </c>
      <c r="C1057" s="1021"/>
      <c r="D1057" s="667">
        <v>42</v>
      </c>
      <c r="E1057" s="667"/>
      <c r="F1057" s="667">
        <v>42</v>
      </c>
      <c r="G1057" s="667"/>
      <c r="H1057" s="667"/>
      <c r="I1057" s="667"/>
      <c r="J1057" s="667"/>
      <c r="K1057" s="667"/>
      <c r="L1057" s="667"/>
      <c r="M1057" s="667"/>
      <c r="N1057" s="667"/>
      <c r="O1057" s="667"/>
      <c r="P1057" s="667"/>
      <c r="Q1057" s="667"/>
      <c r="R1057" s="667"/>
      <c r="S1057" s="667"/>
      <c r="T1057" s="667"/>
      <c r="U1057" s="1021">
        <v>10</v>
      </c>
      <c r="V1057" s="668">
        <f t="shared" si="356"/>
        <v>420</v>
      </c>
      <c r="W1057" s="668">
        <f t="shared" si="357"/>
        <v>0</v>
      </c>
      <c r="X1057" s="668">
        <f t="shared" si="358"/>
        <v>0</v>
      </c>
      <c r="Y1057" s="668">
        <f t="shared" si="359"/>
        <v>0</v>
      </c>
      <c r="Z1057" s="668">
        <f t="shared" si="360"/>
        <v>0</v>
      </c>
      <c r="AA1057" s="668">
        <f t="shared" si="361"/>
        <v>0</v>
      </c>
      <c r="AB1057" s="668">
        <f t="shared" si="362"/>
        <v>0</v>
      </c>
      <c r="AC1057" s="668">
        <f t="shared" si="352"/>
        <v>0</v>
      </c>
      <c r="AD1057" s="668">
        <f t="shared" si="363"/>
        <v>0</v>
      </c>
      <c r="AE1057" s="668">
        <f t="shared" si="364"/>
        <v>0</v>
      </c>
      <c r="AF1057" s="668">
        <f t="shared" si="365"/>
        <v>0</v>
      </c>
      <c r="AG1057" s="668">
        <f t="shared" si="366"/>
        <v>0</v>
      </c>
      <c r="AH1057" s="668"/>
      <c r="AI1057" s="668"/>
      <c r="AJ1057" s="668"/>
      <c r="AK1057" s="668"/>
      <c r="AL1057" s="668"/>
      <c r="AM1057" s="668">
        <f t="shared" si="354"/>
        <v>0</v>
      </c>
      <c r="AN1057" s="668">
        <f t="shared" si="350"/>
        <v>0</v>
      </c>
      <c r="AO1057" s="668">
        <f t="shared" si="351"/>
        <v>0</v>
      </c>
      <c r="AP1057" s="668">
        <f t="shared" si="355"/>
        <v>420</v>
      </c>
      <c r="AQ1057" s="668">
        <f t="shared" si="348"/>
        <v>0</v>
      </c>
      <c r="AR1057" s="668">
        <f t="shared" si="349"/>
        <v>0</v>
      </c>
      <c r="AS1057" s="668"/>
      <c r="AT1057" s="668"/>
      <c r="AU1057" s="668"/>
      <c r="AV1057" s="668"/>
      <c r="AW1057" s="668"/>
      <c r="AX1057" s="668"/>
      <c r="AY1057" s="668"/>
      <c r="AZ1057" s="668"/>
      <c r="BA1057" s="668"/>
      <c r="BB1057" s="668"/>
      <c r="BC1057" s="668"/>
      <c r="BD1057" s="668"/>
      <c r="BE1057" s="668"/>
      <c r="BF1057" s="668"/>
      <c r="BG1057" s="668"/>
      <c r="BH1057" s="668"/>
      <c r="BI1057" s="668"/>
    </row>
    <row r="1058" spans="1:61" x14ac:dyDescent="0.2">
      <c r="A1058" s="1021">
        <v>5197</v>
      </c>
      <c r="B1058" s="1021" t="s">
        <v>579</v>
      </c>
      <c r="C1058" s="1021"/>
      <c r="D1058" s="667">
        <v>58</v>
      </c>
      <c r="E1058" s="667"/>
      <c r="F1058" s="667"/>
      <c r="G1058" s="667"/>
      <c r="H1058" s="667"/>
      <c r="I1058" s="667"/>
      <c r="J1058" s="667"/>
      <c r="K1058" s="667"/>
      <c r="L1058" s="667"/>
      <c r="M1058" s="667"/>
      <c r="N1058" s="667"/>
      <c r="O1058" s="667"/>
      <c r="P1058" s="667"/>
      <c r="Q1058" s="667"/>
      <c r="R1058" s="667"/>
      <c r="S1058" s="667"/>
      <c r="T1058" s="667"/>
      <c r="U1058" s="1021">
        <v>12</v>
      </c>
      <c r="V1058" s="668">
        <f t="shared" si="356"/>
        <v>696</v>
      </c>
      <c r="W1058" s="668">
        <f t="shared" si="357"/>
        <v>0</v>
      </c>
      <c r="X1058" s="668">
        <f t="shared" si="358"/>
        <v>0</v>
      </c>
      <c r="Y1058" s="668">
        <f t="shared" si="359"/>
        <v>0</v>
      </c>
      <c r="Z1058" s="668">
        <f t="shared" si="360"/>
        <v>0</v>
      </c>
      <c r="AA1058" s="668">
        <f t="shared" si="361"/>
        <v>0</v>
      </c>
      <c r="AB1058" s="668">
        <f t="shared" si="362"/>
        <v>0</v>
      </c>
      <c r="AC1058" s="668">
        <f t="shared" si="352"/>
        <v>0</v>
      </c>
      <c r="AD1058" s="668">
        <f t="shared" si="363"/>
        <v>0</v>
      </c>
      <c r="AE1058" s="668">
        <f t="shared" si="364"/>
        <v>0</v>
      </c>
      <c r="AF1058" s="668">
        <f t="shared" si="365"/>
        <v>0</v>
      </c>
      <c r="AG1058" s="668">
        <f t="shared" si="366"/>
        <v>0</v>
      </c>
      <c r="AH1058" s="668"/>
      <c r="AI1058" s="668"/>
      <c r="AJ1058" s="668"/>
      <c r="AK1058" s="668"/>
      <c r="AL1058" s="668"/>
      <c r="AM1058" s="668">
        <f t="shared" si="354"/>
        <v>0</v>
      </c>
      <c r="AN1058" s="668">
        <f t="shared" si="350"/>
        <v>0</v>
      </c>
      <c r="AO1058" s="668">
        <f t="shared" si="351"/>
        <v>0</v>
      </c>
      <c r="AP1058" s="668">
        <f t="shared" si="355"/>
        <v>0</v>
      </c>
      <c r="AQ1058" s="668">
        <f t="shared" si="348"/>
        <v>0</v>
      </c>
      <c r="AR1058" s="668">
        <f t="shared" si="349"/>
        <v>0</v>
      </c>
      <c r="AS1058" s="668"/>
      <c r="AT1058" s="668"/>
      <c r="AU1058" s="668"/>
      <c r="AV1058" s="668"/>
      <c r="AW1058" s="668"/>
      <c r="AX1058" s="668"/>
      <c r="AY1058" s="668"/>
      <c r="AZ1058" s="668"/>
      <c r="BA1058" s="668"/>
      <c r="BB1058" s="668">
        <f t="shared" si="353"/>
        <v>0</v>
      </c>
      <c r="BC1058" s="668"/>
      <c r="BD1058" s="668"/>
      <c r="BE1058" s="668"/>
      <c r="BF1058" s="668"/>
      <c r="BG1058" s="668"/>
      <c r="BH1058" s="668"/>
      <c r="BI1058" s="668"/>
    </row>
    <row r="1059" spans="1:61" x14ac:dyDescent="0.2">
      <c r="A1059" s="1021" t="s">
        <v>832</v>
      </c>
      <c r="B1059" s="1021" t="s">
        <v>516</v>
      </c>
      <c r="C1059" s="1021"/>
      <c r="D1059" s="667">
        <v>34</v>
      </c>
      <c r="E1059" s="667"/>
      <c r="F1059" s="667">
        <v>34</v>
      </c>
      <c r="G1059" s="667"/>
      <c r="H1059" s="667"/>
      <c r="I1059" s="667"/>
      <c r="J1059" s="667"/>
      <c r="K1059" s="667"/>
      <c r="L1059" s="667"/>
      <c r="M1059" s="667"/>
      <c r="N1059" s="667"/>
      <c r="O1059" s="667"/>
      <c r="P1059" s="667"/>
      <c r="Q1059" s="667"/>
      <c r="R1059" s="667"/>
      <c r="S1059" s="667"/>
      <c r="T1059" s="667"/>
      <c r="U1059" s="1021">
        <v>10</v>
      </c>
      <c r="V1059" s="668">
        <f t="shared" si="356"/>
        <v>340</v>
      </c>
      <c r="W1059" s="668">
        <f t="shared" si="357"/>
        <v>0</v>
      </c>
      <c r="X1059" s="668">
        <f t="shared" si="358"/>
        <v>0</v>
      </c>
      <c r="Y1059" s="668">
        <f t="shared" si="359"/>
        <v>0</v>
      </c>
      <c r="Z1059" s="668">
        <f t="shared" si="360"/>
        <v>0</v>
      </c>
      <c r="AA1059" s="668">
        <f t="shared" si="361"/>
        <v>0</v>
      </c>
      <c r="AB1059" s="668">
        <f t="shared" si="362"/>
        <v>0</v>
      </c>
      <c r="AC1059" s="668">
        <f t="shared" si="352"/>
        <v>0</v>
      </c>
      <c r="AD1059" s="668">
        <f t="shared" si="363"/>
        <v>0</v>
      </c>
      <c r="AE1059" s="668">
        <f t="shared" si="364"/>
        <v>0</v>
      </c>
      <c r="AF1059" s="668">
        <f t="shared" si="365"/>
        <v>0</v>
      </c>
      <c r="AG1059" s="668">
        <f t="shared" si="366"/>
        <v>0</v>
      </c>
      <c r="AH1059" s="668"/>
      <c r="AI1059" s="668"/>
      <c r="AJ1059" s="668"/>
      <c r="AK1059" s="668"/>
      <c r="AL1059" s="668"/>
      <c r="AM1059" s="668">
        <f t="shared" si="354"/>
        <v>0</v>
      </c>
      <c r="AN1059" s="668">
        <f t="shared" si="350"/>
        <v>0</v>
      </c>
      <c r="AO1059" s="668">
        <f t="shared" si="351"/>
        <v>0</v>
      </c>
      <c r="AP1059" s="668">
        <f t="shared" si="355"/>
        <v>340</v>
      </c>
      <c r="AQ1059" s="668">
        <f t="shared" si="348"/>
        <v>0</v>
      </c>
      <c r="AR1059" s="668">
        <f t="shared" si="349"/>
        <v>0</v>
      </c>
      <c r="AS1059" s="668"/>
      <c r="AT1059" s="668"/>
      <c r="AU1059" s="668"/>
      <c r="AV1059" s="668"/>
      <c r="AW1059" s="668"/>
      <c r="AX1059" s="668"/>
      <c r="AY1059" s="668"/>
      <c r="AZ1059" s="668"/>
      <c r="BA1059" s="668"/>
      <c r="BB1059" s="668"/>
      <c r="BC1059" s="668"/>
      <c r="BD1059" s="668"/>
      <c r="BE1059" s="668"/>
      <c r="BF1059" s="668"/>
      <c r="BG1059" s="668"/>
      <c r="BH1059" s="668"/>
      <c r="BI1059" s="668"/>
    </row>
    <row r="1060" spans="1:61" x14ac:dyDescent="0.2">
      <c r="A1060" s="1021" t="s">
        <v>833</v>
      </c>
      <c r="B1060" s="1021" t="s">
        <v>517</v>
      </c>
      <c r="C1060" s="1021"/>
      <c r="D1060" s="667">
        <v>51</v>
      </c>
      <c r="E1060" s="667"/>
      <c r="F1060" s="667"/>
      <c r="G1060" s="667"/>
      <c r="H1060" s="667"/>
      <c r="I1060" s="667"/>
      <c r="J1060" s="667"/>
      <c r="K1060" s="667"/>
      <c r="L1060" s="667"/>
      <c r="M1060" s="667"/>
      <c r="N1060" s="667"/>
      <c r="O1060" s="667"/>
      <c r="P1060" s="667"/>
      <c r="Q1060" s="667"/>
      <c r="R1060" s="667"/>
      <c r="S1060" s="667"/>
      <c r="T1060" s="667"/>
      <c r="U1060" s="1021">
        <v>12</v>
      </c>
      <c r="V1060" s="668">
        <f t="shared" si="356"/>
        <v>612</v>
      </c>
      <c r="W1060" s="668">
        <f t="shared" si="357"/>
        <v>0</v>
      </c>
      <c r="X1060" s="668">
        <f t="shared" si="358"/>
        <v>0</v>
      </c>
      <c r="Y1060" s="668">
        <f t="shared" si="359"/>
        <v>0</v>
      </c>
      <c r="Z1060" s="668">
        <f t="shared" si="360"/>
        <v>0</v>
      </c>
      <c r="AA1060" s="668">
        <f t="shared" si="361"/>
        <v>0</v>
      </c>
      <c r="AB1060" s="668">
        <f t="shared" si="362"/>
        <v>0</v>
      </c>
      <c r="AC1060" s="668">
        <f t="shared" si="352"/>
        <v>0</v>
      </c>
      <c r="AD1060" s="668">
        <f t="shared" si="363"/>
        <v>0</v>
      </c>
      <c r="AE1060" s="668">
        <f t="shared" si="364"/>
        <v>0</v>
      </c>
      <c r="AF1060" s="668">
        <f t="shared" si="365"/>
        <v>0</v>
      </c>
      <c r="AG1060" s="668">
        <f t="shared" si="366"/>
        <v>0</v>
      </c>
      <c r="AH1060" s="668"/>
      <c r="AI1060" s="668"/>
      <c r="AJ1060" s="668"/>
      <c r="AK1060" s="668"/>
      <c r="AL1060" s="668"/>
      <c r="AM1060" s="668">
        <f t="shared" si="354"/>
        <v>0</v>
      </c>
      <c r="AN1060" s="668">
        <f t="shared" si="350"/>
        <v>0</v>
      </c>
      <c r="AO1060" s="668">
        <f t="shared" si="351"/>
        <v>0</v>
      </c>
      <c r="AP1060" s="668">
        <f t="shared" si="355"/>
        <v>0</v>
      </c>
      <c r="AQ1060" s="668">
        <f t="shared" si="348"/>
        <v>0</v>
      </c>
      <c r="AR1060" s="668">
        <f t="shared" si="349"/>
        <v>0</v>
      </c>
      <c r="AS1060" s="668"/>
      <c r="AT1060" s="668"/>
      <c r="AU1060" s="668"/>
      <c r="AV1060" s="668"/>
      <c r="AW1060" s="668"/>
      <c r="AX1060" s="668"/>
      <c r="AY1060" s="668"/>
      <c r="AZ1060" s="668"/>
      <c r="BA1060" s="668"/>
      <c r="BB1060" s="668">
        <f t="shared" si="353"/>
        <v>0</v>
      </c>
      <c r="BC1060" s="668"/>
      <c r="BD1060" s="668"/>
      <c r="BE1060" s="668"/>
      <c r="BF1060" s="668"/>
      <c r="BG1060" s="668"/>
      <c r="BH1060" s="668"/>
      <c r="BI1060" s="668"/>
    </row>
    <row r="1061" spans="1:61" x14ac:dyDescent="0.2">
      <c r="A1061" s="1021">
        <v>5199</v>
      </c>
      <c r="B1061" s="1021" t="s">
        <v>476</v>
      </c>
      <c r="C1061" s="1021"/>
      <c r="D1061" s="667">
        <v>72</v>
      </c>
      <c r="E1061" s="667"/>
      <c r="F1061" s="667"/>
      <c r="G1061" s="667"/>
      <c r="H1061" s="667"/>
      <c r="I1061" s="667"/>
      <c r="J1061" s="667"/>
      <c r="K1061" s="667"/>
      <c r="L1061" s="667"/>
      <c r="M1061" s="667"/>
      <c r="N1061" s="667"/>
      <c r="O1061" s="667"/>
      <c r="P1061" s="667"/>
      <c r="Q1061" s="667"/>
      <c r="R1061" s="667"/>
      <c r="S1061" s="667"/>
      <c r="T1061" s="667"/>
      <c r="U1061" s="1021">
        <v>12</v>
      </c>
      <c r="V1061" s="668">
        <f t="shared" si="356"/>
        <v>864</v>
      </c>
      <c r="W1061" s="668">
        <f t="shared" si="357"/>
        <v>0</v>
      </c>
      <c r="X1061" s="668">
        <f t="shared" si="358"/>
        <v>0</v>
      </c>
      <c r="Y1061" s="668">
        <f t="shared" si="359"/>
        <v>0</v>
      </c>
      <c r="Z1061" s="668">
        <f t="shared" si="360"/>
        <v>0</v>
      </c>
      <c r="AA1061" s="668">
        <f t="shared" si="361"/>
        <v>0</v>
      </c>
      <c r="AB1061" s="668">
        <f t="shared" si="362"/>
        <v>0</v>
      </c>
      <c r="AC1061" s="668">
        <f t="shared" si="352"/>
        <v>0</v>
      </c>
      <c r="AD1061" s="668">
        <f t="shared" si="363"/>
        <v>0</v>
      </c>
      <c r="AE1061" s="668">
        <f t="shared" si="364"/>
        <v>0</v>
      </c>
      <c r="AF1061" s="668">
        <f t="shared" si="365"/>
        <v>0</v>
      </c>
      <c r="AG1061" s="668">
        <f t="shared" si="366"/>
        <v>0</v>
      </c>
      <c r="AH1061" s="668"/>
      <c r="AI1061" s="668"/>
      <c r="AJ1061" s="668"/>
      <c r="AK1061" s="668"/>
      <c r="AL1061" s="668"/>
      <c r="AM1061" s="668">
        <f t="shared" si="354"/>
        <v>0</v>
      </c>
      <c r="AN1061" s="668">
        <f t="shared" si="350"/>
        <v>0</v>
      </c>
      <c r="AO1061" s="668">
        <f t="shared" si="351"/>
        <v>0</v>
      </c>
      <c r="AP1061" s="668">
        <f t="shared" si="355"/>
        <v>0</v>
      </c>
      <c r="AQ1061" s="668">
        <f t="shared" si="348"/>
        <v>0</v>
      </c>
      <c r="AR1061" s="668">
        <f t="shared" si="349"/>
        <v>0</v>
      </c>
      <c r="AS1061" s="668"/>
      <c r="AT1061" s="668"/>
      <c r="AU1061" s="668"/>
      <c r="AV1061" s="668"/>
      <c r="AW1061" s="668"/>
      <c r="AX1061" s="668"/>
      <c r="AY1061" s="668"/>
      <c r="AZ1061" s="668"/>
      <c r="BA1061" s="668"/>
      <c r="BB1061" s="668">
        <f t="shared" si="353"/>
        <v>0</v>
      </c>
      <c r="BC1061" s="668"/>
      <c r="BD1061" s="668"/>
      <c r="BE1061" s="668"/>
      <c r="BF1061" s="668"/>
      <c r="BG1061" s="668"/>
      <c r="BH1061" s="668"/>
      <c r="BI1061" s="668"/>
    </row>
    <row r="1062" spans="1:61" x14ac:dyDescent="0.2">
      <c r="A1062" s="1021">
        <v>5200</v>
      </c>
      <c r="B1062" s="1021" t="s">
        <v>467</v>
      </c>
      <c r="C1062" s="1021"/>
      <c r="D1062" s="667">
        <v>80</v>
      </c>
      <c r="E1062" s="667"/>
      <c r="F1062" s="667"/>
      <c r="G1062" s="667"/>
      <c r="H1062" s="667"/>
      <c r="I1062" s="667"/>
      <c r="J1062" s="667"/>
      <c r="K1062" s="667"/>
      <c r="L1062" s="667"/>
      <c r="M1062" s="667"/>
      <c r="N1062" s="667"/>
      <c r="O1062" s="667"/>
      <c r="P1062" s="667"/>
      <c r="Q1062" s="667"/>
      <c r="R1062" s="667"/>
      <c r="S1062" s="667"/>
      <c r="T1062" s="667"/>
      <c r="U1062" s="1021">
        <v>3</v>
      </c>
      <c r="V1062" s="668">
        <f t="shared" si="356"/>
        <v>240</v>
      </c>
      <c r="W1062" s="668">
        <f t="shared" si="357"/>
        <v>0</v>
      </c>
      <c r="X1062" s="668">
        <f t="shared" si="358"/>
        <v>0</v>
      </c>
      <c r="Y1062" s="668">
        <f t="shared" si="359"/>
        <v>0</v>
      </c>
      <c r="Z1062" s="668">
        <f t="shared" si="360"/>
        <v>0</v>
      </c>
      <c r="AA1062" s="668">
        <f t="shared" si="361"/>
        <v>0</v>
      </c>
      <c r="AB1062" s="668">
        <f t="shared" si="362"/>
        <v>0</v>
      </c>
      <c r="AC1062" s="668">
        <f t="shared" si="352"/>
        <v>0</v>
      </c>
      <c r="AD1062" s="668">
        <f t="shared" si="363"/>
        <v>0</v>
      </c>
      <c r="AE1062" s="668">
        <f t="shared" si="364"/>
        <v>0</v>
      </c>
      <c r="AF1062" s="668">
        <f t="shared" si="365"/>
        <v>0</v>
      </c>
      <c r="AG1062" s="668">
        <f t="shared" si="366"/>
        <v>0</v>
      </c>
      <c r="AH1062" s="668"/>
      <c r="AI1062" s="668"/>
      <c r="AJ1062" s="668"/>
      <c r="AK1062" s="668"/>
      <c r="AL1062" s="668"/>
      <c r="AM1062" s="668">
        <f t="shared" si="354"/>
        <v>0</v>
      </c>
      <c r="AN1062" s="668">
        <f t="shared" si="350"/>
        <v>0</v>
      </c>
      <c r="AO1062" s="668">
        <f t="shared" si="351"/>
        <v>0</v>
      </c>
      <c r="AP1062" s="668">
        <f t="shared" si="355"/>
        <v>0</v>
      </c>
      <c r="AQ1062" s="668">
        <f t="shared" si="348"/>
        <v>0</v>
      </c>
      <c r="AR1062" s="668">
        <f t="shared" si="349"/>
        <v>0</v>
      </c>
      <c r="AS1062" s="668"/>
      <c r="AT1062" s="668"/>
      <c r="AU1062" s="668"/>
      <c r="AV1062" s="668"/>
      <c r="AW1062" s="668"/>
      <c r="AX1062" s="668"/>
      <c r="AY1062" s="668"/>
      <c r="AZ1062" s="668"/>
      <c r="BA1062" s="668"/>
      <c r="BB1062" s="668">
        <f t="shared" si="353"/>
        <v>0</v>
      </c>
      <c r="BC1062" s="668"/>
      <c r="BD1062" s="668"/>
      <c r="BE1062" s="668"/>
      <c r="BF1062" s="668"/>
      <c r="BG1062" s="668"/>
      <c r="BH1062" s="668"/>
      <c r="BI1062" s="668"/>
    </row>
    <row r="1063" spans="1:61" x14ac:dyDescent="0.2">
      <c r="A1063" s="1021">
        <v>5201</v>
      </c>
      <c r="B1063" s="1021" t="s">
        <v>466</v>
      </c>
      <c r="C1063" s="1021"/>
      <c r="D1063" s="667">
        <v>80</v>
      </c>
      <c r="E1063" s="667"/>
      <c r="F1063" s="667"/>
      <c r="G1063" s="667"/>
      <c r="H1063" s="667"/>
      <c r="I1063" s="667"/>
      <c r="J1063" s="667"/>
      <c r="K1063" s="667"/>
      <c r="L1063" s="667"/>
      <c r="M1063" s="667"/>
      <c r="N1063" s="667"/>
      <c r="O1063" s="667"/>
      <c r="P1063" s="667"/>
      <c r="Q1063" s="667"/>
      <c r="R1063" s="667"/>
      <c r="S1063" s="667"/>
      <c r="T1063" s="667"/>
      <c r="U1063" s="1021">
        <v>3</v>
      </c>
      <c r="V1063" s="668">
        <f t="shared" si="356"/>
        <v>240</v>
      </c>
      <c r="W1063" s="668">
        <f t="shared" si="357"/>
        <v>0</v>
      </c>
      <c r="X1063" s="668">
        <f t="shared" si="358"/>
        <v>0</v>
      </c>
      <c r="Y1063" s="668">
        <f t="shared" si="359"/>
        <v>0</v>
      </c>
      <c r="Z1063" s="668">
        <f t="shared" si="360"/>
        <v>0</v>
      </c>
      <c r="AA1063" s="668">
        <f t="shared" si="361"/>
        <v>0</v>
      </c>
      <c r="AB1063" s="668">
        <f t="shared" si="362"/>
        <v>0</v>
      </c>
      <c r="AC1063" s="668">
        <f t="shared" si="352"/>
        <v>0</v>
      </c>
      <c r="AD1063" s="668">
        <f t="shared" si="363"/>
        <v>0</v>
      </c>
      <c r="AE1063" s="668">
        <f t="shared" si="364"/>
        <v>0</v>
      </c>
      <c r="AF1063" s="668">
        <f t="shared" si="365"/>
        <v>0</v>
      </c>
      <c r="AG1063" s="668">
        <f t="shared" si="366"/>
        <v>0</v>
      </c>
      <c r="AH1063" s="668"/>
      <c r="AI1063" s="668"/>
      <c r="AJ1063" s="668"/>
      <c r="AK1063" s="668"/>
      <c r="AL1063" s="668"/>
      <c r="AM1063" s="668">
        <f t="shared" si="354"/>
        <v>0</v>
      </c>
      <c r="AN1063" s="668">
        <f t="shared" si="350"/>
        <v>0</v>
      </c>
      <c r="AO1063" s="668">
        <f t="shared" si="351"/>
        <v>0</v>
      </c>
      <c r="AP1063" s="668">
        <f t="shared" si="355"/>
        <v>0</v>
      </c>
      <c r="AQ1063" s="668">
        <f t="shared" si="348"/>
        <v>0</v>
      </c>
      <c r="AR1063" s="668">
        <f t="shared" si="349"/>
        <v>0</v>
      </c>
      <c r="AS1063" s="668"/>
      <c r="AT1063" s="668"/>
      <c r="AU1063" s="668"/>
      <c r="AV1063" s="668"/>
      <c r="AW1063" s="668"/>
      <c r="AX1063" s="668"/>
      <c r="AY1063" s="668"/>
      <c r="AZ1063" s="668"/>
      <c r="BA1063" s="668"/>
      <c r="BB1063" s="668">
        <f t="shared" si="353"/>
        <v>0</v>
      </c>
      <c r="BC1063" s="668"/>
      <c r="BD1063" s="668"/>
      <c r="BE1063" s="668"/>
      <c r="BF1063" s="668"/>
      <c r="BG1063" s="668"/>
      <c r="BH1063" s="668"/>
      <c r="BI1063" s="668"/>
    </row>
    <row r="1064" spans="1:61" x14ac:dyDescent="0.2">
      <c r="A1064" s="1021">
        <v>5202</v>
      </c>
      <c r="B1064" s="1021" t="s">
        <v>821</v>
      </c>
      <c r="C1064" s="1021"/>
      <c r="D1064" s="667">
        <v>32</v>
      </c>
      <c r="E1064" s="667"/>
      <c r="F1064" s="667">
        <v>32</v>
      </c>
      <c r="G1064" s="667"/>
      <c r="H1064" s="667"/>
      <c r="I1064" s="667"/>
      <c r="J1064" s="667"/>
      <c r="K1064" s="667"/>
      <c r="L1064" s="667"/>
      <c r="M1064" s="667"/>
      <c r="N1064" s="667"/>
      <c r="O1064" s="667"/>
      <c r="P1064" s="667"/>
      <c r="Q1064" s="667"/>
      <c r="R1064" s="667"/>
      <c r="S1064" s="667"/>
      <c r="T1064" s="667"/>
      <c r="U1064" s="1021">
        <v>10</v>
      </c>
      <c r="V1064" s="668">
        <f t="shared" si="356"/>
        <v>320</v>
      </c>
      <c r="W1064" s="668">
        <f t="shared" si="357"/>
        <v>0</v>
      </c>
      <c r="X1064" s="668">
        <f t="shared" si="358"/>
        <v>0</v>
      </c>
      <c r="Y1064" s="668">
        <f t="shared" si="359"/>
        <v>0</v>
      </c>
      <c r="Z1064" s="668">
        <f t="shared" si="360"/>
        <v>0</v>
      </c>
      <c r="AA1064" s="668">
        <f t="shared" si="361"/>
        <v>0</v>
      </c>
      <c r="AB1064" s="668">
        <f t="shared" si="362"/>
        <v>0</v>
      </c>
      <c r="AC1064" s="668">
        <f t="shared" si="352"/>
        <v>0</v>
      </c>
      <c r="AD1064" s="668">
        <f t="shared" si="363"/>
        <v>0</v>
      </c>
      <c r="AE1064" s="668">
        <f t="shared" si="364"/>
        <v>0</v>
      </c>
      <c r="AF1064" s="668">
        <f t="shared" si="365"/>
        <v>0</v>
      </c>
      <c r="AG1064" s="668">
        <f t="shared" si="366"/>
        <v>0</v>
      </c>
      <c r="AH1064" s="668"/>
      <c r="AI1064" s="668"/>
      <c r="AJ1064" s="668"/>
      <c r="AK1064" s="668"/>
      <c r="AL1064" s="668"/>
      <c r="AM1064" s="668">
        <f t="shared" si="354"/>
        <v>0</v>
      </c>
      <c r="AN1064" s="668">
        <f t="shared" si="350"/>
        <v>0</v>
      </c>
      <c r="AO1064" s="668">
        <f t="shared" si="351"/>
        <v>0</v>
      </c>
      <c r="AP1064" s="668">
        <f t="shared" si="355"/>
        <v>320</v>
      </c>
      <c r="AQ1064" s="668">
        <f t="shared" si="348"/>
        <v>0</v>
      </c>
      <c r="AR1064" s="668">
        <f t="shared" si="349"/>
        <v>0</v>
      </c>
      <c r="AS1064" s="668"/>
      <c r="AT1064" s="668"/>
      <c r="AU1064" s="668"/>
      <c r="AV1064" s="668"/>
      <c r="AW1064" s="668"/>
      <c r="AX1064" s="668"/>
      <c r="AY1064" s="668"/>
      <c r="AZ1064" s="668"/>
      <c r="BA1064" s="668"/>
      <c r="BB1064" s="668">
        <f t="shared" si="353"/>
        <v>320</v>
      </c>
      <c r="BC1064" s="668"/>
      <c r="BD1064" s="668"/>
      <c r="BE1064" s="668"/>
      <c r="BF1064" s="668"/>
      <c r="BG1064" s="668"/>
      <c r="BH1064" s="668"/>
      <c r="BI1064" s="668"/>
    </row>
    <row r="1065" spans="1:61" x14ac:dyDescent="0.2">
      <c r="A1065" s="1021">
        <v>5203</v>
      </c>
      <c r="B1065" s="1021" t="s">
        <v>821</v>
      </c>
      <c r="C1065" s="1021"/>
      <c r="D1065" s="667">
        <v>32</v>
      </c>
      <c r="E1065" s="667"/>
      <c r="F1065" s="667">
        <v>32</v>
      </c>
      <c r="G1065" s="667"/>
      <c r="H1065" s="667"/>
      <c r="I1065" s="667"/>
      <c r="J1065" s="667"/>
      <c r="K1065" s="667"/>
      <c r="L1065" s="667"/>
      <c r="M1065" s="667"/>
      <c r="N1065" s="667"/>
      <c r="O1065" s="667"/>
      <c r="P1065" s="667"/>
      <c r="Q1065" s="667"/>
      <c r="R1065" s="667"/>
      <c r="S1065" s="667"/>
      <c r="T1065" s="667"/>
      <c r="U1065" s="1021">
        <v>10</v>
      </c>
      <c r="V1065" s="668">
        <f t="shared" si="356"/>
        <v>320</v>
      </c>
      <c r="W1065" s="668">
        <f t="shared" si="357"/>
        <v>0</v>
      </c>
      <c r="X1065" s="668">
        <f t="shared" si="358"/>
        <v>0</v>
      </c>
      <c r="Y1065" s="668">
        <f t="shared" si="359"/>
        <v>0</v>
      </c>
      <c r="Z1065" s="668">
        <f t="shared" si="360"/>
        <v>0</v>
      </c>
      <c r="AA1065" s="668">
        <f t="shared" si="361"/>
        <v>0</v>
      </c>
      <c r="AB1065" s="668">
        <f t="shared" si="362"/>
        <v>0</v>
      </c>
      <c r="AC1065" s="668">
        <f t="shared" si="352"/>
        <v>0</v>
      </c>
      <c r="AD1065" s="668">
        <f t="shared" si="363"/>
        <v>0</v>
      </c>
      <c r="AE1065" s="668">
        <f t="shared" si="364"/>
        <v>0</v>
      </c>
      <c r="AF1065" s="668">
        <f t="shared" si="365"/>
        <v>0</v>
      </c>
      <c r="AG1065" s="668">
        <f t="shared" si="366"/>
        <v>0</v>
      </c>
      <c r="AH1065" s="668"/>
      <c r="AI1065" s="668"/>
      <c r="AJ1065" s="668"/>
      <c r="AK1065" s="668"/>
      <c r="AL1065" s="668"/>
      <c r="AM1065" s="668">
        <f t="shared" si="354"/>
        <v>0</v>
      </c>
      <c r="AN1065" s="668">
        <f t="shared" si="350"/>
        <v>0</v>
      </c>
      <c r="AO1065" s="668">
        <f t="shared" si="351"/>
        <v>0</v>
      </c>
      <c r="AP1065" s="668">
        <f t="shared" si="355"/>
        <v>320</v>
      </c>
      <c r="AQ1065" s="668">
        <f t="shared" si="348"/>
        <v>0</v>
      </c>
      <c r="AR1065" s="668">
        <f t="shared" si="349"/>
        <v>0</v>
      </c>
      <c r="AS1065" s="668"/>
      <c r="AT1065" s="668"/>
      <c r="AU1065" s="668"/>
      <c r="AV1065" s="668"/>
      <c r="AW1065" s="668"/>
      <c r="AX1065" s="668"/>
      <c r="AY1065" s="668"/>
      <c r="AZ1065" s="668"/>
      <c r="BA1065" s="668"/>
      <c r="BB1065" s="668">
        <f t="shared" si="353"/>
        <v>320</v>
      </c>
      <c r="BC1065" s="668"/>
      <c r="BD1065" s="668"/>
      <c r="BE1065" s="668"/>
      <c r="BF1065" s="668"/>
      <c r="BG1065" s="668"/>
      <c r="BH1065" s="668"/>
      <c r="BI1065" s="668"/>
    </row>
    <row r="1066" spans="1:61" x14ac:dyDescent="0.2">
      <c r="A1066" s="1021">
        <v>5204</v>
      </c>
      <c r="B1066" s="1021" t="s">
        <v>476</v>
      </c>
      <c r="C1066" s="1021"/>
      <c r="D1066" s="667">
        <v>50</v>
      </c>
      <c r="E1066" s="667"/>
      <c r="F1066" s="667"/>
      <c r="G1066" s="667"/>
      <c r="H1066" s="667"/>
      <c r="I1066" s="667"/>
      <c r="J1066" s="667"/>
      <c r="K1066" s="667"/>
      <c r="L1066" s="667"/>
      <c r="M1066" s="667"/>
      <c r="N1066" s="667"/>
      <c r="O1066" s="667"/>
      <c r="P1066" s="667"/>
      <c r="Q1066" s="667"/>
      <c r="R1066" s="667"/>
      <c r="S1066" s="667"/>
      <c r="T1066" s="667"/>
      <c r="U1066" s="1021">
        <v>12</v>
      </c>
      <c r="V1066" s="668">
        <f t="shared" si="356"/>
        <v>600</v>
      </c>
      <c r="W1066" s="668">
        <f t="shared" si="357"/>
        <v>0</v>
      </c>
      <c r="X1066" s="668">
        <f t="shared" si="358"/>
        <v>0</v>
      </c>
      <c r="Y1066" s="668">
        <f t="shared" si="359"/>
        <v>0</v>
      </c>
      <c r="Z1066" s="668">
        <f t="shared" si="360"/>
        <v>0</v>
      </c>
      <c r="AA1066" s="668">
        <f t="shared" si="361"/>
        <v>0</v>
      </c>
      <c r="AB1066" s="668">
        <f t="shared" si="362"/>
        <v>0</v>
      </c>
      <c r="AC1066" s="668">
        <f t="shared" si="352"/>
        <v>0</v>
      </c>
      <c r="AD1066" s="668">
        <f t="shared" si="363"/>
        <v>0</v>
      </c>
      <c r="AE1066" s="668">
        <f t="shared" si="364"/>
        <v>0</v>
      </c>
      <c r="AF1066" s="668">
        <f t="shared" si="365"/>
        <v>0</v>
      </c>
      <c r="AG1066" s="668">
        <f t="shared" si="366"/>
        <v>0</v>
      </c>
      <c r="AH1066" s="668"/>
      <c r="AI1066" s="668"/>
      <c r="AJ1066" s="668"/>
      <c r="AK1066" s="668"/>
      <c r="AL1066" s="668"/>
      <c r="AM1066" s="668">
        <f t="shared" si="354"/>
        <v>0</v>
      </c>
      <c r="AN1066" s="668">
        <f t="shared" si="350"/>
        <v>0</v>
      </c>
      <c r="AO1066" s="668">
        <f t="shared" si="351"/>
        <v>0</v>
      </c>
      <c r="AP1066" s="668">
        <f t="shared" si="355"/>
        <v>0</v>
      </c>
      <c r="AQ1066" s="668">
        <f t="shared" si="348"/>
        <v>0</v>
      </c>
      <c r="AR1066" s="668">
        <f t="shared" si="349"/>
        <v>0</v>
      </c>
      <c r="AS1066" s="668"/>
      <c r="AT1066" s="668"/>
      <c r="AU1066" s="668"/>
      <c r="AV1066" s="668"/>
      <c r="AW1066" s="668"/>
      <c r="AX1066" s="668"/>
      <c r="AY1066" s="668"/>
      <c r="AZ1066" s="668"/>
      <c r="BA1066" s="668"/>
      <c r="BB1066" s="668">
        <f t="shared" si="353"/>
        <v>0</v>
      </c>
      <c r="BC1066" s="668"/>
      <c r="BD1066" s="668"/>
      <c r="BE1066" s="668"/>
      <c r="BF1066" s="668"/>
      <c r="BG1066" s="668"/>
      <c r="BH1066" s="668"/>
      <c r="BI1066" s="668"/>
    </row>
    <row r="1067" spans="1:61" x14ac:dyDescent="0.2">
      <c r="A1067" s="1021">
        <v>5205</v>
      </c>
      <c r="B1067" s="1021" t="s">
        <v>685</v>
      </c>
      <c r="C1067" s="1021"/>
      <c r="D1067" s="667">
        <v>50</v>
      </c>
      <c r="E1067" s="667"/>
      <c r="F1067" s="667"/>
      <c r="G1067" s="667"/>
      <c r="H1067" s="667"/>
      <c r="I1067" s="667"/>
      <c r="J1067" s="667"/>
      <c r="K1067" s="667"/>
      <c r="L1067" s="667"/>
      <c r="M1067" s="667"/>
      <c r="N1067" s="667"/>
      <c r="O1067" s="667"/>
      <c r="P1067" s="667"/>
      <c r="Q1067" s="667"/>
      <c r="R1067" s="667"/>
      <c r="S1067" s="667"/>
      <c r="T1067" s="667"/>
      <c r="U1067" s="1021">
        <v>10</v>
      </c>
      <c r="V1067" s="668">
        <f t="shared" si="356"/>
        <v>500</v>
      </c>
      <c r="W1067" s="668">
        <f t="shared" si="357"/>
        <v>0</v>
      </c>
      <c r="X1067" s="668">
        <f t="shared" si="358"/>
        <v>0</v>
      </c>
      <c r="Y1067" s="668">
        <f t="shared" si="359"/>
        <v>0</v>
      </c>
      <c r="Z1067" s="668">
        <f t="shared" si="360"/>
        <v>0</v>
      </c>
      <c r="AA1067" s="668">
        <f t="shared" si="361"/>
        <v>0</v>
      </c>
      <c r="AB1067" s="668">
        <f t="shared" si="362"/>
        <v>0</v>
      </c>
      <c r="AC1067" s="668">
        <f t="shared" si="352"/>
        <v>0</v>
      </c>
      <c r="AD1067" s="668">
        <f t="shared" si="363"/>
        <v>0</v>
      </c>
      <c r="AE1067" s="668">
        <f t="shared" si="364"/>
        <v>0</v>
      </c>
      <c r="AF1067" s="668">
        <f t="shared" si="365"/>
        <v>0</v>
      </c>
      <c r="AG1067" s="668">
        <f t="shared" si="366"/>
        <v>0</v>
      </c>
      <c r="AH1067" s="668"/>
      <c r="AI1067" s="668"/>
      <c r="AJ1067" s="668"/>
      <c r="AK1067" s="668"/>
      <c r="AL1067" s="668"/>
      <c r="AM1067" s="668">
        <f t="shared" si="354"/>
        <v>0</v>
      </c>
      <c r="AN1067" s="668">
        <f t="shared" si="350"/>
        <v>0</v>
      </c>
      <c r="AO1067" s="668">
        <f t="shared" si="351"/>
        <v>0</v>
      </c>
      <c r="AP1067" s="668">
        <f t="shared" si="355"/>
        <v>0</v>
      </c>
      <c r="AQ1067" s="668">
        <f t="shared" si="348"/>
        <v>0</v>
      </c>
      <c r="AR1067" s="668">
        <f t="shared" si="349"/>
        <v>0</v>
      </c>
      <c r="AS1067" s="668"/>
      <c r="AT1067" s="668"/>
      <c r="AU1067" s="668"/>
      <c r="AV1067" s="668"/>
      <c r="AW1067" s="668"/>
      <c r="AX1067" s="668"/>
      <c r="AY1067" s="668"/>
      <c r="AZ1067" s="668"/>
      <c r="BA1067" s="668"/>
      <c r="BB1067" s="668">
        <f t="shared" si="353"/>
        <v>0</v>
      </c>
      <c r="BC1067" s="668"/>
      <c r="BD1067" s="668"/>
      <c r="BE1067" s="668"/>
      <c r="BF1067" s="668"/>
      <c r="BG1067" s="668"/>
      <c r="BH1067" s="668"/>
      <c r="BI1067" s="668"/>
    </row>
    <row r="1068" spans="1:61" x14ac:dyDescent="0.2">
      <c r="A1068" s="1021">
        <v>5206</v>
      </c>
      <c r="B1068" s="1021" t="s">
        <v>517</v>
      </c>
      <c r="C1068" s="1021"/>
      <c r="D1068" s="667">
        <v>83</v>
      </c>
      <c r="E1068" s="667"/>
      <c r="F1068" s="667"/>
      <c r="G1068" s="667"/>
      <c r="H1068" s="667"/>
      <c r="I1068" s="667"/>
      <c r="J1068" s="667"/>
      <c r="K1068" s="667"/>
      <c r="L1068" s="667"/>
      <c r="M1068" s="667"/>
      <c r="N1068" s="667"/>
      <c r="O1068" s="667"/>
      <c r="P1068" s="667"/>
      <c r="Q1068" s="667"/>
      <c r="R1068" s="667"/>
      <c r="S1068" s="667"/>
      <c r="T1068" s="667"/>
      <c r="U1068" s="1021">
        <v>12</v>
      </c>
      <c r="V1068" s="668">
        <f t="shared" si="356"/>
        <v>996</v>
      </c>
      <c r="W1068" s="668">
        <f t="shared" si="357"/>
        <v>0</v>
      </c>
      <c r="X1068" s="668">
        <f t="shared" si="358"/>
        <v>0</v>
      </c>
      <c r="Y1068" s="668">
        <f t="shared" si="359"/>
        <v>0</v>
      </c>
      <c r="Z1068" s="668">
        <f t="shared" si="360"/>
        <v>0</v>
      </c>
      <c r="AA1068" s="668">
        <f t="shared" si="361"/>
        <v>0</v>
      </c>
      <c r="AB1068" s="668">
        <f t="shared" si="362"/>
        <v>0</v>
      </c>
      <c r="AC1068" s="668">
        <f t="shared" si="352"/>
        <v>0</v>
      </c>
      <c r="AD1068" s="668">
        <f t="shared" si="363"/>
        <v>0</v>
      </c>
      <c r="AE1068" s="668">
        <f t="shared" si="364"/>
        <v>0</v>
      </c>
      <c r="AF1068" s="668">
        <f t="shared" si="365"/>
        <v>0</v>
      </c>
      <c r="AG1068" s="668">
        <f t="shared" si="366"/>
        <v>0</v>
      </c>
      <c r="AH1068" s="668"/>
      <c r="AI1068" s="668"/>
      <c r="AJ1068" s="668"/>
      <c r="AK1068" s="668"/>
      <c r="AL1068" s="668"/>
      <c r="AM1068" s="668">
        <f t="shared" si="354"/>
        <v>0</v>
      </c>
      <c r="AN1068" s="668">
        <f t="shared" si="350"/>
        <v>0</v>
      </c>
      <c r="AO1068" s="668">
        <f t="shared" si="351"/>
        <v>0</v>
      </c>
      <c r="AP1068" s="668">
        <f t="shared" si="355"/>
        <v>0</v>
      </c>
      <c r="AQ1068" s="668">
        <f t="shared" si="348"/>
        <v>0</v>
      </c>
      <c r="AR1068" s="668">
        <f t="shared" si="349"/>
        <v>0</v>
      </c>
      <c r="AS1068" s="668"/>
      <c r="AT1068" s="668"/>
      <c r="AU1068" s="668"/>
      <c r="AV1068" s="668"/>
      <c r="AW1068" s="668"/>
      <c r="AX1068" s="668"/>
      <c r="AY1068" s="668"/>
      <c r="AZ1068" s="668"/>
      <c r="BA1068" s="668"/>
      <c r="BB1068" s="668">
        <f t="shared" si="353"/>
        <v>0</v>
      </c>
      <c r="BC1068" s="668"/>
      <c r="BD1068" s="668"/>
      <c r="BE1068" s="668"/>
      <c r="BF1068" s="668"/>
      <c r="BG1068" s="668"/>
      <c r="BH1068" s="668"/>
      <c r="BI1068" s="668"/>
    </row>
    <row r="1069" spans="1:61" x14ac:dyDescent="0.2">
      <c r="A1069" s="1021">
        <v>5207</v>
      </c>
      <c r="B1069" s="1021" t="s">
        <v>624</v>
      </c>
      <c r="C1069" s="1021"/>
      <c r="D1069" s="667">
        <v>35</v>
      </c>
      <c r="E1069" s="667"/>
      <c r="F1069" s="667">
        <v>15</v>
      </c>
      <c r="G1069" s="667"/>
      <c r="H1069" s="667"/>
      <c r="I1069" s="667"/>
      <c r="J1069" s="667"/>
      <c r="K1069" s="667"/>
      <c r="L1069" s="667"/>
      <c r="M1069" s="667"/>
      <c r="N1069" s="667"/>
      <c r="O1069" s="667"/>
      <c r="P1069" s="667"/>
      <c r="Q1069" s="667"/>
      <c r="R1069" s="667"/>
      <c r="S1069" s="667"/>
      <c r="T1069" s="667"/>
      <c r="U1069" s="1021">
        <v>10</v>
      </c>
      <c r="V1069" s="668">
        <f t="shared" si="356"/>
        <v>350</v>
      </c>
      <c r="W1069" s="668">
        <f t="shared" si="357"/>
        <v>0</v>
      </c>
      <c r="X1069" s="668">
        <f t="shared" si="358"/>
        <v>0</v>
      </c>
      <c r="Y1069" s="668">
        <f t="shared" si="359"/>
        <v>0</v>
      </c>
      <c r="Z1069" s="668">
        <f t="shared" si="360"/>
        <v>0</v>
      </c>
      <c r="AA1069" s="668">
        <f t="shared" si="361"/>
        <v>0</v>
      </c>
      <c r="AB1069" s="668">
        <f t="shared" si="362"/>
        <v>0</v>
      </c>
      <c r="AC1069" s="668">
        <f t="shared" si="352"/>
        <v>0</v>
      </c>
      <c r="AD1069" s="668">
        <f t="shared" si="363"/>
        <v>0</v>
      </c>
      <c r="AE1069" s="668">
        <f t="shared" si="364"/>
        <v>0</v>
      </c>
      <c r="AF1069" s="668">
        <f t="shared" si="365"/>
        <v>0</v>
      </c>
      <c r="AG1069" s="668">
        <f t="shared" si="366"/>
        <v>0</v>
      </c>
      <c r="AH1069" s="668"/>
      <c r="AI1069" s="668"/>
      <c r="AJ1069" s="668"/>
      <c r="AK1069" s="668"/>
      <c r="AL1069" s="668"/>
      <c r="AM1069" s="668">
        <f t="shared" si="354"/>
        <v>0</v>
      </c>
      <c r="AN1069" s="668">
        <f t="shared" si="350"/>
        <v>0</v>
      </c>
      <c r="AO1069" s="668">
        <f t="shared" si="351"/>
        <v>0</v>
      </c>
      <c r="AP1069" s="668">
        <f t="shared" si="355"/>
        <v>150</v>
      </c>
      <c r="AQ1069" s="668">
        <f t="shared" si="348"/>
        <v>0</v>
      </c>
      <c r="AR1069" s="668">
        <f t="shared" si="349"/>
        <v>0</v>
      </c>
      <c r="AS1069" s="668"/>
      <c r="AT1069" s="668"/>
      <c r="AU1069" s="668"/>
      <c r="AV1069" s="668"/>
      <c r="AW1069" s="668"/>
      <c r="AX1069" s="668"/>
      <c r="AY1069" s="668"/>
      <c r="AZ1069" s="668"/>
      <c r="BA1069" s="668"/>
      <c r="BB1069" s="668">
        <f t="shared" si="353"/>
        <v>150</v>
      </c>
      <c r="BC1069" s="668"/>
      <c r="BD1069" s="668"/>
      <c r="BE1069" s="668"/>
      <c r="BF1069" s="668"/>
      <c r="BG1069" s="668"/>
      <c r="BH1069" s="668"/>
      <c r="BI1069" s="668"/>
    </row>
    <row r="1070" spans="1:61" x14ac:dyDescent="0.2">
      <c r="A1070" s="1021">
        <v>5208</v>
      </c>
      <c r="B1070" s="1021" t="s">
        <v>519</v>
      </c>
      <c r="C1070" s="1021"/>
      <c r="D1070" s="667">
        <v>35</v>
      </c>
      <c r="E1070" s="667"/>
      <c r="F1070" s="667">
        <v>15</v>
      </c>
      <c r="G1070" s="667"/>
      <c r="H1070" s="667"/>
      <c r="I1070" s="667"/>
      <c r="J1070" s="667"/>
      <c r="K1070" s="667"/>
      <c r="L1070" s="667"/>
      <c r="M1070" s="667"/>
      <c r="N1070" s="667"/>
      <c r="O1070" s="667"/>
      <c r="P1070" s="667"/>
      <c r="Q1070" s="667"/>
      <c r="R1070" s="667"/>
      <c r="S1070" s="667"/>
      <c r="T1070" s="667">
        <v>150</v>
      </c>
      <c r="U1070" s="1021">
        <v>12</v>
      </c>
      <c r="V1070" s="668">
        <f t="shared" si="356"/>
        <v>420</v>
      </c>
      <c r="W1070" s="668">
        <f t="shared" si="357"/>
        <v>0</v>
      </c>
      <c r="X1070" s="668">
        <f t="shared" si="358"/>
        <v>0</v>
      </c>
      <c r="Y1070" s="668">
        <f t="shared" si="359"/>
        <v>0</v>
      </c>
      <c r="Z1070" s="668">
        <f t="shared" si="360"/>
        <v>0</v>
      </c>
      <c r="AA1070" s="668">
        <f t="shared" si="361"/>
        <v>0</v>
      </c>
      <c r="AB1070" s="668">
        <f t="shared" si="362"/>
        <v>150</v>
      </c>
      <c r="AC1070" s="668">
        <f t="shared" si="352"/>
        <v>0</v>
      </c>
      <c r="AD1070" s="668">
        <f t="shared" si="363"/>
        <v>0</v>
      </c>
      <c r="AE1070" s="668">
        <f t="shared" si="364"/>
        <v>0</v>
      </c>
      <c r="AF1070" s="668">
        <f t="shared" si="365"/>
        <v>0</v>
      </c>
      <c r="AG1070" s="668">
        <f t="shared" si="366"/>
        <v>0</v>
      </c>
      <c r="AH1070" s="668"/>
      <c r="AI1070" s="668"/>
      <c r="AJ1070" s="668"/>
      <c r="AK1070" s="668"/>
      <c r="AL1070" s="668"/>
      <c r="AM1070" s="668">
        <f t="shared" si="354"/>
        <v>0</v>
      </c>
      <c r="AN1070" s="668">
        <f t="shared" si="350"/>
        <v>0</v>
      </c>
      <c r="AO1070" s="668">
        <f t="shared" si="351"/>
        <v>0</v>
      </c>
      <c r="AP1070" s="668">
        <f t="shared" si="355"/>
        <v>180</v>
      </c>
      <c r="AQ1070" s="668">
        <f t="shared" si="348"/>
        <v>0</v>
      </c>
      <c r="AR1070" s="668">
        <f t="shared" si="349"/>
        <v>0</v>
      </c>
      <c r="AS1070" s="668"/>
      <c r="AT1070" s="668"/>
      <c r="AU1070" s="668"/>
      <c r="AV1070" s="668"/>
      <c r="AW1070" s="668"/>
      <c r="AX1070" s="668"/>
      <c r="AY1070" s="668"/>
      <c r="AZ1070" s="668"/>
      <c r="BA1070" s="668"/>
      <c r="BB1070" s="668">
        <f t="shared" si="353"/>
        <v>180</v>
      </c>
      <c r="BC1070" s="668"/>
      <c r="BD1070" s="668"/>
      <c r="BE1070" s="668"/>
      <c r="BF1070" s="668"/>
      <c r="BG1070" s="668"/>
      <c r="BH1070" s="668"/>
      <c r="BI1070" s="668"/>
    </row>
    <row r="1071" spans="1:61" x14ac:dyDescent="0.2">
      <c r="A1071" s="1021">
        <v>5209</v>
      </c>
      <c r="B1071" s="1021" t="s">
        <v>515</v>
      </c>
      <c r="C1071" s="1021"/>
      <c r="D1071" s="667">
        <v>78</v>
      </c>
      <c r="E1071" s="667"/>
      <c r="F1071" s="667">
        <v>60</v>
      </c>
      <c r="G1071" s="667"/>
      <c r="H1071" s="667"/>
      <c r="I1071" s="667"/>
      <c r="J1071" s="667"/>
      <c r="K1071" s="667"/>
      <c r="L1071" s="667"/>
      <c r="M1071" s="667"/>
      <c r="N1071" s="667"/>
      <c r="O1071" s="667"/>
      <c r="P1071" s="667"/>
      <c r="Q1071" s="667"/>
      <c r="R1071" s="667"/>
      <c r="S1071" s="667"/>
      <c r="T1071" s="667">
        <v>2000</v>
      </c>
      <c r="U1071" s="1021">
        <v>12</v>
      </c>
      <c r="V1071" s="668">
        <f t="shared" si="356"/>
        <v>936</v>
      </c>
      <c r="W1071" s="668">
        <f t="shared" si="357"/>
        <v>0</v>
      </c>
      <c r="X1071" s="668">
        <f t="shared" si="358"/>
        <v>0</v>
      </c>
      <c r="Y1071" s="668">
        <f t="shared" si="359"/>
        <v>0</v>
      </c>
      <c r="Z1071" s="668">
        <f t="shared" si="360"/>
        <v>0</v>
      </c>
      <c r="AA1071" s="668">
        <f t="shared" si="361"/>
        <v>0</v>
      </c>
      <c r="AB1071" s="668">
        <f t="shared" si="362"/>
        <v>2000</v>
      </c>
      <c r="AC1071" s="668">
        <f t="shared" si="352"/>
        <v>0</v>
      </c>
      <c r="AD1071" s="668">
        <f t="shared" si="363"/>
        <v>0</v>
      </c>
      <c r="AE1071" s="668">
        <f t="shared" si="364"/>
        <v>0</v>
      </c>
      <c r="AF1071" s="668">
        <f t="shared" si="365"/>
        <v>0</v>
      </c>
      <c r="AG1071" s="668">
        <f t="shared" si="366"/>
        <v>0</v>
      </c>
      <c r="AH1071" s="668"/>
      <c r="AI1071" s="668"/>
      <c r="AJ1071" s="668"/>
      <c r="AK1071" s="668"/>
      <c r="AL1071" s="668"/>
      <c r="AM1071" s="668">
        <f t="shared" si="354"/>
        <v>0</v>
      </c>
      <c r="AN1071" s="668">
        <f t="shared" si="350"/>
        <v>0</v>
      </c>
      <c r="AO1071" s="668">
        <f t="shared" si="351"/>
        <v>0</v>
      </c>
      <c r="AP1071" s="668">
        <f t="shared" si="355"/>
        <v>720</v>
      </c>
      <c r="AQ1071" s="668">
        <f t="shared" si="348"/>
        <v>0</v>
      </c>
      <c r="AR1071" s="668">
        <f t="shared" si="349"/>
        <v>0</v>
      </c>
      <c r="AS1071" s="668"/>
      <c r="AT1071" s="668"/>
      <c r="AU1071" s="668"/>
      <c r="AV1071" s="668"/>
      <c r="AW1071" s="668"/>
      <c r="AX1071" s="668"/>
      <c r="AY1071" s="668"/>
      <c r="AZ1071" s="668"/>
      <c r="BA1071" s="668"/>
      <c r="BB1071" s="668"/>
      <c r="BC1071" s="668"/>
      <c r="BD1071" s="668"/>
      <c r="BE1071" s="668"/>
      <c r="BF1071" s="668"/>
      <c r="BG1071" s="668"/>
      <c r="BH1071" s="668"/>
      <c r="BI1071" s="668"/>
    </row>
    <row r="1072" spans="1:61" x14ac:dyDescent="0.2">
      <c r="A1072" s="1021">
        <v>5210</v>
      </c>
      <c r="B1072" s="1021" t="s">
        <v>515</v>
      </c>
      <c r="C1072" s="1021"/>
      <c r="D1072" s="667">
        <v>100</v>
      </c>
      <c r="E1072" s="667"/>
      <c r="F1072" s="667">
        <v>54</v>
      </c>
      <c r="G1072" s="667"/>
      <c r="H1072" s="667"/>
      <c r="I1072" s="667"/>
      <c r="J1072" s="667"/>
      <c r="K1072" s="667"/>
      <c r="L1072" s="667"/>
      <c r="M1072" s="667"/>
      <c r="N1072" s="667"/>
      <c r="O1072" s="667"/>
      <c r="P1072" s="667"/>
      <c r="Q1072" s="667"/>
      <c r="R1072" s="667"/>
      <c r="S1072" s="667"/>
      <c r="T1072" s="667">
        <v>3424</v>
      </c>
      <c r="U1072" s="1021">
        <v>12</v>
      </c>
      <c r="V1072" s="668">
        <f t="shared" si="356"/>
        <v>1200</v>
      </c>
      <c r="W1072" s="668">
        <f t="shared" si="357"/>
        <v>0</v>
      </c>
      <c r="X1072" s="668">
        <f t="shared" si="358"/>
        <v>0</v>
      </c>
      <c r="Y1072" s="668">
        <f t="shared" si="359"/>
        <v>0</v>
      </c>
      <c r="Z1072" s="668">
        <f t="shared" si="360"/>
        <v>0</v>
      </c>
      <c r="AA1072" s="668">
        <f t="shared" si="361"/>
        <v>0</v>
      </c>
      <c r="AB1072" s="668">
        <f t="shared" si="362"/>
        <v>3424</v>
      </c>
      <c r="AC1072" s="668">
        <f t="shared" si="352"/>
        <v>0</v>
      </c>
      <c r="AD1072" s="668">
        <f t="shared" si="363"/>
        <v>0</v>
      </c>
      <c r="AE1072" s="668">
        <f t="shared" si="364"/>
        <v>0</v>
      </c>
      <c r="AF1072" s="668">
        <f t="shared" si="365"/>
        <v>0</v>
      </c>
      <c r="AG1072" s="668">
        <f t="shared" si="366"/>
        <v>0</v>
      </c>
      <c r="AH1072" s="668"/>
      <c r="AI1072" s="668"/>
      <c r="AJ1072" s="668"/>
      <c r="AK1072" s="668"/>
      <c r="AL1072" s="668"/>
      <c r="AM1072" s="668">
        <f t="shared" si="354"/>
        <v>0</v>
      </c>
      <c r="AN1072" s="668">
        <f t="shared" si="350"/>
        <v>0</v>
      </c>
      <c r="AO1072" s="668">
        <f t="shared" si="351"/>
        <v>0</v>
      </c>
      <c r="AP1072" s="668">
        <f t="shared" si="355"/>
        <v>648</v>
      </c>
      <c r="AQ1072" s="668">
        <f t="shared" si="348"/>
        <v>0</v>
      </c>
      <c r="AR1072" s="668">
        <f t="shared" si="349"/>
        <v>0</v>
      </c>
      <c r="AS1072" s="668"/>
      <c r="AT1072" s="668"/>
      <c r="AU1072" s="668"/>
      <c r="AV1072" s="668"/>
      <c r="AW1072" s="668"/>
      <c r="AX1072" s="668"/>
      <c r="AY1072" s="668"/>
      <c r="AZ1072" s="668"/>
      <c r="BA1072" s="668"/>
      <c r="BB1072" s="668"/>
      <c r="BC1072" s="668"/>
      <c r="BD1072" s="668"/>
      <c r="BE1072" s="668"/>
      <c r="BF1072" s="668"/>
      <c r="BG1072" s="668"/>
      <c r="BH1072" s="668"/>
      <c r="BI1072" s="668"/>
    </row>
    <row r="1073" spans="1:61" x14ac:dyDescent="0.2">
      <c r="A1073" s="1021">
        <v>5211</v>
      </c>
      <c r="B1073" s="1021" t="s">
        <v>519</v>
      </c>
      <c r="C1073" s="1021"/>
      <c r="D1073" s="667">
        <v>35</v>
      </c>
      <c r="E1073" s="667"/>
      <c r="F1073" s="667">
        <v>15</v>
      </c>
      <c r="G1073" s="667"/>
      <c r="H1073" s="667"/>
      <c r="I1073" s="667"/>
      <c r="J1073" s="667"/>
      <c r="K1073" s="667"/>
      <c r="L1073" s="667"/>
      <c r="M1073" s="667"/>
      <c r="N1073" s="667"/>
      <c r="O1073" s="667"/>
      <c r="P1073" s="667"/>
      <c r="Q1073" s="667"/>
      <c r="R1073" s="667"/>
      <c r="S1073" s="667"/>
      <c r="T1073" s="667">
        <v>150</v>
      </c>
      <c r="U1073" s="1021">
        <v>12</v>
      </c>
      <c r="V1073" s="668">
        <f t="shared" si="356"/>
        <v>420</v>
      </c>
      <c r="W1073" s="668">
        <f t="shared" si="357"/>
        <v>0</v>
      </c>
      <c r="X1073" s="668">
        <f t="shared" si="358"/>
        <v>0</v>
      </c>
      <c r="Y1073" s="668">
        <f t="shared" si="359"/>
        <v>0</v>
      </c>
      <c r="Z1073" s="668">
        <f t="shared" si="360"/>
        <v>0</v>
      </c>
      <c r="AA1073" s="668">
        <f t="shared" si="361"/>
        <v>0</v>
      </c>
      <c r="AB1073" s="668">
        <f t="shared" si="362"/>
        <v>150</v>
      </c>
      <c r="AC1073" s="668">
        <f t="shared" si="352"/>
        <v>0</v>
      </c>
      <c r="AD1073" s="668">
        <f t="shared" si="363"/>
        <v>0</v>
      </c>
      <c r="AE1073" s="668">
        <f t="shared" si="364"/>
        <v>0</v>
      </c>
      <c r="AF1073" s="668">
        <f t="shared" si="365"/>
        <v>0</v>
      </c>
      <c r="AG1073" s="668">
        <f t="shared" si="366"/>
        <v>0</v>
      </c>
      <c r="AH1073" s="668"/>
      <c r="AI1073" s="668"/>
      <c r="AJ1073" s="668"/>
      <c r="AK1073" s="668"/>
      <c r="AL1073" s="668"/>
      <c r="AM1073" s="668">
        <f t="shared" si="354"/>
        <v>0</v>
      </c>
      <c r="AN1073" s="668">
        <f t="shared" si="350"/>
        <v>0</v>
      </c>
      <c r="AO1073" s="668">
        <f t="shared" si="351"/>
        <v>0</v>
      </c>
      <c r="AP1073" s="668">
        <f t="shared" si="355"/>
        <v>180</v>
      </c>
      <c r="AQ1073" s="668">
        <f t="shared" si="348"/>
        <v>0</v>
      </c>
      <c r="AR1073" s="668">
        <f t="shared" si="349"/>
        <v>0</v>
      </c>
      <c r="AS1073" s="668"/>
      <c r="AT1073" s="668"/>
      <c r="AU1073" s="668"/>
      <c r="AV1073" s="668"/>
      <c r="AW1073" s="668"/>
      <c r="AX1073" s="668"/>
      <c r="AY1073" s="668"/>
      <c r="AZ1073" s="668"/>
      <c r="BA1073" s="668"/>
      <c r="BB1073" s="668">
        <f t="shared" si="353"/>
        <v>180</v>
      </c>
      <c r="BC1073" s="668"/>
      <c r="BD1073" s="668"/>
      <c r="BE1073" s="668"/>
      <c r="BF1073" s="668"/>
      <c r="BG1073" s="668"/>
      <c r="BH1073" s="668"/>
      <c r="BI1073" s="668"/>
    </row>
    <row r="1074" spans="1:61" x14ac:dyDescent="0.2">
      <c r="A1074" s="1033" t="s">
        <v>992</v>
      </c>
      <c r="B1074" s="1033" t="s">
        <v>747</v>
      </c>
      <c r="C1074" s="1033"/>
      <c r="D1074" s="667">
        <v>80</v>
      </c>
      <c r="E1074" s="667"/>
      <c r="F1074" s="667"/>
      <c r="G1074" s="667"/>
      <c r="H1074" s="667"/>
      <c r="I1074" s="667"/>
      <c r="J1074" s="667"/>
      <c r="K1074" s="667"/>
      <c r="L1074" s="667"/>
      <c r="M1074" s="667"/>
      <c r="N1074" s="667"/>
      <c r="O1074" s="667">
        <v>1</v>
      </c>
      <c r="P1074" s="667"/>
      <c r="Q1074" s="667"/>
      <c r="R1074" s="667"/>
      <c r="S1074" s="667"/>
      <c r="T1074" s="667"/>
      <c r="U1074" s="1033">
        <v>10</v>
      </c>
      <c r="V1074" s="668">
        <f t="shared" ref="V1074" si="367">+U1074*D1074</f>
        <v>800</v>
      </c>
      <c r="W1074" s="668">
        <f t="shared" ref="W1074" si="368">+U1074*G1074</f>
        <v>0</v>
      </c>
      <c r="X1074" s="668">
        <f t="shared" ref="X1074" si="369">+U1074*H1074</f>
        <v>0</v>
      </c>
      <c r="Y1074" s="668">
        <f t="shared" ref="Y1074" si="370">+U1074*J1074</f>
        <v>0</v>
      </c>
      <c r="Z1074" s="668">
        <f t="shared" ref="Z1074" si="371">IF(C1074="y",V1074+W1074+X1074+Y1074,0)</f>
        <v>0</v>
      </c>
      <c r="AA1074" s="668">
        <f t="shared" ref="AA1074" si="372">+S1074</f>
        <v>0</v>
      </c>
      <c r="AB1074" s="668">
        <f t="shared" ref="AB1074" si="373">+T1074</f>
        <v>0</v>
      </c>
      <c r="AC1074" s="668">
        <f t="shared" ref="AC1074" si="374">+U1074*P1074</f>
        <v>0</v>
      </c>
      <c r="AD1074" s="668">
        <f t="shared" ref="AD1074" si="375">+Q1074</f>
        <v>0</v>
      </c>
      <c r="AE1074" s="668">
        <f t="shared" ref="AE1074" si="376">+U1074*M1074</f>
        <v>0</v>
      </c>
      <c r="AF1074" s="668">
        <f t="shared" ref="AF1074" si="377">+L1074*U1074</f>
        <v>0</v>
      </c>
      <c r="AG1074" s="668">
        <f t="shared" ref="AG1074" si="378">+$AG$4*N1074</f>
        <v>0</v>
      </c>
      <c r="AH1074" s="668"/>
      <c r="AI1074" s="668"/>
      <c r="AJ1074" s="668"/>
      <c r="AK1074" s="668"/>
      <c r="AL1074" s="668"/>
      <c r="AM1074" s="668">
        <f t="shared" ref="AM1074" si="379">+I1074</f>
        <v>0</v>
      </c>
      <c r="AN1074" s="668">
        <f t="shared" ref="AN1074" si="380">+U1074*E1074</f>
        <v>0</v>
      </c>
      <c r="AO1074" s="668">
        <f t="shared" ref="AO1074" si="381">+U1074*O1074</f>
        <v>10</v>
      </c>
      <c r="AP1074" s="668">
        <f t="shared" ref="AP1074" si="382">+U1074*F1074</f>
        <v>0</v>
      </c>
      <c r="AQ1074" s="668">
        <f t="shared" si="348"/>
        <v>0</v>
      </c>
      <c r="AR1074" s="668">
        <f t="shared" si="349"/>
        <v>0</v>
      </c>
      <c r="AS1074" s="668"/>
      <c r="AT1074" s="668"/>
      <c r="AU1074" s="668"/>
      <c r="AV1074" s="668"/>
      <c r="AW1074" s="668"/>
      <c r="AX1074" s="668"/>
      <c r="AY1074" s="668"/>
      <c r="AZ1074" s="668"/>
      <c r="BA1074" s="668"/>
      <c r="BB1074" s="668">
        <f t="shared" si="353"/>
        <v>0</v>
      </c>
      <c r="BC1074" s="668"/>
      <c r="BD1074" s="668"/>
      <c r="BE1074" s="668"/>
      <c r="BF1074" s="668"/>
      <c r="BG1074" s="668"/>
      <c r="BH1074" s="668"/>
      <c r="BI1074" s="668"/>
    </row>
    <row r="1075" spans="1:61" x14ac:dyDescent="0.2">
      <c r="A1075" s="1021" t="s">
        <v>834</v>
      </c>
      <c r="B1075" s="1021" t="s">
        <v>696</v>
      </c>
      <c r="C1075" s="1021"/>
      <c r="D1075" s="667">
        <v>50</v>
      </c>
      <c r="E1075" s="667"/>
      <c r="F1075" s="667"/>
      <c r="G1075" s="667"/>
      <c r="H1075" s="667"/>
      <c r="I1075" s="667"/>
      <c r="J1075" s="667"/>
      <c r="K1075" s="667"/>
      <c r="L1075" s="667"/>
      <c r="M1075" s="667"/>
      <c r="N1075" s="667"/>
      <c r="O1075" s="667"/>
      <c r="P1075" s="667"/>
      <c r="Q1075" s="667"/>
      <c r="R1075" s="667"/>
      <c r="S1075" s="667"/>
      <c r="T1075" s="667"/>
      <c r="U1075" s="1021">
        <v>10</v>
      </c>
      <c r="V1075" s="668">
        <f t="shared" si="356"/>
        <v>500</v>
      </c>
      <c r="W1075" s="668">
        <f t="shared" si="357"/>
        <v>0</v>
      </c>
      <c r="X1075" s="668">
        <f t="shared" si="358"/>
        <v>0</v>
      </c>
      <c r="Y1075" s="668">
        <f t="shared" si="359"/>
        <v>0</v>
      </c>
      <c r="Z1075" s="668">
        <f t="shared" si="360"/>
        <v>0</v>
      </c>
      <c r="AA1075" s="668">
        <f t="shared" si="361"/>
        <v>0</v>
      </c>
      <c r="AB1075" s="668">
        <f t="shared" si="362"/>
        <v>0</v>
      </c>
      <c r="AC1075" s="668">
        <f t="shared" si="352"/>
        <v>0</v>
      </c>
      <c r="AD1075" s="668">
        <f t="shared" si="363"/>
        <v>0</v>
      </c>
      <c r="AE1075" s="668">
        <f t="shared" si="364"/>
        <v>0</v>
      </c>
      <c r="AF1075" s="668">
        <f t="shared" si="365"/>
        <v>0</v>
      </c>
      <c r="AG1075" s="668">
        <f t="shared" si="366"/>
        <v>0</v>
      </c>
      <c r="AH1075" s="668"/>
      <c r="AI1075" s="668"/>
      <c r="AJ1075" s="668"/>
      <c r="AK1075" s="668"/>
      <c r="AL1075" s="668"/>
      <c r="AM1075" s="668">
        <f t="shared" si="354"/>
        <v>0</v>
      </c>
      <c r="AN1075" s="668">
        <f t="shared" si="350"/>
        <v>0</v>
      </c>
      <c r="AO1075" s="668">
        <f t="shared" si="351"/>
        <v>0</v>
      </c>
      <c r="AP1075" s="668">
        <f t="shared" si="355"/>
        <v>0</v>
      </c>
      <c r="AQ1075" s="668">
        <f t="shared" si="348"/>
        <v>0</v>
      </c>
      <c r="AR1075" s="668">
        <f t="shared" si="349"/>
        <v>0</v>
      </c>
      <c r="AS1075" s="668"/>
      <c r="AT1075" s="668"/>
      <c r="AU1075" s="668"/>
      <c r="AV1075" s="668"/>
      <c r="AW1075" s="668"/>
      <c r="AX1075" s="668"/>
      <c r="AY1075" s="668"/>
      <c r="AZ1075" s="668"/>
      <c r="BA1075" s="668"/>
      <c r="BB1075" s="668">
        <f t="shared" si="353"/>
        <v>0</v>
      </c>
      <c r="BC1075" s="668"/>
      <c r="BD1075" s="668"/>
      <c r="BE1075" s="668"/>
      <c r="BF1075" s="668"/>
      <c r="BG1075" s="668"/>
      <c r="BH1075" s="668"/>
      <c r="BI1075" s="668"/>
    </row>
    <row r="1076" spans="1:61" x14ac:dyDescent="0.2">
      <c r="A1076" s="1021">
        <v>5213</v>
      </c>
      <c r="B1076" s="1021" t="s">
        <v>780</v>
      </c>
      <c r="C1076" s="1021"/>
      <c r="D1076" s="667">
        <v>68</v>
      </c>
      <c r="E1076" s="667"/>
      <c r="F1076" s="667"/>
      <c r="G1076" s="667"/>
      <c r="H1076" s="667"/>
      <c r="I1076" s="667"/>
      <c r="J1076" s="667"/>
      <c r="K1076" s="667"/>
      <c r="L1076" s="667"/>
      <c r="M1076" s="667"/>
      <c r="N1076" s="667"/>
      <c r="O1076" s="667"/>
      <c r="P1076" s="667"/>
      <c r="Q1076" s="667"/>
      <c r="R1076" s="667"/>
      <c r="S1076" s="667"/>
      <c r="T1076" s="667"/>
      <c r="U1076" s="1021">
        <v>10</v>
      </c>
      <c r="V1076" s="668">
        <f t="shared" si="356"/>
        <v>680</v>
      </c>
      <c r="W1076" s="668">
        <f t="shared" si="357"/>
        <v>0</v>
      </c>
      <c r="X1076" s="668">
        <f t="shared" si="358"/>
        <v>0</v>
      </c>
      <c r="Y1076" s="668">
        <f t="shared" si="359"/>
        <v>0</v>
      </c>
      <c r="Z1076" s="668">
        <f t="shared" si="360"/>
        <v>0</v>
      </c>
      <c r="AA1076" s="668">
        <f t="shared" si="361"/>
        <v>0</v>
      </c>
      <c r="AB1076" s="668">
        <f t="shared" si="362"/>
        <v>0</v>
      </c>
      <c r="AC1076" s="668">
        <f t="shared" si="352"/>
        <v>0</v>
      </c>
      <c r="AD1076" s="668">
        <f t="shared" si="363"/>
        <v>0</v>
      </c>
      <c r="AE1076" s="668">
        <f t="shared" si="364"/>
        <v>0</v>
      </c>
      <c r="AF1076" s="668">
        <f t="shared" si="365"/>
        <v>0</v>
      </c>
      <c r="AG1076" s="668">
        <f t="shared" si="366"/>
        <v>0</v>
      </c>
      <c r="AH1076" s="668"/>
      <c r="AI1076" s="668"/>
      <c r="AJ1076" s="668"/>
      <c r="AK1076" s="668"/>
      <c r="AL1076" s="668"/>
      <c r="AM1076" s="668">
        <f t="shared" si="354"/>
        <v>0</v>
      </c>
      <c r="AN1076" s="668">
        <f t="shared" si="350"/>
        <v>0</v>
      </c>
      <c r="AO1076" s="668">
        <f t="shared" si="351"/>
        <v>0</v>
      </c>
      <c r="AP1076" s="668">
        <f t="shared" si="355"/>
        <v>0</v>
      </c>
      <c r="AQ1076" s="668">
        <f t="shared" si="348"/>
        <v>0</v>
      </c>
      <c r="AR1076" s="668">
        <f t="shared" si="349"/>
        <v>0</v>
      </c>
      <c r="AS1076" s="668"/>
      <c r="AT1076" s="668"/>
      <c r="AU1076" s="668"/>
      <c r="AV1076" s="668"/>
      <c r="AW1076" s="668"/>
      <c r="AX1076" s="668"/>
      <c r="AY1076" s="668"/>
      <c r="AZ1076" s="668"/>
      <c r="BA1076" s="668"/>
      <c r="BB1076" s="668">
        <f t="shared" si="353"/>
        <v>0</v>
      </c>
      <c r="BC1076" s="668"/>
      <c r="BD1076" s="668"/>
      <c r="BE1076" s="668"/>
      <c r="BF1076" s="668"/>
      <c r="BG1076" s="668"/>
      <c r="BH1076" s="668"/>
      <c r="BI1076" s="668"/>
    </row>
    <row r="1077" spans="1:61" x14ac:dyDescent="0.2">
      <c r="A1077" s="1021">
        <v>5214</v>
      </c>
      <c r="B1077" s="1021" t="s">
        <v>624</v>
      </c>
      <c r="C1077" s="1021"/>
      <c r="D1077" s="667">
        <v>50</v>
      </c>
      <c r="E1077" s="667"/>
      <c r="F1077" s="667"/>
      <c r="G1077" s="667"/>
      <c r="H1077" s="667"/>
      <c r="I1077" s="667"/>
      <c r="J1077" s="667"/>
      <c r="K1077" s="667"/>
      <c r="L1077" s="667"/>
      <c r="M1077" s="667"/>
      <c r="N1077" s="667"/>
      <c r="O1077" s="667"/>
      <c r="P1077" s="667"/>
      <c r="Q1077" s="667"/>
      <c r="R1077" s="667"/>
      <c r="S1077" s="667"/>
      <c r="T1077" s="667"/>
      <c r="U1077" s="1021">
        <v>10</v>
      </c>
      <c r="V1077" s="668">
        <f t="shared" si="356"/>
        <v>500</v>
      </c>
      <c r="W1077" s="668">
        <f t="shared" si="357"/>
        <v>0</v>
      </c>
      <c r="X1077" s="668">
        <f t="shared" si="358"/>
        <v>0</v>
      </c>
      <c r="Y1077" s="668">
        <f t="shared" si="359"/>
        <v>0</v>
      </c>
      <c r="Z1077" s="668">
        <f t="shared" si="360"/>
        <v>0</v>
      </c>
      <c r="AA1077" s="668">
        <f t="shared" si="361"/>
        <v>0</v>
      </c>
      <c r="AB1077" s="668">
        <f t="shared" si="362"/>
        <v>0</v>
      </c>
      <c r="AC1077" s="668">
        <f t="shared" si="352"/>
        <v>0</v>
      </c>
      <c r="AD1077" s="668">
        <f t="shared" si="363"/>
        <v>0</v>
      </c>
      <c r="AE1077" s="668">
        <f t="shared" si="364"/>
        <v>0</v>
      </c>
      <c r="AF1077" s="668">
        <f t="shared" si="365"/>
        <v>0</v>
      </c>
      <c r="AG1077" s="668">
        <f t="shared" si="366"/>
        <v>0</v>
      </c>
      <c r="AH1077" s="668"/>
      <c r="AI1077" s="668"/>
      <c r="AJ1077" s="668"/>
      <c r="AK1077" s="668"/>
      <c r="AL1077" s="668"/>
      <c r="AM1077" s="668">
        <f t="shared" si="354"/>
        <v>0</v>
      </c>
      <c r="AN1077" s="668">
        <f t="shared" si="350"/>
        <v>0</v>
      </c>
      <c r="AO1077" s="668">
        <f t="shared" si="351"/>
        <v>0</v>
      </c>
      <c r="AP1077" s="668">
        <f t="shared" si="355"/>
        <v>0</v>
      </c>
      <c r="AQ1077" s="668">
        <f t="shared" si="348"/>
        <v>0</v>
      </c>
      <c r="AR1077" s="668">
        <f t="shared" si="349"/>
        <v>0</v>
      </c>
      <c r="AS1077" s="668"/>
      <c r="AT1077" s="668"/>
      <c r="AU1077" s="668"/>
      <c r="AV1077" s="668"/>
      <c r="AW1077" s="668"/>
      <c r="AX1077" s="668"/>
      <c r="AY1077" s="668"/>
      <c r="AZ1077" s="668"/>
      <c r="BA1077" s="668"/>
      <c r="BB1077" s="668">
        <f t="shared" si="353"/>
        <v>0</v>
      </c>
      <c r="BC1077" s="668"/>
      <c r="BD1077" s="668"/>
      <c r="BE1077" s="668"/>
      <c r="BF1077" s="668"/>
      <c r="BG1077" s="668"/>
      <c r="BH1077" s="668"/>
      <c r="BI1077" s="668"/>
    </row>
    <row r="1078" spans="1:61" x14ac:dyDescent="0.2">
      <c r="A1078" s="1021">
        <v>5215</v>
      </c>
      <c r="B1078" s="1021" t="s">
        <v>519</v>
      </c>
      <c r="C1078" s="1021"/>
      <c r="D1078" s="667">
        <v>35</v>
      </c>
      <c r="E1078" s="667"/>
      <c r="F1078" s="667">
        <v>15</v>
      </c>
      <c r="G1078" s="667"/>
      <c r="H1078" s="667"/>
      <c r="I1078" s="667"/>
      <c r="J1078" s="667"/>
      <c r="K1078" s="667"/>
      <c r="L1078" s="667"/>
      <c r="M1078" s="667"/>
      <c r="N1078" s="667"/>
      <c r="O1078" s="667"/>
      <c r="P1078" s="667"/>
      <c r="Q1078" s="667"/>
      <c r="R1078" s="667"/>
      <c r="S1078" s="667"/>
      <c r="T1078" s="667">
        <v>150</v>
      </c>
      <c r="U1078" s="1021">
        <v>12</v>
      </c>
      <c r="V1078" s="668">
        <f t="shared" si="356"/>
        <v>420</v>
      </c>
      <c r="W1078" s="668">
        <f t="shared" si="357"/>
        <v>0</v>
      </c>
      <c r="X1078" s="668">
        <f t="shared" si="358"/>
        <v>0</v>
      </c>
      <c r="Y1078" s="668">
        <f t="shared" si="359"/>
        <v>0</v>
      </c>
      <c r="Z1078" s="668">
        <f t="shared" si="360"/>
        <v>0</v>
      </c>
      <c r="AA1078" s="668">
        <f t="shared" si="361"/>
        <v>0</v>
      </c>
      <c r="AB1078" s="668">
        <f t="shared" si="362"/>
        <v>150</v>
      </c>
      <c r="AC1078" s="668">
        <f t="shared" si="352"/>
        <v>0</v>
      </c>
      <c r="AD1078" s="668">
        <f t="shared" si="363"/>
        <v>0</v>
      </c>
      <c r="AE1078" s="668">
        <f t="shared" si="364"/>
        <v>0</v>
      </c>
      <c r="AF1078" s="668">
        <f t="shared" si="365"/>
        <v>0</v>
      </c>
      <c r="AG1078" s="668">
        <f t="shared" si="366"/>
        <v>0</v>
      </c>
      <c r="AH1078" s="668"/>
      <c r="AI1078" s="668"/>
      <c r="AJ1078" s="668"/>
      <c r="AK1078" s="668"/>
      <c r="AL1078" s="668"/>
      <c r="AM1078" s="668">
        <f t="shared" si="354"/>
        <v>0</v>
      </c>
      <c r="AN1078" s="668">
        <f t="shared" si="350"/>
        <v>0</v>
      </c>
      <c r="AO1078" s="668">
        <f t="shared" si="351"/>
        <v>0</v>
      </c>
      <c r="AP1078" s="668">
        <f t="shared" si="355"/>
        <v>180</v>
      </c>
      <c r="AQ1078" s="668">
        <f t="shared" si="348"/>
        <v>0</v>
      </c>
      <c r="AR1078" s="668">
        <f t="shared" si="349"/>
        <v>0</v>
      </c>
      <c r="AS1078" s="668"/>
      <c r="AT1078" s="668"/>
      <c r="AU1078" s="668"/>
      <c r="AV1078" s="668"/>
      <c r="AW1078" s="668"/>
      <c r="AX1078" s="668"/>
      <c r="AY1078" s="668"/>
      <c r="AZ1078" s="668"/>
      <c r="BA1078" s="668"/>
      <c r="BB1078" s="668">
        <f t="shared" si="353"/>
        <v>180</v>
      </c>
      <c r="BC1078" s="668"/>
      <c r="BD1078" s="668"/>
      <c r="BE1078" s="668"/>
      <c r="BF1078" s="668"/>
      <c r="BG1078" s="668"/>
      <c r="BH1078" s="668"/>
      <c r="BI1078" s="668"/>
    </row>
    <row r="1079" spans="1:61" x14ac:dyDescent="0.2">
      <c r="A1079" s="1021">
        <v>5216</v>
      </c>
      <c r="B1079" s="1021" t="s">
        <v>828</v>
      </c>
      <c r="C1079" s="1021"/>
      <c r="D1079" s="667">
        <v>80</v>
      </c>
      <c r="E1079" s="667"/>
      <c r="F1079" s="667">
        <v>40</v>
      </c>
      <c r="G1079" s="667"/>
      <c r="H1079" s="667"/>
      <c r="I1079" s="667"/>
      <c r="J1079" s="667"/>
      <c r="K1079" s="667"/>
      <c r="L1079" s="667"/>
      <c r="M1079" s="667"/>
      <c r="N1079" s="667"/>
      <c r="O1079" s="667">
        <v>2</v>
      </c>
      <c r="P1079" s="667"/>
      <c r="Q1079" s="667"/>
      <c r="R1079" s="667"/>
      <c r="S1079" s="667"/>
      <c r="T1079" s="667"/>
      <c r="U1079" s="1021">
        <v>10</v>
      </c>
      <c r="V1079" s="668">
        <f t="shared" si="356"/>
        <v>800</v>
      </c>
      <c r="W1079" s="668">
        <f t="shared" si="357"/>
        <v>0</v>
      </c>
      <c r="X1079" s="668">
        <f t="shared" si="358"/>
        <v>0</v>
      </c>
      <c r="Y1079" s="668">
        <f t="shared" si="359"/>
        <v>0</v>
      </c>
      <c r="Z1079" s="668">
        <f t="shared" si="360"/>
        <v>0</v>
      </c>
      <c r="AA1079" s="668">
        <f t="shared" si="361"/>
        <v>0</v>
      </c>
      <c r="AB1079" s="668">
        <f t="shared" si="362"/>
        <v>0</v>
      </c>
      <c r="AC1079" s="668">
        <f t="shared" si="352"/>
        <v>0</v>
      </c>
      <c r="AD1079" s="668">
        <f t="shared" si="363"/>
        <v>0</v>
      </c>
      <c r="AE1079" s="668">
        <f t="shared" si="364"/>
        <v>0</v>
      </c>
      <c r="AF1079" s="668">
        <f t="shared" si="365"/>
        <v>0</v>
      </c>
      <c r="AG1079" s="668">
        <f t="shared" si="366"/>
        <v>0</v>
      </c>
      <c r="AH1079" s="668"/>
      <c r="AI1079" s="668"/>
      <c r="AJ1079" s="668"/>
      <c r="AK1079" s="668"/>
      <c r="AL1079" s="668"/>
      <c r="AM1079" s="668">
        <f t="shared" si="354"/>
        <v>0</v>
      </c>
      <c r="AN1079" s="668">
        <f t="shared" si="350"/>
        <v>0</v>
      </c>
      <c r="AO1079" s="668">
        <f t="shared" si="351"/>
        <v>20</v>
      </c>
      <c r="AP1079" s="668">
        <f t="shared" si="355"/>
        <v>400</v>
      </c>
      <c r="AQ1079" s="668">
        <f t="shared" si="348"/>
        <v>0</v>
      </c>
      <c r="AR1079" s="668">
        <f t="shared" si="349"/>
        <v>0</v>
      </c>
      <c r="AS1079" s="668"/>
      <c r="AT1079" s="668"/>
      <c r="AU1079" s="668"/>
      <c r="AV1079" s="668"/>
      <c r="AW1079" s="668"/>
      <c r="AX1079" s="668"/>
      <c r="AY1079" s="668"/>
      <c r="AZ1079" s="668"/>
      <c r="BA1079" s="668"/>
      <c r="BB1079" s="668">
        <f t="shared" si="353"/>
        <v>400</v>
      </c>
      <c r="BC1079" s="668"/>
      <c r="BD1079" s="668"/>
      <c r="BE1079" s="668"/>
      <c r="BF1079" s="668"/>
      <c r="BG1079" s="668"/>
      <c r="BH1079" s="668"/>
      <c r="BI1079" s="668"/>
    </row>
    <row r="1080" spans="1:61" x14ac:dyDescent="0.2">
      <c r="A1080" s="1021">
        <v>5217</v>
      </c>
      <c r="B1080" s="1021" t="s">
        <v>515</v>
      </c>
      <c r="C1080" s="1021"/>
      <c r="D1080" s="667">
        <v>55</v>
      </c>
      <c r="E1080" s="667"/>
      <c r="F1080" s="667">
        <v>34</v>
      </c>
      <c r="G1080" s="667"/>
      <c r="H1080" s="667"/>
      <c r="I1080" s="667"/>
      <c r="J1080" s="667"/>
      <c r="K1080" s="667"/>
      <c r="L1080" s="667"/>
      <c r="M1080" s="667"/>
      <c r="N1080" s="667"/>
      <c r="O1080" s="667"/>
      <c r="P1080" s="667"/>
      <c r="Q1080" s="667"/>
      <c r="R1080" s="667"/>
      <c r="S1080" s="667"/>
      <c r="T1080" s="667">
        <v>2000</v>
      </c>
      <c r="U1080" s="1021">
        <v>12</v>
      </c>
      <c r="V1080" s="668">
        <f t="shared" si="356"/>
        <v>660</v>
      </c>
      <c r="W1080" s="668">
        <f t="shared" si="357"/>
        <v>0</v>
      </c>
      <c r="X1080" s="668">
        <f t="shared" si="358"/>
        <v>0</v>
      </c>
      <c r="Y1080" s="668">
        <f t="shared" si="359"/>
        <v>0</v>
      </c>
      <c r="Z1080" s="668">
        <f t="shared" si="360"/>
        <v>0</v>
      </c>
      <c r="AA1080" s="668">
        <f t="shared" si="361"/>
        <v>0</v>
      </c>
      <c r="AB1080" s="668">
        <f t="shared" si="362"/>
        <v>2000</v>
      </c>
      <c r="AC1080" s="668">
        <f t="shared" si="352"/>
        <v>0</v>
      </c>
      <c r="AD1080" s="668">
        <f t="shared" si="363"/>
        <v>0</v>
      </c>
      <c r="AE1080" s="668">
        <f t="shared" si="364"/>
        <v>0</v>
      </c>
      <c r="AF1080" s="668">
        <f t="shared" si="365"/>
        <v>0</v>
      </c>
      <c r="AG1080" s="668">
        <f t="shared" si="366"/>
        <v>0</v>
      </c>
      <c r="AH1080" s="668"/>
      <c r="AI1080" s="668"/>
      <c r="AJ1080" s="668"/>
      <c r="AK1080" s="668"/>
      <c r="AL1080" s="668"/>
      <c r="AM1080" s="668">
        <f t="shared" si="354"/>
        <v>0</v>
      </c>
      <c r="AN1080" s="668">
        <f t="shared" si="350"/>
        <v>0</v>
      </c>
      <c r="AO1080" s="668">
        <f t="shared" si="351"/>
        <v>0</v>
      </c>
      <c r="AP1080" s="668">
        <f t="shared" si="355"/>
        <v>408</v>
      </c>
      <c r="AQ1080" s="668">
        <f t="shared" si="348"/>
        <v>0</v>
      </c>
      <c r="AR1080" s="668">
        <f t="shared" si="349"/>
        <v>0</v>
      </c>
      <c r="AS1080" s="668"/>
      <c r="AT1080" s="668"/>
      <c r="AU1080" s="668"/>
      <c r="AV1080" s="668"/>
      <c r="AW1080" s="668"/>
      <c r="AX1080" s="668"/>
      <c r="AY1080" s="668"/>
      <c r="AZ1080" s="668"/>
      <c r="BA1080" s="668"/>
      <c r="BB1080" s="668"/>
      <c r="BC1080" s="668"/>
      <c r="BD1080" s="668"/>
      <c r="BE1080" s="668"/>
      <c r="BF1080" s="668"/>
      <c r="BG1080" s="668"/>
      <c r="BH1080" s="668"/>
      <c r="BI1080" s="668"/>
    </row>
    <row r="1081" spans="1:61" x14ac:dyDescent="0.2">
      <c r="A1081" s="1021">
        <v>5218</v>
      </c>
      <c r="B1081" s="1021" t="s">
        <v>515</v>
      </c>
      <c r="C1081" s="1021"/>
      <c r="D1081" s="667">
        <v>118</v>
      </c>
      <c r="E1081" s="667"/>
      <c r="F1081" s="667">
        <v>55</v>
      </c>
      <c r="G1081" s="667"/>
      <c r="H1081" s="667"/>
      <c r="I1081" s="667"/>
      <c r="J1081" s="667"/>
      <c r="K1081" s="667"/>
      <c r="L1081" s="667"/>
      <c r="M1081" s="667"/>
      <c r="N1081" s="667"/>
      <c r="O1081" s="667"/>
      <c r="P1081" s="667"/>
      <c r="Q1081" s="667"/>
      <c r="R1081" s="667"/>
      <c r="S1081" s="667"/>
      <c r="T1081" s="667">
        <v>3000</v>
      </c>
      <c r="U1081" s="1021">
        <v>12</v>
      </c>
      <c r="V1081" s="668">
        <f t="shared" si="356"/>
        <v>1416</v>
      </c>
      <c r="W1081" s="668">
        <f t="shared" si="357"/>
        <v>0</v>
      </c>
      <c r="X1081" s="668">
        <f t="shared" si="358"/>
        <v>0</v>
      </c>
      <c r="Y1081" s="668">
        <f t="shared" si="359"/>
        <v>0</v>
      </c>
      <c r="Z1081" s="668">
        <f t="shared" si="360"/>
        <v>0</v>
      </c>
      <c r="AA1081" s="668">
        <f t="shared" si="361"/>
        <v>0</v>
      </c>
      <c r="AB1081" s="668">
        <f t="shared" si="362"/>
        <v>3000</v>
      </c>
      <c r="AC1081" s="668">
        <f t="shared" si="352"/>
        <v>0</v>
      </c>
      <c r="AD1081" s="668">
        <f t="shared" si="363"/>
        <v>0</v>
      </c>
      <c r="AE1081" s="668">
        <f t="shared" si="364"/>
        <v>0</v>
      </c>
      <c r="AF1081" s="668">
        <f t="shared" si="365"/>
        <v>0</v>
      </c>
      <c r="AG1081" s="668">
        <f t="shared" si="366"/>
        <v>0</v>
      </c>
      <c r="AH1081" s="668"/>
      <c r="AI1081" s="668"/>
      <c r="AJ1081" s="668"/>
      <c r="AK1081" s="668"/>
      <c r="AL1081" s="668"/>
      <c r="AM1081" s="668">
        <f t="shared" si="354"/>
        <v>0</v>
      </c>
      <c r="AN1081" s="668">
        <f t="shared" si="350"/>
        <v>0</v>
      </c>
      <c r="AO1081" s="668">
        <f t="shared" si="351"/>
        <v>0</v>
      </c>
      <c r="AP1081" s="668">
        <f t="shared" si="355"/>
        <v>660</v>
      </c>
      <c r="AQ1081" s="668">
        <f t="shared" si="348"/>
        <v>0</v>
      </c>
      <c r="AR1081" s="668">
        <f t="shared" si="349"/>
        <v>0</v>
      </c>
      <c r="AS1081" s="668"/>
      <c r="AT1081" s="668"/>
      <c r="AU1081" s="668"/>
      <c r="AV1081" s="668"/>
      <c r="AW1081" s="668"/>
      <c r="AX1081" s="668"/>
      <c r="AY1081" s="668"/>
      <c r="AZ1081" s="668"/>
      <c r="BA1081" s="668"/>
      <c r="BB1081" s="668"/>
      <c r="BC1081" s="668"/>
      <c r="BD1081" s="668"/>
      <c r="BE1081" s="668"/>
      <c r="BF1081" s="668"/>
      <c r="BG1081" s="668"/>
      <c r="BH1081" s="668"/>
      <c r="BI1081" s="668"/>
    </row>
    <row r="1082" spans="1:61" x14ac:dyDescent="0.2">
      <c r="A1082" s="1021">
        <v>5219</v>
      </c>
      <c r="B1082" s="1021" t="s">
        <v>519</v>
      </c>
      <c r="C1082" s="1021"/>
      <c r="D1082" s="667">
        <v>35</v>
      </c>
      <c r="E1082" s="667"/>
      <c r="F1082" s="667">
        <v>15</v>
      </c>
      <c r="G1082" s="667"/>
      <c r="H1082" s="667"/>
      <c r="I1082" s="667"/>
      <c r="J1082" s="667"/>
      <c r="K1082" s="667"/>
      <c r="L1082" s="667"/>
      <c r="M1082" s="667"/>
      <c r="N1082" s="667"/>
      <c r="O1082" s="667"/>
      <c r="P1082" s="667"/>
      <c r="Q1082" s="667"/>
      <c r="R1082" s="667"/>
      <c r="S1082" s="667"/>
      <c r="T1082" s="667">
        <v>150</v>
      </c>
      <c r="U1082" s="1021">
        <v>12</v>
      </c>
      <c r="V1082" s="668">
        <f t="shared" si="356"/>
        <v>420</v>
      </c>
      <c r="W1082" s="668">
        <f t="shared" si="357"/>
        <v>0</v>
      </c>
      <c r="X1082" s="668">
        <f t="shared" si="358"/>
        <v>0</v>
      </c>
      <c r="Y1082" s="668">
        <f t="shared" si="359"/>
        <v>0</v>
      </c>
      <c r="Z1082" s="668">
        <f t="shared" si="360"/>
        <v>0</v>
      </c>
      <c r="AA1082" s="668">
        <f t="shared" si="361"/>
        <v>0</v>
      </c>
      <c r="AB1082" s="668">
        <f t="shared" si="362"/>
        <v>150</v>
      </c>
      <c r="AC1082" s="668">
        <f t="shared" si="352"/>
        <v>0</v>
      </c>
      <c r="AD1082" s="668">
        <f t="shared" si="363"/>
        <v>0</v>
      </c>
      <c r="AE1082" s="668">
        <f t="shared" si="364"/>
        <v>0</v>
      </c>
      <c r="AF1082" s="668">
        <f t="shared" si="365"/>
        <v>0</v>
      </c>
      <c r="AG1082" s="668">
        <f t="shared" si="366"/>
        <v>0</v>
      </c>
      <c r="AH1082" s="668"/>
      <c r="AI1082" s="668"/>
      <c r="AJ1082" s="668"/>
      <c r="AK1082" s="668"/>
      <c r="AL1082" s="668"/>
      <c r="AM1082" s="668">
        <f t="shared" si="354"/>
        <v>0</v>
      </c>
      <c r="AN1082" s="668">
        <f t="shared" si="350"/>
        <v>0</v>
      </c>
      <c r="AO1082" s="668">
        <f t="shared" si="351"/>
        <v>0</v>
      </c>
      <c r="AP1082" s="668">
        <f t="shared" si="355"/>
        <v>180</v>
      </c>
      <c r="AQ1082" s="668">
        <f t="shared" si="348"/>
        <v>0</v>
      </c>
      <c r="AR1082" s="668">
        <f t="shared" si="349"/>
        <v>0</v>
      </c>
      <c r="AS1082" s="668"/>
      <c r="AT1082" s="668"/>
      <c r="AU1082" s="668"/>
      <c r="AV1082" s="668"/>
      <c r="AW1082" s="668"/>
      <c r="AX1082" s="668"/>
      <c r="AY1082" s="668"/>
      <c r="AZ1082" s="668"/>
      <c r="BA1082" s="668"/>
      <c r="BB1082" s="668">
        <f t="shared" si="353"/>
        <v>180</v>
      </c>
      <c r="BC1082" s="668"/>
      <c r="BD1082" s="668"/>
      <c r="BE1082" s="668"/>
      <c r="BF1082" s="668"/>
      <c r="BG1082" s="668"/>
      <c r="BH1082" s="668"/>
      <c r="BI1082" s="668"/>
    </row>
    <row r="1083" spans="1:61" x14ac:dyDescent="0.2">
      <c r="A1083" s="1021" t="s">
        <v>835</v>
      </c>
      <c r="B1083" s="1021" t="s">
        <v>747</v>
      </c>
      <c r="C1083" s="1021"/>
      <c r="D1083" s="667">
        <v>80</v>
      </c>
      <c r="E1083" s="667"/>
      <c r="F1083" s="667"/>
      <c r="G1083" s="667"/>
      <c r="H1083" s="667"/>
      <c r="I1083" s="667"/>
      <c r="J1083" s="667"/>
      <c r="K1083" s="667"/>
      <c r="L1083" s="667"/>
      <c r="M1083" s="667"/>
      <c r="N1083" s="667"/>
      <c r="O1083" s="667">
        <v>1</v>
      </c>
      <c r="P1083" s="667"/>
      <c r="Q1083" s="667"/>
      <c r="R1083" s="667"/>
      <c r="S1083" s="667"/>
      <c r="T1083" s="667"/>
      <c r="U1083" s="1021">
        <v>10</v>
      </c>
      <c r="V1083" s="668">
        <f t="shared" si="356"/>
        <v>800</v>
      </c>
      <c r="W1083" s="668">
        <f t="shared" si="357"/>
        <v>0</v>
      </c>
      <c r="X1083" s="668">
        <f t="shared" si="358"/>
        <v>0</v>
      </c>
      <c r="Y1083" s="668">
        <f t="shared" si="359"/>
        <v>0</v>
      </c>
      <c r="Z1083" s="668">
        <f t="shared" si="360"/>
        <v>0</v>
      </c>
      <c r="AA1083" s="668">
        <f t="shared" si="361"/>
        <v>0</v>
      </c>
      <c r="AB1083" s="668">
        <f t="shared" si="362"/>
        <v>0</v>
      </c>
      <c r="AC1083" s="668">
        <f t="shared" si="352"/>
        <v>0</v>
      </c>
      <c r="AD1083" s="668">
        <f t="shared" si="363"/>
        <v>0</v>
      </c>
      <c r="AE1083" s="668">
        <f t="shared" si="364"/>
        <v>0</v>
      </c>
      <c r="AF1083" s="668">
        <f t="shared" si="365"/>
        <v>0</v>
      </c>
      <c r="AG1083" s="668">
        <f t="shared" si="366"/>
        <v>0</v>
      </c>
      <c r="AH1083" s="668"/>
      <c r="AI1083" s="668"/>
      <c r="AJ1083" s="668"/>
      <c r="AK1083" s="668"/>
      <c r="AL1083" s="668"/>
      <c r="AM1083" s="668">
        <f t="shared" si="354"/>
        <v>0</v>
      </c>
      <c r="AN1083" s="668">
        <f t="shared" si="350"/>
        <v>0</v>
      </c>
      <c r="AO1083" s="668">
        <f t="shared" si="351"/>
        <v>10</v>
      </c>
      <c r="AP1083" s="668">
        <f t="shared" si="355"/>
        <v>0</v>
      </c>
      <c r="AQ1083" s="668">
        <f t="shared" si="348"/>
        <v>0</v>
      </c>
      <c r="AR1083" s="668">
        <f t="shared" si="349"/>
        <v>0</v>
      </c>
      <c r="AS1083" s="668"/>
      <c r="AT1083" s="668"/>
      <c r="AU1083" s="668"/>
      <c r="AV1083" s="668"/>
      <c r="AW1083" s="668"/>
      <c r="AX1083" s="668"/>
      <c r="AY1083" s="668"/>
      <c r="AZ1083" s="668"/>
      <c r="BA1083" s="668"/>
      <c r="BB1083" s="668">
        <f t="shared" si="353"/>
        <v>0</v>
      </c>
      <c r="BC1083" s="668"/>
      <c r="BD1083" s="668"/>
      <c r="BE1083" s="668"/>
      <c r="BF1083" s="668"/>
      <c r="BG1083" s="668"/>
      <c r="BH1083" s="668"/>
      <c r="BI1083" s="668"/>
    </row>
    <row r="1084" spans="1:61" x14ac:dyDescent="0.2">
      <c r="A1084" s="1021" t="s">
        <v>836</v>
      </c>
      <c r="B1084" s="1021" t="s">
        <v>696</v>
      </c>
      <c r="C1084" s="1021"/>
      <c r="D1084" s="667">
        <v>50</v>
      </c>
      <c r="E1084" s="667"/>
      <c r="F1084" s="667"/>
      <c r="G1084" s="667"/>
      <c r="H1084" s="667"/>
      <c r="I1084" s="667"/>
      <c r="J1084" s="667"/>
      <c r="K1084" s="667"/>
      <c r="L1084" s="667"/>
      <c r="M1084" s="667"/>
      <c r="N1084" s="667"/>
      <c r="O1084" s="667"/>
      <c r="P1084" s="667"/>
      <c r="Q1084" s="667"/>
      <c r="R1084" s="667"/>
      <c r="S1084" s="667"/>
      <c r="T1084" s="667"/>
      <c r="U1084" s="1021">
        <v>10</v>
      </c>
      <c r="V1084" s="668">
        <f t="shared" si="356"/>
        <v>500</v>
      </c>
      <c r="W1084" s="668">
        <f t="shared" si="357"/>
        <v>0</v>
      </c>
      <c r="X1084" s="668">
        <f t="shared" si="358"/>
        <v>0</v>
      </c>
      <c r="Y1084" s="668">
        <f t="shared" si="359"/>
        <v>0</v>
      </c>
      <c r="Z1084" s="668">
        <f t="shared" si="360"/>
        <v>0</v>
      </c>
      <c r="AA1084" s="668">
        <f t="shared" si="361"/>
        <v>0</v>
      </c>
      <c r="AB1084" s="668">
        <f t="shared" si="362"/>
        <v>0</v>
      </c>
      <c r="AC1084" s="668">
        <f t="shared" si="352"/>
        <v>0</v>
      </c>
      <c r="AD1084" s="668">
        <f t="shared" si="363"/>
        <v>0</v>
      </c>
      <c r="AE1084" s="668">
        <f t="shared" si="364"/>
        <v>0</v>
      </c>
      <c r="AF1084" s="668">
        <f t="shared" si="365"/>
        <v>0</v>
      </c>
      <c r="AG1084" s="668">
        <f t="shared" si="366"/>
        <v>0</v>
      </c>
      <c r="AH1084" s="668"/>
      <c r="AI1084" s="668"/>
      <c r="AJ1084" s="668"/>
      <c r="AK1084" s="668"/>
      <c r="AL1084" s="668"/>
      <c r="AM1084" s="668">
        <f t="shared" si="354"/>
        <v>0</v>
      </c>
      <c r="AN1084" s="668">
        <f t="shared" si="350"/>
        <v>0</v>
      </c>
      <c r="AO1084" s="668">
        <f t="shared" si="351"/>
        <v>0</v>
      </c>
      <c r="AP1084" s="668">
        <f t="shared" si="355"/>
        <v>0</v>
      </c>
      <c r="AQ1084" s="668">
        <f t="shared" si="348"/>
        <v>0</v>
      </c>
      <c r="AR1084" s="668">
        <f t="shared" si="349"/>
        <v>0</v>
      </c>
      <c r="AS1084" s="668"/>
      <c r="AT1084" s="668"/>
      <c r="AU1084" s="668"/>
      <c r="AV1084" s="668"/>
      <c r="AW1084" s="668"/>
      <c r="AX1084" s="668"/>
      <c r="AY1084" s="668"/>
      <c r="AZ1084" s="668"/>
      <c r="BA1084" s="668"/>
      <c r="BB1084" s="668">
        <f t="shared" si="353"/>
        <v>0</v>
      </c>
      <c r="BC1084" s="668"/>
      <c r="BD1084" s="668"/>
      <c r="BE1084" s="668"/>
      <c r="BF1084" s="668"/>
      <c r="BG1084" s="668"/>
      <c r="BH1084" s="668"/>
      <c r="BI1084" s="668"/>
    </row>
    <row r="1085" spans="1:61" x14ac:dyDescent="0.2">
      <c r="A1085" s="1021">
        <v>5221</v>
      </c>
      <c r="B1085" s="1021" t="s">
        <v>780</v>
      </c>
      <c r="C1085" s="1021"/>
      <c r="D1085" s="667">
        <v>80</v>
      </c>
      <c r="E1085" s="667"/>
      <c r="F1085" s="667"/>
      <c r="G1085" s="667"/>
      <c r="H1085" s="667"/>
      <c r="I1085" s="667"/>
      <c r="J1085" s="667"/>
      <c r="K1085" s="667"/>
      <c r="L1085" s="667"/>
      <c r="M1085" s="667"/>
      <c r="N1085" s="667"/>
      <c r="O1085" s="667"/>
      <c r="P1085" s="667"/>
      <c r="Q1085" s="667"/>
      <c r="R1085" s="667"/>
      <c r="S1085" s="667"/>
      <c r="T1085" s="667"/>
      <c r="U1085" s="1021">
        <v>10</v>
      </c>
      <c r="V1085" s="668">
        <f t="shared" si="356"/>
        <v>800</v>
      </c>
      <c r="W1085" s="668">
        <f t="shared" si="357"/>
        <v>0</v>
      </c>
      <c r="X1085" s="668">
        <f t="shared" si="358"/>
        <v>0</v>
      </c>
      <c r="Y1085" s="668">
        <f t="shared" si="359"/>
        <v>0</v>
      </c>
      <c r="Z1085" s="668">
        <f t="shared" si="360"/>
        <v>0</v>
      </c>
      <c r="AA1085" s="668">
        <f t="shared" si="361"/>
        <v>0</v>
      </c>
      <c r="AB1085" s="668">
        <f t="shared" si="362"/>
        <v>0</v>
      </c>
      <c r="AC1085" s="668">
        <f t="shared" si="352"/>
        <v>0</v>
      </c>
      <c r="AD1085" s="668">
        <f t="shared" si="363"/>
        <v>0</v>
      </c>
      <c r="AE1085" s="668">
        <f t="shared" si="364"/>
        <v>0</v>
      </c>
      <c r="AF1085" s="668">
        <f t="shared" si="365"/>
        <v>0</v>
      </c>
      <c r="AG1085" s="668">
        <f t="shared" si="366"/>
        <v>0</v>
      </c>
      <c r="AH1085" s="668"/>
      <c r="AI1085" s="668"/>
      <c r="AJ1085" s="668"/>
      <c r="AK1085" s="668"/>
      <c r="AL1085" s="668"/>
      <c r="AM1085" s="668">
        <f t="shared" si="354"/>
        <v>0</v>
      </c>
      <c r="AN1085" s="668">
        <f t="shared" si="350"/>
        <v>0</v>
      </c>
      <c r="AO1085" s="668">
        <f t="shared" si="351"/>
        <v>0</v>
      </c>
      <c r="AP1085" s="668">
        <f t="shared" si="355"/>
        <v>0</v>
      </c>
      <c r="AQ1085" s="668">
        <f t="shared" si="348"/>
        <v>0</v>
      </c>
      <c r="AR1085" s="668">
        <f t="shared" si="349"/>
        <v>0</v>
      </c>
      <c r="AS1085" s="668"/>
      <c r="AT1085" s="668"/>
      <c r="AU1085" s="668"/>
      <c r="AV1085" s="668"/>
      <c r="AW1085" s="668"/>
      <c r="AX1085" s="668"/>
      <c r="AY1085" s="668"/>
      <c r="AZ1085" s="668"/>
      <c r="BA1085" s="668"/>
      <c r="BB1085" s="668">
        <f t="shared" si="353"/>
        <v>0</v>
      </c>
      <c r="BC1085" s="668"/>
      <c r="BD1085" s="668"/>
      <c r="BE1085" s="668"/>
      <c r="BF1085" s="668"/>
      <c r="BG1085" s="668"/>
      <c r="BH1085" s="668"/>
      <c r="BI1085" s="668"/>
    </row>
    <row r="1086" spans="1:61" x14ac:dyDescent="0.2">
      <c r="A1086" s="1021">
        <v>5222</v>
      </c>
      <c r="B1086" s="1021" t="s">
        <v>517</v>
      </c>
      <c r="C1086" s="1021"/>
      <c r="D1086" s="667">
        <v>50</v>
      </c>
      <c r="E1086" s="667"/>
      <c r="F1086" s="667"/>
      <c r="G1086" s="667"/>
      <c r="H1086" s="667"/>
      <c r="I1086" s="667"/>
      <c r="J1086" s="667"/>
      <c r="K1086" s="667"/>
      <c r="L1086" s="667"/>
      <c r="M1086" s="667"/>
      <c r="N1086" s="667"/>
      <c r="O1086" s="667"/>
      <c r="P1086" s="667"/>
      <c r="Q1086" s="667"/>
      <c r="R1086" s="667"/>
      <c r="S1086" s="667"/>
      <c r="T1086" s="667"/>
      <c r="U1086" s="1021">
        <v>12</v>
      </c>
      <c r="V1086" s="668">
        <f t="shared" si="356"/>
        <v>600</v>
      </c>
      <c r="W1086" s="668">
        <f t="shared" si="357"/>
        <v>0</v>
      </c>
      <c r="X1086" s="668">
        <f t="shared" si="358"/>
        <v>0</v>
      </c>
      <c r="Y1086" s="668">
        <f t="shared" si="359"/>
        <v>0</v>
      </c>
      <c r="Z1086" s="668">
        <f t="shared" si="360"/>
        <v>0</v>
      </c>
      <c r="AA1086" s="668">
        <f t="shared" si="361"/>
        <v>0</v>
      </c>
      <c r="AB1086" s="668">
        <f t="shared" si="362"/>
        <v>0</v>
      </c>
      <c r="AC1086" s="668">
        <f t="shared" si="352"/>
        <v>0</v>
      </c>
      <c r="AD1086" s="668">
        <f t="shared" si="363"/>
        <v>0</v>
      </c>
      <c r="AE1086" s="668">
        <f t="shared" si="364"/>
        <v>0</v>
      </c>
      <c r="AF1086" s="668">
        <f t="shared" si="365"/>
        <v>0</v>
      </c>
      <c r="AG1086" s="668">
        <f t="shared" si="366"/>
        <v>0</v>
      </c>
      <c r="AH1086" s="668"/>
      <c r="AI1086" s="668"/>
      <c r="AJ1086" s="668"/>
      <c r="AK1086" s="668"/>
      <c r="AL1086" s="668"/>
      <c r="AM1086" s="668">
        <f t="shared" si="354"/>
        <v>0</v>
      </c>
      <c r="AN1086" s="668">
        <f t="shared" si="350"/>
        <v>0</v>
      </c>
      <c r="AO1086" s="668">
        <f t="shared" si="351"/>
        <v>0</v>
      </c>
      <c r="AP1086" s="668">
        <f t="shared" si="355"/>
        <v>0</v>
      </c>
      <c r="AQ1086" s="668">
        <f t="shared" si="348"/>
        <v>0</v>
      </c>
      <c r="AR1086" s="668">
        <f t="shared" si="349"/>
        <v>0</v>
      </c>
      <c r="AS1086" s="668"/>
      <c r="AT1086" s="668"/>
      <c r="AU1086" s="668"/>
      <c r="AV1086" s="668"/>
      <c r="AW1086" s="668"/>
      <c r="AX1086" s="668"/>
      <c r="AY1086" s="668"/>
      <c r="AZ1086" s="668"/>
      <c r="BA1086" s="668"/>
      <c r="BB1086" s="668">
        <f t="shared" si="353"/>
        <v>0</v>
      </c>
      <c r="BC1086" s="668"/>
      <c r="BD1086" s="668"/>
      <c r="BE1086" s="668"/>
      <c r="BF1086" s="668"/>
      <c r="BG1086" s="668"/>
      <c r="BH1086" s="668"/>
      <c r="BI1086" s="668"/>
    </row>
    <row r="1087" spans="1:61" x14ac:dyDescent="0.2">
      <c r="A1087" s="1021">
        <v>5223</v>
      </c>
      <c r="B1087" s="1021" t="s">
        <v>519</v>
      </c>
      <c r="C1087" s="1021"/>
      <c r="D1087" s="667">
        <v>35</v>
      </c>
      <c r="E1087" s="667"/>
      <c r="F1087" s="667">
        <v>15</v>
      </c>
      <c r="G1087" s="667"/>
      <c r="H1087" s="667"/>
      <c r="I1087" s="667"/>
      <c r="J1087" s="667"/>
      <c r="K1087" s="667"/>
      <c r="L1087" s="667"/>
      <c r="M1087" s="667"/>
      <c r="N1087" s="667"/>
      <c r="O1087" s="667"/>
      <c r="P1087" s="667"/>
      <c r="Q1087" s="667"/>
      <c r="R1087" s="667"/>
      <c r="S1087" s="667"/>
      <c r="T1087" s="667">
        <v>150</v>
      </c>
      <c r="U1087" s="1021">
        <v>12</v>
      </c>
      <c r="V1087" s="668">
        <f t="shared" si="356"/>
        <v>420</v>
      </c>
      <c r="W1087" s="668">
        <f t="shared" si="357"/>
        <v>0</v>
      </c>
      <c r="X1087" s="668">
        <f t="shared" si="358"/>
        <v>0</v>
      </c>
      <c r="Y1087" s="668">
        <f t="shared" si="359"/>
        <v>0</v>
      </c>
      <c r="Z1087" s="668">
        <f t="shared" si="360"/>
        <v>0</v>
      </c>
      <c r="AA1087" s="668">
        <f t="shared" si="361"/>
        <v>0</v>
      </c>
      <c r="AB1087" s="668">
        <f t="shared" si="362"/>
        <v>150</v>
      </c>
      <c r="AC1087" s="668">
        <f t="shared" si="352"/>
        <v>0</v>
      </c>
      <c r="AD1087" s="668">
        <f t="shared" si="363"/>
        <v>0</v>
      </c>
      <c r="AE1087" s="668">
        <f t="shared" si="364"/>
        <v>0</v>
      </c>
      <c r="AF1087" s="668">
        <f t="shared" si="365"/>
        <v>0</v>
      </c>
      <c r="AG1087" s="668">
        <f t="shared" si="366"/>
        <v>0</v>
      </c>
      <c r="AH1087" s="668"/>
      <c r="AI1087" s="668"/>
      <c r="AJ1087" s="668"/>
      <c r="AK1087" s="668"/>
      <c r="AL1087" s="668"/>
      <c r="AM1087" s="668">
        <f t="shared" si="354"/>
        <v>0</v>
      </c>
      <c r="AN1087" s="668">
        <f t="shared" si="350"/>
        <v>0</v>
      </c>
      <c r="AO1087" s="668">
        <f t="shared" si="351"/>
        <v>0</v>
      </c>
      <c r="AP1087" s="668">
        <f t="shared" si="355"/>
        <v>180</v>
      </c>
      <c r="AQ1087" s="668">
        <f t="shared" si="348"/>
        <v>0</v>
      </c>
      <c r="AR1087" s="668">
        <f t="shared" si="349"/>
        <v>0</v>
      </c>
      <c r="AS1087" s="668"/>
      <c r="AT1087" s="668"/>
      <c r="AU1087" s="668"/>
      <c r="AV1087" s="668"/>
      <c r="AW1087" s="668"/>
      <c r="AX1087" s="668"/>
      <c r="AY1087" s="668"/>
      <c r="AZ1087" s="668"/>
      <c r="BA1087" s="668"/>
      <c r="BB1087" s="668">
        <f t="shared" si="353"/>
        <v>180</v>
      </c>
      <c r="BC1087" s="668"/>
      <c r="BD1087" s="668"/>
      <c r="BE1087" s="668"/>
      <c r="BF1087" s="668"/>
      <c r="BG1087" s="668"/>
      <c r="BH1087" s="668"/>
      <c r="BI1087" s="668"/>
    </row>
    <row r="1088" spans="1:61" x14ac:dyDescent="0.2">
      <c r="A1088" s="1021">
        <v>5224</v>
      </c>
      <c r="B1088" s="1021" t="s">
        <v>828</v>
      </c>
      <c r="C1088" s="1021"/>
      <c r="D1088" s="667">
        <v>115</v>
      </c>
      <c r="E1088" s="667"/>
      <c r="F1088" s="667"/>
      <c r="G1088" s="667"/>
      <c r="H1088" s="667"/>
      <c r="I1088" s="667"/>
      <c r="J1088" s="667"/>
      <c r="K1088" s="667"/>
      <c r="L1088" s="667"/>
      <c r="M1088" s="667"/>
      <c r="N1088" s="667"/>
      <c r="O1088" s="667">
        <v>2</v>
      </c>
      <c r="P1088" s="667"/>
      <c r="Q1088" s="667"/>
      <c r="R1088" s="667"/>
      <c r="S1088" s="667"/>
      <c r="T1088" s="667"/>
      <c r="U1088" s="1021">
        <v>10</v>
      </c>
      <c r="V1088" s="668">
        <f t="shared" si="356"/>
        <v>1150</v>
      </c>
      <c r="W1088" s="668">
        <f t="shared" si="357"/>
        <v>0</v>
      </c>
      <c r="X1088" s="668">
        <f t="shared" si="358"/>
        <v>0</v>
      </c>
      <c r="Y1088" s="668">
        <f t="shared" si="359"/>
        <v>0</v>
      </c>
      <c r="Z1088" s="668">
        <f t="shared" si="360"/>
        <v>0</v>
      </c>
      <c r="AA1088" s="668">
        <f t="shared" si="361"/>
        <v>0</v>
      </c>
      <c r="AB1088" s="668">
        <f t="shared" si="362"/>
        <v>0</v>
      </c>
      <c r="AC1088" s="668">
        <f t="shared" si="352"/>
        <v>0</v>
      </c>
      <c r="AD1088" s="668">
        <f t="shared" si="363"/>
        <v>0</v>
      </c>
      <c r="AE1088" s="668">
        <f t="shared" si="364"/>
        <v>0</v>
      </c>
      <c r="AF1088" s="668">
        <f t="shared" si="365"/>
        <v>0</v>
      </c>
      <c r="AG1088" s="668">
        <f t="shared" si="366"/>
        <v>0</v>
      </c>
      <c r="AH1088" s="668"/>
      <c r="AI1088" s="668"/>
      <c r="AJ1088" s="668"/>
      <c r="AK1088" s="668"/>
      <c r="AL1088" s="668"/>
      <c r="AM1088" s="668">
        <f t="shared" si="354"/>
        <v>0</v>
      </c>
      <c r="AN1088" s="668">
        <f t="shared" si="350"/>
        <v>0</v>
      </c>
      <c r="AO1088" s="668">
        <f t="shared" si="351"/>
        <v>20</v>
      </c>
      <c r="AP1088" s="668">
        <f t="shared" si="355"/>
        <v>0</v>
      </c>
      <c r="AQ1088" s="668">
        <f t="shared" si="348"/>
        <v>0</v>
      </c>
      <c r="AR1088" s="668">
        <f t="shared" si="349"/>
        <v>0</v>
      </c>
      <c r="AS1088" s="668"/>
      <c r="AT1088" s="668"/>
      <c r="AU1088" s="668"/>
      <c r="AV1088" s="668"/>
      <c r="AW1088" s="668"/>
      <c r="AX1088" s="668"/>
      <c r="AY1088" s="668"/>
      <c r="AZ1088" s="668"/>
      <c r="BA1088" s="668"/>
      <c r="BB1088" s="668">
        <f t="shared" si="353"/>
        <v>0</v>
      </c>
      <c r="BC1088" s="668"/>
      <c r="BD1088" s="668"/>
      <c r="BE1088" s="668"/>
      <c r="BF1088" s="668"/>
      <c r="BG1088" s="668"/>
      <c r="BH1088" s="668"/>
      <c r="BI1088" s="668"/>
    </row>
    <row r="1089" spans="1:61" x14ac:dyDescent="0.2">
      <c r="A1089" s="1021">
        <v>5233</v>
      </c>
      <c r="B1089" s="1021" t="s">
        <v>465</v>
      </c>
      <c r="C1089" s="1021" t="s">
        <v>984</v>
      </c>
      <c r="D1089" s="667">
        <v>64</v>
      </c>
      <c r="E1089" s="667"/>
      <c r="F1089" s="667"/>
      <c r="G1089" s="667"/>
      <c r="H1089" s="667"/>
      <c r="I1089" s="667"/>
      <c r="J1089" s="667"/>
      <c r="K1089" s="667"/>
      <c r="L1089" s="667"/>
      <c r="M1089" s="667"/>
      <c r="N1089" s="667"/>
      <c r="O1089" s="667"/>
      <c r="P1089" s="667"/>
      <c r="Q1089" s="667"/>
      <c r="R1089" s="667"/>
      <c r="S1089" s="667"/>
      <c r="T1089" s="667"/>
      <c r="U1089" s="1021">
        <v>12</v>
      </c>
      <c r="V1089" s="668">
        <f t="shared" si="356"/>
        <v>768</v>
      </c>
      <c r="W1089" s="668">
        <f t="shared" si="357"/>
        <v>0</v>
      </c>
      <c r="X1089" s="668">
        <f t="shared" si="358"/>
        <v>0</v>
      </c>
      <c r="Y1089" s="668">
        <f t="shared" si="359"/>
        <v>0</v>
      </c>
      <c r="Z1089" s="668">
        <f t="shared" si="360"/>
        <v>768</v>
      </c>
      <c r="AA1089" s="668">
        <f t="shared" si="361"/>
        <v>0</v>
      </c>
      <c r="AB1089" s="668">
        <f t="shared" si="362"/>
        <v>0</v>
      </c>
      <c r="AC1089" s="668">
        <f t="shared" si="352"/>
        <v>0</v>
      </c>
      <c r="AD1089" s="668">
        <f t="shared" si="363"/>
        <v>0</v>
      </c>
      <c r="AE1089" s="668">
        <f t="shared" si="364"/>
        <v>0</v>
      </c>
      <c r="AF1089" s="668">
        <f t="shared" si="365"/>
        <v>0</v>
      </c>
      <c r="AG1089" s="668">
        <f t="shared" si="366"/>
        <v>0</v>
      </c>
      <c r="AH1089" s="668"/>
      <c r="AI1089" s="668"/>
      <c r="AJ1089" s="668"/>
      <c r="AK1089" s="668"/>
      <c r="AL1089" s="668"/>
      <c r="AM1089" s="668">
        <f t="shared" si="354"/>
        <v>0</v>
      </c>
      <c r="AN1089" s="668">
        <f t="shared" si="350"/>
        <v>0</v>
      </c>
      <c r="AO1089" s="668">
        <f t="shared" si="351"/>
        <v>0</v>
      </c>
      <c r="AP1089" s="668">
        <f t="shared" si="355"/>
        <v>0</v>
      </c>
      <c r="AQ1089" s="668">
        <f t="shared" si="348"/>
        <v>0</v>
      </c>
      <c r="AR1089" s="668">
        <f t="shared" si="349"/>
        <v>0</v>
      </c>
      <c r="AS1089" s="668"/>
      <c r="AT1089" s="668"/>
      <c r="AU1089" s="668"/>
      <c r="AV1089" s="668"/>
      <c r="AW1089" s="668"/>
      <c r="AX1089" s="668"/>
      <c r="AY1089" s="668"/>
      <c r="AZ1089" s="668"/>
      <c r="BA1089" s="668"/>
      <c r="BB1089" s="668">
        <f t="shared" si="353"/>
        <v>0</v>
      </c>
      <c r="BC1089" s="668"/>
      <c r="BD1089" s="668"/>
      <c r="BE1089" s="668"/>
      <c r="BF1089" s="668"/>
      <c r="BG1089" s="668"/>
      <c r="BH1089" s="668"/>
      <c r="BI1089" s="668"/>
    </row>
    <row r="1090" spans="1:61" x14ac:dyDescent="0.2">
      <c r="A1090" s="1021">
        <v>5234</v>
      </c>
      <c r="B1090" s="1021" t="s">
        <v>465</v>
      </c>
      <c r="C1090" s="1021" t="s">
        <v>984</v>
      </c>
      <c r="D1090" s="667">
        <v>110</v>
      </c>
      <c r="E1090" s="667"/>
      <c r="F1090" s="667"/>
      <c r="G1090" s="667"/>
      <c r="H1090" s="667"/>
      <c r="I1090" s="667"/>
      <c r="J1090" s="667"/>
      <c r="K1090" s="667"/>
      <c r="L1090" s="667"/>
      <c r="M1090" s="667"/>
      <c r="N1090" s="667"/>
      <c r="O1090" s="667"/>
      <c r="P1090" s="667"/>
      <c r="Q1090" s="667"/>
      <c r="R1090" s="667"/>
      <c r="S1090" s="667"/>
      <c r="T1090" s="667"/>
      <c r="U1090" s="1021">
        <v>12</v>
      </c>
      <c r="V1090" s="668">
        <f t="shared" si="356"/>
        <v>1320</v>
      </c>
      <c r="W1090" s="668">
        <f t="shared" si="357"/>
        <v>0</v>
      </c>
      <c r="X1090" s="668">
        <f t="shared" si="358"/>
        <v>0</v>
      </c>
      <c r="Y1090" s="668">
        <f t="shared" si="359"/>
        <v>0</v>
      </c>
      <c r="Z1090" s="668">
        <f t="shared" si="360"/>
        <v>1320</v>
      </c>
      <c r="AA1090" s="668">
        <f t="shared" si="361"/>
        <v>0</v>
      </c>
      <c r="AB1090" s="668">
        <f t="shared" si="362"/>
        <v>0</v>
      </c>
      <c r="AC1090" s="668">
        <f t="shared" si="352"/>
        <v>0</v>
      </c>
      <c r="AD1090" s="668">
        <f t="shared" si="363"/>
        <v>0</v>
      </c>
      <c r="AE1090" s="668">
        <f t="shared" si="364"/>
        <v>0</v>
      </c>
      <c r="AF1090" s="668">
        <f t="shared" si="365"/>
        <v>0</v>
      </c>
      <c r="AG1090" s="668">
        <f t="shared" si="366"/>
        <v>0</v>
      </c>
      <c r="AH1090" s="668"/>
      <c r="AI1090" s="668"/>
      <c r="AJ1090" s="668"/>
      <c r="AK1090" s="668"/>
      <c r="AL1090" s="668"/>
      <c r="AM1090" s="668">
        <f t="shared" si="354"/>
        <v>0</v>
      </c>
      <c r="AN1090" s="668">
        <f t="shared" si="350"/>
        <v>0</v>
      </c>
      <c r="AO1090" s="668">
        <f t="shared" si="351"/>
        <v>0</v>
      </c>
      <c r="AP1090" s="668">
        <f t="shared" si="355"/>
        <v>0</v>
      </c>
      <c r="AQ1090" s="668">
        <f t="shared" si="348"/>
        <v>0</v>
      </c>
      <c r="AR1090" s="668">
        <f t="shared" si="349"/>
        <v>0</v>
      </c>
      <c r="AS1090" s="668"/>
      <c r="AT1090" s="668"/>
      <c r="AU1090" s="668"/>
      <c r="AV1090" s="668"/>
      <c r="AW1090" s="668"/>
      <c r="AX1090" s="668"/>
      <c r="AY1090" s="668"/>
      <c r="AZ1090" s="668"/>
      <c r="BA1090" s="668"/>
      <c r="BB1090" s="668">
        <f t="shared" si="353"/>
        <v>0</v>
      </c>
      <c r="BC1090" s="668"/>
      <c r="BD1090" s="668"/>
      <c r="BE1090" s="668"/>
      <c r="BF1090" s="668"/>
      <c r="BG1090" s="668"/>
      <c r="BH1090" s="668"/>
      <c r="BI1090" s="668"/>
    </row>
    <row r="1091" spans="1:61" x14ac:dyDescent="0.2">
      <c r="A1091" s="1021">
        <v>5236</v>
      </c>
      <c r="B1091" s="1021" t="s">
        <v>465</v>
      </c>
      <c r="C1091" s="1021" t="s">
        <v>984</v>
      </c>
      <c r="D1091" s="667">
        <v>100</v>
      </c>
      <c r="E1091" s="667"/>
      <c r="F1091" s="667"/>
      <c r="G1091" s="667"/>
      <c r="H1091" s="667"/>
      <c r="I1091" s="667"/>
      <c r="J1091" s="667"/>
      <c r="K1091" s="667"/>
      <c r="L1091" s="667"/>
      <c r="M1091" s="667"/>
      <c r="N1091" s="667"/>
      <c r="O1091" s="667"/>
      <c r="P1091" s="667"/>
      <c r="Q1091" s="667"/>
      <c r="R1091" s="667"/>
      <c r="S1091" s="667"/>
      <c r="T1091" s="667"/>
      <c r="U1091" s="1021">
        <v>12</v>
      </c>
      <c r="V1091" s="668">
        <f t="shared" si="356"/>
        <v>1200</v>
      </c>
      <c r="W1091" s="668">
        <f t="shared" si="357"/>
        <v>0</v>
      </c>
      <c r="X1091" s="668">
        <f t="shared" si="358"/>
        <v>0</v>
      </c>
      <c r="Y1091" s="668">
        <f t="shared" si="359"/>
        <v>0</v>
      </c>
      <c r="Z1091" s="668">
        <f t="shared" si="360"/>
        <v>1200</v>
      </c>
      <c r="AA1091" s="668">
        <f t="shared" si="361"/>
        <v>0</v>
      </c>
      <c r="AB1091" s="668">
        <f t="shared" si="362"/>
        <v>0</v>
      </c>
      <c r="AC1091" s="668">
        <f t="shared" si="352"/>
        <v>0</v>
      </c>
      <c r="AD1091" s="668">
        <f t="shared" si="363"/>
        <v>0</v>
      </c>
      <c r="AE1091" s="668">
        <f t="shared" si="364"/>
        <v>0</v>
      </c>
      <c r="AF1091" s="668">
        <f t="shared" si="365"/>
        <v>0</v>
      </c>
      <c r="AG1091" s="668">
        <f t="shared" si="366"/>
        <v>0</v>
      </c>
      <c r="AH1091" s="668"/>
      <c r="AI1091" s="668"/>
      <c r="AJ1091" s="668"/>
      <c r="AK1091" s="668"/>
      <c r="AL1091" s="668"/>
      <c r="AM1091" s="668">
        <f t="shared" si="354"/>
        <v>0</v>
      </c>
      <c r="AN1091" s="668">
        <f t="shared" si="350"/>
        <v>0</v>
      </c>
      <c r="AO1091" s="668">
        <f t="shared" si="351"/>
        <v>0</v>
      </c>
      <c r="AP1091" s="668">
        <f t="shared" si="355"/>
        <v>0</v>
      </c>
      <c r="AQ1091" s="668">
        <f t="shared" si="348"/>
        <v>0</v>
      </c>
      <c r="AR1091" s="668">
        <f t="shared" si="349"/>
        <v>0</v>
      </c>
      <c r="AS1091" s="668"/>
      <c r="AT1091" s="668"/>
      <c r="AU1091" s="668"/>
      <c r="AV1091" s="668"/>
      <c r="AW1091" s="668"/>
      <c r="AX1091" s="668"/>
      <c r="AY1091" s="668"/>
      <c r="AZ1091" s="668"/>
      <c r="BA1091" s="668"/>
      <c r="BB1091" s="668">
        <f t="shared" si="353"/>
        <v>0</v>
      </c>
      <c r="BC1091" s="668"/>
      <c r="BD1091" s="668"/>
      <c r="BE1091" s="668"/>
      <c r="BF1091" s="668"/>
      <c r="BG1091" s="668"/>
      <c r="BH1091" s="668"/>
      <c r="BI1091" s="668"/>
    </row>
    <row r="1092" spans="1:61" x14ac:dyDescent="0.2">
      <c r="A1092" s="1021">
        <v>5238</v>
      </c>
      <c r="B1092" s="1021" t="s">
        <v>752</v>
      </c>
      <c r="C1092" s="1021" t="s">
        <v>984</v>
      </c>
      <c r="D1092" s="667">
        <v>67</v>
      </c>
      <c r="E1092" s="667"/>
      <c r="F1092" s="667"/>
      <c r="G1092" s="667"/>
      <c r="H1092" s="667"/>
      <c r="I1092" s="667"/>
      <c r="J1092" s="667"/>
      <c r="K1092" s="667"/>
      <c r="L1092" s="667"/>
      <c r="M1092" s="667"/>
      <c r="N1092" s="667"/>
      <c r="O1092" s="667"/>
      <c r="P1092" s="667"/>
      <c r="Q1092" s="667"/>
      <c r="R1092" s="667"/>
      <c r="S1092" s="667"/>
      <c r="T1092" s="667"/>
      <c r="U1092" s="1021">
        <v>12</v>
      </c>
      <c r="V1092" s="668">
        <f t="shared" si="356"/>
        <v>804</v>
      </c>
      <c r="W1092" s="668">
        <f t="shared" si="357"/>
        <v>0</v>
      </c>
      <c r="X1092" s="668">
        <f t="shared" si="358"/>
        <v>0</v>
      </c>
      <c r="Y1092" s="668">
        <f t="shared" si="359"/>
        <v>0</v>
      </c>
      <c r="Z1092" s="668">
        <f t="shared" si="360"/>
        <v>804</v>
      </c>
      <c r="AA1092" s="668">
        <f t="shared" si="361"/>
        <v>0</v>
      </c>
      <c r="AB1092" s="668">
        <f t="shared" si="362"/>
        <v>0</v>
      </c>
      <c r="AC1092" s="668">
        <f t="shared" si="352"/>
        <v>0</v>
      </c>
      <c r="AD1092" s="668">
        <f t="shared" si="363"/>
        <v>0</v>
      </c>
      <c r="AE1092" s="668">
        <f t="shared" si="364"/>
        <v>0</v>
      </c>
      <c r="AF1092" s="668">
        <f t="shared" si="365"/>
        <v>0</v>
      </c>
      <c r="AG1092" s="668">
        <f t="shared" si="366"/>
        <v>0</v>
      </c>
      <c r="AH1092" s="668"/>
      <c r="AI1092" s="668"/>
      <c r="AJ1092" s="668"/>
      <c r="AK1092" s="668"/>
      <c r="AL1092" s="668"/>
      <c r="AM1092" s="668">
        <f t="shared" si="354"/>
        <v>0</v>
      </c>
      <c r="AN1092" s="668">
        <f t="shared" si="350"/>
        <v>0</v>
      </c>
      <c r="AO1092" s="668">
        <f t="shared" si="351"/>
        <v>0</v>
      </c>
      <c r="AP1092" s="668">
        <f t="shared" si="355"/>
        <v>0</v>
      </c>
      <c r="AQ1092" s="668">
        <f t="shared" si="348"/>
        <v>0</v>
      </c>
      <c r="AR1092" s="668">
        <f t="shared" si="349"/>
        <v>0</v>
      </c>
      <c r="AS1092" s="668"/>
      <c r="AT1092" s="668"/>
      <c r="AU1092" s="668"/>
      <c r="AV1092" s="668"/>
      <c r="AW1092" s="668"/>
      <c r="AX1092" s="668"/>
      <c r="AY1092" s="668"/>
      <c r="AZ1092" s="668"/>
      <c r="BA1092" s="668"/>
      <c r="BB1092" s="668">
        <f t="shared" si="353"/>
        <v>0</v>
      </c>
      <c r="BC1092" s="668"/>
      <c r="BD1092" s="668"/>
      <c r="BE1092" s="668"/>
      <c r="BF1092" s="668"/>
      <c r="BG1092" s="668"/>
      <c r="BH1092" s="668"/>
      <c r="BI1092" s="668"/>
    </row>
    <row r="1093" spans="1:61" x14ac:dyDescent="0.2">
      <c r="A1093" s="1021">
        <v>5239</v>
      </c>
      <c r="B1093" s="1021" t="s">
        <v>465</v>
      </c>
      <c r="C1093" s="1021" t="s">
        <v>984</v>
      </c>
      <c r="D1093" s="667">
        <v>261</v>
      </c>
      <c r="E1093" s="667"/>
      <c r="F1093" s="667"/>
      <c r="G1093" s="667"/>
      <c r="H1093" s="667"/>
      <c r="I1093" s="667"/>
      <c r="J1093" s="667"/>
      <c r="K1093" s="667"/>
      <c r="L1093" s="667"/>
      <c r="M1093" s="667"/>
      <c r="N1093" s="667"/>
      <c r="O1093" s="667"/>
      <c r="P1093" s="667"/>
      <c r="Q1093" s="667"/>
      <c r="R1093" s="667"/>
      <c r="S1093" s="667"/>
      <c r="T1093" s="667"/>
      <c r="U1093" s="1021">
        <v>12</v>
      </c>
      <c r="V1093" s="668">
        <f t="shared" si="356"/>
        <v>3132</v>
      </c>
      <c r="W1093" s="668">
        <f t="shared" si="357"/>
        <v>0</v>
      </c>
      <c r="X1093" s="668">
        <f t="shared" si="358"/>
        <v>0</v>
      </c>
      <c r="Y1093" s="668">
        <f t="shared" si="359"/>
        <v>0</v>
      </c>
      <c r="Z1093" s="668">
        <f t="shared" si="360"/>
        <v>3132</v>
      </c>
      <c r="AA1093" s="668">
        <f t="shared" si="361"/>
        <v>0</v>
      </c>
      <c r="AB1093" s="668">
        <f t="shared" si="362"/>
        <v>0</v>
      </c>
      <c r="AC1093" s="668">
        <f t="shared" si="352"/>
        <v>0</v>
      </c>
      <c r="AD1093" s="668">
        <f t="shared" si="363"/>
        <v>0</v>
      </c>
      <c r="AE1093" s="668">
        <f t="shared" si="364"/>
        <v>0</v>
      </c>
      <c r="AF1093" s="668">
        <f t="shared" si="365"/>
        <v>0</v>
      </c>
      <c r="AG1093" s="668">
        <f t="shared" si="366"/>
        <v>0</v>
      </c>
      <c r="AH1093" s="668"/>
      <c r="AI1093" s="668"/>
      <c r="AJ1093" s="668"/>
      <c r="AK1093" s="668"/>
      <c r="AL1093" s="668"/>
      <c r="AM1093" s="668">
        <f t="shared" si="354"/>
        <v>0</v>
      </c>
      <c r="AN1093" s="668">
        <f t="shared" si="350"/>
        <v>0</v>
      </c>
      <c r="AO1093" s="668">
        <f t="shared" si="351"/>
        <v>0</v>
      </c>
      <c r="AP1093" s="668">
        <f t="shared" si="355"/>
        <v>0</v>
      </c>
      <c r="AQ1093" s="668">
        <f t="shared" si="348"/>
        <v>0</v>
      </c>
      <c r="AR1093" s="668">
        <f t="shared" si="349"/>
        <v>0</v>
      </c>
      <c r="AS1093" s="668"/>
      <c r="AT1093" s="668"/>
      <c r="AU1093" s="668"/>
      <c r="AV1093" s="668"/>
      <c r="AW1093" s="668"/>
      <c r="AX1093" s="668"/>
      <c r="AY1093" s="668"/>
      <c r="AZ1093" s="668"/>
      <c r="BA1093" s="668"/>
      <c r="BB1093" s="668">
        <f t="shared" si="353"/>
        <v>0</v>
      </c>
      <c r="BC1093" s="668"/>
      <c r="BD1093" s="668"/>
      <c r="BE1093" s="668"/>
      <c r="BF1093" s="668"/>
      <c r="BG1093" s="668"/>
      <c r="BH1093" s="668"/>
      <c r="BI1093" s="668"/>
    </row>
    <row r="1094" spans="1:61" x14ac:dyDescent="0.2">
      <c r="A1094" s="1021">
        <v>5241</v>
      </c>
      <c r="B1094" s="1021" t="s">
        <v>465</v>
      </c>
      <c r="C1094" s="1021" t="s">
        <v>984</v>
      </c>
      <c r="D1094" s="667">
        <v>87</v>
      </c>
      <c r="E1094" s="667"/>
      <c r="F1094" s="667"/>
      <c r="G1094" s="667"/>
      <c r="H1094" s="667"/>
      <c r="I1094" s="667"/>
      <c r="J1094" s="667"/>
      <c r="K1094" s="667"/>
      <c r="L1094" s="667"/>
      <c r="M1094" s="667"/>
      <c r="N1094" s="667"/>
      <c r="O1094" s="667"/>
      <c r="P1094" s="667"/>
      <c r="Q1094" s="667"/>
      <c r="R1094" s="667"/>
      <c r="S1094" s="667"/>
      <c r="T1094" s="667"/>
      <c r="U1094" s="1021">
        <v>12</v>
      </c>
      <c r="V1094" s="668">
        <f t="shared" si="356"/>
        <v>1044</v>
      </c>
      <c r="W1094" s="668">
        <f t="shared" si="357"/>
        <v>0</v>
      </c>
      <c r="X1094" s="668">
        <f t="shared" si="358"/>
        <v>0</v>
      </c>
      <c r="Y1094" s="668">
        <f t="shared" si="359"/>
        <v>0</v>
      </c>
      <c r="Z1094" s="668">
        <f t="shared" si="360"/>
        <v>1044</v>
      </c>
      <c r="AA1094" s="668">
        <f t="shared" si="361"/>
        <v>0</v>
      </c>
      <c r="AB1094" s="668">
        <f t="shared" si="362"/>
        <v>0</v>
      </c>
      <c r="AC1094" s="668">
        <f t="shared" si="352"/>
        <v>0</v>
      </c>
      <c r="AD1094" s="668">
        <f t="shared" si="363"/>
        <v>0</v>
      </c>
      <c r="AE1094" s="668">
        <f t="shared" si="364"/>
        <v>0</v>
      </c>
      <c r="AF1094" s="668">
        <f t="shared" si="365"/>
        <v>0</v>
      </c>
      <c r="AG1094" s="668">
        <f t="shared" si="366"/>
        <v>0</v>
      </c>
      <c r="AH1094" s="668"/>
      <c r="AI1094" s="668"/>
      <c r="AJ1094" s="668"/>
      <c r="AK1094" s="668"/>
      <c r="AL1094" s="668"/>
      <c r="AM1094" s="668">
        <f t="shared" si="354"/>
        <v>0</v>
      </c>
      <c r="AN1094" s="668">
        <f t="shared" si="350"/>
        <v>0</v>
      </c>
      <c r="AO1094" s="668">
        <f t="shared" si="351"/>
        <v>0</v>
      </c>
      <c r="AP1094" s="668">
        <f t="shared" si="355"/>
        <v>0</v>
      </c>
      <c r="AQ1094" s="668">
        <f t="shared" si="348"/>
        <v>0</v>
      </c>
      <c r="AR1094" s="668">
        <f t="shared" si="349"/>
        <v>0</v>
      </c>
      <c r="AS1094" s="668"/>
      <c r="AT1094" s="668"/>
      <c r="AU1094" s="668"/>
      <c r="AV1094" s="668"/>
      <c r="AW1094" s="668"/>
      <c r="AX1094" s="668"/>
      <c r="AY1094" s="668"/>
      <c r="AZ1094" s="668"/>
      <c r="BA1094" s="668"/>
      <c r="BB1094" s="668">
        <f t="shared" si="353"/>
        <v>0</v>
      </c>
      <c r="BC1094" s="668"/>
      <c r="BD1094" s="668"/>
      <c r="BE1094" s="668"/>
      <c r="BF1094" s="668"/>
      <c r="BG1094" s="668"/>
      <c r="BH1094" s="668"/>
      <c r="BI1094" s="668"/>
    </row>
    <row r="1095" spans="1:61" x14ac:dyDescent="0.2">
      <c r="A1095" s="1021">
        <v>5242</v>
      </c>
      <c r="B1095" s="1021" t="s">
        <v>752</v>
      </c>
      <c r="C1095" s="1021" t="s">
        <v>984</v>
      </c>
      <c r="D1095" s="667">
        <v>268</v>
      </c>
      <c r="E1095" s="667"/>
      <c r="F1095" s="667"/>
      <c r="G1095" s="667"/>
      <c r="H1095" s="667"/>
      <c r="I1095" s="667"/>
      <c r="J1095" s="667"/>
      <c r="K1095" s="667"/>
      <c r="L1095" s="667"/>
      <c r="M1095" s="667"/>
      <c r="N1095" s="667"/>
      <c r="O1095" s="667"/>
      <c r="P1095" s="667"/>
      <c r="Q1095" s="667"/>
      <c r="R1095" s="667"/>
      <c r="S1095" s="667"/>
      <c r="T1095" s="667"/>
      <c r="U1095" s="1021">
        <v>12</v>
      </c>
      <c r="V1095" s="668">
        <f t="shared" si="356"/>
        <v>3216</v>
      </c>
      <c r="W1095" s="668">
        <f t="shared" si="357"/>
        <v>0</v>
      </c>
      <c r="X1095" s="668">
        <f t="shared" si="358"/>
        <v>0</v>
      </c>
      <c r="Y1095" s="668">
        <f t="shared" si="359"/>
        <v>0</v>
      </c>
      <c r="Z1095" s="668">
        <f t="shared" si="360"/>
        <v>3216</v>
      </c>
      <c r="AA1095" s="668">
        <f t="shared" si="361"/>
        <v>0</v>
      </c>
      <c r="AB1095" s="668">
        <f t="shared" si="362"/>
        <v>0</v>
      </c>
      <c r="AC1095" s="668">
        <f t="shared" si="352"/>
        <v>0</v>
      </c>
      <c r="AD1095" s="668">
        <f t="shared" si="363"/>
        <v>0</v>
      </c>
      <c r="AE1095" s="668">
        <f t="shared" si="364"/>
        <v>0</v>
      </c>
      <c r="AF1095" s="668">
        <f t="shared" si="365"/>
        <v>0</v>
      </c>
      <c r="AG1095" s="668">
        <f t="shared" si="366"/>
        <v>0</v>
      </c>
      <c r="AH1095" s="668"/>
      <c r="AI1095" s="668"/>
      <c r="AJ1095" s="668"/>
      <c r="AK1095" s="668"/>
      <c r="AL1095" s="668"/>
      <c r="AM1095" s="668">
        <f t="shared" si="354"/>
        <v>0</v>
      </c>
      <c r="AN1095" s="668">
        <f t="shared" si="350"/>
        <v>0</v>
      </c>
      <c r="AO1095" s="668">
        <f t="shared" si="351"/>
        <v>0</v>
      </c>
      <c r="AP1095" s="668">
        <f t="shared" si="355"/>
        <v>0</v>
      </c>
      <c r="AQ1095" s="668">
        <f t="shared" si="348"/>
        <v>0</v>
      </c>
      <c r="AR1095" s="668">
        <f t="shared" si="349"/>
        <v>0</v>
      </c>
      <c r="AS1095" s="668"/>
      <c r="AT1095" s="668"/>
      <c r="AU1095" s="668"/>
      <c r="AV1095" s="668"/>
      <c r="AW1095" s="668"/>
      <c r="AX1095" s="668"/>
      <c r="AY1095" s="668"/>
      <c r="AZ1095" s="668"/>
      <c r="BA1095" s="668"/>
      <c r="BB1095" s="668">
        <f t="shared" si="353"/>
        <v>0</v>
      </c>
      <c r="BC1095" s="668"/>
      <c r="BD1095" s="668"/>
      <c r="BE1095" s="668"/>
      <c r="BF1095" s="668"/>
      <c r="BG1095" s="668"/>
      <c r="BH1095" s="668"/>
      <c r="BI1095" s="668"/>
    </row>
    <row r="1096" spans="1:61" x14ac:dyDescent="0.2">
      <c r="A1096" s="1021">
        <v>5243</v>
      </c>
      <c r="B1096" s="1021" t="s">
        <v>465</v>
      </c>
      <c r="C1096" s="1021"/>
      <c r="D1096" s="667">
        <v>116</v>
      </c>
      <c r="E1096" s="667"/>
      <c r="F1096" s="667"/>
      <c r="G1096" s="667"/>
      <c r="H1096" s="667"/>
      <c r="I1096" s="667"/>
      <c r="J1096" s="667"/>
      <c r="K1096" s="667"/>
      <c r="L1096" s="667"/>
      <c r="M1096" s="667"/>
      <c r="N1096" s="667"/>
      <c r="O1096" s="667"/>
      <c r="P1096" s="667"/>
      <c r="Q1096" s="667"/>
      <c r="R1096" s="667"/>
      <c r="S1096" s="667"/>
      <c r="T1096" s="667"/>
      <c r="U1096" s="1021">
        <v>12</v>
      </c>
      <c r="V1096" s="668">
        <f t="shared" si="356"/>
        <v>1392</v>
      </c>
      <c r="W1096" s="668">
        <f t="shared" si="357"/>
        <v>0</v>
      </c>
      <c r="X1096" s="668">
        <f t="shared" si="358"/>
        <v>0</v>
      </c>
      <c r="Y1096" s="668">
        <f t="shared" si="359"/>
        <v>0</v>
      </c>
      <c r="Z1096" s="668">
        <f t="shared" si="360"/>
        <v>0</v>
      </c>
      <c r="AA1096" s="668">
        <f t="shared" si="361"/>
        <v>0</v>
      </c>
      <c r="AB1096" s="668">
        <f t="shared" si="362"/>
        <v>0</v>
      </c>
      <c r="AC1096" s="668">
        <f t="shared" si="352"/>
        <v>0</v>
      </c>
      <c r="AD1096" s="668">
        <f t="shared" si="363"/>
        <v>0</v>
      </c>
      <c r="AE1096" s="668">
        <f t="shared" si="364"/>
        <v>0</v>
      </c>
      <c r="AF1096" s="668">
        <f t="shared" si="365"/>
        <v>0</v>
      </c>
      <c r="AG1096" s="668">
        <f t="shared" si="366"/>
        <v>0</v>
      </c>
      <c r="AH1096" s="668"/>
      <c r="AI1096" s="668"/>
      <c r="AJ1096" s="668"/>
      <c r="AK1096" s="668"/>
      <c r="AL1096" s="668"/>
      <c r="AM1096" s="668">
        <f t="shared" si="354"/>
        <v>0</v>
      </c>
      <c r="AN1096" s="668">
        <f t="shared" si="350"/>
        <v>0</v>
      </c>
      <c r="AO1096" s="668">
        <f t="shared" si="351"/>
        <v>0</v>
      </c>
      <c r="AP1096" s="668">
        <f t="shared" si="355"/>
        <v>0</v>
      </c>
      <c r="AQ1096" s="668">
        <f t="shared" ref="AQ1096:AQ1159" si="383">+$AQ$4*K1096</f>
        <v>0</v>
      </c>
      <c r="AR1096" s="668">
        <f t="shared" ref="AR1096:AR1159" si="384">+$AR$4*K1096</f>
        <v>0</v>
      </c>
      <c r="AS1096" s="668"/>
      <c r="AT1096" s="668"/>
      <c r="AU1096" s="668"/>
      <c r="AV1096" s="668"/>
      <c r="AW1096" s="668"/>
      <c r="AX1096" s="668"/>
      <c r="AY1096" s="668"/>
      <c r="AZ1096" s="668"/>
      <c r="BA1096" s="668"/>
      <c r="BB1096" s="668">
        <f t="shared" si="353"/>
        <v>0</v>
      </c>
      <c r="BC1096" s="668"/>
      <c r="BD1096" s="668"/>
      <c r="BE1096" s="668"/>
      <c r="BF1096" s="668"/>
      <c r="BG1096" s="668"/>
      <c r="BH1096" s="668"/>
      <c r="BI1096" s="668"/>
    </row>
    <row r="1097" spans="1:61" x14ac:dyDescent="0.2">
      <c r="A1097" s="1021" t="s">
        <v>837</v>
      </c>
      <c r="B1097" s="1021" t="s">
        <v>845</v>
      </c>
      <c r="C1097" s="1021"/>
      <c r="D1097" s="667"/>
      <c r="E1097" s="667"/>
      <c r="F1097" s="667"/>
      <c r="G1097" s="667"/>
      <c r="H1097" s="667"/>
      <c r="I1097" s="667"/>
      <c r="J1097" s="667"/>
      <c r="K1097" s="667"/>
      <c r="L1097" s="667"/>
      <c r="M1097" s="667"/>
      <c r="N1097" s="667"/>
      <c r="O1097" s="667"/>
      <c r="P1097" s="667"/>
      <c r="Q1097" s="667"/>
      <c r="R1097" s="667"/>
      <c r="S1097" s="667"/>
      <c r="T1097" s="667"/>
      <c r="U1097" s="1021"/>
      <c r="V1097" s="668">
        <f t="shared" si="356"/>
        <v>0</v>
      </c>
      <c r="W1097" s="668">
        <f t="shared" si="357"/>
        <v>0</v>
      </c>
      <c r="X1097" s="668">
        <f t="shared" si="358"/>
        <v>0</v>
      </c>
      <c r="Y1097" s="668">
        <f t="shared" si="359"/>
        <v>0</v>
      </c>
      <c r="Z1097" s="668">
        <f t="shared" si="360"/>
        <v>0</v>
      </c>
      <c r="AA1097" s="668">
        <f t="shared" si="361"/>
        <v>0</v>
      </c>
      <c r="AB1097" s="668">
        <f t="shared" si="362"/>
        <v>0</v>
      </c>
      <c r="AC1097" s="668">
        <f t="shared" si="352"/>
        <v>0</v>
      </c>
      <c r="AD1097" s="668">
        <f t="shared" si="363"/>
        <v>0</v>
      </c>
      <c r="AE1097" s="668">
        <f t="shared" si="364"/>
        <v>0</v>
      </c>
      <c r="AF1097" s="668">
        <f t="shared" si="365"/>
        <v>0</v>
      </c>
      <c r="AG1097" s="668">
        <f t="shared" si="366"/>
        <v>0</v>
      </c>
      <c r="AH1097" s="668"/>
      <c r="AI1097" s="668"/>
      <c r="AJ1097" s="668"/>
      <c r="AK1097" s="668"/>
      <c r="AL1097" s="668"/>
      <c r="AM1097" s="668">
        <f t="shared" si="354"/>
        <v>0</v>
      </c>
      <c r="AN1097" s="668">
        <f t="shared" si="350"/>
        <v>0</v>
      </c>
      <c r="AO1097" s="668">
        <f t="shared" si="351"/>
        <v>0</v>
      </c>
      <c r="AP1097" s="668">
        <f t="shared" si="355"/>
        <v>0</v>
      </c>
      <c r="AQ1097" s="668">
        <f t="shared" si="383"/>
        <v>0</v>
      </c>
      <c r="AR1097" s="668">
        <f t="shared" si="384"/>
        <v>0</v>
      </c>
      <c r="AS1097" s="668"/>
      <c r="AT1097" s="668"/>
      <c r="AU1097" s="668"/>
      <c r="AV1097" s="668"/>
      <c r="AW1097" s="668"/>
      <c r="AX1097" s="668"/>
      <c r="AY1097" s="668"/>
      <c r="AZ1097" s="668"/>
      <c r="BA1097" s="668"/>
      <c r="BB1097" s="668">
        <f t="shared" si="353"/>
        <v>0</v>
      </c>
      <c r="BC1097" s="668"/>
      <c r="BD1097" s="668"/>
      <c r="BE1097" s="668"/>
      <c r="BF1097" s="668"/>
      <c r="BG1097" s="668"/>
      <c r="BH1097" s="668"/>
      <c r="BI1097" s="668"/>
    </row>
    <row r="1098" spans="1:61" x14ac:dyDescent="0.2">
      <c r="A1098" s="1021" t="s">
        <v>838</v>
      </c>
      <c r="B1098" s="1021" t="s">
        <v>845</v>
      </c>
      <c r="C1098" s="1021"/>
      <c r="D1098" s="667"/>
      <c r="E1098" s="667"/>
      <c r="F1098" s="667"/>
      <c r="G1098" s="667"/>
      <c r="H1098" s="667"/>
      <c r="I1098" s="667"/>
      <c r="J1098" s="667"/>
      <c r="K1098" s="667"/>
      <c r="L1098" s="667"/>
      <c r="M1098" s="667"/>
      <c r="N1098" s="667"/>
      <c r="O1098" s="667"/>
      <c r="P1098" s="667"/>
      <c r="Q1098" s="667"/>
      <c r="R1098" s="667"/>
      <c r="S1098" s="667"/>
      <c r="T1098" s="667"/>
      <c r="U1098" s="1021"/>
      <c r="V1098" s="668">
        <f t="shared" si="356"/>
        <v>0</v>
      </c>
      <c r="W1098" s="668">
        <f t="shared" si="357"/>
        <v>0</v>
      </c>
      <c r="X1098" s="668">
        <f t="shared" si="358"/>
        <v>0</v>
      </c>
      <c r="Y1098" s="668">
        <f t="shared" si="359"/>
        <v>0</v>
      </c>
      <c r="Z1098" s="668">
        <f t="shared" si="360"/>
        <v>0</v>
      </c>
      <c r="AA1098" s="668">
        <f t="shared" si="361"/>
        <v>0</v>
      </c>
      <c r="AB1098" s="668">
        <f t="shared" si="362"/>
        <v>0</v>
      </c>
      <c r="AC1098" s="668">
        <f t="shared" si="352"/>
        <v>0</v>
      </c>
      <c r="AD1098" s="668">
        <f t="shared" si="363"/>
        <v>0</v>
      </c>
      <c r="AE1098" s="668">
        <f t="shared" si="364"/>
        <v>0</v>
      </c>
      <c r="AF1098" s="668">
        <f t="shared" si="365"/>
        <v>0</v>
      </c>
      <c r="AG1098" s="668">
        <f t="shared" si="366"/>
        <v>0</v>
      </c>
      <c r="AH1098" s="668"/>
      <c r="AI1098" s="668"/>
      <c r="AJ1098" s="668"/>
      <c r="AK1098" s="668"/>
      <c r="AL1098" s="668"/>
      <c r="AM1098" s="668">
        <f t="shared" si="354"/>
        <v>0</v>
      </c>
      <c r="AN1098" s="668">
        <f t="shared" si="350"/>
        <v>0</v>
      </c>
      <c r="AO1098" s="668">
        <f t="shared" si="351"/>
        <v>0</v>
      </c>
      <c r="AP1098" s="668">
        <f t="shared" si="355"/>
        <v>0</v>
      </c>
      <c r="AQ1098" s="668">
        <f t="shared" si="383"/>
        <v>0</v>
      </c>
      <c r="AR1098" s="668">
        <f t="shared" si="384"/>
        <v>0</v>
      </c>
      <c r="AS1098" s="668"/>
      <c r="AT1098" s="668"/>
      <c r="AU1098" s="668"/>
      <c r="AV1098" s="668"/>
      <c r="AW1098" s="668"/>
      <c r="AX1098" s="668"/>
      <c r="AY1098" s="668"/>
      <c r="AZ1098" s="668"/>
      <c r="BA1098" s="668"/>
      <c r="BB1098" s="668">
        <f t="shared" si="353"/>
        <v>0</v>
      </c>
      <c r="BC1098" s="668"/>
      <c r="BD1098" s="668"/>
      <c r="BE1098" s="668"/>
      <c r="BF1098" s="668"/>
      <c r="BG1098" s="668"/>
      <c r="BH1098" s="668"/>
      <c r="BI1098" s="668"/>
    </row>
    <row r="1099" spans="1:61" x14ac:dyDescent="0.2">
      <c r="A1099" s="1021" t="s">
        <v>839</v>
      </c>
      <c r="B1099" s="1021" t="s">
        <v>845</v>
      </c>
      <c r="C1099" s="1021"/>
      <c r="D1099" s="667"/>
      <c r="E1099" s="667"/>
      <c r="F1099" s="667"/>
      <c r="G1099" s="667"/>
      <c r="H1099" s="667"/>
      <c r="I1099" s="667"/>
      <c r="J1099" s="667"/>
      <c r="K1099" s="667"/>
      <c r="L1099" s="667"/>
      <c r="M1099" s="667"/>
      <c r="N1099" s="667"/>
      <c r="O1099" s="667"/>
      <c r="P1099" s="667"/>
      <c r="Q1099" s="667"/>
      <c r="R1099" s="667"/>
      <c r="S1099" s="667"/>
      <c r="T1099" s="667"/>
      <c r="U1099" s="1021"/>
      <c r="V1099" s="668">
        <f t="shared" si="356"/>
        <v>0</v>
      </c>
      <c r="W1099" s="668">
        <f t="shared" si="357"/>
        <v>0</v>
      </c>
      <c r="X1099" s="668">
        <f t="shared" si="358"/>
        <v>0</v>
      </c>
      <c r="Y1099" s="668">
        <f t="shared" si="359"/>
        <v>0</v>
      </c>
      <c r="Z1099" s="668">
        <f t="shared" si="360"/>
        <v>0</v>
      </c>
      <c r="AA1099" s="668">
        <f t="shared" si="361"/>
        <v>0</v>
      </c>
      <c r="AB1099" s="668">
        <f t="shared" si="362"/>
        <v>0</v>
      </c>
      <c r="AC1099" s="668">
        <f t="shared" si="352"/>
        <v>0</v>
      </c>
      <c r="AD1099" s="668">
        <f t="shared" si="363"/>
        <v>0</v>
      </c>
      <c r="AE1099" s="668">
        <f t="shared" si="364"/>
        <v>0</v>
      </c>
      <c r="AF1099" s="668">
        <f t="shared" si="365"/>
        <v>0</v>
      </c>
      <c r="AG1099" s="668">
        <f t="shared" si="366"/>
        <v>0</v>
      </c>
      <c r="AH1099" s="668"/>
      <c r="AI1099" s="668"/>
      <c r="AJ1099" s="668"/>
      <c r="AK1099" s="668"/>
      <c r="AL1099" s="668"/>
      <c r="AM1099" s="668">
        <f t="shared" si="354"/>
        <v>0</v>
      </c>
      <c r="AN1099" s="668">
        <f t="shared" ref="AN1099:AN1162" si="385">+U1099*E1099</f>
        <v>0</v>
      </c>
      <c r="AO1099" s="668">
        <f t="shared" ref="AO1099:AO1162" si="386">+U1099*O1099</f>
        <v>0</v>
      </c>
      <c r="AP1099" s="668">
        <f t="shared" si="355"/>
        <v>0</v>
      </c>
      <c r="AQ1099" s="668">
        <f t="shared" si="383"/>
        <v>0</v>
      </c>
      <c r="AR1099" s="668">
        <f t="shared" si="384"/>
        <v>0</v>
      </c>
      <c r="AS1099" s="668"/>
      <c r="AT1099" s="668"/>
      <c r="AU1099" s="668"/>
      <c r="AV1099" s="668"/>
      <c r="AW1099" s="668"/>
      <c r="AX1099" s="668"/>
      <c r="AY1099" s="668"/>
      <c r="AZ1099" s="668"/>
      <c r="BA1099" s="668"/>
      <c r="BB1099" s="668">
        <f t="shared" si="353"/>
        <v>0</v>
      </c>
      <c r="BC1099" s="668"/>
      <c r="BD1099" s="668"/>
      <c r="BE1099" s="668"/>
      <c r="BF1099" s="668"/>
      <c r="BG1099" s="668"/>
      <c r="BH1099" s="668"/>
      <c r="BI1099" s="668"/>
    </row>
    <row r="1100" spans="1:61" x14ac:dyDescent="0.2">
      <c r="A1100" s="1021" t="s">
        <v>840</v>
      </c>
      <c r="B1100" s="1021" t="s">
        <v>845</v>
      </c>
      <c r="C1100" s="1021"/>
      <c r="D1100" s="667"/>
      <c r="E1100" s="667"/>
      <c r="F1100" s="667"/>
      <c r="G1100" s="667"/>
      <c r="H1100" s="667"/>
      <c r="I1100" s="667"/>
      <c r="J1100" s="667"/>
      <c r="K1100" s="667"/>
      <c r="L1100" s="667"/>
      <c r="M1100" s="667"/>
      <c r="N1100" s="667"/>
      <c r="O1100" s="667"/>
      <c r="P1100" s="667"/>
      <c r="Q1100" s="667"/>
      <c r="R1100" s="667"/>
      <c r="S1100" s="667"/>
      <c r="T1100" s="667"/>
      <c r="U1100" s="1021"/>
      <c r="V1100" s="668">
        <f t="shared" si="356"/>
        <v>0</v>
      </c>
      <c r="W1100" s="668">
        <f t="shared" si="357"/>
        <v>0</v>
      </c>
      <c r="X1100" s="668">
        <f t="shared" si="358"/>
        <v>0</v>
      </c>
      <c r="Y1100" s="668">
        <f t="shared" si="359"/>
        <v>0</v>
      </c>
      <c r="Z1100" s="668">
        <f t="shared" si="360"/>
        <v>0</v>
      </c>
      <c r="AA1100" s="668">
        <f t="shared" si="361"/>
        <v>0</v>
      </c>
      <c r="AB1100" s="668">
        <f t="shared" si="362"/>
        <v>0</v>
      </c>
      <c r="AC1100" s="668">
        <f t="shared" si="352"/>
        <v>0</v>
      </c>
      <c r="AD1100" s="668">
        <f t="shared" si="363"/>
        <v>0</v>
      </c>
      <c r="AE1100" s="668">
        <f t="shared" si="364"/>
        <v>0</v>
      </c>
      <c r="AF1100" s="668">
        <f t="shared" si="365"/>
        <v>0</v>
      </c>
      <c r="AG1100" s="668">
        <f t="shared" si="366"/>
        <v>0</v>
      </c>
      <c r="AH1100" s="668"/>
      <c r="AI1100" s="668"/>
      <c r="AJ1100" s="668"/>
      <c r="AK1100" s="668"/>
      <c r="AL1100" s="668"/>
      <c r="AM1100" s="668">
        <f t="shared" si="354"/>
        <v>0</v>
      </c>
      <c r="AN1100" s="668">
        <f t="shared" si="385"/>
        <v>0</v>
      </c>
      <c r="AO1100" s="668">
        <f t="shared" si="386"/>
        <v>0</v>
      </c>
      <c r="AP1100" s="668">
        <f t="shared" si="355"/>
        <v>0</v>
      </c>
      <c r="AQ1100" s="668">
        <f t="shared" si="383"/>
        <v>0</v>
      </c>
      <c r="AR1100" s="668">
        <f t="shared" si="384"/>
        <v>0</v>
      </c>
      <c r="AS1100" s="668"/>
      <c r="AT1100" s="668"/>
      <c r="AU1100" s="668"/>
      <c r="AV1100" s="668"/>
      <c r="AW1100" s="668"/>
      <c r="AX1100" s="668"/>
      <c r="AY1100" s="668"/>
      <c r="AZ1100" s="668"/>
      <c r="BA1100" s="668"/>
      <c r="BB1100" s="668">
        <f t="shared" si="353"/>
        <v>0</v>
      </c>
      <c r="BC1100" s="668"/>
      <c r="BD1100" s="668"/>
      <c r="BE1100" s="668"/>
      <c r="BF1100" s="668"/>
      <c r="BG1100" s="668"/>
      <c r="BH1100" s="668"/>
      <c r="BI1100" s="668"/>
    </row>
    <row r="1101" spans="1:61" x14ac:dyDescent="0.2">
      <c r="A1101" s="1021" t="s">
        <v>841</v>
      </c>
      <c r="B1101" s="1021" t="s">
        <v>845</v>
      </c>
      <c r="C1101" s="1021"/>
      <c r="D1101" s="667"/>
      <c r="E1101" s="667"/>
      <c r="F1101" s="667"/>
      <c r="G1101" s="667"/>
      <c r="H1101" s="667"/>
      <c r="I1101" s="667"/>
      <c r="J1101" s="667"/>
      <c r="K1101" s="667"/>
      <c r="L1101" s="667"/>
      <c r="M1101" s="667"/>
      <c r="N1101" s="667"/>
      <c r="O1101" s="667"/>
      <c r="P1101" s="667"/>
      <c r="Q1101" s="667"/>
      <c r="R1101" s="667"/>
      <c r="S1101" s="667"/>
      <c r="T1101" s="667"/>
      <c r="U1101" s="1021"/>
      <c r="V1101" s="668">
        <f t="shared" si="356"/>
        <v>0</v>
      </c>
      <c r="W1101" s="668">
        <f t="shared" si="357"/>
        <v>0</v>
      </c>
      <c r="X1101" s="668">
        <f t="shared" si="358"/>
        <v>0</v>
      </c>
      <c r="Y1101" s="668">
        <f t="shared" si="359"/>
        <v>0</v>
      </c>
      <c r="Z1101" s="668">
        <f t="shared" si="360"/>
        <v>0</v>
      </c>
      <c r="AA1101" s="668">
        <f t="shared" si="361"/>
        <v>0</v>
      </c>
      <c r="AB1101" s="668">
        <f t="shared" si="362"/>
        <v>0</v>
      </c>
      <c r="AC1101" s="668">
        <f t="shared" ref="AC1101:AC1164" si="387">+U1101*P1101</f>
        <v>0</v>
      </c>
      <c r="AD1101" s="668">
        <f t="shared" si="363"/>
        <v>0</v>
      </c>
      <c r="AE1101" s="668">
        <f t="shared" si="364"/>
        <v>0</v>
      </c>
      <c r="AF1101" s="668">
        <f t="shared" si="365"/>
        <v>0</v>
      </c>
      <c r="AG1101" s="668">
        <f t="shared" si="366"/>
        <v>0</v>
      </c>
      <c r="AH1101" s="668"/>
      <c r="AI1101" s="668"/>
      <c r="AJ1101" s="668"/>
      <c r="AK1101" s="668"/>
      <c r="AL1101" s="668"/>
      <c r="AM1101" s="668">
        <f t="shared" si="354"/>
        <v>0</v>
      </c>
      <c r="AN1101" s="668">
        <f t="shared" si="385"/>
        <v>0</v>
      </c>
      <c r="AO1101" s="668">
        <f t="shared" si="386"/>
        <v>0</v>
      </c>
      <c r="AP1101" s="668">
        <f t="shared" si="355"/>
        <v>0</v>
      </c>
      <c r="AQ1101" s="668">
        <f t="shared" si="383"/>
        <v>0</v>
      </c>
      <c r="AR1101" s="668">
        <f t="shared" si="384"/>
        <v>0</v>
      </c>
      <c r="AS1101" s="668"/>
      <c r="AT1101" s="668"/>
      <c r="AU1101" s="668"/>
      <c r="AV1101" s="668"/>
      <c r="AW1101" s="668"/>
      <c r="AX1101" s="668"/>
      <c r="AY1101" s="668"/>
      <c r="AZ1101" s="668"/>
      <c r="BA1101" s="668"/>
      <c r="BB1101" s="668">
        <f t="shared" si="353"/>
        <v>0</v>
      </c>
      <c r="BC1101" s="668"/>
      <c r="BD1101" s="668"/>
      <c r="BE1101" s="668"/>
      <c r="BF1101" s="668"/>
      <c r="BG1101" s="668"/>
      <c r="BH1101" s="668"/>
      <c r="BI1101" s="668"/>
    </row>
    <row r="1102" spans="1:61" x14ac:dyDescent="0.2">
      <c r="A1102" s="1021" t="s">
        <v>842</v>
      </c>
      <c r="B1102" s="1021" t="s">
        <v>845</v>
      </c>
      <c r="C1102" s="1021"/>
      <c r="D1102" s="667"/>
      <c r="E1102" s="667"/>
      <c r="F1102" s="667"/>
      <c r="G1102" s="667"/>
      <c r="H1102" s="667"/>
      <c r="I1102" s="667"/>
      <c r="J1102" s="667"/>
      <c r="K1102" s="667"/>
      <c r="L1102" s="667"/>
      <c r="M1102" s="667"/>
      <c r="N1102" s="667"/>
      <c r="O1102" s="667"/>
      <c r="P1102" s="667"/>
      <c r="Q1102" s="667"/>
      <c r="R1102" s="667"/>
      <c r="S1102" s="667"/>
      <c r="T1102" s="667"/>
      <c r="U1102" s="1021"/>
      <c r="V1102" s="668">
        <f t="shared" si="356"/>
        <v>0</v>
      </c>
      <c r="W1102" s="668">
        <f t="shared" si="357"/>
        <v>0</v>
      </c>
      <c r="X1102" s="668">
        <f t="shared" si="358"/>
        <v>0</v>
      </c>
      <c r="Y1102" s="668">
        <f t="shared" si="359"/>
        <v>0</v>
      </c>
      <c r="Z1102" s="668">
        <f t="shared" si="360"/>
        <v>0</v>
      </c>
      <c r="AA1102" s="668">
        <f t="shared" si="361"/>
        <v>0</v>
      </c>
      <c r="AB1102" s="668">
        <f t="shared" si="362"/>
        <v>0</v>
      </c>
      <c r="AC1102" s="668">
        <f t="shared" si="387"/>
        <v>0</v>
      </c>
      <c r="AD1102" s="668">
        <f t="shared" si="363"/>
        <v>0</v>
      </c>
      <c r="AE1102" s="668">
        <f t="shared" si="364"/>
        <v>0</v>
      </c>
      <c r="AF1102" s="668">
        <f t="shared" si="365"/>
        <v>0</v>
      </c>
      <c r="AG1102" s="668">
        <f t="shared" si="366"/>
        <v>0</v>
      </c>
      <c r="AH1102" s="668"/>
      <c r="AI1102" s="668"/>
      <c r="AJ1102" s="668"/>
      <c r="AK1102" s="668"/>
      <c r="AL1102" s="668"/>
      <c r="AM1102" s="668">
        <f t="shared" si="354"/>
        <v>0</v>
      </c>
      <c r="AN1102" s="668">
        <f t="shared" si="385"/>
        <v>0</v>
      </c>
      <c r="AO1102" s="668">
        <f t="shared" si="386"/>
        <v>0</v>
      </c>
      <c r="AP1102" s="668">
        <f t="shared" si="355"/>
        <v>0</v>
      </c>
      <c r="AQ1102" s="668">
        <f t="shared" si="383"/>
        <v>0</v>
      </c>
      <c r="AR1102" s="668">
        <f t="shared" si="384"/>
        <v>0</v>
      </c>
      <c r="AS1102" s="668"/>
      <c r="AT1102" s="668"/>
      <c r="AU1102" s="668"/>
      <c r="AV1102" s="668"/>
      <c r="AW1102" s="668"/>
      <c r="AX1102" s="668"/>
      <c r="AY1102" s="668"/>
      <c r="AZ1102" s="668"/>
      <c r="BA1102" s="668"/>
      <c r="BB1102" s="668">
        <f t="shared" si="353"/>
        <v>0</v>
      </c>
      <c r="BC1102" s="668"/>
      <c r="BD1102" s="668"/>
      <c r="BE1102" s="668"/>
      <c r="BF1102" s="668"/>
      <c r="BG1102" s="668"/>
      <c r="BH1102" s="668"/>
      <c r="BI1102" s="668"/>
    </row>
    <row r="1103" spans="1:61" x14ac:dyDescent="0.2">
      <c r="A1103" s="1021" t="s">
        <v>843</v>
      </c>
      <c r="B1103" s="1021" t="s">
        <v>845</v>
      </c>
      <c r="C1103" s="1021"/>
      <c r="D1103" s="667"/>
      <c r="E1103" s="667"/>
      <c r="F1103" s="667"/>
      <c r="G1103" s="667"/>
      <c r="H1103" s="667"/>
      <c r="I1103" s="667"/>
      <c r="J1103" s="667"/>
      <c r="K1103" s="667"/>
      <c r="L1103" s="667"/>
      <c r="M1103" s="667"/>
      <c r="N1103" s="667"/>
      <c r="O1103" s="667"/>
      <c r="P1103" s="667"/>
      <c r="Q1103" s="667"/>
      <c r="R1103" s="667"/>
      <c r="S1103" s="667"/>
      <c r="T1103" s="667"/>
      <c r="U1103" s="1021"/>
      <c r="V1103" s="668">
        <f t="shared" si="356"/>
        <v>0</v>
      </c>
      <c r="W1103" s="668">
        <f t="shared" si="357"/>
        <v>0</v>
      </c>
      <c r="X1103" s="668">
        <f t="shared" si="358"/>
        <v>0</v>
      </c>
      <c r="Y1103" s="668">
        <f t="shared" si="359"/>
        <v>0</v>
      </c>
      <c r="Z1103" s="668">
        <f t="shared" si="360"/>
        <v>0</v>
      </c>
      <c r="AA1103" s="668">
        <f t="shared" si="361"/>
        <v>0</v>
      </c>
      <c r="AB1103" s="668">
        <f t="shared" si="362"/>
        <v>0</v>
      </c>
      <c r="AC1103" s="668">
        <f t="shared" si="387"/>
        <v>0</v>
      </c>
      <c r="AD1103" s="668">
        <f t="shared" si="363"/>
        <v>0</v>
      </c>
      <c r="AE1103" s="668">
        <f t="shared" si="364"/>
        <v>0</v>
      </c>
      <c r="AF1103" s="668">
        <f t="shared" si="365"/>
        <v>0</v>
      </c>
      <c r="AG1103" s="668">
        <f t="shared" si="366"/>
        <v>0</v>
      </c>
      <c r="AH1103" s="668"/>
      <c r="AI1103" s="668"/>
      <c r="AJ1103" s="668"/>
      <c r="AK1103" s="668"/>
      <c r="AL1103" s="668"/>
      <c r="AM1103" s="668">
        <f t="shared" si="354"/>
        <v>0</v>
      </c>
      <c r="AN1103" s="668">
        <f t="shared" si="385"/>
        <v>0</v>
      </c>
      <c r="AO1103" s="668">
        <f t="shared" si="386"/>
        <v>0</v>
      </c>
      <c r="AP1103" s="668">
        <f t="shared" si="355"/>
        <v>0</v>
      </c>
      <c r="AQ1103" s="668">
        <f t="shared" si="383"/>
        <v>0</v>
      </c>
      <c r="AR1103" s="668">
        <f t="shared" si="384"/>
        <v>0</v>
      </c>
      <c r="AS1103" s="668"/>
      <c r="AT1103" s="668"/>
      <c r="AU1103" s="668"/>
      <c r="AV1103" s="668"/>
      <c r="AW1103" s="668"/>
      <c r="AX1103" s="668"/>
      <c r="AY1103" s="668"/>
      <c r="AZ1103" s="668"/>
      <c r="BA1103" s="668"/>
      <c r="BB1103" s="668">
        <f t="shared" si="353"/>
        <v>0</v>
      </c>
      <c r="BC1103" s="668"/>
      <c r="BD1103" s="668"/>
      <c r="BE1103" s="668"/>
      <c r="BF1103" s="668"/>
      <c r="BG1103" s="668"/>
      <c r="BH1103" s="668"/>
      <c r="BI1103" s="668"/>
    </row>
    <row r="1104" spans="1:61" x14ac:dyDescent="0.2">
      <c r="A1104" s="1021" t="s">
        <v>844</v>
      </c>
      <c r="B1104" s="1021" t="s">
        <v>845</v>
      </c>
      <c r="C1104" s="1021"/>
      <c r="D1104" s="667"/>
      <c r="E1104" s="667"/>
      <c r="F1104" s="667"/>
      <c r="G1104" s="667"/>
      <c r="H1104" s="667"/>
      <c r="I1104" s="667"/>
      <c r="J1104" s="667"/>
      <c r="K1104" s="667"/>
      <c r="L1104" s="667"/>
      <c r="M1104" s="667"/>
      <c r="N1104" s="667"/>
      <c r="O1104" s="667"/>
      <c r="P1104" s="667"/>
      <c r="Q1104" s="667"/>
      <c r="R1104" s="667"/>
      <c r="S1104" s="667"/>
      <c r="T1104" s="667"/>
      <c r="U1104" s="1021"/>
      <c r="V1104" s="668">
        <f t="shared" si="356"/>
        <v>0</v>
      </c>
      <c r="W1104" s="668">
        <f t="shared" si="357"/>
        <v>0</v>
      </c>
      <c r="X1104" s="668">
        <f t="shared" si="358"/>
        <v>0</v>
      </c>
      <c r="Y1104" s="668">
        <f t="shared" si="359"/>
        <v>0</v>
      </c>
      <c r="Z1104" s="668">
        <f t="shared" si="360"/>
        <v>0</v>
      </c>
      <c r="AA1104" s="668">
        <f t="shared" si="361"/>
        <v>0</v>
      </c>
      <c r="AB1104" s="668">
        <f t="shared" si="362"/>
        <v>0</v>
      </c>
      <c r="AC1104" s="668">
        <f t="shared" si="387"/>
        <v>0</v>
      </c>
      <c r="AD1104" s="668">
        <f t="shared" si="363"/>
        <v>0</v>
      </c>
      <c r="AE1104" s="668">
        <f t="shared" si="364"/>
        <v>0</v>
      </c>
      <c r="AF1104" s="668">
        <f t="shared" si="365"/>
        <v>0</v>
      </c>
      <c r="AG1104" s="668">
        <f t="shared" si="366"/>
        <v>0</v>
      </c>
      <c r="AH1104" s="668"/>
      <c r="AI1104" s="668"/>
      <c r="AJ1104" s="668"/>
      <c r="AK1104" s="668"/>
      <c r="AL1104" s="668"/>
      <c r="AM1104" s="668">
        <f t="shared" si="354"/>
        <v>0</v>
      </c>
      <c r="AN1104" s="668">
        <f t="shared" si="385"/>
        <v>0</v>
      </c>
      <c r="AO1104" s="668">
        <f t="shared" si="386"/>
        <v>0</v>
      </c>
      <c r="AP1104" s="668">
        <f t="shared" si="355"/>
        <v>0</v>
      </c>
      <c r="AQ1104" s="668">
        <f t="shared" si="383"/>
        <v>0</v>
      </c>
      <c r="AR1104" s="668">
        <f t="shared" si="384"/>
        <v>0</v>
      </c>
      <c r="AS1104" s="668"/>
      <c r="AT1104" s="668"/>
      <c r="AU1104" s="668"/>
      <c r="AV1104" s="668"/>
      <c r="AW1104" s="668"/>
      <c r="AX1104" s="668"/>
      <c r="AY1104" s="668"/>
      <c r="AZ1104" s="668"/>
      <c r="BA1104" s="668"/>
      <c r="BB1104" s="668">
        <f t="shared" si="353"/>
        <v>0</v>
      </c>
      <c r="BC1104" s="668"/>
      <c r="BD1104" s="668"/>
      <c r="BE1104" s="668"/>
      <c r="BF1104" s="668"/>
      <c r="BG1104" s="668"/>
      <c r="BH1104" s="668"/>
      <c r="BI1104" s="668"/>
    </row>
    <row r="1105" spans="1:61" x14ac:dyDescent="0.2">
      <c r="A1105" s="1021" t="s">
        <v>846</v>
      </c>
      <c r="B1105" s="1021" t="s">
        <v>606</v>
      </c>
      <c r="C1105" s="1021"/>
      <c r="D1105" s="667"/>
      <c r="E1105" s="667"/>
      <c r="F1105" s="667"/>
      <c r="G1105" s="667"/>
      <c r="H1105" s="667"/>
      <c r="I1105" s="667"/>
      <c r="J1105" s="667">
        <v>91</v>
      </c>
      <c r="K1105" s="667"/>
      <c r="L1105" s="667"/>
      <c r="M1105" s="667"/>
      <c r="N1105" s="667"/>
      <c r="O1105" s="667"/>
      <c r="P1105" s="667"/>
      <c r="Q1105" s="667"/>
      <c r="R1105" s="667"/>
      <c r="S1105" s="667"/>
      <c r="T1105" s="667"/>
      <c r="U1105" s="1021">
        <v>14</v>
      </c>
      <c r="V1105" s="668">
        <f t="shared" si="356"/>
        <v>0</v>
      </c>
      <c r="W1105" s="668">
        <f t="shared" si="357"/>
        <v>0</v>
      </c>
      <c r="X1105" s="668">
        <f t="shared" si="358"/>
        <v>0</v>
      </c>
      <c r="Y1105" s="668">
        <f t="shared" si="359"/>
        <v>1274</v>
      </c>
      <c r="Z1105" s="668">
        <f t="shared" si="360"/>
        <v>0</v>
      </c>
      <c r="AA1105" s="668">
        <f t="shared" si="361"/>
        <v>0</v>
      </c>
      <c r="AB1105" s="668">
        <f t="shared" si="362"/>
        <v>0</v>
      </c>
      <c r="AC1105" s="668">
        <f t="shared" si="387"/>
        <v>0</v>
      </c>
      <c r="AD1105" s="668">
        <f t="shared" si="363"/>
        <v>0</v>
      </c>
      <c r="AE1105" s="668">
        <f t="shared" si="364"/>
        <v>0</v>
      </c>
      <c r="AF1105" s="668">
        <f t="shared" si="365"/>
        <v>0</v>
      </c>
      <c r="AG1105" s="668">
        <f t="shared" si="366"/>
        <v>0</v>
      </c>
      <c r="AH1105" s="668"/>
      <c r="AI1105" s="668"/>
      <c r="AJ1105" s="668"/>
      <c r="AK1105" s="668"/>
      <c r="AL1105" s="668"/>
      <c r="AM1105" s="668">
        <f t="shared" si="354"/>
        <v>0</v>
      </c>
      <c r="AN1105" s="668">
        <f t="shared" si="385"/>
        <v>0</v>
      </c>
      <c r="AO1105" s="668">
        <f t="shared" si="386"/>
        <v>0</v>
      </c>
      <c r="AP1105" s="668">
        <f t="shared" si="355"/>
        <v>0</v>
      </c>
      <c r="AQ1105" s="668">
        <f t="shared" si="383"/>
        <v>0</v>
      </c>
      <c r="AR1105" s="668">
        <f t="shared" si="384"/>
        <v>0</v>
      </c>
      <c r="AS1105" s="668"/>
      <c r="AT1105" s="668"/>
      <c r="AU1105" s="668"/>
      <c r="AV1105" s="668"/>
      <c r="AW1105" s="668"/>
      <c r="AX1105" s="668"/>
      <c r="AY1105" s="668"/>
      <c r="AZ1105" s="668"/>
      <c r="BA1105" s="668"/>
      <c r="BB1105" s="668">
        <f t="shared" si="353"/>
        <v>0</v>
      </c>
      <c r="BC1105" s="668"/>
      <c r="BD1105" s="668"/>
      <c r="BE1105" s="668"/>
      <c r="BF1105" s="668"/>
      <c r="BG1105" s="668"/>
      <c r="BH1105" s="668"/>
      <c r="BI1105" s="668"/>
    </row>
    <row r="1106" spans="1:61" x14ac:dyDescent="0.2">
      <c r="A1106" s="1021" t="s">
        <v>847</v>
      </c>
      <c r="B1106" s="1021" t="s">
        <v>607</v>
      </c>
      <c r="C1106" s="1021"/>
      <c r="D1106" s="667"/>
      <c r="E1106" s="667"/>
      <c r="F1106" s="667"/>
      <c r="G1106" s="667"/>
      <c r="H1106" s="667"/>
      <c r="I1106" s="667"/>
      <c r="J1106" s="667">
        <v>62</v>
      </c>
      <c r="K1106" s="667"/>
      <c r="L1106" s="667"/>
      <c r="M1106" s="667"/>
      <c r="N1106" s="667"/>
      <c r="O1106" s="667"/>
      <c r="P1106" s="667"/>
      <c r="Q1106" s="667"/>
      <c r="R1106" s="667"/>
      <c r="S1106" s="667"/>
      <c r="T1106" s="667"/>
      <c r="U1106" s="1021">
        <v>14</v>
      </c>
      <c r="V1106" s="668">
        <f t="shared" si="356"/>
        <v>0</v>
      </c>
      <c r="W1106" s="668">
        <f t="shared" si="357"/>
        <v>0</v>
      </c>
      <c r="X1106" s="668">
        <f t="shared" si="358"/>
        <v>0</v>
      </c>
      <c r="Y1106" s="668">
        <f t="shared" si="359"/>
        <v>868</v>
      </c>
      <c r="Z1106" s="668">
        <f t="shared" si="360"/>
        <v>0</v>
      </c>
      <c r="AA1106" s="668">
        <f t="shared" si="361"/>
        <v>0</v>
      </c>
      <c r="AB1106" s="668">
        <f t="shared" si="362"/>
        <v>0</v>
      </c>
      <c r="AC1106" s="668">
        <f t="shared" si="387"/>
        <v>0</v>
      </c>
      <c r="AD1106" s="668">
        <f t="shared" si="363"/>
        <v>0</v>
      </c>
      <c r="AE1106" s="668">
        <f t="shared" si="364"/>
        <v>0</v>
      </c>
      <c r="AF1106" s="668">
        <f t="shared" si="365"/>
        <v>0</v>
      </c>
      <c r="AG1106" s="668">
        <f t="shared" si="366"/>
        <v>0</v>
      </c>
      <c r="AH1106" s="668"/>
      <c r="AI1106" s="668"/>
      <c r="AJ1106" s="668"/>
      <c r="AK1106" s="668"/>
      <c r="AL1106" s="668"/>
      <c r="AM1106" s="668">
        <f t="shared" si="354"/>
        <v>0</v>
      </c>
      <c r="AN1106" s="668">
        <f t="shared" si="385"/>
        <v>0</v>
      </c>
      <c r="AO1106" s="668">
        <f t="shared" si="386"/>
        <v>0</v>
      </c>
      <c r="AP1106" s="668">
        <f t="shared" si="355"/>
        <v>0</v>
      </c>
      <c r="AQ1106" s="668">
        <f t="shared" si="383"/>
        <v>0</v>
      </c>
      <c r="AR1106" s="668">
        <f t="shared" si="384"/>
        <v>0</v>
      </c>
      <c r="AS1106" s="668"/>
      <c r="AT1106" s="668"/>
      <c r="AU1106" s="668"/>
      <c r="AV1106" s="668"/>
      <c r="AW1106" s="668"/>
      <c r="AX1106" s="668"/>
      <c r="AY1106" s="668"/>
      <c r="AZ1106" s="668"/>
      <c r="BA1106" s="668"/>
      <c r="BB1106" s="668">
        <f t="shared" ref="BB1106:BB1168" si="388">+AP1106</f>
        <v>0</v>
      </c>
      <c r="BC1106" s="668"/>
      <c r="BD1106" s="668"/>
      <c r="BE1106" s="668"/>
      <c r="BF1106" s="668"/>
      <c r="BG1106" s="668"/>
      <c r="BH1106" s="668"/>
      <c r="BI1106" s="668"/>
    </row>
    <row r="1107" spans="1:61" x14ac:dyDescent="0.2">
      <c r="A1107" s="1021" t="s">
        <v>848</v>
      </c>
      <c r="B1107" s="1021" t="s">
        <v>608</v>
      </c>
      <c r="C1107" s="1021"/>
      <c r="D1107" s="667"/>
      <c r="E1107" s="667"/>
      <c r="F1107" s="667"/>
      <c r="G1107" s="667"/>
      <c r="H1107" s="667"/>
      <c r="I1107" s="667"/>
      <c r="J1107" s="667">
        <v>62</v>
      </c>
      <c r="K1107" s="667"/>
      <c r="L1107" s="667"/>
      <c r="M1107" s="667"/>
      <c r="N1107" s="667"/>
      <c r="O1107" s="667"/>
      <c r="P1107" s="667"/>
      <c r="Q1107" s="667"/>
      <c r="R1107" s="667"/>
      <c r="S1107" s="667"/>
      <c r="T1107" s="667"/>
      <c r="U1107" s="1021">
        <v>14</v>
      </c>
      <c r="V1107" s="668">
        <f t="shared" si="356"/>
        <v>0</v>
      </c>
      <c r="W1107" s="668">
        <f t="shared" si="357"/>
        <v>0</v>
      </c>
      <c r="X1107" s="668">
        <f t="shared" si="358"/>
        <v>0</v>
      </c>
      <c r="Y1107" s="668">
        <f t="shared" si="359"/>
        <v>868</v>
      </c>
      <c r="Z1107" s="668">
        <f t="shared" si="360"/>
        <v>0</v>
      </c>
      <c r="AA1107" s="668">
        <f t="shared" si="361"/>
        <v>0</v>
      </c>
      <c r="AB1107" s="668">
        <f t="shared" si="362"/>
        <v>0</v>
      </c>
      <c r="AC1107" s="668">
        <f t="shared" si="387"/>
        <v>0</v>
      </c>
      <c r="AD1107" s="668">
        <f t="shared" si="363"/>
        <v>0</v>
      </c>
      <c r="AE1107" s="668">
        <f t="shared" si="364"/>
        <v>0</v>
      </c>
      <c r="AF1107" s="668">
        <f t="shared" si="365"/>
        <v>0</v>
      </c>
      <c r="AG1107" s="668">
        <f t="shared" si="366"/>
        <v>0</v>
      </c>
      <c r="AH1107" s="668"/>
      <c r="AI1107" s="668"/>
      <c r="AJ1107" s="668"/>
      <c r="AK1107" s="668"/>
      <c r="AL1107" s="668"/>
      <c r="AM1107" s="668">
        <f t="shared" si="354"/>
        <v>0</v>
      </c>
      <c r="AN1107" s="668">
        <f t="shared" si="385"/>
        <v>0</v>
      </c>
      <c r="AO1107" s="668">
        <f t="shared" si="386"/>
        <v>0</v>
      </c>
      <c r="AP1107" s="668">
        <f t="shared" si="355"/>
        <v>0</v>
      </c>
      <c r="AQ1107" s="668">
        <f t="shared" si="383"/>
        <v>0</v>
      </c>
      <c r="AR1107" s="668">
        <f t="shared" si="384"/>
        <v>0</v>
      </c>
      <c r="AS1107" s="668"/>
      <c r="AT1107" s="668"/>
      <c r="AU1107" s="668"/>
      <c r="AV1107" s="668"/>
      <c r="AW1107" s="668"/>
      <c r="AX1107" s="668"/>
      <c r="AY1107" s="668"/>
      <c r="AZ1107" s="668"/>
      <c r="BA1107" s="668"/>
      <c r="BB1107" s="668">
        <f t="shared" si="388"/>
        <v>0</v>
      </c>
      <c r="BC1107" s="668"/>
      <c r="BD1107" s="668"/>
      <c r="BE1107" s="668"/>
      <c r="BF1107" s="668"/>
      <c r="BG1107" s="668"/>
      <c r="BH1107" s="668"/>
      <c r="BI1107" s="668"/>
    </row>
    <row r="1108" spans="1:61" x14ac:dyDescent="0.2">
      <c r="A1108" s="1021" t="s">
        <v>849</v>
      </c>
      <c r="B1108" s="1021" t="s">
        <v>609</v>
      </c>
      <c r="C1108" s="1021"/>
      <c r="D1108" s="667"/>
      <c r="E1108" s="667"/>
      <c r="F1108" s="667"/>
      <c r="G1108" s="667"/>
      <c r="H1108" s="667"/>
      <c r="I1108" s="667"/>
      <c r="J1108" s="667">
        <v>64</v>
      </c>
      <c r="K1108" s="667"/>
      <c r="L1108" s="667"/>
      <c r="M1108" s="667"/>
      <c r="N1108" s="667"/>
      <c r="O1108" s="667"/>
      <c r="P1108" s="667"/>
      <c r="Q1108" s="667"/>
      <c r="R1108" s="667"/>
      <c r="S1108" s="667"/>
      <c r="T1108" s="667"/>
      <c r="U1108" s="1021">
        <v>14</v>
      </c>
      <c r="V1108" s="668">
        <f t="shared" si="356"/>
        <v>0</v>
      </c>
      <c r="W1108" s="668">
        <f t="shared" si="357"/>
        <v>0</v>
      </c>
      <c r="X1108" s="668">
        <f t="shared" si="358"/>
        <v>0</v>
      </c>
      <c r="Y1108" s="668">
        <f t="shared" si="359"/>
        <v>896</v>
      </c>
      <c r="Z1108" s="668">
        <f t="shared" si="360"/>
        <v>0</v>
      </c>
      <c r="AA1108" s="668">
        <f t="shared" si="361"/>
        <v>0</v>
      </c>
      <c r="AB1108" s="668">
        <f t="shared" si="362"/>
        <v>0</v>
      </c>
      <c r="AC1108" s="668">
        <f t="shared" si="387"/>
        <v>0</v>
      </c>
      <c r="AD1108" s="668">
        <f t="shared" si="363"/>
        <v>0</v>
      </c>
      <c r="AE1108" s="668">
        <f t="shared" si="364"/>
        <v>0</v>
      </c>
      <c r="AF1108" s="668">
        <f t="shared" si="365"/>
        <v>0</v>
      </c>
      <c r="AG1108" s="668">
        <f t="shared" si="366"/>
        <v>0</v>
      </c>
      <c r="AH1108" s="668"/>
      <c r="AI1108" s="668"/>
      <c r="AJ1108" s="668"/>
      <c r="AK1108" s="668"/>
      <c r="AL1108" s="668"/>
      <c r="AM1108" s="668">
        <f t="shared" ref="AM1108:AM1171" si="389">+I1108</f>
        <v>0</v>
      </c>
      <c r="AN1108" s="668">
        <f t="shared" si="385"/>
        <v>0</v>
      </c>
      <c r="AO1108" s="668">
        <f t="shared" si="386"/>
        <v>0</v>
      </c>
      <c r="AP1108" s="668">
        <f t="shared" si="355"/>
        <v>0</v>
      </c>
      <c r="AQ1108" s="668">
        <f t="shared" si="383"/>
        <v>0</v>
      </c>
      <c r="AR1108" s="668">
        <f t="shared" si="384"/>
        <v>0</v>
      </c>
      <c r="AS1108" s="668"/>
      <c r="AT1108" s="668"/>
      <c r="AU1108" s="668"/>
      <c r="AV1108" s="668"/>
      <c r="AW1108" s="668"/>
      <c r="AX1108" s="668"/>
      <c r="AY1108" s="668"/>
      <c r="AZ1108" s="668"/>
      <c r="BA1108" s="668"/>
      <c r="BB1108" s="668">
        <f t="shared" si="388"/>
        <v>0</v>
      </c>
      <c r="BC1108" s="668"/>
      <c r="BD1108" s="668"/>
      <c r="BE1108" s="668"/>
      <c r="BF1108" s="668"/>
      <c r="BG1108" s="668"/>
      <c r="BH1108" s="668"/>
      <c r="BI1108" s="668"/>
    </row>
    <row r="1109" spans="1:61" x14ac:dyDescent="0.2">
      <c r="A1109" s="1021" t="s">
        <v>850</v>
      </c>
      <c r="B1109" s="1021" t="s">
        <v>610</v>
      </c>
      <c r="C1109" s="1021"/>
      <c r="D1109" s="667"/>
      <c r="E1109" s="667"/>
      <c r="F1109" s="667"/>
      <c r="G1109" s="667"/>
      <c r="H1109" s="667"/>
      <c r="I1109" s="667"/>
      <c r="J1109" s="667"/>
      <c r="K1109" s="667"/>
      <c r="L1109" s="667"/>
      <c r="M1109" s="667"/>
      <c r="N1109" s="667"/>
      <c r="O1109" s="667"/>
      <c r="P1109" s="667"/>
      <c r="Q1109" s="667"/>
      <c r="R1109" s="667"/>
      <c r="S1109" s="667"/>
      <c r="T1109" s="667"/>
      <c r="U1109" s="1021">
        <v>14</v>
      </c>
      <c r="V1109" s="668">
        <f t="shared" si="356"/>
        <v>0</v>
      </c>
      <c r="W1109" s="668">
        <f t="shared" si="357"/>
        <v>0</v>
      </c>
      <c r="X1109" s="668">
        <f t="shared" si="358"/>
        <v>0</v>
      </c>
      <c r="Y1109" s="668">
        <f t="shared" si="359"/>
        <v>0</v>
      </c>
      <c r="Z1109" s="668">
        <f t="shared" si="360"/>
        <v>0</v>
      </c>
      <c r="AA1109" s="668">
        <f t="shared" si="361"/>
        <v>0</v>
      </c>
      <c r="AB1109" s="668">
        <f t="shared" si="362"/>
        <v>0</v>
      </c>
      <c r="AC1109" s="668">
        <f t="shared" si="387"/>
        <v>0</v>
      </c>
      <c r="AD1109" s="668">
        <f t="shared" si="363"/>
        <v>0</v>
      </c>
      <c r="AE1109" s="668">
        <f t="shared" si="364"/>
        <v>0</v>
      </c>
      <c r="AF1109" s="668">
        <f t="shared" si="365"/>
        <v>0</v>
      </c>
      <c r="AG1109" s="668">
        <f t="shared" si="366"/>
        <v>0</v>
      </c>
      <c r="AH1109" s="668"/>
      <c r="AI1109" s="668"/>
      <c r="AJ1109" s="668"/>
      <c r="AK1109" s="668"/>
      <c r="AL1109" s="668"/>
      <c r="AM1109" s="668">
        <f t="shared" si="389"/>
        <v>0</v>
      </c>
      <c r="AN1109" s="668">
        <f t="shared" si="385"/>
        <v>0</v>
      </c>
      <c r="AO1109" s="668">
        <f t="shared" si="386"/>
        <v>0</v>
      </c>
      <c r="AP1109" s="668">
        <f t="shared" ref="AP1109:AP1172" si="390">+U1109*F1109</f>
        <v>0</v>
      </c>
      <c r="AQ1109" s="668">
        <f t="shared" si="383"/>
        <v>0</v>
      </c>
      <c r="AR1109" s="668">
        <f t="shared" si="384"/>
        <v>0</v>
      </c>
      <c r="AS1109" s="668"/>
      <c r="AT1109" s="668"/>
      <c r="AU1109" s="668"/>
      <c r="AV1109" s="668"/>
      <c r="AW1109" s="668"/>
      <c r="AX1109" s="668"/>
      <c r="AY1109" s="668"/>
      <c r="AZ1109" s="668"/>
      <c r="BA1109" s="668"/>
      <c r="BB1109" s="668">
        <f t="shared" si="388"/>
        <v>0</v>
      </c>
      <c r="BC1109" s="668"/>
      <c r="BD1109" s="668"/>
      <c r="BE1109" s="668"/>
      <c r="BF1109" s="668"/>
      <c r="BG1109" s="668"/>
      <c r="BH1109" s="668"/>
      <c r="BI1109" s="668"/>
    </row>
    <row r="1110" spans="1:61" x14ac:dyDescent="0.2">
      <c r="A1110" s="1021" t="s">
        <v>851</v>
      </c>
      <c r="B1110" s="1021" t="s">
        <v>611</v>
      </c>
      <c r="C1110" s="1021"/>
      <c r="D1110" s="667"/>
      <c r="E1110" s="667"/>
      <c r="F1110" s="667"/>
      <c r="G1110" s="667"/>
      <c r="H1110" s="667"/>
      <c r="I1110" s="667"/>
      <c r="J1110" s="667">
        <v>63</v>
      </c>
      <c r="K1110" s="667"/>
      <c r="L1110" s="667"/>
      <c r="M1110" s="667"/>
      <c r="N1110" s="667"/>
      <c r="O1110" s="667"/>
      <c r="P1110" s="667"/>
      <c r="Q1110" s="667"/>
      <c r="R1110" s="667"/>
      <c r="S1110" s="667"/>
      <c r="T1110" s="667"/>
      <c r="U1110" s="1021">
        <v>14</v>
      </c>
      <c r="V1110" s="668">
        <f t="shared" ref="V1110:V1178" si="391">+U1110*D1110</f>
        <v>0</v>
      </c>
      <c r="W1110" s="668">
        <f t="shared" ref="W1110:W1178" si="392">+U1110*G1110</f>
        <v>0</v>
      </c>
      <c r="X1110" s="668">
        <f t="shared" ref="X1110:X1178" si="393">+U1110*H1110</f>
        <v>0</v>
      </c>
      <c r="Y1110" s="668">
        <f t="shared" ref="Y1110:Y1178" si="394">+U1110*J1110</f>
        <v>882</v>
      </c>
      <c r="Z1110" s="668">
        <f t="shared" ref="Z1110:Z1178" si="395">IF(C1110="y",V1110+W1110+X1110+Y1110,0)</f>
        <v>0</v>
      </c>
      <c r="AA1110" s="668">
        <f t="shared" ref="AA1110:AA1178" si="396">+S1110</f>
        <v>0</v>
      </c>
      <c r="AB1110" s="668">
        <f t="shared" ref="AB1110:AB1178" si="397">+T1110</f>
        <v>0</v>
      </c>
      <c r="AC1110" s="668">
        <f t="shared" si="387"/>
        <v>0</v>
      </c>
      <c r="AD1110" s="668">
        <f t="shared" ref="AD1110:AD1178" si="398">+Q1110</f>
        <v>0</v>
      </c>
      <c r="AE1110" s="668">
        <f t="shared" ref="AE1110:AE1178" si="399">+U1110*M1110</f>
        <v>0</v>
      </c>
      <c r="AF1110" s="668">
        <f t="shared" ref="AF1110:AF1178" si="400">+L1110*U1110</f>
        <v>0</v>
      </c>
      <c r="AG1110" s="668">
        <f t="shared" ref="AG1110:AG1178" si="401">+$AG$4*N1110</f>
        <v>0</v>
      </c>
      <c r="AH1110" s="668"/>
      <c r="AI1110" s="668"/>
      <c r="AJ1110" s="668"/>
      <c r="AK1110" s="668"/>
      <c r="AL1110" s="668"/>
      <c r="AM1110" s="668">
        <f t="shared" si="389"/>
        <v>0</v>
      </c>
      <c r="AN1110" s="668">
        <f t="shared" si="385"/>
        <v>0</v>
      </c>
      <c r="AO1110" s="668">
        <f t="shared" si="386"/>
        <v>0</v>
      </c>
      <c r="AP1110" s="668">
        <f t="shared" si="390"/>
        <v>0</v>
      </c>
      <c r="AQ1110" s="668">
        <f t="shared" si="383"/>
        <v>0</v>
      </c>
      <c r="AR1110" s="668">
        <f t="shared" si="384"/>
        <v>0</v>
      </c>
      <c r="AS1110" s="668"/>
      <c r="AT1110" s="668"/>
      <c r="AU1110" s="668"/>
      <c r="AV1110" s="668"/>
      <c r="AW1110" s="668"/>
      <c r="AX1110" s="668"/>
      <c r="AY1110" s="668"/>
      <c r="AZ1110" s="668"/>
      <c r="BA1110" s="668"/>
      <c r="BB1110" s="668">
        <f t="shared" si="388"/>
        <v>0</v>
      </c>
      <c r="BC1110" s="668"/>
      <c r="BD1110" s="668"/>
      <c r="BE1110" s="668"/>
      <c r="BF1110" s="668"/>
      <c r="BG1110" s="668"/>
      <c r="BH1110" s="668"/>
      <c r="BI1110" s="668"/>
    </row>
    <row r="1111" spans="1:61" x14ac:dyDescent="0.2">
      <c r="A1111" s="1021" t="s">
        <v>852</v>
      </c>
      <c r="B1111" s="1021" t="s">
        <v>612</v>
      </c>
      <c r="C1111" s="1021"/>
      <c r="D1111" s="667"/>
      <c r="E1111" s="667"/>
      <c r="F1111" s="667"/>
      <c r="G1111" s="667"/>
      <c r="H1111" s="667"/>
      <c r="I1111" s="667"/>
      <c r="J1111" s="667">
        <v>62</v>
      </c>
      <c r="K1111" s="667"/>
      <c r="L1111" s="667"/>
      <c r="M1111" s="667"/>
      <c r="N1111" s="667"/>
      <c r="O1111" s="667"/>
      <c r="P1111" s="667"/>
      <c r="Q1111" s="667"/>
      <c r="R1111" s="667"/>
      <c r="S1111" s="667"/>
      <c r="T1111" s="667"/>
      <c r="U1111" s="1021">
        <v>14</v>
      </c>
      <c r="V1111" s="668">
        <f t="shared" si="391"/>
        <v>0</v>
      </c>
      <c r="W1111" s="668">
        <f t="shared" si="392"/>
        <v>0</v>
      </c>
      <c r="X1111" s="668">
        <f t="shared" si="393"/>
        <v>0</v>
      </c>
      <c r="Y1111" s="668">
        <f t="shared" si="394"/>
        <v>868</v>
      </c>
      <c r="Z1111" s="668">
        <f t="shared" si="395"/>
        <v>0</v>
      </c>
      <c r="AA1111" s="668">
        <f t="shared" si="396"/>
        <v>0</v>
      </c>
      <c r="AB1111" s="668">
        <f t="shared" si="397"/>
        <v>0</v>
      </c>
      <c r="AC1111" s="668">
        <f t="shared" si="387"/>
        <v>0</v>
      </c>
      <c r="AD1111" s="668">
        <f t="shared" si="398"/>
        <v>0</v>
      </c>
      <c r="AE1111" s="668">
        <f t="shared" si="399"/>
        <v>0</v>
      </c>
      <c r="AF1111" s="668">
        <f t="shared" si="400"/>
        <v>0</v>
      </c>
      <c r="AG1111" s="668">
        <f t="shared" si="401"/>
        <v>0</v>
      </c>
      <c r="AH1111" s="668"/>
      <c r="AI1111" s="668"/>
      <c r="AJ1111" s="668"/>
      <c r="AK1111" s="668"/>
      <c r="AL1111" s="668"/>
      <c r="AM1111" s="668">
        <f t="shared" si="389"/>
        <v>0</v>
      </c>
      <c r="AN1111" s="668">
        <f t="shared" si="385"/>
        <v>0</v>
      </c>
      <c r="AO1111" s="668">
        <f t="shared" si="386"/>
        <v>0</v>
      </c>
      <c r="AP1111" s="668">
        <f t="shared" si="390"/>
        <v>0</v>
      </c>
      <c r="AQ1111" s="668">
        <f t="shared" si="383"/>
        <v>0</v>
      </c>
      <c r="AR1111" s="668">
        <f t="shared" si="384"/>
        <v>0</v>
      </c>
      <c r="AS1111" s="668"/>
      <c r="AT1111" s="668"/>
      <c r="AU1111" s="668"/>
      <c r="AV1111" s="668"/>
      <c r="AW1111" s="668"/>
      <c r="AX1111" s="668"/>
      <c r="AY1111" s="668"/>
      <c r="AZ1111" s="668"/>
      <c r="BA1111" s="668"/>
      <c r="BB1111" s="668">
        <f t="shared" si="388"/>
        <v>0</v>
      </c>
      <c r="BC1111" s="668"/>
      <c r="BD1111" s="668"/>
      <c r="BE1111" s="668"/>
      <c r="BF1111" s="668"/>
      <c r="BG1111" s="668"/>
      <c r="BH1111" s="668"/>
      <c r="BI1111" s="668"/>
    </row>
    <row r="1112" spans="1:61" x14ac:dyDescent="0.2">
      <c r="A1112" s="1025" t="s">
        <v>963</v>
      </c>
      <c r="B1112" s="1025" t="s">
        <v>975</v>
      </c>
      <c r="C1112" s="1025"/>
      <c r="D1112" s="667"/>
      <c r="E1112" s="667"/>
      <c r="F1112" s="667"/>
      <c r="G1112" s="667"/>
      <c r="H1112" s="667"/>
      <c r="I1112" s="667"/>
      <c r="J1112" s="667"/>
      <c r="K1112" s="667"/>
      <c r="L1112" s="667"/>
      <c r="M1112" s="667"/>
      <c r="N1112" s="667"/>
      <c r="O1112" s="667"/>
      <c r="P1112" s="667"/>
      <c r="Q1112" s="667"/>
      <c r="R1112" s="667"/>
      <c r="S1112" s="667">
        <v>2659</v>
      </c>
      <c r="T1112" s="667"/>
      <c r="U1112" s="1025"/>
      <c r="V1112" s="668"/>
      <c r="W1112" s="668"/>
      <c r="X1112" s="668"/>
      <c r="Y1112" s="668"/>
      <c r="Z1112" s="668"/>
      <c r="AA1112" s="668">
        <f t="shared" si="396"/>
        <v>2659</v>
      </c>
      <c r="AB1112" s="668"/>
      <c r="AC1112" s="668">
        <f t="shared" si="387"/>
        <v>0</v>
      </c>
      <c r="AD1112" s="668"/>
      <c r="AE1112" s="668"/>
      <c r="AF1112" s="668"/>
      <c r="AG1112" s="668"/>
      <c r="AH1112" s="668"/>
      <c r="AI1112" s="668"/>
      <c r="AJ1112" s="668"/>
      <c r="AK1112" s="668"/>
      <c r="AL1112" s="668"/>
      <c r="AM1112" s="668">
        <f t="shared" si="389"/>
        <v>0</v>
      </c>
      <c r="AN1112" s="668">
        <f t="shared" si="385"/>
        <v>0</v>
      </c>
      <c r="AO1112" s="668">
        <f t="shared" si="386"/>
        <v>0</v>
      </c>
      <c r="AP1112" s="668">
        <f t="shared" si="390"/>
        <v>0</v>
      </c>
      <c r="AQ1112" s="668">
        <f t="shared" si="383"/>
        <v>0</v>
      </c>
      <c r="AR1112" s="668">
        <f t="shared" si="384"/>
        <v>0</v>
      </c>
      <c r="AS1112" s="668"/>
      <c r="AT1112" s="668"/>
      <c r="AU1112" s="668"/>
      <c r="AV1112" s="668"/>
      <c r="AW1112" s="668"/>
      <c r="AX1112" s="668">
        <v>1100</v>
      </c>
      <c r="AY1112" s="668"/>
      <c r="AZ1112" s="668"/>
      <c r="BA1112" s="668"/>
      <c r="BB1112" s="668">
        <f t="shared" si="388"/>
        <v>0</v>
      </c>
      <c r="BC1112" s="668"/>
      <c r="BD1112" s="668"/>
      <c r="BE1112" s="668"/>
      <c r="BF1112" s="668"/>
      <c r="BG1112" s="668"/>
      <c r="BH1112" s="668"/>
      <c r="BI1112" s="668"/>
    </row>
    <row r="1113" spans="1:61" x14ac:dyDescent="0.2">
      <c r="A1113" s="1025" t="s">
        <v>964</v>
      </c>
      <c r="B1113" s="1025" t="s">
        <v>975</v>
      </c>
      <c r="C1113" s="1025"/>
      <c r="D1113" s="667"/>
      <c r="E1113" s="667"/>
      <c r="F1113" s="667"/>
      <c r="G1113" s="667"/>
      <c r="H1113" s="667"/>
      <c r="I1113" s="667"/>
      <c r="J1113" s="667"/>
      <c r="K1113" s="667"/>
      <c r="L1113" s="667"/>
      <c r="M1113" s="667"/>
      <c r="N1113" s="667"/>
      <c r="O1113" s="667"/>
      <c r="P1113" s="667"/>
      <c r="Q1113" s="667"/>
      <c r="R1113" s="667"/>
      <c r="S1113" s="667">
        <v>433</v>
      </c>
      <c r="T1113" s="667"/>
      <c r="U1113" s="1025"/>
      <c r="V1113" s="668"/>
      <c r="W1113" s="668"/>
      <c r="X1113" s="668"/>
      <c r="Y1113" s="668"/>
      <c r="Z1113" s="668"/>
      <c r="AA1113" s="668">
        <f t="shared" si="396"/>
        <v>433</v>
      </c>
      <c r="AB1113" s="668"/>
      <c r="AC1113" s="668">
        <f t="shared" si="387"/>
        <v>0</v>
      </c>
      <c r="AD1113" s="668"/>
      <c r="AE1113" s="668"/>
      <c r="AF1113" s="668"/>
      <c r="AG1113" s="668"/>
      <c r="AH1113" s="668"/>
      <c r="AI1113" s="668"/>
      <c r="AJ1113" s="668"/>
      <c r="AK1113" s="668"/>
      <c r="AL1113" s="668"/>
      <c r="AM1113" s="668">
        <f t="shared" si="389"/>
        <v>0</v>
      </c>
      <c r="AN1113" s="668">
        <f t="shared" si="385"/>
        <v>0</v>
      </c>
      <c r="AO1113" s="668">
        <f t="shared" si="386"/>
        <v>0</v>
      </c>
      <c r="AP1113" s="668">
        <f t="shared" si="390"/>
        <v>0</v>
      </c>
      <c r="AQ1113" s="668">
        <f t="shared" si="383"/>
        <v>0</v>
      </c>
      <c r="AR1113" s="668">
        <f t="shared" si="384"/>
        <v>0</v>
      </c>
      <c r="AS1113" s="668"/>
      <c r="AT1113" s="668"/>
      <c r="AU1113" s="668"/>
      <c r="AV1113" s="668"/>
      <c r="AW1113" s="668"/>
      <c r="AX1113" s="668">
        <v>400</v>
      </c>
      <c r="AY1113" s="668"/>
      <c r="AZ1113" s="668"/>
      <c r="BA1113" s="668"/>
      <c r="BB1113" s="668">
        <f t="shared" si="388"/>
        <v>0</v>
      </c>
      <c r="BC1113" s="668"/>
      <c r="BD1113" s="668"/>
      <c r="BE1113" s="668"/>
      <c r="BF1113" s="668"/>
      <c r="BG1113" s="668"/>
      <c r="BH1113" s="668"/>
      <c r="BI1113" s="668"/>
    </row>
    <row r="1114" spans="1:61" x14ac:dyDescent="0.2">
      <c r="A1114" s="1025" t="s">
        <v>965</v>
      </c>
      <c r="B1114" s="1025" t="s">
        <v>975</v>
      </c>
      <c r="C1114" s="1025"/>
      <c r="D1114" s="667"/>
      <c r="E1114" s="667"/>
      <c r="F1114" s="667"/>
      <c r="G1114" s="667"/>
      <c r="H1114" s="667"/>
      <c r="I1114" s="667"/>
      <c r="J1114" s="667"/>
      <c r="K1114" s="667"/>
      <c r="L1114" s="667"/>
      <c r="M1114" s="667"/>
      <c r="N1114" s="667"/>
      <c r="O1114" s="667"/>
      <c r="P1114" s="667"/>
      <c r="Q1114" s="667"/>
      <c r="R1114" s="667"/>
      <c r="S1114" s="667">
        <v>8284</v>
      </c>
      <c r="T1114" s="667"/>
      <c r="U1114" s="1025"/>
      <c r="V1114" s="668"/>
      <c r="W1114" s="668"/>
      <c r="X1114" s="668"/>
      <c r="Y1114" s="668"/>
      <c r="Z1114" s="668"/>
      <c r="AA1114" s="668">
        <f t="shared" si="396"/>
        <v>8284</v>
      </c>
      <c r="AB1114" s="668"/>
      <c r="AC1114" s="668">
        <f t="shared" si="387"/>
        <v>0</v>
      </c>
      <c r="AD1114" s="668"/>
      <c r="AE1114" s="668"/>
      <c r="AF1114" s="668"/>
      <c r="AG1114" s="668"/>
      <c r="AH1114" s="668"/>
      <c r="AI1114" s="668"/>
      <c r="AJ1114" s="668"/>
      <c r="AK1114" s="668"/>
      <c r="AL1114" s="668"/>
      <c r="AM1114" s="668">
        <f t="shared" si="389"/>
        <v>0</v>
      </c>
      <c r="AN1114" s="668">
        <f t="shared" si="385"/>
        <v>0</v>
      </c>
      <c r="AO1114" s="668">
        <f t="shared" si="386"/>
        <v>0</v>
      </c>
      <c r="AP1114" s="668">
        <f t="shared" si="390"/>
        <v>0</v>
      </c>
      <c r="AQ1114" s="668">
        <f t="shared" si="383"/>
        <v>0</v>
      </c>
      <c r="AR1114" s="668">
        <f t="shared" si="384"/>
        <v>0</v>
      </c>
      <c r="AS1114" s="668"/>
      <c r="AT1114" s="668"/>
      <c r="AU1114" s="668"/>
      <c r="AV1114" s="668"/>
      <c r="AW1114" s="668"/>
      <c r="AX1114" s="668">
        <v>1100</v>
      </c>
      <c r="AY1114" s="668"/>
      <c r="AZ1114" s="668"/>
      <c r="BA1114" s="668"/>
      <c r="BB1114" s="668">
        <f t="shared" si="388"/>
        <v>0</v>
      </c>
      <c r="BC1114" s="668"/>
      <c r="BD1114" s="668"/>
      <c r="BE1114" s="668"/>
      <c r="BF1114" s="668"/>
      <c r="BG1114" s="668"/>
      <c r="BH1114" s="668"/>
      <c r="BI1114" s="668"/>
    </row>
    <row r="1115" spans="1:61" x14ac:dyDescent="0.2">
      <c r="A1115" s="1025" t="s">
        <v>966</v>
      </c>
      <c r="B1115" s="1025" t="s">
        <v>975</v>
      </c>
      <c r="C1115" s="1025"/>
      <c r="D1115" s="667"/>
      <c r="E1115" s="667"/>
      <c r="F1115" s="667"/>
      <c r="G1115" s="667"/>
      <c r="H1115" s="667"/>
      <c r="I1115" s="667"/>
      <c r="J1115" s="667"/>
      <c r="K1115" s="667"/>
      <c r="L1115" s="667"/>
      <c r="M1115" s="667"/>
      <c r="N1115" s="667"/>
      <c r="O1115" s="667"/>
      <c r="P1115" s="667"/>
      <c r="Q1115" s="667"/>
      <c r="R1115" s="667"/>
      <c r="S1115" s="667">
        <v>656</v>
      </c>
      <c r="T1115" s="667"/>
      <c r="U1115" s="1025"/>
      <c r="V1115" s="668"/>
      <c r="W1115" s="668"/>
      <c r="X1115" s="668"/>
      <c r="Y1115" s="668"/>
      <c r="Z1115" s="668"/>
      <c r="AA1115" s="668">
        <f t="shared" si="396"/>
        <v>656</v>
      </c>
      <c r="AB1115" s="668"/>
      <c r="AC1115" s="668">
        <f t="shared" si="387"/>
        <v>0</v>
      </c>
      <c r="AD1115" s="668"/>
      <c r="AE1115" s="668"/>
      <c r="AF1115" s="668"/>
      <c r="AG1115" s="668"/>
      <c r="AH1115" s="668"/>
      <c r="AI1115" s="668"/>
      <c r="AJ1115" s="668"/>
      <c r="AK1115" s="668"/>
      <c r="AL1115" s="668"/>
      <c r="AM1115" s="668">
        <f t="shared" si="389"/>
        <v>0</v>
      </c>
      <c r="AN1115" s="668">
        <f t="shared" si="385"/>
        <v>0</v>
      </c>
      <c r="AO1115" s="668">
        <f t="shared" si="386"/>
        <v>0</v>
      </c>
      <c r="AP1115" s="668">
        <f t="shared" si="390"/>
        <v>0</v>
      </c>
      <c r="AQ1115" s="668">
        <f t="shared" si="383"/>
        <v>0</v>
      </c>
      <c r="AR1115" s="668">
        <f t="shared" si="384"/>
        <v>0</v>
      </c>
      <c r="AS1115" s="668"/>
      <c r="AT1115" s="668"/>
      <c r="AU1115" s="668"/>
      <c r="AV1115" s="668"/>
      <c r="AW1115" s="668"/>
      <c r="AX1115" s="668"/>
      <c r="AY1115" s="668"/>
      <c r="AZ1115" s="668"/>
      <c r="BA1115" s="668"/>
      <c r="BB1115" s="668">
        <f t="shared" si="388"/>
        <v>0</v>
      </c>
      <c r="BC1115" s="668"/>
      <c r="BD1115" s="668"/>
      <c r="BE1115" s="668"/>
      <c r="BF1115" s="668"/>
      <c r="BG1115" s="668"/>
      <c r="BH1115" s="668"/>
      <c r="BI1115" s="668"/>
    </row>
    <row r="1116" spans="1:61" x14ac:dyDescent="0.2">
      <c r="A1116" s="1025" t="s">
        <v>967</v>
      </c>
      <c r="B1116" s="1025" t="s">
        <v>975</v>
      </c>
      <c r="C1116" s="1025"/>
      <c r="D1116" s="667"/>
      <c r="E1116" s="667"/>
      <c r="F1116" s="667"/>
      <c r="G1116" s="667"/>
      <c r="H1116" s="667"/>
      <c r="I1116" s="667"/>
      <c r="J1116" s="667"/>
      <c r="K1116" s="667"/>
      <c r="L1116" s="667"/>
      <c r="M1116" s="667"/>
      <c r="N1116" s="667"/>
      <c r="O1116" s="667"/>
      <c r="P1116" s="667"/>
      <c r="Q1116" s="667"/>
      <c r="R1116" s="667"/>
      <c r="S1116" s="667">
        <v>2810</v>
      </c>
      <c r="T1116" s="667"/>
      <c r="U1116" s="1025"/>
      <c r="V1116" s="668"/>
      <c r="W1116" s="668"/>
      <c r="X1116" s="668"/>
      <c r="Y1116" s="668"/>
      <c r="Z1116" s="668"/>
      <c r="AA1116" s="668">
        <f t="shared" si="396"/>
        <v>2810</v>
      </c>
      <c r="AB1116" s="668"/>
      <c r="AC1116" s="668">
        <f t="shared" si="387"/>
        <v>0</v>
      </c>
      <c r="AD1116" s="668"/>
      <c r="AE1116" s="668"/>
      <c r="AF1116" s="668"/>
      <c r="AG1116" s="668"/>
      <c r="AH1116" s="668"/>
      <c r="AI1116" s="668"/>
      <c r="AJ1116" s="668"/>
      <c r="AK1116" s="668"/>
      <c r="AL1116" s="668"/>
      <c r="AM1116" s="668">
        <f t="shared" si="389"/>
        <v>0</v>
      </c>
      <c r="AN1116" s="668">
        <f t="shared" si="385"/>
        <v>0</v>
      </c>
      <c r="AO1116" s="668">
        <f t="shared" si="386"/>
        <v>0</v>
      </c>
      <c r="AP1116" s="668">
        <f t="shared" si="390"/>
        <v>0</v>
      </c>
      <c r="AQ1116" s="668">
        <f t="shared" si="383"/>
        <v>0</v>
      </c>
      <c r="AR1116" s="668">
        <f t="shared" si="384"/>
        <v>0</v>
      </c>
      <c r="AS1116" s="668"/>
      <c r="AT1116" s="668"/>
      <c r="AU1116" s="668"/>
      <c r="AV1116" s="668"/>
      <c r="AW1116" s="668"/>
      <c r="AX1116" s="668"/>
      <c r="AY1116" s="668"/>
      <c r="AZ1116" s="668"/>
      <c r="BA1116" s="668"/>
      <c r="BB1116" s="668">
        <f t="shared" si="388"/>
        <v>0</v>
      </c>
      <c r="BC1116" s="668"/>
      <c r="BD1116" s="668"/>
      <c r="BE1116" s="668"/>
      <c r="BF1116" s="668"/>
      <c r="BG1116" s="668"/>
      <c r="BH1116" s="668"/>
      <c r="BI1116" s="668"/>
    </row>
    <row r="1117" spans="1:61" x14ac:dyDescent="0.2">
      <c r="A1117" s="1021"/>
      <c r="B1117" s="1021"/>
      <c r="C1117" s="1021"/>
      <c r="D1117" s="667"/>
      <c r="E1117" s="667"/>
      <c r="F1117" s="667"/>
      <c r="G1117" s="667"/>
      <c r="H1117" s="667"/>
      <c r="I1117" s="667"/>
      <c r="J1117" s="667"/>
      <c r="K1117" s="667"/>
      <c r="L1117" s="667"/>
      <c r="M1117" s="667"/>
      <c r="N1117" s="667"/>
      <c r="O1117" s="667"/>
      <c r="P1117" s="667"/>
      <c r="Q1117" s="667"/>
      <c r="R1117" s="667"/>
      <c r="S1117" s="667"/>
      <c r="T1117" s="667"/>
      <c r="U1117" s="1021"/>
      <c r="V1117" s="668">
        <f t="shared" si="391"/>
        <v>0</v>
      </c>
      <c r="W1117" s="668">
        <f t="shared" si="392"/>
        <v>0</v>
      </c>
      <c r="X1117" s="668">
        <f t="shared" si="393"/>
        <v>0</v>
      </c>
      <c r="Y1117" s="668">
        <f t="shared" si="394"/>
        <v>0</v>
      </c>
      <c r="Z1117" s="668">
        <f t="shared" si="395"/>
        <v>0</v>
      </c>
      <c r="AA1117" s="668">
        <f t="shared" si="396"/>
        <v>0</v>
      </c>
      <c r="AB1117" s="668">
        <f t="shared" si="397"/>
        <v>0</v>
      </c>
      <c r="AC1117" s="668">
        <f t="shared" si="387"/>
        <v>0</v>
      </c>
      <c r="AD1117" s="668">
        <f t="shared" si="398"/>
        <v>0</v>
      </c>
      <c r="AE1117" s="668">
        <f t="shared" si="399"/>
        <v>0</v>
      </c>
      <c r="AF1117" s="668">
        <f t="shared" si="400"/>
        <v>0</v>
      </c>
      <c r="AG1117" s="668">
        <f t="shared" si="401"/>
        <v>0</v>
      </c>
      <c r="AH1117" s="668"/>
      <c r="AI1117" s="668"/>
      <c r="AJ1117" s="668"/>
      <c r="AK1117" s="668"/>
      <c r="AL1117" s="668"/>
      <c r="AM1117" s="668">
        <f t="shared" si="389"/>
        <v>0</v>
      </c>
      <c r="AN1117" s="668">
        <f t="shared" si="385"/>
        <v>0</v>
      </c>
      <c r="AO1117" s="668">
        <f t="shared" si="386"/>
        <v>0</v>
      </c>
      <c r="AP1117" s="668">
        <f t="shared" si="390"/>
        <v>0</v>
      </c>
      <c r="AQ1117" s="668">
        <f t="shared" si="383"/>
        <v>0</v>
      </c>
      <c r="AR1117" s="668">
        <f t="shared" si="384"/>
        <v>0</v>
      </c>
      <c r="AS1117" s="668"/>
      <c r="AT1117" s="668"/>
      <c r="AU1117" s="668"/>
      <c r="AV1117" s="668"/>
      <c r="AW1117" s="668"/>
      <c r="AX1117" s="668"/>
      <c r="AY1117" s="668"/>
      <c r="AZ1117" s="668"/>
      <c r="BA1117" s="668"/>
      <c r="BB1117" s="668">
        <f t="shared" si="388"/>
        <v>0</v>
      </c>
      <c r="BC1117" s="668"/>
      <c r="BD1117" s="668"/>
      <c r="BE1117" s="668"/>
      <c r="BF1117" s="668"/>
      <c r="BG1117" s="668"/>
      <c r="BH1117" s="668"/>
      <c r="BI1117" s="668"/>
    </row>
    <row r="1118" spans="1:61" x14ac:dyDescent="0.2">
      <c r="A1118" s="1021"/>
      <c r="B1118" s="1019" t="s">
        <v>853</v>
      </c>
      <c r="C1118" s="1021"/>
      <c r="D1118" s="667"/>
      <c r="E1118" s="667"/>
      <c r="F1118" s="667"/>
      <c r="G1118" s="667"/>
      <c r="H1118" s="667"/>
      <c r="I1118" s="667"/>
      <c r="J1118" s="667"/>
      <c r="K1118" s="667"/>
      <c r="L1118" s="667"/>
      <c r="M1118" s="667"/>
      <c r="N1118" s="667"/>
      <c r="O1118" s="667"/>
      <c r="P1118" s="667"/>
      <c r="Q1118" s="667"/>
      <c r="R1118" s="667"/>
      <c r="S1118" s="667"/>
      <c r="T1118" s="667"/>
      <c r="U1118" s="1021"/>
      <c r="V1118" s="668">
        <f t="shared" si="391"/>
        <v>0</v>
      </c>
      <c r="W1118" s="668">
        <f t="shared" si="392"/>
        <v>0</v>
      </c>
      <c r="X1118" s="668">
        <f t="shared" si="393"/>
        <v>0</v>
      </c>
      <c r="Y1118" s="668">
        <f t="shared" si="394"/>
        <v>0</v>
      </c>
      <c r="Z1118" s="668">
        <f t="shared" si="395"/>
        <v>0</v>
      </c>
      <c r="AA1118" s="668">
        <f t="shared" si="396"/>
        <v>0</v>
      </c>
      <c r="AB1118" s="668">
        <f t="shared" si="397"/>
        <v>0</v>
      </c>
      <c r="AC1118" s="668">
        <f t="shared" si="387"/>
        <v>0</v>
      </c>
      <c r="AD1118" s="668">
        <f t="shared" si="398"/>
        <v>0</v>
      </c>
      <c r="AE1118" s="668">
        <f t="shared" si="399"/>
        <v>0</v>
      </c>
      <c r="AF1118" s="668">
        <f t="shared" si="400"/>
        <v>0</v>
      </c>
      <c r="AG1118" s="668">
        <f t="shared" si="401"/>
        <v>0</v>
      </c>
      <c r="AH1118" s="668"/>
      <c r="AI1118" s="668"/>
      <c r="AJ1118" s="668"/>
      <c r="AK1118" s="668"/>
      <c r="AL1118" s="668"/>
      <c r="AM1118" s="668">
        <f t="shared" si="389"/>
        <v>0</v>
      </c>
      <c r="AN1118" s="668">
        <f t="shared" si="385"/>
        <v>0</v>
      </c>
      <c r="AO1118" s="668">
        <f t="shared" si="386"/>
        <v>0</v>
      </c>
      <c r="AP1118" s="668">
        <f t="shared" si="390"/>
        <v>0</v>
      </c>
      <c r="AQ1118" s="668">
        <f t="shared" si="383"/>
        <v>0</v>
      </c>
      <c r="AR1118" s="668">
        <f t="shared" si="384"/>
        <v>0</v>
      </c>
      <c r="AS1118" s="668">
        <v>2</v>
      </c>
      <c r="AT1118" s="668">
        <v>2</v>
      </c>
      <c r="AU1118" s="668"/>
      <c r="AV1118" s="668"/>
      <c r="AW1118" s="668"/>
      <c r="AX1118" s="668"/>
      <c r="AY1118" s="668"/>
      <c r="AZ1118" s="668"/>
      <c r="BA1118" s="668"/>
      <c r="BB1118" s="668">
        <f t="shared" si="388"/>
        <v>0</v>
      </c>
      <c r="BC1118" s="668"/>
      <c r="BD1118" s="668"/>
      <c r="BE1118" s="668"/>
      <c r="BF1118" s="668"/>
      <c r="BG1118" s="668"/>
      <c r="BH1118" s="668"/>
      <c r="BI1118" s="668"/>
    </row>
    <row r="1119" spans="1:61" x14ac:dyDescent="0.2">
      <c r="A1119" s="1021">
        <v>2181</v>
      </c>
      <c r="B1119" s="1021" t="s">
        <v>845</v>
      </c>
      <c r="C1119" s="1021"/>
      <c r="D1119" s="667"/>
      <c r="E1119" s="667"/>
      <c r="F1119" s="667"/>
      <c r="G1119" s="667"/>
      <c r="H1119" s="667"/>
      <c r="I1119" s="667"/>
      <c r="J1119" s="667"/>
      <c r="K1119" s="667"/>
      <c r="L1119" s="667"/>
      <c r="M1119" s="667"/>
      <c r="N1119" s="667"/>
      <c r="O1119" s="667"/>
      <c r="P1119" s="667"/>
      <c r="Q1119" s="667"/>
      <c r="R1119" s="667"/>
      <c r="S1119" s="667"/>
      <c r="T1119" s="667"/>
      <c r="U1119" s="1021"/>
      <c r="V1119" s="668">
        <f t="shared" si="391"/>
        <v>0</v>
      </c>
      <c r="W1119" s="668">
        <f t="shared" si="392"/>
        <v>0</v>
      </c>
      <c r="X1119" s="668">
        <f t="shared" si="393"/>
        <v>0</v>
      </c>
      <c r="Y1119" s="668">
        <f t="shared" si="394"/>
        <v>0</v>
      </c>
      <c r="Z1119" s="668">
        <f t="shared" si="395"/>
        <v>0</v>
      </c>
      <c r="AA1119" s="668">
        <f t="shared" si="396"/>
        <v>0</v>
      </c>
      <c r="AB1119" s="668">
        <f t="shared" si="397"/>
        <v>0</v>
      </c>
      <c r="AC1119" s="668">
        <f t="shared" si="387"/>
        <v>0</v>
      </c>
      <c r="AD1119" s="668">
        <f t="shared" si="398"/>
        <v>0</v>
      </c>
      <c r="AE1119" s="668">
        <f t="shared" si="399"/>
        <v>0</v>
      </c>
      <c r="AF1119" s="668">
        <f t="shared" si="400"/>
        <v>0</v>
      </c>
      <c r="AG1119" s="668">
        <f t="shared" si="401"/>
        <v>0</v>
      </c>
      <c r="AH1119" s="668"/>
      <c r="AI1119" s="668"/>
      <c r="AJ1119" s="668"/>
      <c r="AK1119" s="668"/>
      <c r="AL1119" s="668"/>
      <c r="AM1119" s="668">
        <f t="shared" si="389"/>
        <v>0</v>
      </c>
      <c r="AN1119" s="668">
        <f t="shared" si="385"/>
        <v>0</v>
      </c>
      <c r="AO1119" s="668">
        <f t="shared" si="386"/>
        <v>0</v>
      </c>
      <c r="AP1119" s="668">
        <f t="shared" si="390"/>
        <v>0</v>
      </c>
      <c r="AQ1119" s="668">
        <f t="shared" si="383"/>
        <v>0</v>
      </c>
      <c r="AR1119" s="668">
        <f t="shared" si="384"/>
        <v>0</v>
      </c>
      <c r="AS1119" s="668"/>
      <c r="AT1119" s="668"/>
      <c r="AU1119" s="668"/>
      <c r="AV1119" s="668"/>
      <c r="AW1119" s="668"/>
      <c r="AX1119" s="668"/>
      <c r="AY1119" s="668"/>
      <c r="AZ1119" s="668"/>
      <c r="BA1119" s="668"/>
      <c r="BB1119" s="668">
        <f t="shared" si="388"/>
        <v>0</v>
      </c>
      <c r="BC1119" s="668"/>
      <c r="BD1119" s="668"/>
      <c r="BE1119" s="668"/>
      <c r="BF1119" s="668"/>
      <c r="BG1119" s="668"/>
      <c r="BH1119" s="668"/>
      <c r="BI1119" s="668"/>
    </row>
    <row r="1120" spans="1:61" x14ac:dyDescent="0.2">
      <c r="A1120" s="1021">
        <v>6000</v>
      </c>
      <c r="B1120" s="1021" t="s">
        <v>465</v>
      </c>
      <c r="C1120" s="1021" t="s">
        <v>984</v>
      </c>
      <c r="D1120" s="667">
        <v>280</v>
      </c>
      <c r="E1120" s="667"/>
      <c r="F1120" s="667"/>
      <c r="G1120" s="667"/>
      <c r="H1120" s="667"/>
      <c r="I1120" s="667">
        <f>+D1120</f>
        <v>280</v>
      </c>
      <c r="J1120" s="667"/>
      <c r="K1120" s="667"/>
      <c r="L1120" s="667"/>
      <c r="M1120" s="667"/>
      <c r="N1120" s="667"/>
      <c r="O1120" s="667"/>
      <c r="P1120" s="667"/>
      <c r="Q1120" s="667"/>
      <c r="R1120" s="667"/>
      <c r="S1120" s="667"/>
      <c r="T1120" s="667"/>
      <c r="U1120" s="1021">
        <v>12</v>
      </c>
      <c r="V1120" s="668">
        <f t="shared" si="391"/>
        <v>3360</v>
      </c>
      <c r="W1120" s="668">
        <f t="shared" si="392"/>
        <v>0</v>
      </c>
      <c r="X1120" s="668">
        <f t="shared" si="393"/>
        <v>0</v>
      </c>
      <c r="Y1120" s="668">
        <f t="shared" si="394"/>
        <v>0</v>
      </c>
      <c r="Z1120" s="668">
        <f t="shared" si="395"/>
        <v>3360</v>
      </c>
      <c r="AA1120" s="668">
        <f t="shared" si="396"/>
        <v>0</v>
      </c>
      <c r="AB1120" s="668">
        <f t="shared" si="397"/>
        <v>0</v>
      </c>
      <c r="AC1120" s="668">
        <f t="shared" si="387"/>
        <v>0</v>
      </c>
      <c r="AD1120" s="668">
        <f t="shared" si="398"/>
        <v>0</v>
      </c>
      <c r="AE1120" s="668">
        <f t="shared" si="399"/>
        <v>0</v>
      </c>
      <c r="AF1120" s="668">
        <f t="shared" si="400"/>
        <v>0</v>
      </c>
      <c r="AG1120" s="668">
        <f t="shared" si="401"/>
        <v>0</v>
      </c>
      <c r="AH1120" s="668"/>
      <c r="AI1120" s="668"/>
      <c r="AJ1120" s="668"/>
      <c r="AK1120" s="668"/>
      <c r="AL1120" s="668"/>
      <c r="AM1120" s="668">
        <f t="shared" si="389"/>
        <v>280</v>
      </c>
      <c r="AN1120" s="668">
        <f t="shared" si="385"/>
        <v>0</v>
      </c>
      <c r="AO1120" s="668">
        <f t="shared" si="386"/>
        <v>0</v>
      </c>
      <c r="AP1120" s="668">
        <f t="shared" si="390"/>
        <v>0</v>
      </c>
      <c r="AQ1120" s="668">
        <f t="shared" si="383"/>
        <v>0</v>
      </c>
      <c r="AR1120" s="668">
        <f t="shared" si="384"/>
        <v>0</v>
      </c>
      <c r="AS1120" s="668"/>
      <c r="AT1120" s="668"/>
      <c r="AU1120" s="668"/>
      <c r="AV1120" s="668"/>
      <c r="AW1120" s="668"/>
      <c r="AX1120" s="668"/>
      <c r="AY1120" s="668"/>
      <c r="AZ1120" s="668"/>
      <c r="BA1120" s="668"/>
      <c r="BB1120" s="668">
        <f t="shared" si="388"/>
        <v>0</v>
      </c>
      <c r="BC1120" s="668"/>
      <c r="BD1120" s="668"/>
      <c r="BE1120" s="668"/>
      <c r="BF1120" s="668"/>
      <c r="BG1120" s="668"/>
      <c r="BH1120" s="668"/>
      <c r="BI1120" s="668"/>
    </row>
    <row r="1121" spans="1:61" x14ac:dyDescent="0.2">
      <c r="A1121" s="1021">
        <v>6001</v>
      </c>
      <c r="B1121" s="1021" t="s">
        <v>465</v>
      </c>
      <c r="C1121" s="1021" t="s">
        <v>984</v>
      </c>
      <c r="D1121" s="667">
        <v>20</v>
      </c>
      <c r="E1121" s="667">
        <v>43</v>
      </c>
      <c r="F1121" s="667"/>
      <c r="G1121" s="667"/>
      <c r="H1121" s="667"/>
      <c r="I1121" s="667">
        <f>+D1121+E1121</f>
        <v>63</v>
      </c>
      <c r="J1121" s="667"/>
      <c r="K1121" s="667"/>
      <c r="L1121" s="667"/>
      <c r="M1121" s="667"/>
      <c r="N1121" s="667"/>
      <c r="O1121" s="667"/>
      <c r="P1121" s="667"/>
      <c r="Q1121" s="667"/>
      <c r="R1121" s="667"/>
      <c r="S1121" s="667"/>
      <c r="T1121" s="667"/>
      <c r="U1121" s="1021">
        <v>12</v>
      </c>
      <c r="V1121" s="668">
        <f t="shared" si="391"/>
        <v>240</v>
      </c>
      <c r="W1121" s="668">
        <f t="shared" si="392"/>
        <v>0</v>
      </c>
      <c r="X1121" s="668">
        <f t="shared" si="393"/>
        <v>0</v>
      </c>
      <c r="Y1121" s="668">
        <f t="shared" si="394"/>
        <v>0</v>
      </c>
      <c r="Z1121" s="668">
        <f t="shared" si="395"/>
        <v>240</v>
      </c>
      <c r="AA1121" s="668">
        <f t="shared" si="396"/>
        <v>0</v>
      </c>
      <c r="AB1121" s="668">
        <f t="shared" si="397"/>
        <v>0</v>
      </c>
      <c r="AC1121" s="668">
        <f t="shared" si="387"/>
        <v>0</v>
      </c>
      <c r="AD1121" s="668">
        <f t="shared" si="398"/>
        <v>0</v>
      </c>
      <c r="AE1121" s="668">
        <f t="shared" si="399"/>
        <v>0</v>
      </c>
      <c r="AF1121" s="668">
        <f t="shared" si="400"/>
        <v>0</v>
      </c>
      <c r="AG1121" s="668">
        <f t="shared" si="401"/>
        <v>0</v>
      </c>
      <c r="AH1121" s="668"/>
      <c r="AI1121" s="668"/>
      <c r="AJ1121" s="668"/>
      <c r="AK1121" s="668"/>
      <c r="AL1121" s="668"/>
      <c r="AM1121" s="668">
        <f t="shared" si="389"/>
        <v>63</v>
      </c>
      <c r="AN1121" s="668">
        <f t="shared" si="385"/>
        <v>516</v>
      </c>
      <c r="AO1121" s="668">
        <f t="shared" si="386"/>
        <v>0</v>
      </c>
      <c r="AP1121" s="668">
        <f t="shared" si="390"/>
        <v>0</v>
      </c>
      <c r="AQ1121" s="668">
        <f t="shared" si="383"/>
        <v>0</v>
      </c>
      <c r="AR1121" s="668">
        <f t="shared" si="384"/>
        <v>0</v>
      </c>
      <c r="AS1121" s="668"/>
      <c r="AT1121" s="668"/>
      <c r="AU1121" s="668"/>
      <c r="AV1121" s="668"/>
      <c r="AW1121" s="668"/>
      <c r="AX1121" s="668"/>
      <c r="AY1121" s="668"/>
      <c r="AZ1121" s="668"/>
      <c r="BA1121" s="668"/>
      <c r="BB1121" s="668">
        <f t="shared" si="388"/>
        <v>0</v>
      </c>
      <c r="BC1121" s="668"/>
      <c r="BD1121" s="668"/>
      <c r="BE1121" s="668"/>
      <c r="BF1121" s="668"/>
      <c r="BG1121" s="668"/>
      <c r="BH1121" s="668"/>
      <c r="BI1121" s="668"/>
    </row>
    <row r="1122" spans="1:61" x14ac:dyDescent="0.2">
      <c r="A1122" s="1021" t="s">
        <v>854</v>
      </c>
      <c r="B1122" s="1021" t="s">
        <v>533</v>
      </c>
      <c r="C1122" s="1021"/>
      <c r="D1122" s="667"/>
      <c r="E1122" s="667"/>
      <c r="F1122" s="667"/>
      <c r="G1122" s="667"/>
      <c r="H1122" s="667"/>
      <c r="I1122" s="667"/>
      <c r="J1122" s="667"/>
      <c r="K1122" s="667"/>
      <c r="L1122" s="667"/>
      <c r="M1122" s="667"/>
      <c r="N1122" s="667"/>
      <c r="O1122" s="667"/>
      <c r="P1122" s="667"/>
      <c r="Q1122" s="667"/>
      <c r="R1122" s="667"/>
      <c r="S1122" s="667"/>
      <c r="T1122" s="667"/>
      <c r="U1122" s="1021"/>
      <c r="V1122" s="668">
        <f t="shared" si="391"/>
        <v>0</v>
      </c>
      <c r="W1122" s="668">
        <f t="shared" si="392"/>
        <v>0</v>
      </c>
      <c r="X1122" s="668">
        <f t="shared" si="393"/>
        <v>0</v>
      </c>
      <c r="Y1122" s="668">
        <f t="shared" si="394"/>
        <v>0</v>
      </c>
      <c r="Z1122" s="668">
        <f t="shared" si="395"/>
        <v>0</v>
      </c>
      <c r="AA1122" s="668">
        <f t="shared" si="396"/>
        <v>0</v>
      </c>
      <c r="AB1122" s="668">
        <f t="shared" si="397"/>
        <v>0</v>
      </c>
      <c r="AC1122" s="668">
        <f t="shared" si="387"/>
        <v>0</v>
      </c>
      <c r="AD1122" s="668">
        <f t="shared" si="398"/>
        <v>0</v>
      </c>
      <c r="AE1122" s="668">
        <f t="shared" si="399"/>
        <v>0</v>
      </c>
      <c r="AF1122" s="668">
        <f t="shared" si="400"/>
        <v>0</v>
      </c>
      <c r="AG1122" s="668">
        <f t="shared" si="401"/>
        <v>0</v>
      </c>
      <c r="AH1122" s="668"/>
      <c r="AI1122" s="668"/>
      <c r="AJ1122" s="668"/>
      <c r="AK1122" s="668"/>
      <c r="AL1122" s="668"/>
      <c r="AM1122" s="668">
        <f t="shared" si="389"/>
        <v>0</v>
      </c>
      <c r="AN1122" s="668">
        <f t="shared" si="385"/>
        <v>0</v>
      </c>
      <c r="AO1122" s="668">
        <f t="shared" si="386"/>
        <v>0</v>
      </c>
      <c r="AP1122" s="668">
        <f t="shared" si="390"/>
        <v>0</v>
      </c>
      <c r="AQ1122" s="668">
        <f t="shared" si="383"/>
        <v>0</v>
      </c>
      <c r="AR1122" s="668">
        <f t="shared" si="384"/>
        <v>0</v>
      </c>
      <c r="AS1122" s="668"/>
      <c r="AT1122" s="668"/>
      <c r="AU1122" s="668"/>
      <c r="AV1122" s="668"/>
      <c r="AW1122" s="668"/>
      <c r="AX1122" s="668"/>
      <c r="AY1122" s="668"/>
      <c r="AZ1122" s="668"/>
      <c r="BA1122" s="668"/>
      <c r="BB1122" s="668">
        <f t="shared" si="388"/>
        <v>0</v>
      </c>
      <c r="BC1122" s="668"/>
      <c r="BD1122" s="668"/>
      <c r="BE1122" s="668"/>
      <c r="BF1122" s="668"/>
      <c r="BG1122" s="668"/>
      <c r="BH1122" s="668"/>
      <c r="BI1122" s="668"/>
    </row>
    <row r="1123" spans="1:61" x14ac:dyDescent="0.2">
      <c r="A1123" s="1021" t="s">
        <v>855</v>
      </c>
      <c r="B1123" s="1021" t="s">
        <v>543</v>
      </c>
      <c r="C1123" s="1021"/>
      <c r="D1123" s="667"/>
      <c r="E1123" s="667"/>
      <c r="F1123" s="667"/>
      <c r="G1123" s="667"/>
      <c r="H1123" s="667"/>
      <c r="I1123" s="667"/>
      <c r="J1123" s="667"/>
      <c r="K1123" s="667"/>
      <c r="L1123" s="667"/>
      <c r="M1123" s="667"/>
      <c r="N1123" s="667"/>
      <c r="O1123" s="667"/>
      <c r="P1123" s="667"/>
      <c r="Q1123" s="667"/>
      <c r="R1123" s="667"/>
      <c r="S1123" s="667"/>
      <c r="T1123" s="667"/>
      <c r="U1123" s="1021"/>
      <c r="V1123" s="668">
        <f t="shared" si="391"/>
        <v>0</v>
      </c>
      <c r="W1123" s="668">
        <f t="shared" si="392"/>
        <v>0</v>
      </c>
      <c r="X1123" s="668">
        <f t="shared" si="393"/>
        <v>0</v>
      </c>
      <c r="Y1123" s="668">
        <f t="shared" si="394"/>
        <v>0</v>
      </c>
      <c r="Z1123" s="668">
        <f t="shared" si="395"/>
        <v>0</v>
      </c>
      <c r="AA1123" s="668">
        <f t="shared" si="396"/>
        <v>0</v>
      </c>
      <c r="AB1123" s="668">
        <f t="shared" si="397"/>
        <v>0</v>
      </c>
      <c r="AC1123" s="668">
        <f t="shared" si="387"/>
        <v>0</v>
      </c>
      <c r="AD1123" s="668">
        <f t="shared" si="398"/>
        <v>0</v>
      </c>
      <c r="AE1123" s="668">
        <f t="shared" si="399"/>
        <v>0</v>
      </c>
      <c r="AF1123" s="668">
        <f t="shared" si="400"/>
        <v>0</v>
      </c>
      <c r="AG1123" s="668">
        <f t="shared" si="401"/>
        <v>0</v>
      </c>
      <c r="AH1123" s="668"/>
      <c r="AI1123" s="668"/>
      <c r="AJ1123" s="668"/>
      <c r="AK1123" s="668"/>
      <c r="AL1123" s="668"/>
      <c r="AM1123" s="668">
        <f t="shared" si="389"/>
        <v>0</v>
      </c>
      <c r="AN1123" s="668">
        <f t="shared" si="385"/>
        <v>0</v>
      </c>
      <c r="AO1123" s="668">
        <f t="shared" si="386"/>
        <v>0</v>
      </c>
      <c r="AP1123" s="668">
        <f t="shared" si="390"/>
        <v>0</v>
      </c>
      <c r="AQ1123" s="668">
        <f t="shared" si="383"/>
        <v>0</v>
      </c>
      <c r="AR1123" s="668">
        <f t="shared" si="384"/>
        <v>0</v>
      </c>
      <c r="AS1123" s="668"/>
      <c r="AT1123" s="668"/>
      <c r="AU1123" s="668"/>
      <c r="AV1123" s="668"/>
      <c r="AW1123" s="668"/>
      <c r="AX1123" s="668"/>
      <c r="AY1123" s="668"/>
      <c r="AZ1123" s="668"/>
      <c r="BA1123" s="668"/>
      <c r="BB1123" s="668">
        <f t="shared" si="388"/>
        <v>0</v>
      </c>
      <c r="BC1123" s="668"/>
      <c r="BD1123" s="668"/>
      <c r="BE1123" s="668"/>
      <c r="BF1123" s="668"/>
      <c r="BG1123" s="668"/>
      <c r="BH1123" s="668"/>
      <c r="BI1123" s="668"/>
    </row>
    <row r="1124" spans="1:61" x14ac:dyDescent="0.2">
      <c r="A1124" s="1021">
        <v>6004</v>
      </c>
      <c r="B1124" s="1021" t="s">
        <v>466</v>
      </c>
      <c r="C1124" s="1021"/>
      <c r="D1124" s="667">
        <v>60</v>
      </c>
      <c r="E1124" s="667"/>
      <c r="F1124" s="667"/>
      <c r="G1124" s="667"/>
      <c r="H1124" s="667"/>
      <c r="I1124" s="667"/>
      <c r="J1124" s="667"/>
      <c r="K1124" s="667"/>
      <c r="L1124" s="667"/>
      <c r="M1124" s="667"/>
      <c r="N1124" s="667"/>
      <c r="O1124" s="667"/>
      <c r="P1124" s="667"/>
      <c r="Q1124" s="667"/>
      <c r="R1124" s="667"/>
      <c r="S1124" s="667"/>
      <c r="T1124" s="667"/>
      <c r="U1124" s="1021">
        <v>3</v>
      </c>
      <c r="V1124" s="668">
        <f t="shared" si="391"/>
        <v>180</v>
      </c>
      <c r="W1124" s="668">
        <f t="shared" si="392"/>
        <v>0</v>
      </c>
      <c r="X1124" s="668">
        <f t="shared" si="393"/>
        <v>0</v>
      </c>
      <c r="Y1124" s="668">
        <f t="shared" si="394"/>
        <v>0</v>
      </c>
      <c r="Z1124" s="668">
        <f t="shared" si="395"/>
        <v>0</v>
      </c>
      <c r="AA1124" s="668">
        <f t="shared" si="396"/>
        <v>0</v>
      </c>
      <c r="AB1124" s="668">
        <f t="shared" si="397"/>
        <v>0</v>
      </c>
      <c r="AC1124" s="668">
        <f t="shared" si="387"/>
        <v>0</v>
      </c>
      <c r="AD1124" s="668">
        <f t="shared" si="398"/>
        <v>0</v>
      </c>
      <c r="AE1124" s="668">
        <f t="shared" si="399"/>
        <v>0</v>
      </c>
      <c r="AF1124" s="668">
        <f t="shared" si="400"/>
        <v>0</v>
      </c>
      <c r="AG1124" s="668">
        <f t="shared" si="401"/>
        <v>0</v>
      </c>
      <c r="AH1124" s="668"/>
      <c r="AI1124" s="668"/>
      <c r="AJ1124" s="668"/>
      <c r="AK1124" s="668"/>
      <c r="AL1124" s="668"/>
      <c r="AM1124" s="668">
        <f t="shared" si="389"/>
        <v>0</v>
      </c>
      <c r="AN1124" s="668">
        <f t="shared" si="385"/>
        <v>0</v>
      </c>
      <c r="AO1124" s="668">
        <f t="shared" si="386"/>
        <v>0</v>
      </c>
      <c r="AP1124" s="668">
        <f t="shared" si="390"/>
        <v>0</v>
      </c>
      <c r="AQ1124" s="668">
        <f t="shared" si="383"/>
        <v>0</v>
      </c>
      <c r="AR1124" s="668">
        <f t="shared" si="384"/>
        <v>0</v>
      </c>
      <c r="AS1124" s="668"/>
      <c r="AT1124" s="668"/>
      <c r="AU1124" s="668"/>
      <c r="AV1124" s="668"/>
      <c r="AW1124" s="668"/>
      <c r="AX1124" s="668"/>
      <c r="AY1124" s="668"/>
      <c r="AZ1124" s="668"/>
      <c r="BA1124" s="668"/>
      <c r="BB1124" s="668">
        <f t="shared" si="388"/>
        <v>0</v>
      </c>
      <c r="BC1124" s="668"/>
      <c r="BD1124" s="668"/>
      <c r="BE1124" s="668"/>
      <c r="BF1124" s="668"/>
      <c r="BG1124" s="668"/>
      <c r="BH1124" s="668"/>
      <c r="BI1124" s="668"/>
    </row>
    <row r="1125" spans="1:61" x14ac:dyDescent="0.2">
      <c r="A1125" s="1021">
        <v>6005</v>
      </c>
      <c r="B1125" s="1021" t="s">
        <v>467</v>
      </c>
      <c r="C1125" s="1021"/>
      <c r="D1125" s="667">
        <v>60</v>
      </c>
      <c r="E1125" s="667"/>
      <c r="F1125" s="667"/>
      <c r="G1125" s="667"/>
      <c r="H1125" s="667"/>
      <c r="I1125" s="667"/>
      <c r="J1125" s="667"/>
      <c r="K1125" s="667"/>
      <c r="L1125" s="667"/>
      <c r="M1125" s="667"/>
      <c r="N1125" s="667"/>
      <c r="O1125" s="667"/>
      <c r="P1125" s="667"/>
      <c r="Q1125" s="667"/>
      <c r="R1125" s="667"/>
      <c r="S1125" s="667"/>
      <c r="T1125" s="667"/>
      <c r="U1125" s="1021">
        <v>3</v>
      </c>
      <c r="V1125" s="668">
        <f t="shared" si="391"/>
        <v>180</v>
      </c>
      <c r="W1125" s="668">
        <f t="shared" si="392"/>
        <v>0</v>
      </c>
      <c r="X1125" s="668">
        <f t="shared" si="393"/>
        <v>0</v>
      </c>
      <c r="Y1125" s="668">
        <f t="shared" si="394"/>
        <v>0</v>
      </c>
      <c r="Z1125" s="668">
        <f t="shared" si="395"/>
        <v>0</v>
      </c>
      <c r="AA1125" s="668">
        <f t="shared" si="396"/>
        <v>0</v>
      </c>
      <c r="AB1125" s="668">
        <f t="shared" si="397"/>
        <v>0</v>
      </c>
      <c r="AC1125" s="668">
        <f t="shared" si="387"/>
        <v>0</v>
      </c>
      <c r="AD1125" s="668">
        <f t="shared" si="398"/>
        <v>0</v>
      </c>
      <c r="AE1125" s="668">
        <f t="shared" si="399"/>
        <v>0</v>
      </c>
      <c r="AF1125" s="668">
        <f t="shared" si="400"/>
        <v>0</v>
      </c>
      <c r="AG1125" s="668">
        <f t="shared" si="401"/>
        <v>0</v>
      </c>
      <c r="AH1125" s="668"/>
      <c r="AI1125" s="668"/>
      <c r="AJ1125" s="668"/>
      <c r="AK1125" s="668"/>
      <c r="AL1125" s="668"/>
      <c r="AM1125" s="668">
        <f t="shared" si="389"/>
        <v>0</v>
      </c>
      <c r="AN1125" s="668">
        <f t="shared" si="385"/>
        <v>0</v>
      </c>
      <c r="AO1125" s="668">
        <f t="shared" si="386"/>
        <v>0</v>
      </c>
      <c r="AP1125" s="668">
        <f t="shared" si="390"/>
        <v>0</v>
      </c>
      <c r="AQ1125" s="668">
        <f t="shared" si="383"/>
        <v>0</v>
      </c>
      <c r="AR1125" s="668">
        <f t="shared" si="384"/>
        <v>0</v>
      </c>
      <c r="AS1125" s="668"/>
      <c r="AT1125" s="668"/>
      <c r="AU1125" s="668"/>
      <c r="AV1125" s="668"/>
      <c r="AW1125" s="668"/>
      <c r="AX1125" s="668"/>
      <c r="AY1125" s="668"/>
      <c r="AZ1125" s="668"/>
      <c r="BA1125" s="668"/>
      <c r="BB1125" s="668">
        <f t="shared" si="388"/>
        <v>0</v>
      </c>
      <c r="BC1125" s="668"/>
      <c r="BD1125" s="668"/>
      <c r="BE1125" s="668"/>
      <c r="BF1125" s="668"/>
      <c r="BG1125" s="668"/>
      <c r="BH1125" s="668"/>
      <c r="BI1125" s="668"/>
    </row>
    <row r="1126" spans="1:61" x14ac:dyDescent="0.2">
      <c r="A1126" s="1021">
        <v>6006</v>
      </c>
      <c r="B1126" s="1021" t="s">
        <v>856</v>
      </c>
      <c r="C1126" s="1021"/>
      <c r="D1126" s="667">
        <v>18</v>
      </c>
      <c r="E1126" s="667"/>
      <c r="F1126" s="667"/>
      <c r="G1126" s="667"/>
      <c r="H1126" s="667"/>
      <c r="I1126" s="667"/>
      <c r="J1126" s="667"/>
      <c r="K1126" s="667"/>
      <c r="L1126" s="667"/>
      <c r="M1126" s="667"/>
      <c r="N1126" s="667"/>
      <c r="O1126" s="667"/>
      <c r="P1126" s="667"/>
      <c r="Q1126" s="667"/>
      <c r="R1126" s="667"/>
      <c r="S1126" s="667"/>
      <c r="T1126" s="667"/>
      <c r="U1126" s="1021">
        <v>10</v>
      </c>
      <c r="V1126" s="668">
        <f t="shared" si="391"/>
        <v>180</v>
      </c>
      <c r="W1126" s="668">
        <f t="shared" si="392"/>
        <v>0</v>
      </c>
      <c r="X1126" s="668">
        <f t="shared" si="393"/>
        <v>0</v>
      </c>
      <c r="Y1126" s="668">
        <f t="shared" si="394"/>
        <v>0</v>
      </c>
      <c r="Z1126" s="668">
        <f t="shared" si="395"/>
        <v>0</v>
      </c>
      <c r="AA1126" s="668">
        <f t="shared" si="396"/>
        <v>0</v>
      </c>
      <c r="AB1126" s="668">
        <f t="shared" si="397"/>
        <v>0</v>
      </c>
      <c r="AC1126" s="668">
        <f t="shared" si="387"/>
        <v>0</v>
      </c>
      <c r="AD1126" s="668">
        <f t="shared" si="398"/>
        <v>0</v>
      </c>
      <c r="AE1126" s="668">
        <f t="shared" si="399"/>
        <v>0</v>
      </c>
      <c r="AF1126" s="668">
        <f t="shared" si="400"/>
        <v>0</v>
      </c>
      <c r="AG1126" s="668">
        <f t="shared" si="401"/>
        <v>0</v>
      </c>
      <c r="AH1126" s="668"/>
      <c r="AI1126" s="668"/>
      <c r="AJ1126" s="668"/>
      <c r="AK1126" s="668"/>
      <c r="AL1126" s="668"/>
      <c r="AM1126" s="668">
        <f t="shared" si="389"/>
        <v>0</v>
      </c>
      <c r="AN1126" s="668">
        <f t="shared" si="385"/>
        <v>0</v>
      </c>
      <c r="AO1126" s="668">
        <f t="shared" si="386"/>
        <v>0</v>
      </c>
      <c r="AP1126" s="668">
        <f t="shared" si="390"/>
        <v>0</v>
      </c>
      <c r="AQ1126" s="668">
        <f t="shared" si="383"/>
        <v>0</v>
      </c>
      <c r="AR1126" s="668">
        <f t="shared" si="384"/>
        <v>0</v>
      </c>
      <c r="AS1126" s="668"/>
      <c r="AT1126" s="668"/>
      <c r="AU1126" s="668"/>
      <c r="AV1126" s="668"/>
      <c r="AW1126" s="668"/>
      <c r="AX1126" s="668"/>
      <c r="AY1126" s="668"/>
      <c r="AZ1126" s="668"/>
      <c r="BA1126" s="668"/>
      <c r="BB1126" s="668">
        <f t="shared" si="388"/>
        <v>0</v>
      </c>
      <c r="BC1126" s="668"/>
      <c r="BD1126" s="668"/>
      <c r="BE1126" s="668"/>
      <c r="BF1126" s="668"/>
      <c r="BG1126" s="668"/>
      <c r="BH1126" s="668"/>
      <c r="BI1126" s="668"/>
    </row>
    <row r="1127" spans="1:61" x14ac:dyDescent="0.2">
      <c r="A1127" s="1021">
        <v>6007</v>
      </c>
      <c r="B1127" s="1021" t="s">
        <v>465</v>
      </c>
      <c r="C1127" s="1021" t="s">
        <v>984</v>
      </c>
      <c r="D1127" s="667"/>
      <c r="E1127" s="667">
        <v>43</v>
      </c>
      <c r="F1127" s="667"/>
      <c r="G1127" s="667"/>
      <c r="H1127" s="667"/>
      <c r="I1127" s="667">
        <f>+D1127+E1127</f>
        <v>43</v>
      </c>
      <c r="J1127" s="667"/>
      <c r="K1127" s="667"/>
      <c r="L1127" s="667"/>
      <c r="M1127" s="667"/>
      <c r="N1127" s="667"/>
      <c r="O1127" s="667"/>
      <c r="P1127" s="667"/>
      <c r="Q1127" s="667"/>
      <c r="R1127" s="667"/>
      <c r="S1127" s="667"/>
      <c r="T1127" s="667"/>
      <c r="U1127" s="1021">
        <v>12</v>
      </c>
      <c r="V1127" s="668">
        <f t="shared" si="391"/>
        <v>0</v>
      </c>
      <c r="W1127" s="668">
        <f t="shared" si="392"/>
        <v>0</v>
      </c>
      <c r="X1127" s="668">
        <f t="shared" si="393"/>
        <v>0</v>
      </c>
      <c r="Y1127" s="668">
        <f t="shared" si="394"/>
        <v>0</v>
      </c>
      <c r="Z1127" s="668">
        <f t="shared" si="395"/>
        <v>0</v>
      </c>
      <c r="AA1127" s="668">
        <f t="shared" si="396"/>
        <v>0</v>
      </c>
      <c r="AB1127" s="668">
        <f t="shared" si="397"/>
        <v>0</v>
      </c>
      <c r="AC1127" s="668">
        <f t="shared" si="387"/>
        <v>0</v>
      </c>
      <c r="AD1127" s="668">
        <f t="shared" si="398"/>
        <v>0</v>
      </c>
      <c r="AE1127" s="668">
        <f t="shared" si="399"/>
        <v>0</v>
      </c>
      <c r="AF1127" s="668">
        <f t="shared" si="400"/>
        <v>0</v>
      </c>
      <c r="AG1127" s="668">
        <f t="shared" si="401"/>
        <v>0</v>
      </c>
      <c r="AH1127" s="668"/>
      <c r="AI1127" s="668"/>
      <c r="AJ1127" s="668"/>
      <c r="AK1127" s="668"/>
      <c r="AL1127" s="668"/>
      <c r="AM1127" s="668">
        <f t="shared" si="389"/>
        <v>43</v>
      </c>
      <c r="AN1127" s="668">
        <f t="shared" si="385"/>
        <v>516</v>
      </c>
      <c r="AO1127" s="668">
        <f t="shared" si="386"/>
        <v>0</v>
      </c>
      <c r="AP1127" s="668">
        <f t="shared" si="390"/>
        <v>0</v>
      </c>
      <c r="AQ1127" s="668">
        <f t="shared" si="383"/>
        <v>0</v>
      </c>
      <c r="AR1127" s="668">
        <f t="shared" si="384"/>
        <v>0</v>
      </c>
      <c r="AS1127" s="668"/>
      <c r="AT1127" s="668"/>
      <c r="AU1127" s="668"/>
      <c r="AV1127" s="668"/>
      <c r="AW1127" s="668"/>
      <c r="AX1127" s="668"/>
      <c r="AY1127" s="668"/>
      <c r="AZ1127" s="668"/>
      <c r="BA1127" s="668"/>
      <c r="BB1127" s="668">
        <f t="shared" si="388"/>
        <v>0</v>
      </c>
      <c r="BC1127" s="668"/>
      <c r="BD1127" s="668"/>
      <c r="BE1127" s="668"/>
      <c r="BF1127" s="668"/>
      <c r="BG1127" s="668"/>
      <c r="BH1127" s="668"/>
      <c r="BI1127" s="668"/>
    </row>
    <row r="1128" spans="1:61" x14ac:dyDescent="0.2">
      <c r="A1128" s="1021">
        <v>6008</v>
      </c>
      <c r="B1128" s="1021" t="s">
        <v>476</v>
      </c>
      <c r="C1128" s="1021"/>
      <c r="D1128" s="667">
        <v>38</v>
      </c>
      <c r="E1128" s="667"/>
      <c r="F1128" s="667"/>
      <c r="G1128" s="667"/>
      <c r="H1128" s="667"/>
      <c r="I1128" s="667"/>
      <c r="J1128" s="667"/>
      <c r="K1128" s="667"/>
      <c r="L1128" s="667">
        <v>2</v>
      </c>
      <c r="M1128" s="667"/>
      <c r="N1128" s="667"/>
      <c r="O1128" s="667"/>
      <c r="P1128" s="667"/>
      <c r="Q1128" s="667"/>
      <c r="R1128" s="667"/>
      <c r="S1128" s="667"/>
      <c r="T1128" s="667"/>
      <c r="U1128" s="1021">
        <v>12</v>
      </c>
      <c r="V1128" s="668">
        <f t="shared" si="391"/>
        <v>456</v>
      </c>
      <c r="W1128" s="668">
        <f t="shared" si="392"/>
        <v>0</v>
      </c>
      <c r="X1128" s="668">
        <f t="shared" si="393"/>
        <v>0</v>
      </c>
      <c r="Y1128" s="668">
        <f t="shared" si="394"/>
        <v>0</v>
      </c>
      <c r="Z1128" s="668">
        <f t="shared" si="395"/>
        <v>0</v>
      </c>
      <c r="AA1128" s="668">
        <f t="shared" si="396"/>
        <v>0</v>
      </c>
      <c r="AB1128" s="668">
        <f t="shared" si="397"/>
        <v>0</v>
      </c>
      <c r="AC1128" s="668">
        <f t="shared" si="387"/>
        <v>0</v>
      </c>
      <c r="AD1128" s="668">
        <f t="shared" si="398"/>
        <v>0</v>
      </c>
      <c r="AE1128" s="668">
        <f t="shared" si="399"/>
        <v>0</v>
      </c>
      <c r="AF1128" s="668">
        <f t="shared" si="400"/>
        <v>24</v>
      </c>
      <c r="AG1128" s="668">
        <f t="shared" si="401"/>
        <v>0</v>
      </c>
      <c r="AH1128" s="668"/>
      <c r="AI1128" s="668"/>
      <c r="AJ1128" s="668"/>
      <c r="AK1128" s="668"/>
      <c r="AL1128" s="668"/>
      <c r="AM1128" s="668">
        <f t="shared" si="389"/>
        <v>0</v>
      </c>
      <c r="AN1128" s="668">
        <f t="shared" si="385"/>
        <v>0</v>
      </c>
      <c r="AO1128" s="668">
        <f t="shared" si="386"/>
        <v>0</v>
      </c>
      <c r="AP1128" s="668">
        <f t="shared" si="390"/>
        <v>0</v>
      </c>
      <c r="AQ1128" s="668">
        <f t="shared" si="383"/>
        <v>0</v>
      </c>
      <c r="AR1128" s="668">
        <f t="shared" si="384"/>
        <v>0</v>
      </c>
      <c r="AS1128" s="668"/>
      <c r="AT1128" s="668"/>
      <c r="AU1128" s="668"/>
      <c r="AV1128" s="668"/>
      <c r="AW1128" s="668"/>
      <c r="AX1128" s="668"/>
      <c r="AY1128" s="668"/>
      <c r="AZ1128" s="668"/>
      <c r="BA1128" s="668"/>
      <c r="BB1128" s="668">
        <f t="shared" si="388"/>
        <v>0</v>
      </c>
      <c r="BC1128" s="668"/>
      <c r="BD1128" s="668"/>
      <c r="BE1128" s="668"/>
      <c r="BF1128" s="668"/>
      <c r="BG1128" s="668"/>
      <c r="BH1128" s="668"/>
      <c r="BI1128" s="668"/>
    </row>
    <row r="1129" spans="1:61" x14ac:dyDescent="0.2">
      <c r="A1129" s="1021">
        <v>6010</v>
      </c>
      <c r="B1129" s="1021" t="s">
        <v>857</v>
      </c>
      <c r="C1129" s="1021"/>
      <c r="D1129" s="667">
        <v>66</v>
      </c>
      <c r="E1129" s="667"/>
      <c r="F1129" s="667"/>
      <c r="G1129" s="667"/>
      <c r="H1129" s="667"/>
      <c r="I1129" s="667"/>
      <c r="J1129" s="667"/>
      <c r="K1129" s="667"/>
      <c r="L1129" s="667"/>
      <c r="M1129" s="667"/>
      <c r="N1129" s="667"/>
      <c r="O1129" s="667"/>
      <c r="P1129" s="667"/>
      <c r="Q1129" s="667"/>
      <c r="R1129" s="667"/>
      <c r="S1129" s="667"/>
      <c r="T1129" s="667"/>
      <c r="U1129" s="1021">
        <v>4</v>
      </c>
      <c r="V1129" s="668">
        <f t="shared" si="391"/>
        <v>264</v>
      </c>
      <c r="W1129" s="668">
        <f t="shared" si="392"/>
        <v>0</v>
      </c>
      <c r="X1129" s="668">
        <f t="shared" si="393"/>
        <v>0</v>
      </c>
      <c r="Y1129" s="668">
        <f t="shared" si="394"/>
        <v>0</v>
      </c>
      <c r="Z1129" s="668">
        <f t="shared" si="395"/>
        <v>0</v>
      </c>
      <c r="AA1129" s="668">
        <f t="shared" si="396"/>
        <v>0</v>
      </c>
      <c r="AB1129" s="668">
        <f t="shared" si="397"/>
        <v>0</v>
      </c>
      <c r="AC1129" s="668">
        <f t="shared" si="387"/>
        <v>0</v>
      </c>
      <c r="AD1129" s="668">
        <f t="shared" si="398"/>
        <v>0</v>
      </c>
      <c r="AE1129" s="668">
        <f t="shared" si="399"/>
        <v>0</v>
      </c>
      <c r="AF1129" s="668">
        <f t="shared" si="400"/>
        <v>0</v>
      </c>
      <c r="AG1129" s="668">
        <f t="shared" si="401"/>
        <v>0</v>
      </c>
      <c r="AH1129" s="668"/>
      <c r="AI1129" s="668"/>
      <c r="AJ1129" s="668"/>
      <c r="AK1129" s="668"/>
      <c r="AL1129" s="668"/>
      <c r="AM1129" s="668">
        <f t="shared" si="389"/>
        <v>0</v>
      </c>
      <c r="AN1129" s="668">
        <f t="shared" si="385"/>
        <v>0</v>
      </c>
      <c r="AO1129" s="668">
        <f t="shared" si="386"/>
        <v>0</v>
      </c>
      <c r="AP1129" s="668">
        <f t="shared" si="390"/>
        <v>0</v>
      </c>
      <c r="AQ1129" s="668">
        <f t="shared" si="383"/>
        <v>0</v>
      </c>
      <c r="AR1129" s="668">
        <f t="shared" si="384"/>
        <v>0</v>
      </c>
      <c r="AS1129" s="668"/>
      <c r="AT1129" s="668"/>
      <c r="AU1129" s="668"/>
      <c r="AV1129" s="668"/>
      <c r="AW1129" s="668"/>
      <c r="AX1129" s="668"/>
      <c r="AY1129" s="668"/>
      <c r="AZ1129" s="668"/>
      <c r="BA1129" s="668"/>
      <c r="BB1129" s="668">
        <f t="shared" si="388"/>
        <v>0</v>
      </c>
      <c r="BC1129" s="668"/>
      <c r="BD1129" s="668"/>
      <c r="BE1129" s="668"/>
      <c r="BF1129" s="668"/>
      <c r="BG1129" s="668"/>
      <c r="BH1129" s="668"/>
      <c r="BI1129" s="668"/>
    </row>
    <row r="1130" spans="1:61" x14ac:dyDescent="0.2">
      <c r="A1130" s="1021">
        <v>6011</v>
      </c>
      <c r="B1130" s="1021" t="s">
        <v>486</v>
      </c>
      <c r="C1130" s="1021"/>
      <c r="D1130" s="667">
        <v>72</v>
      </c>
      <c r="E1130" s="667"/>
      <c r="F1130" s="667"/>
      <c r="G1130" s="667"/>
      <c r="H1130" s="667"/>
      <c r="I1130" s="667"/>
      <c r="J1130" s="667"/>
      <c r="K1130" s="667"/>
      <c r="L1130" s="667"/>
      <c r="M1130" s="667"/>
      <c r="N1130" s="667"/>
      <c r="O1130" s="667"/>
      <c r="P1130" s="667"/>
      <c r="Q1130" s="667"/>
      <c r="R1130" s="667"/>
      <c r="S1130" s="667"/>
      <c r="T1130" s="667"/>
      <c r="U1130" s="1021">
        <v>12</v>
      </c>
      <c r="V1130" s="668">
        <f t="shared" si="391"/>
        <v>864</v>
      </c>
      <c r="W1130" s="668">
        <f t="shared" si="392"/>
        <v>0</v>
      </c>
      <c r="X1130" s="668">
        <f t="shared" si="393"/>
        <v>0</v>
      </c>
      <c r="Y1130" s="668">
        <f t="shared" si="394"/>
        <v>0</v>
      </c>
      <c r="Z1130" s="668">
        <f t="shared" si="395"/>
        <v>0</v>
      </c>
      <c r="AA1130" s="668">
        <f t="shared" si="396"/>
        <v>0</v>
      </c>
      <c r="AB1130" s="668">
        <f t="shared" si="397"/>
        <v>0</v>
      </c>
      <c r="AC1130" s="668">
        <f t="shared" si="387"/>
        <v>0</v>
      </c>
      <c r="AD1130" s="668">
        <f t="shared" si="398"/>
        <v>0</v>
      </c>
      <c r="AE1130" s="668">
        <f t="shared" si="399"/>
        <v>0</v>
      </c>
      <c r="AF1130" s="668">
        <f t="shared" si="400"/>
        <v>0</v>
      </c>
      <c r="AG1130" s="668">
        <f t="shared" si="401"/>
        <v>0</v>
      </c>
      <c r="AH1130" s="668"/>
      <c r="AI1130" s="668"/>
      <c r="AJ1130" s="668"/>
      <c r="AK1130" s="668"/>
      <c r="AL1130" s="668"/>
      <c r="AM1130" s="668">
        <f t="shared" si="389"/>
        <v>0</v>
      </c>
      <c r="AN1130" s="668">
        <f t="shared" si="385"/>
        <v>0</v>
      </c>
      <c r="AO1130" s="668">
        <f t="shared" si="386"/>
        <v>0</v>
      </c>
      <c r="AP1130" s="668">
        <f t="shared" si="390"/>
        <v>0</v>
      </c>
      <c r="AQ1130" s="668">
        <f t="shared" si="383"/>
        <v>0</v>
      </c>
      <c r="AR1130" s="668">
        <f t="shared" si="384"/>
        <v>0</v>
      </c>
      <c r="AS1130" s="668"/>
      <c r="AT1130" s="668"/>
      <c r="AU1130" s="668"/>
      <c r="AV1130" s="668"/>
      <c r="AW1130" s="668"/>
      <c r="AX1130" s="668"/>
      <c r="AY1130" s="668"/>
      <c r="AZ1130" s="668"/>
      <c r="BA1130" s="668"/>
      <c r="BB1130" s="668">
        <f t="shared" si="388"/>
        <v>0</v>
      </c>
      <c r="BC1130" s="668"/>
      <c r="BD1130" s="668"/>
      <c r="BE1130" s="668"/>
      <c r="BF1130" s="668"/>
      <c r="BG1130" s="668"/>
      <c r="BH1130" s="668"/>
      <c r="BI1130" s="668"/>
    </row>
    <row r="1131" spans="1:61" x14ac:dyDescent="0.2">
      <c r="A1131" s="1021">
        <v>6012</v>
      </c>
      <c r="B1131" s="1021" t="s">
        <v>857</v>
      </c>
      <c r="C1131" s="1021"/>
      <c r="D1131" s="667">
        <v>142</v>
      </c>
      <c r="E1131" s="667"/>
      <c r="F1131" s="667"/>
      <c r="G1131" s="667"/>
      <c r="H1131" s="667"/>
      <c r="I1131" s="667">
        <f>+D1131</f>
        <v>142</v>
      </c>
      <c r="J1131" s="667"/>
      <c r="K1131" s="667"/>
      <c r="L1131" s="667"/>
      <c r="M1131" s="667"/>
      <c r="N1131" s="667"/>
      <c r="O1131" s="667"/>
      <c r="P1131" s="667"/>
      <c r="Q1131" s="667"/>
      <c r="R1131" s="667"/>
      <c r="S1131" s="667"/>
      <c r="T1131" s="667"/>
      <c r="U1131" s="1021">
        <v>4</v>
      </c>
      <c r="V1131" s="668">
        <f t="shared" si="391"/>
        <v>568</v>
      </c>
      <c r="W1131" s="668">
        <f t="shared" si="392"/>
        <v>0</v>
      </c>
      <c r="X1131" s="668">
        <f t="shared" si="393"/>
        <v>0</v>
      </c>
      <c r="Y1131" s="668">
        <f t="shared" si="394"/>
        <v>0</v>
      </c>
      <c r="Z1131" s="668">
        <f t="shared" si="395"/>
        <v>0</v>
      </c>
      <c r="AA1131" s="668">
        <f t="shared" si="396"/>
        <v>0</v>
      </c>
      <c r="AB1131" s="668">
        <f t="shared" si="397"/>
        <v>0</v>
      </c>
      <c r="AC1131" s="668">
        <f t="shared" si="387"/>
        <v>0</v>
      </c>
      <c r="AD1131" s="668">
        <f t="shared" si="398"/>
        <v>0</v>
      </c>
      <c r="AE1131" s="668">
        <f t="shared" si="399"/>
        <v>0</v>
      </c>
      <c r="AF1131" s="668">
        <f t="shared" si="400"/>
        <v>0</v>
      </c>
      <c r="AG1131" s="668">
        <f t="shared" si="401"/>
        <v>0</v>
      </c>
      <c r="AH1131" s="668"/>
      <c r="AI1131" s="668"/>
      <c r="AJ1131" s="668"/>
      <c r="AK1131" s="668"/>
      <c r="AL1131" s="668"/>
      <c r="AM1131" s="668">
        <f t="shared" si="389"/>
        <v>142</v>
      </c>
      <c r="AN1131" s="668">
        <f t="shared" si="385"/>
        <v>0</v>
      </c>
      <c r="AO1131" s="668">
        <f t="shared" si="386"/>
        <v>0</v>
      </c>
      <c r="AP1131" s="668">
        <f t="shared" si="390"/>
        <v>0</v>
      </c>
      <c r="AQ1131" s="668">
        <f t="shared" si="383"/>
        <v>0</v>
      </c>
      <c r="AR1131" s="668">
        <f t="shared" si="384"/>
        <v>0</v>
      </c>
      <c r="AS1131" s="668"/>
      <c r="AT1131" s="668"/>
      <c r="AU1131" s="668"/>
      <c r="AV1131" s="668"/>
      <c r="AW1131" s="668"/>
      <c r="AX1131" s="668"/>
      <c r="AY1131" s="668"/>
      <c r="AZ1131" s="668"/>
      <c r="BA1131" s="668"/>
      <c r="BB1131" s="668">
        <f t="shared" si="388"/>
        <v>0</v>
      </c>
      <c r="BC1131" s="668"/>
      <c r="BD1131" s="668"/>
      <c r="BE1131" s="668"/>
      <c r="BF1131" s="668"/>
      <c r="BG1131" s="668"/>
      <c r="BH1131" s="668"/>
      <c r="BI1131" s="668"/>
    </row>
    <row r="1132" spans="1:61" x14ac:dyDescent="0.2">
      <c r="A1132" s="1021">
        <v>6013</v>
      </c>
      <c r="B1132" s="1021" t="s">
        <v>486</v>
      </c>
      <c r="C1132" s="1021"/>
      <c r="D1132" s="667">
        <v>72</v>
      </c>
      <c r="E1132" s="667"/>
      <c r="F1132" s="667"/>
      <c r="G1132" s="667"/>
      <c r="H1132" s="667"/>
      <c r="I1132" s="667"/>
      <c r="J1132" s="667"/>
      <c r="K1132" s="667"/>
      <c r="L1132" s="667"/>
      <c r="M1132" s="667"/>
      <c r="N1132" s="667"/>
      <c r="O1132" s="667"/>
      <c r="P1132" s="667"/>
      <c r="Q1132" s="667"/>
      <c r="R1132" s="667"/>
      <c r="S1132" s="667"/>
      <c r="T1132" s="667"/>
      <c r="U1132" s="1021">
        <v>12</v>
      </c>
      <c r="V1132" s="668">
        <f t="shared" si="391"/>
        <v>864</v>
      </c>
      <c r="W1132" s="668">
        <f t="shared" si="392"/>
        <v>0</v>
      </c>
      <c r="X1132" s="668">
        <f t="shared" si="393"/>
        <v>0</v>
      </c>
      <c r="Y1132" s="668">
        <f t="shared" si="394"/>
        <v>0</v>
      </c>
      <c r="Z1132" s="668">
        <f t="shared" si="395"/>
        <v>0</v>
      </c>
      <c r="AA1132" s="668">
        <f t="shared" si="396"/>
        <v>0</v>
      </c>
      <c r="AB1132" s="668">
        <f t="shared" si="397"/>
        <v>0</v>
      </c>
      <c r="AC1132" s="668">
        <f t="shared" si="387"/>
        <v>0</v>
      </c>
      <c r="AD1132" s="668">
        <f t="shared" si="398"/>
        <v>0</v>
      </c>
      <c r="AE1132" s="668">
        <f t="shared" si="399"/>
        <v>0</v>
      </c>
      <c r="AF1132" s="668">
        <f t="shared" si="400"/>
        <v>0</v>
      </c>
      <c r="AG1132" s="668">
        <f t="shared" si="401"/>
        <v>0</v>
      </c>
      <c r="AH1132" s="668"/>
      <c r="AI1132" s="668"/>
      <c r="AJ1132" s="668"/>
      <c r="AK1132" s="668"/>
      <c r="AL1132" s="668"/>
      <c r="AM1132" s="668">
        <f t="shared" si="389"/>
        <v>0</v>
      </c>
      <c r="AN1132" s="668">
        <f t="shared" si="385"/>
        <v>0</v>
      </c>
      <c r="AO1132" s="668">
        <f t="shared" si="386"/>
        <v>0</v>
      </c>
      <c r="AP1132" s="668">
        <f t="shared" si="390"/>
        <v>0</v>
      </c>
      <c r="AQ1132" s="668">
        <f t="shared" si="383"/>
        <v>0</v>
      </c>
      <c r="AR1132" s="668">
        <f t="shared" si="384"/>
        <v>0</v>
      </c>
      <c r="AS1132" s="668"/>
      <c r="AT1132" s="668"/>
      <c r="AU1132" s="668"/>
      <c r="AV1132" s="668"/>
      <c r="AW1132" s="668"/>
      <c r="AX1132" s="668"/>
      <c r="AY1132" s="668"/>
      <c r="AZ1132" s="668"/>
      <c r="BA1132" s="668"/>
      <c r="BB1132" s="668">
        <f t="shared" si="388"/>
        <v>0</v>
      </c>
      <c r="BC1132" s="668"/>
      <c r="BD1132" s="668"/>
      <c r="BE1132" s="668"/>
      <c r="BF1132" s="668"/>
      <c r="BG1132" s="668"/>
      <c r="BH1132" s="668"/>
      <c r="BI1132" s="668"/>
    </row>
    <row r="1133" spans="1:61" x14ac:dyDescent="0.2">
      <c r="A1133" s="1021">
        <v>6014</v>
      </c>
      <c r="B1133" s="1021" t="s">
        <v>857</v>
      </c>
      <c r="C1133" s="1021"/>
      <c r="D1133" s="667">
        <v>120</v>
      </c>
      <c r="E1133" s="667"/>
      <c r="F1133" s="667"/>
      <c r="G1133" s="667"/>
      <c r="H1133" s="667"/>
      <c r="I1133" s="667">
        <f>+D1133</f>
        <v>120</v>
      </c>
      <c r="J1133" s="667"/>
      <c r="K1133" s="667"/>
      <c r="L1133" s="667"/>
      <c r="M1133" s="667"/>
      <c r="N1133" s="667"/>
      <c r="O1133" s="667"/>
      <c r="P1133" s="667"/>
      <c r="Q1133" s="667"/>
      <c r="R1133" s="667"/>
      <c r="S1133" s="667"/>
      <c r="T1133" s="667"/>
      <c r="U1133" s="1021">
        <v>4</v>
      </c>
      <c r="V1133" s="668">
        <f t="shared" si="391"/>
        <v>480</v>
      </c>
      <c r="W1133" s="668">
        <f t="shared" si="392"/>
        <v>0</v>
      </c>
      <c r="X1133" s="668">
        <f t="shared" si="393"/>
        <v>0</v>
      </c>
      <c r="Y1133" s="668">
        <f t="shared" si="394"/>
        <v>0</v>
      </c>
      <c r="Z1133" s="668">
        <f t="shared" si="395"/>
        <v>0</v>
      </c>
      <c r="AA1133" s="668">
        <f t="shared" si="396"/>
        <v>0</v>
      </c>
      <c r="AB1133" s="668">
        <f t="shared" si="397"/>
        <v>0</v>
      </c>
      <c r="AC1133" s="668">
        <f t="shared" si="387"/>
        <v>0</v>
      </c>
      <c r="AD1133" s="668">
        <f t="shared" si="398"/>
        <v>0</v>
      </c>
      <c r="AE1133" s="668">
        <f t="shared" si="399"/>
        <v>0</v>
      </c>
      <c r="AF1133" s="668">
        <f t="shared" si="400"/>
        <v>0</v>
      </c>
      <c r="AG1133" s="668">
        <f t="shared" si="401"/>
        <v>0</v>
      </c>
      <c r="AH1133" s="668"/>
      <c r="AI1133" s="668"/>
      <c r="AJ1133" s="668"/>
      <c r="AK1133" s="668"/>
      <c r="AL1133" s="668"/>
      <c r="AM1133" s="668">
        <f t="shared" si="389"/>
        <v>120</v>
      </c>
      <c r="AN1133" s="668">
        <f t="shared" si="385"/>
        <v>0</v>
      </c>
      <c r="AO1133" s="668">
        <f t="shared" si="386"/>
        <v>0</v>
      </c>
      <c r="AP1133" s="668">
        <f t="shared" si="390"/>
        <v>0</v>
      </c>
      <c r="AQ1133" s="668">
        <f t="shared" si="383"/>
        <v>0</v>
      </c>
      <c r="AR1133" s="668">
        <f t="shared" si="384"/>
        <v>0</v>
      </c>
      <c r="AS1133" s="668"/>
      <c r="AT1133" s="668"/>
      <c r="AU1133" s="668"/>
      <c r="AV1133" s="668"/>
      <c r="AW1133" s="668"/>
      <c r="AX1133" s="668"/>
      <c r="AY1133" s="668"/>
      <c r="AZ1133" s="668"/>
      <c r="BA1133" s="668"/>
      <c r="BB1133" s="668">
        <f t="shared" si="388"/>
        <v>0</v>
      </c>
      <c r="BC1133" s="668"/>
      <c r="BD1133" s="668"/>
      <c r="BE1133" s="668"/>
      <c r="BF1133" s="668"/>
      <c r="BG1133" s="668"/>
      <c r="BH1133" s="668"/>
      <c r="BI1133" s="668"/>
    </row>
    <row r="1134" spans="1:61" x14ac:dyDescent="0.2">
      <c r="A1134" s="1021">
        <v>6100</v>
      </c>
      <c r="B1134" s="1021" t="s">
        <v>465</v>
      </c>
      <c r="C1134" s="1021" t="s">
        <v>984</v>
      </c>
      <c r="D1134" s="667">
        <v>206</v>
      </c>
      <c r="E1134" s="667"/>
      <c r="F1134" s="667"/>
      <c r="G1134" s="667"/>
      <c r="H1134" s="667"/>
      <c r="I1134" s="667">
        <f>+D1134</f>
        <v>206</v>
      </c>
      <c r="J1134" s="667"/>
      <c r="K1134" s="667"/>
      <c r="L1134" s="667"/>
      <c r="M1134" s="667"/>
      <c r="N1134" s="667"/>
      <c r="O1134" s="667"/>
      <c r="P1134" s="667"/>
      <c r="Q1134" s="667"/>
      <c r="R1134" s="667"/>
      <c r="S1134" s="667"/>
      <c r="T1134" s="667"/>
      <c r="U1134" s="1021">
        <v>10</v>
      </c>
      <c r="V1134" s="668">
        <f t="shared" si="391"/>
        <v>2060</v>
      </c>
      <c r="W1134" s="668">
        <f t="shared" si="392"/>
        <v>0</v>
      </c>
      <c r="X1134" s="668">
        <f t="shared" si="393"/>
        <v>0</v>
      </c>
      <c r="Y1134" s="668">
        <f t="shared" si="394"/>
        <v>0</v>
      </c>
      <c r="Z1134" s="668">
        <f t="shared" si="395"/>
        <v>2060</v>
      </c>
      <c r="AA1134" s="668">
        <f t="shared" si="396"/>
        <v>0</v>
      </c>
      <c r="AB1134" s="668">
        <f t="shared" si="397"/>
        <v>0</v>
      </c>
      <c r="AC1134" s="668">
        <f t="shared" si="387"/>
        <v>0</v>
      </c>
      <c r="AD1134" s="668">
        <f t="shared" si="398"/>
        <v>0</v>
      </c>
      <c r="AE1134" s="668">
        <f t="shared" si="399"/>
        <v>0</v>
      </c>
      <c r="AF1134" s="668">
        <f t="shared" si="400"/>
        <v>0</v>
      </c>
      <c r="AG1134" s="668">
        <f t="shared" si="401"/>
        <v>0</v>
      </c>
      <c r="AH1134" s="668"/>
      <c r="AI1134" s="668"/>
      <c r="AJ1134" s="668"/>
      <c r="AK1134" s="668"/>
      <c r="AL1134" s="668"/>
      <c r="AM1134" s="668">
        <f t="shared" si="389"/>
        <v>206</v>
      </c>
      <c r="AN1134" s="668">
        <f t="shared" si="385"/>
        <v>0</v>
      </c>
      <c r="AO1134" s="668">
        <f t="shared" si="386"/>
        <v>0</v>
      </c>
      <c r="AP1134" s="668">
        <f t="shared" si="390"/>
        <v>0</v>
      </c>
      <c r="AQ1134" s="668">
        <f t="shared" si="383"/>
        <v>0</v>
      </c>
      <c r="AR1134" s="668">
        <f t="shared" si="384"/>
        <v>0</v>
      </c>
      <c r="AS1134" s="668"/>
      <c r="AT1134" s="668"/>
      <c r="AU1134" s="668"/>
      <c r="AV1134" s="668"/>
      <c r="AW1134" s="668"/>
      <c r="AX1134" s="668"/>
      <c r="AY1134" s="668"/>
      <c r="AZ1134" s="668"/>
      <c r="BA1134" s="668"/>
      <c r="BB1134" s="668">
        <f t="shared" si="388"/>
        <v>0</v>
      </c>
      <c r="BC1134" s="668"/>
      <c r="BD1134" s="668"/>
      <c r="BE1134" s="668"/>
      <c r="BF1134" s="668"/>
      <c r="BG1134" s="668"/>
      <c r="BH1134" s="668"/>
      <c r="BI1134" s="668"/>
    </row>
    <row r="1135" spans="1:61" x14ac:dyDescent="0.2">
      <c r="A1135" s="1021">
        <v>6101</v>
      </c>
      <c r="B1135" s="1021" t="s">
        <v>858</v>
      </c>
      <c r="C1135" s="1021"/>
      <c r="D1135" s="667"/>
      <c r="E1135" s="667"/>
      <c r="F1135" s="667"/>
      <c r="G1135" s="667"/>
      <c r="H1135" s="667"/>
      <c r="I1135" s="667"/>
      <c r="J1135" s="667"/>
      <c r="K1135" s="667"/>
      <c r="L1135" s="667"/>
      <c r="M1135" s="667"/>
      <c r="N1135" s="667"/>
      <c r="O1135" s="667"/>
      <c r="P1135" s="667"/>
      <c r="Q1135" s="667"/>
      <c r="R1135" s="667"/>
      <c r="S1135" s="667"/>
      <c r="T1135" s="667"/>
      <c r="U1135" s="1021"/>
      <c r="V1135" s="668">
        <f t="shared" si="391"/>
        <v>0</v>
      </c>
      <c r="W1135" s="668">
        <f t="shared" si="392"/>
        <v>0</v>
      </c>
      <c r="X1135" s="668">
        <f t="shared" si="393"/>
        <v>0</v>
      </c>
      <c r="Y1135" s="668">
        <f t="shared" si="394"/>
        <v>0</v>
      </c>
      <c r="Z1135" s="668">
        <f t="shared" si="395"/>
        <v>0</v>
      </c>
      <c r="AA1135" s="668">
        <f t="shared" si="396"/>
        <v>0</v>
      </c>
      <c r="AB1135" s="668">
        <f t="shared" si="397"/>
        <v>0</v>
      </c>
      <c r="AC1135" s="668">
        <f t="shared" si="387"/>
        <v>0</v>
      </c>
      <c r="AD1135" s="668">
        <f t="shared" si="398"/>
        <v>0</v>
      </c>
      <c r="AE1135" s="668">
        <f t="shared" si="399"/>
        <v>0</v>
      </c>
      <c r="AF1135" s="668">
        <f t="shared" si="400"/>
        <v>0</v>
      </c>
      <c r="AG1135" s="668">
        <f t="shared" si="401"/>
        <v>0</v>
      </c>
      <c r="AH1135" s="668"/>
      <c r="AI1135" s="668"/>
      <c r="AJ1135" s="668"/>
      <c r="AK1135" s="668"/>
      <c r="AL1135" s="668"/>
      <c r="AM1135" s="668">
        <f t="shared" si="389"/>
        <v>0</v>
      </c>
      <c r="AN1135" s="668">
        <f t="shared" si="385"/>
        <v>0</v>
      </c>
      <c r="AO1135" s="668">
        <f t="shared" si="386"/>
        <v>0</v>
      </c>
      <c r="AP1135" s="668">
        <f t="shared" si="390"/>
        <v>0</v>
      </c>
      <c r="AQ1135" s="668">
        <f t="shared" si="383"/>
        <v>0</v>
      </c>
      <c r="AR1135" s="668">
        <f t="shared" si="384"/>
        <v>0</v>
      </c>
      <c r="AS1135" s="668"/>
      <c r="AT1135" s="668"/>
      <c r="AU1135" s="668"/>
      <c r="AV1135" s="668"/>
      <c r="AW1135" s="668"/>
      <c r="AX1135" s="668"/>
      <c r="AY1135" s="668"/>
      <c r="AZ1135" s="668"/>
      <c r="BA1135" s="668"/>
      <c r="BB1135" s="668">
        <f t="shared" si="388"/>
        <v>0</v>
      </c>
      <c r="BC1135" s="668"/>
      <c r="BD1135" s="668"/>
      <c r="BE1135" s="668"/>
      <c r="BF1135" s="668"/>
      <c r="BG1135" s="668"/>
      <c r="BH1135" s="668"/>
      <c r="BI1135" s="668"/>
    </row>
    <row r="1136" spans="1:61" x14ac:dyDescent="0.2">
      <c r="A1136" s="1021">
        <v>6102</v>
      </c>
      <c r="B1136" s="1021" t="s">
        <v>859</v>
      </c>
      <c r="C1136" s="1021"/>
      <c r="D1136" s="667">
        <v>75</v>
      </c>
      <c r="E1136" s="667"/>
      <c r="F1136" s="667"/>
      <c r="G1136" s="667">
        <v>15</v>
      </c>
      <c r="H1136" s="667"/>
      <c r="I1136" s="667"/>
      <c r="J1136" s="667"/>
      <c r="K1136" s="667"/>
      <c r="L1136" s="667"/>
      <c r="M1136" s="667"/>
      <c r="N1136" s="667"/>
      <c r="O1136" s="667"/>
      <c r="P1136" s="667"/>
      <c r="Q1136" s="667"/>
      <c r="R1136" s="667"/>
      <c r="S1136" s="667"/>
      <c r="T1136" s="667"/>
      <c r="U1136" s="1021">
        <v>12</v>
      </c>
      <c r="V1136" s="668">
        <f t="shared" si="391"/>
        <v>900</v>
      </c>
      <c r="W1136" s="668">
        <f t="shared" si="392"/>
        <v>180</v>
      </c>
      <c r="X1136" s="668">
        <f t="shared" si="393"/>
        <v>0</v>
      </c>
      <c r="Y1136" s="668">
        <f t="shared" si="394"/>
        <v>0</v>
      </c>
      <c r="Z1136" s="668">
        <f t="shared" si="395"/>
        <v>0</v>
      </c>
      <c r="AA1136" s="668">
        <f t="shared" si="396"/>
        <v>0</v>
      </c>
      <c r="AB1136" s="668">
        <f t="shared" si="397"/>
        <v>0</v>
      </c>
      <c r="AC1136" s="668">
        <f t="shared" si="387"/>
        <v>0</v>
      </c>
      <c r="AD1136" s="668">
        <f t="shared" si="398"/>
        <v>0</v>
      </c>
      <c r="AE1136" s="668">
        <f t="shared" si="399"/>
        <v>0</v>
      </c>
      <c r="AF1136" s="668">
        <f t="shared" si="400"/>
        <v>0</v>
      </c>
      <c r="AG1136" s="668">
        <f t="shared" si="401"/>
        <v>0</v>
      </c>
      <c r="AH1136" s="668"/>
      <c r="AI1136" s="668"/>
      <c r="AJ1136" s="668"/>
      <c r="AK1136" s="668"/>
      <c r="AL1136" s="668"/>
      <c r="AM1136" s="668">
        <f t="shared" si="389"/>
        <v>0</v>
      </c>
      <c r="AN1136" s="668">
        <f t="shared" si="385"/>
        <v>0</v>
      </c>
      <c r="AO1136" s="668">
        <f t="shared" si="386"/>
        <v>0</v>
      </c>
      <c r="AP1136" s="668">
        <f t="shared" si="390"/>
        <v>0</v>
      </c>
      <c r="AQ1136" s="668">
        <f t="shared" si="383"/>
        <v>0</v>
      </c>
      <c r="AR1136" s="668">
        <f t="shared" si="384"/>
        <v>0</v>
      </c>
      <c r="AS1136" s="668"/>
      <c r="AT1136" s="668"/>
      <c r="AU1136" s="668"/>
      <c r="AV1136" s="668"/>
      <c r="AW1136" s="668"/>
      <c r="AX1136" s="668"/>
      <c r="AY1136" s="668"/>
      <c r="AZ1136" s="668"/>
      <c r="BA1136" s="668"/>
      <c r="BB1136" s="668">
        <f t="shared" si="388"/>
        <v>0</v>
      </c>
      <c r="BC1136" s="668"/>
      <c r="BD1136" s="668"/>
      <c r="BE1136" s="668"/>
      <c r="BF1136" s="668"/>
      <c r="BG1136" s="668"/>
      <c r="BH1136" s="668"/>
      <c r="BI1136" s="668"/>
    </row>
    <row r="1137" spans="1:61" x14ac:dyDescent="0.2">
      <c r="A1137" s="1021">
        <v>6103</v>
      </c>
      <c r="B1137" s="1021" t="s">
        <v>515</v>
      </c>
      <c r="C1137" s="1021"/>
      <c r="D1137" s="667">
        <v>100</v>
      </c>
      <c r="E1137" s="667"/>
      <c r="F1137" s="667">
        <v>28</v>
      </c>
      <c r="G1137" s="667"/>
      <c r="H1137" s="667"/>
      <c r="I1137" s="667"/>
      <c r="J1137" s="667"/>
      <c r="K1137" s="667"/>
      <c r="L1137" s="667"/>
      <c r="M1137" s="667"/>
      <c r="N1137" s="667"/>
      <c r="O1137" s="667"/>
      <c r="P1137" s="667"/>
      <c r="Q1137" s="667"/>
      <c r="R1137" s="667"/>
      <c r="S1137" s="667"/>
      <c r="T1137" s="667">
        <v>1400</v>
      </c>
      <c r="U1137" s="1021">
        <v>12</v>
      </c>
      <c r="V1137" s="668">
        <f t="shared" si="391"/>
        <v>1200</v>
      </c>
      <c r="W1137" s="668">
        <f t="shared" si="392"/>
        <v>0</v>
      </c>
      <c r="X1137" s="668">
        <f t="shared" si="393"/>
        <v>0</v>
      </c>
      <c r="Y1137" s="668">
        <f t="shared" si="394"/>
        <v>0</v>
      </c>
      <c r="Z1137" s="668">
        <f t="shared" si="395"/>
        <v>0</v>
      </c>
      <c r="AA1137" s="668">
        <f t="shared" si="396"/>
        <v>0</v>
      </c>
      <c r="AB1137" s="668">
        <f t="shared" si="397"/>
        <v>1400</v>
      </c>
      <c r="AC1137" s="668">
        <f t="shared" si="387"/>
        <v>0</v>
      </c>
      <c r="AD1137" s="668">
        <f t="shared" si="398"/>
        <v>0</v>
      </c>
      <c r="AE1137" s="668">
        <f t="shared" si="399"/>
        <v>0</v>
      </c>
      <c r="AF1137" s="668">
        <f t="shared" si="400"/>
        <v>0</v>
      </c>
      <c r="AG1137" s="668">
        <f t="shared" si="401"/>
        <v>0</v>
      </c>
      <c r="AH1137" s="668"/>
      <c r="AI1137" s="668"/>
      <c r="AJ1137" s="668"/>
      <c r="AK1137" s="668"/>
      <c r="AL1137" s="668"/>
      <c r="AM1137" s="668">
        <f t="shared" si="389"/>
        <v>0</v>
      </c>
      <c r="AN1137" s="668">
        <f t="shared" si="385"/>
        <v>0</v>
      </c>
      <c r="AO1137" s="668">
        <f t="shared" si="386"/>
        <v>0</v>
      </c>
      <c r="AP1137" s="668">
        <f t="shared" si="390"/>
        <v>336</v>
      </c>
      <c r="AQ1137" s="668">
        <f t="shared" si="383"/>
        <v>0</v>
      </c>
      <c r="AR1137" s="668">
        <f t="shared" si="384"/>
        <v>0</v>
      </c>
      <c r="AS1137" s="668"/>
      <c r="AT1137" s="668"/>
      <c r="AU1137" s="668"/>
      <c r="AV1137" s="668"/>
      <c r="AW1137" s="668"/>
      <c r="AX1137" s="668"/>
      <c r="AY1137" s="668"/>
      <c r="AZ1137" s="668"/>
      <c r="BA1137" s="668"/>
      <c r="BB1137" s="668"/>
      <c r="BC1137" s="668"/>
      <c r="BD1137" s="668"/>
      <c r="BE1137" s="668"/>
      <c r="BF1137" s="668"/>
      <c r="BG1137" s="668"/>
      <c r="BH1137" s="668"/>
      <c r="BI1137" s="668"/>
    </row>
    <row r="1138" spans="1:61" x14ac:dyDescent="0.2">
      <c r="A1138" s="1021">
        <v>6160</v>
      </c>
      <c r="B1138" s="1021" t="s">
        <v>486</v>
      </c>
      <c r="C1138" s="1021"/>
      <c r="D1138" s="667">
        <v>102</v>
      </c>
      <c r="E1138" s="667"/>
      <c r="F1138" s="667"/>
      <c r="G1138" s="667"/>
      <c r="H1138" s="667"/>
      <c r="I1138" s="667"/>
      <c r="J1138" s="667"/>
      <c r="K1138" s="667"/>
      <c r="L1138" s="667"/>
      <c r="M1138" s="667"/>
      <c r="N1138" s="667"/>
      <c r="O1138" s="667"/>
      <c r="P1138" s="667"/>
      <c r="Q1138" s="667"/>
      <c r="R1138" s="667"/>
      <c r="S1138" s="667"/>
      <c r="T1138" s="667"/>
      <c r="U1138" s="1021">
        <v>12</v>
      </c>
      <c r="V1138" s="668">
        <f t="shared" si="391"/>
        <v>1224</v>
      </c>
      <c r="W1138" s="668">
        <f t="shared" si="392"/>
        <v>0</v>
      </c>
      <c r="X1138" s="668">
        <f t="shared" si="393"/>
        <v>0</v>
      </c>
      <c r="Y1138" s="668">
        <f t="shared" si="394"/>
        <v>0</v>
      </c>
      <c r="Z1138" s="668">
        <f t="shared" si="395"/>
        <v>0</v>
      </c>
      <c r="AA1138" s="668">
        <f t="shared" si="396"/>
        <v>0</v>
      </c>
      <c r="AB1138" s="668">
        <f t="shared" si="397"/>
        <v>0</v>
      </c>
      <c r="AC1138" s="668">
        <f t="shared" si="387"/>
        <v>0</v>
      </c>
      <c r="AD1138" s="668">
        <f t="shared" si="398"/>
        <v>0</v>
      </c>
      <c r="AE1138" s="668">
        <f t="shared" si="399"/>
        <v>0</v>
      </c>
      <c r="AF1138" s="668">
        <f t="shared" si="400"/>
        <v>0</v>
      </c>
      <c r="AG1138" s="668">
        <f t="shared" si="401"/>
        <v>0</v>
      </c>
      <c r="AH1138" s="668"/>
      <c r="AI1138" s="668"/>
      <c r="AJ1138" s="668"/>
      <c r="AK1138" s="668"/>
      <c r="AL1138" s="668"/>
      <c r="AM1138" s="668">
        <f t="shared" si="389"/>
        <v>0</v>
      </c>
      <c r="AN1138" s="668">
        <f t="shared" si="385"/>
        <v>0</v>
      </c>
      <c r="AO1138" s="668">
        <f t="shared" si="386"/>
        <v>0</v>
      </c>
      <c r="AP1138" s="668">
        <f t="shared" si="390"/>
        <v>0</v>
      </c>
      <c r="AQ1138" s="668">
        <f t="shared" si="383"/>
        <v>0</v>
      </c>
      <c r="AR1138" s="668">
        <f t="shared" si="384"/>
        <v>0</v>
      </c>
      <c r="AS1138" s="668"/>
      <c r="AT1138" s="668"/>
      <c r="AU1138" s="668"/>
      <c r="AV1138" s="668"/>
      <c r="AW1138" s="668"/>
      <c r="AX1138" s="668"/>
      <c r="AY1138" s="668"/>
      <c r="AZ1138" s="668"/>
      <c r="BA1138" s="668"/>
      <c r="BB1138" s="668">
        <f t="shared" si="388"/>
        <v>0</v>
      </c>
      <c r="BC1138" s="668"/>
      <c r="BD1138" s="668"/>
      <c r="BE1138" s="668"/>
      <c r="BF1138" s="668"/>
      <c r="BG1138" s="668"/>
      <c r="BH1138" s="668"/>
      <c r="BI1138" s="668"/>
    </row>
    <row r="1139" spans="1:61" x14ac:dyDescent="0.2">
      <c r="A1139" s="1021">
        <v>6161</v>
      </c>
      <c r="B1139" s="1021" t="s">
        <v>515</v>
      </c>
      <c r="C1139" s="1021"/>
      <c r="D1139" s="667">
        <v>100</v>
      </c>
      <c r="E1139" s="667"/>
      <c r="F1139" s="667">
        <v>95</v>
      </c>
      <c r="G1139" s="667"/>
      <c r="H1139" s="667"/>
      <c r="I1139" s="667"/>
      <c r="J1139" s="667"/>
      <c r="K1139" s="667"/>
      <c r="L1139" s="667"/>
      <c r="M1139" s="667"/>
      <c r="N1139" s="667"/>
      <c r="O1139" s="667"/>
      <c r="P1139" s="667"/>
      <c r="Q1139" s="667"/>
      <c r="R1139" s="667"/>
      <c r="S1139" s="667"/>
      <c r="T1139" s="667">
        <v>3200</v>
      </c>
      <c r="U1139" s="1021">
        <v>12</v>
      </c>
      <c r="V1139" s="668">
        <f t="shared" si="391"/>
        <v>1200</v>
      </c>
      <c r="W1139" s="668">
        <f t="shared" si="392"/>
        <v>0</v>
      </c>
      <c r="X1139" s="668">
        <f t="shared" si="393"/>
        <v>0</v>
      </c>
      <c r="Y1139" s="668">
        <f t="shared" si="394"/>
        <v>0</v>
      </c>
      <c r="Z1139" s="668">
        <f t="shared" si="395"/>
        <v>0</v>
      </c>
      <c r="AA1139" s="668">
        <f t="shared" si="396"/>
        <v>0</v>
      </c>
      <c r="AB1139" s="668">
        <f t="shared" si="397"/>
        <v>3200</v>
      </c>
      <c r="AC1139" s="668">
        <f t="shared" si="387"/>
        <v>0</v>
      </c>
      <c r="AD1139" s="668">
        <f t="shared" si="398"/>
        <v>0</v>
      </c>
      <c r="AE1139" s="668">
        <f t="shared" si="399"/>
        <v>0</v>
      </c>
      <c r="AF1139" s="668">
        <f t="shared" si="400"/>
        <v>0</v>
      </c>
      <c r="AG1139" s="668">
        <f t="shared" si="401"/>
        <v>0</v>
      </c>
      <c r="AH1139" s="668"/>
      <c r="AI1139" s="668"/>
      <c r="AJ1139" s="668"/>
      <c r="AK1139" s="668"/>
      <c r="AL1139" s="668"/>
      <c r="AM1139" s="668">
        <f t="shared" si="389"/>
        <v>0</v>
      </c>
      <c r="AN1139" s="668">
        <f t="shared" si="385"/>
        <v>0</v>
      </c>
      <c r="AO1139" s="668">
        <f t="shared" si="386"/>
        <v>0</v>
      </c>
      <c r="AP1139" s="668">
        <f t="shared" si="390"/>
        <v>1140</v>
      </c>
      <c r="AQ1139" s="668">
        <f t="shared" si="383"/>
        <v>0</v>
      </c>
      <c r="AR1139" s="668">
        <f t="shared" si="384"/>
        <v>0</v>
      </c>
      <c r="AS1139" s="668"/>
      <c r="AT1139" s="668"/>
      <c r="AU1139" s="668"/>
      <c r="AV1139" s="668"/>
      <c r="AW1139" s="668"/>
      <c r="AX1139" s="668"/>
      <c r="AY1139" s="668"/>
      <c r="AZ1139" s="668"/>
      <c r="BA1139" s="668"/>
      <c r="BB1139" s="668"/>
      <c r="BC1139" s="668"/>
      <c r="BD1139" s="668"/>
      <c r="BE1139" s="668"/>
      <c r="BF1139" s="668"/>
      <c r="BG1139" s="668"/>
      <c r="BH1139" s="668"/>
      <c r="BI1139" s="668"/>
    </row>
    <row r="1140" spans="1:61" x14ac:dyDescent="0.2">
      <c r="A1140" s="1021">
        <v>6162</v>
      </c>
      <c r="B1140" s="1021" t="s">
        <v>684</v>
      </c>
      <c r="C1140" s="1021"/>
      <c r="D1140" s="667">
        <v>46</v>
      </c>
      <c r="E1140" s="667"/>
      <c r="F1140" s="667">
        <v>46</v>
      </c>
      <c r="G1140" s="667"/>
      <c r="H1140" s="667"/>
      <c r="I1140" s="667"/>
      <c r="J1140" s="667"/>
      <c r="K1140" s="667"/>
      <c r="L1140" s="667"/>
      <c r="M1140" s="667"/>
      <c r="N1140" s="667"/>
      <c r="O1140" s="667"/>
      <c r="P1140" s="667"/>
      <c r="Q1140" s="667"/>
      <c r="R1140" s="667"/>
      <c r="S1140" s="667"/>
      <c r="T1140" s="667"/>
      <c r="U1140" s="1021">
        <v>10</v>
      </c>
      <c r="V1140" s="668">
        <f t="shared" si="391"/>
        <v>460</v>
      </c>
      <c r="W1140" s="668">
        <f t="shared" si="392"/>
        <v>0</v>
      </c>
      <c r="X1140" s="668">
        <f t="shared" si="393"/>
        <v>0</v>
      </c>
      <c r="Y1140" s="668">
        <f t="shared" si="394"/>
        <v>0</v>
      </c>
      <c r="Z1140" s="668">
        <f t="shared" si="395"/>
        <v>0</v>
      </c>
      <c r="AA1140" s="668">
        <f t="shared" si="396"/>
        <v>0</v>
      </c>
      <c r="AB1140" s="668">
        <f t="shared" si="397"/>
        <v>0</v>
      </c>
      <c r="AC1140" s="668">
        <f t="shared" si="387"/>
        <v>0</v>
      </c>
      <c r="AD1140" s="668">
        <f t="shared" si="398"/>
        <v>0</v>
      </c>
      <c r="AE1140" s="668">
        <f t="shared" si="399"/>
        <v>0</v>
      </c>
      <c r="AF1140" s="668">
        <f t="shared" si="400"/>
        <v>0</v>
      </c>
      <c r="AG1140" s="668">
        <f t="shared" si="401"/>
        <v>0</v>
      </c>
      <c r="AH1140" s="668"/>
      <c r="AI1140" s="668"/>
      <c r="AJ1140" s="668"/>
      <c r="AK1140" s="668"/>
      <c r="AL1140" s="668"/>
      <c r="AM1140" s="668">
        <f t="shared" si="389"/>
        <v>0</v>
      </c>
      <c r="AN1140" s="668">
        <f t="shared" si="385"/>
        <v>0</v>
      </c>
      <c r="AO1140" s="668">
        <f t="shared" si="386"/>
        <v>0</v>
      </c>
      <c r="AP1140" s="668">
        <f t="shared" si="390"/>
        <v>460</v>
      </c>
      <c r="AQ1140" s="668">
        <f t="shared" si="383"/>
        <v>0</v>
      </c>
      <c r="AR1140" s="668">
        <f t="shared" si="384"/>
        <v>0</v>
      </c>
      <c r="AS1140" s="668"/>
      <c r="AT1140" s="668"/>
      <c r="AU1140" s="668"/>
      <c r="AV1140" s="668"/>
      <c r="AW1140" s="668"/>
      <c r="AX1140" s="668"/>
      <c r="AY1140" s="668"/>
      <c r="AZ1140" s="668"/>
      <c r="BA1140" s="668"/>
      <c r="BB1140" s="668"/>
      <c r="BC1140" s="668"/>
      <c r="BD1140" s="668"/>
      <c r="BE1140" s="668"/>
      <c r="BF1140" s="668"/>
      <c r="BG1140" s="668"/>
      <c r="BH1140" s="668"/>
      <c r="BI1140" s="668"/>
    </row>
    <row r="1141" spans="1:61" x14ac:dyDescent="0.2">
      <c r="A1141" s="1021">
        <v>6163</v>
      </c>
      <c r="B1141" s="1021" t="s">
        <v>519</v>
      </c>
      <c r="C1141" s="1021"/>
      <c r="D1141" s="667">
        <v>35</v>
      </c>
      <c r="E1141" s="667"/>
      <c r="F1141" s="667">
        <v>15</v>
      </c>
      <c r="G1141" s="667"/>
      <c r="H1141" s="667"/>
      <c r="I1141" s="667"/>
      <c r="J1141" s="667"/>
      <c r="K1141" s="667"/>
      <c r="L1141" s="667"/>
      <c r="M1141" s="667"/>
      <c r="N1141" s="667"/>
      <c r="O1141" s="667"/>
      <c r="P1141" s="667"/>
      <c r="Q1141" s="667"/>
      <c r="R1141" s="667"/>
      <c r="S1141" s="667"/>
      <c r="T1141" s="667">
        <v>150</v>
      </c>
      <c r="U1141" s="1021">
        <v>12</v>
      </c>
      <c r="V1141" s="668">
        <f t="shared" si="391"/>
        <v>420</v>
      </c>
      <c r="W1141" s="668">
        <f t="shared" si="392"/>
        <v>0</v>
      </c>
      <c r="X1141" s="668">
        <f t="shared" si="393"/>
        <v>0</v>
      </c>
      <c r="Y1141" s="668">
        <f t="shared" si="394"/>
        <v>0</v>
      </c>
      <c r="Z1141" s="668">
        <f t="shared" si="395"/>
        <v>0</v>
      </c>
      <c r="AA1141" s="668">
        <f t="shared" si="396"/>
        <v>0</v>
      </c>
      <c r="AB1141" s="668">
        <f t="shared" si="397"/>
        <v>150</v>
      </c>
      <c r="AC1141" s="668">
        <f t="shared" si="387"/>
        <v>0</v>
      </c>
      <c r="AD1141" s="668">
        <f t="shared" si="398"/>
        <v>0</v>
      </c>
      <c r="AE1141" s="668">
        <f t="shared" si="399"/>
        <v>0</v>
      </c>
      <c r="AF1141" s="668">
        <f t="shared" si="400"/>
        <v>0</v>
      </c>
      <c r="AG1141" s="668">
        <f t="shared" si="401"/>
        <v>0</v>
      </c>
      <c r="AH1141" s="668"/>
      <c r="AI1141" s="668"/>
      <c r="AJ1141" s="668"/>
      <c r="AK1141" s="668"/>
      <c r="AL1141" s="668"/>
      <c r="AM1141" s="668">
        <f t="shared" si="389"/>
        <v>0</v>
      </c>
      <c r="AN1141" s="668">
        <f t="shared" si="385"/>
        <v>0</v>
      </c>
      <c r="AO1141" s="668">
        <f t="shared" si="386"/>
        <v>0</v>
      </c>
      <c r="AP1141" s="668">
        <f t="shared" si="390"/>
        <v>180</v>
      </c>
      <c r="AQ1141" s="668">
        <f t="shared" si="383"/>
        <v>0</v>
      </c>
      <c r="AR1141" s="668">
        <f t="shared" si="384"/>
        <v>0</v>
      </c>
      <c r="AS1141" s="668"/>
      <c r="AT1141" s="668"/>
      <c r="AU1141" s="668"/>
      <c r="AV1141" s="668"/>
      <c r="AW1141" s="668"/>
      <c r="AX1141" s="668"/>
      <c r="AY1141" s="668"/>
      <c r="AZ1141" s="668"/>
      <c r="BA1141" s="668"/>
      <c r="BB1141" s="668">
        <f t="shared" si="388"/>
        <v>180</v>
      </c>
      <c r="BC1141" s="668"/>
      <c r="BD1141" s="668"/>
      <c r="BE1141" s="668"/>
      <c r="BF1141" s="668"/>
      <c r="BG1141" s="668"/>
      <c r="BH1141" s="668"/>
      <c r="BI1141" s="668"/>
    </row>
    <row r="1142" spans="1:61" x14ac:dyDescent="0.2">
      <c r="A1142" s="1021">
        <v>6164</v>
      </c>
      <c r="B1142" s="1021" t="s">
        <v>519</v>
      </c>
      <c r="C1142" s="1021"/>
      <c r="D1142" s="667">
        <v>35</v>
      </c>
      <c r="E1142" s="667"/>
      <c r="F1142" s="667">
        <v>15</v>
      </c>
      <c r="G1142" s="667"/>
      <c r="H1142" s="667"/>
      <c r="I1142" s="667"/>
      <c r="J1142" s="667"/>
      <c r="K1142" s="667"/>
      <c r="L1142" s="667"/>
      <c r="M1142" s="667"/>
      <c r="N1142" s="667"/>
      <c r="O1142" s="667"/>
      <c r="P1142" s="667"/>
      <c r="Q1142" s="667"/>
      <c r="R1142" s="667"/>
      <c r="S1142" s="667"/>
      <c r="T1142" s="667">
        <v>150</v>
      </c>
      <c r="U1142" s="1021">
        <v>12</v>
      </c>
      <c r="V1142" s="668">
        <f t="shared" si="391"/>
        <v>420</v>
      </c>
      <c r="W1142" s="668">
        <f t="shared" si="392"/>
        <v>0</v>
      </c>
      <c r="X1142" s="668">
        <f t="shared" si="393"/>
        <v>0</v>
      </c>
      <c r="Y1142" s="668">
        <f t="shared" si="394"/>
        <v>0</v>
      </c>
      <c r="Z1142" s="668">
        <f t="shared" si="395"/>
        <v>0</v>
      </c>
      <c r="AA1142" s="668">
        <f t="shared" si="396"/>
        <v>0</v>
      </c>
      <c r="AB1142" s="668">
        <f t="shared" si="397"/>
        <v>150</v>
      </c>
      <c r="AC1142" s="668">
        <f t="shared" si="387"/>
        <v>0</v>
      </c>
      <c r="AD1142" s="668">
        <f t="shared" si="398"/>
        <v>0</v>
      </c>
      <c r="AE1142" s="668">
        <f t="shared" si="399"/>
        <v>0</v>
      </c>
      <c r="AF1142" s="668">
        <f t="shared" si="400"/>
        <v>0</v>
      </c>
      <c r="AG1142" s="668">
        <f t="shared" si="401"/>
        <v>0</v>
      </c>
      <c r="AH1142" s="668"/>
      <c r="AI1142" s="668"/>
      <c r="AJ1142" s="668"/>
      <c r="AK1142" s="668"/>
      <c r="AL1142" s="668"/>
      <c r="AM1142" s="668">
        <f t="shared" si="389"/>
        <v>0</v>
      </c>
      <c r="AN1142" s="668">
        <f t="shared" si="385"/>
        <v>0</v>
      </c>
      <c r="AO1142" s="668">
        <f t="shared" si="386"/>
        <v>0</v>
      </c>
      <c r="AP1142" s="668">
        <f t="shared" si="390"/>
        <v>180</v>
      </c>
      <c r="AQ1142" s="668">
        <f t="shared" si="383"/>
        <v>0</v>
      </c>
      <c r="AR1142" s="668">
        <f t="shared" si="384"/>
        <v>0</v>
      </c>
      <c r="AS1142" s="668"/>
      <c r="AT1142" s="668"/>
      <c r="AU1142" s="668"/>
      <c r="AV1142" s="668"/>
      <c r="AW1142" s="668"/>
      <c r="AX1142" s="668"/>
      <c r="AY1142" s="668"/>
      <c r="AZ1142" s="668"/>
      <c r="BA1142" s="668"/>
      <c r="BB1142" s="668">
        <f t="shared" si="388"/>
        <v>180</v>
      </c>
      <c r="BC1142" s="668"/>
      <c r="BD1142" s="668"/>
      <c r="BE1142" s="668"/>
      <c r="BF1142" s="668"/>
      <c r="BG1142" s="668"/>
      <c r="BH1142" s="668"/>
      <c r="BI1142" s="668"/>
    </row>
    <row r="1143" spans="1:61" x14ac:dyDescent="0.2">
      <c r="A1143" s="1021">
        <v>6165</v>
      </c>
      <c r="B1143" s="1021" t="s">
        <v>476</v>
      </c>
      <c r="C1143" s="1021"/>
      <c r="D1143" s="667">
        <v>48</v>
      </c>
      <c r="E1143" s="667"/>
      <c r="F1143" s="667"/>
      <c r="G1143" s="667"/>
      <c r="H1143" s="667"/>
      <c r="I1143" s="667"/>
      <c r="J1143" s="667"/>
      <c r="K1143" s="667"/>
      <c r="L1143" s="667"/>
      <c r="M1143" s="667"/>
      <c r="N1143" s="667"/>
      <c r="O1143" s="667"/>
      <c r="P1143" s="667"/>
      <c r="Q1143" s="667"/>
      <c r="R1143" s="667"/>
      <c r="S1143" s="667"/>
      <c r="T1143" s="667"/>
      <c r="U1143" s="1021">
        <v>12</v>
      </c>
      <c r="V1143" s="668">
        <f t="shared" si="391"/>
        <v>576</v>
      </c>
      <c r="W1143" s="668">
        <f t="shared" si="392"/>
        <v>0</v>
      </c>
      <c r="X1143" s="668">
        <f t="shared" si="393"/>
        <v>0</v>
      </c>
      <c r="Y1143" s="668">
        <f t="shared" si="394"/>
        <v>0</v>
      </c>
      <c r="Z1143" s="668">
        <f t="shared" si="395"/>
        <v>0</v>
      </c>
      <c r="AA1143" s="668">
        <f t="shared" si="396"/>
        <v>0</v>
      </c>
      <c r="AB1143" s="668">
        <f t="shared" si="397"/>
        <v>0</v>
      </c>
      <c r="AC1143" s="668">
        <f t="shared" si="387"/>
        <v>0</v>
      </c>
      <c r="AD1143" s="668">
        <f t="shared" si="398"/>
        <v>0</v>
      </c>
      <c r="AE1143" s="668">
        <f t="shared" si="399"/>
        <v>0</v>
      </c>
      <c r="AF1143" s="668">
        <f t="shared" si="400"/>
        <v>0</v>
      </c>
      <c r="AG1143" s="668">
        <f t="shared" si="401"/>
        <v>0</v>
      </c>
      <c r="AH1143" s="668"/>
      <c r="AI1143" s="668"/>
      <c r="AJ1143" s="668"/>
      <c r="AK1143" s="668"/>
      <c r="AL1143" s="668"/>
      <c r="AM1143" s="668">
        <f t="shared" si="389"/>
        <v>0</v>
      </c>
      <c r="AN1143" s="668">
        <f t="shared" si="385"/>
        <v>0</v>
      </c>
      <c r="AO1143" s="668">
        <f t="shared" si="386"/>
        <v>0</v>
      </c>
      <c r="AP1143" s="668">
        <f t="shared" si="390"/>
        <v>0</v>
      </c>
      <c r="AQ1143" s="668">
        <f t="shared" si="383"/>
        <v>0</v>
      </c>
      <c r="AR1143" s="668">
        <f t="shared" si="384"/>
        <v>0</v>
      </c>
      <c r="AS1143" s="668"/>
      <c r="AT1143" s="668"/>
      <c r="AU1143" s="668"/>
      <c r="AV1143" s="668"/>
      <c r="AW1143" s="668"/>
      <c r="AX1143" s="668"/>
      <c r="AY1143" s="668"/>
      <c r="AZ1143" s="668"/>
      <c r="BA1143" s="668"/>
      <c r="BB1143" s="668">
        <f t="shared" si="388"/>
        <v>0</v>
      </c>
      <c r="BC1143" s="668"/>
      <c r="BD1143" s="668"/>
      <c r="BE1143" s="668"/>
      <c r="BF1143" s="668"/>
      <c r="BG1143" s="668"/>
      <c r="BH1143" s="668"/>
      <c r="BI1143" s="668"/>
    </row>
    <row r="1144" spans="1:61" x14ac:dyDescent="0.2">
      <c r="A1144" s="1021">
        <v>6166</v>
      </c>
      <c r="B1144" s="1021" t="s">
        <v>579</v>
      </c>
      <c r="C1144" s="1021"/>
      <c r="D1144" s="667">
        <v>46</v>
      </c>
      <c r="E1144" s="667"/>
      <c r="F1144" s="667"/>
      <c r="G1144" s="667"/>
      <c r="H1144" s="667"/>
      <c r="I1144" s="667"/>
      <c r="J1144" s="667"/>
      <c r="K1144" s="667"/>
      <c r="L1144" s="667"/>
      <c r="M1144" s="667"/>
      <c r="N1144" s="667"/>
      <c r="O1144" s="667"/>
      <c r="P1144" s="667"/>
      <c r="Q1144" s="667"/>
      <c r="R1144" s="667"/>
      <c r="S1144" s="667"/>
      <c r="T1144" s="667"/>
      <c r="U1144" s="1021">
        <v>12</v>
      </c>
      <c r="V1144" s="668">
        <f t="shared" si="391"/>
        <v>552</v>
      </c>
      <c r="W1144" s="668">
        <f t="shared" si="392"/>
        <v>0</v>
      </c>
      <c r="X1144" s="668">
        <f t="shared" si="393"/>
        <v>0</v>
      </c>
      <c r="Y1144" s="668">
        <f t="shared" si="394"/>
        <v>0</v>
      </c>
      <c r="Z1144" s="668">
        <f t="shared" si="395"/>
        <v>0</v>
      </c>
      <c r="AA1144" s="668">
        <f t="shared" si="396"/>
        <v>0</v>
      </c>
      <c r="AB1144" s="668">
        <f t="shared" si="397"/>
        <v>0</v>
      </c>
      <c r="AC1144" s="668">
        <f t="shared" si="387"/>
        <v>0</v>
      </c>
      <c r="AD1144" s="668">
        <f t="shared" si="398"/>
        <v>0</v>
      </c>
      <c r="AE1144" s="668">
        <f t="shared" si="399"/>
        <v>0</v>
      </c>
      <c r="AF1144" s="668">
        <f t="shared" si="400"/>
        <v>0</v>
      </c>
      <c r="AG1144" s="668">
        <f t="shared" si="401"/>
        <v>0</v>
      </c>
      <c r="AH1144" s="668"/>
      <c r="AI1144" s="668"/>
      <c r="AJ1144" s="668"/>
      <c r="AK1144" s="668"/>
      <c r="AL1144" s="668"/>
      <c r="AM1144" s="668">
        <f t="shared" si="389"/>
        <v>0</v>
      </c>
      <c r="AN1144" s="668">
        <f t="shared" si="385"/>
        <v>0</v>
      </c>
      <c r="AO1144" s="668">
        <f t="shared" si="386"/>
        <v>0</v>
      </c>
      <c r="AP1144" s="668">
        <f t="shared" si="390"/>
        <v>0</v>
      </c>
      <c r="AQ1144" s="668">
        <f t="shared" si="383"/>
        <v>0</v>
      </c>
      <c r="AR1144" s="668">
        <f t="shared" si="384"/>
        <v>0</v>
      </c>
      <c r="AS1144" s="668"/>
      <c r="AT1144" s="668"/>
      <c r="AU1144" s="668"/>
      <c r="AV1144" s="668"/>
      <c r="AW1144" s="668"/>
      <c r="AX1144" s="668"/>
      <c r="AY1144" s="668"/>
      <c r="AZ1144" s="668"/>
      <c r="BA1144" s="668"/>
      <c r="BB1144" s="668">
        <f t="shared" si="388"/>
        <v>0</v>
      </c>
      <c r="BC1144" s="668"/>
      <c r="BD1144" s="668"/>
      <c r="BE1144" s="668"/>
      <c r="BF1144" s="668"/>
      <c r="BG1144" s="668"/>
      <c r="BH1144" s="668"/>
      <c r="BI1144" s="668"/>
    </row>
    <row r="1145" spans="1:61" x14ac:dyDescent="0.2">
      <c r="A1145" s="1021">
        <v>6167</v>
      </c>
      <c r="B1145" s="1021" t="s">
        <v>517</v>
      </c>
      <c r="C1145" s="1021"/>
      <c r="D1145" s="667">
        <v>50</v>
      </c>
      <c r="E1145" s="667"/>
      <c r="F1145" s="667"/>
      <c r="G1145" s="667"/>
      <c r="H1145" s="667"/>
      <c r="I1145" s="667"/>
      <c r="J1145" s="667"/>
      <c r="K1145" s="667"/>
      <c r="L1145" s="667"/>
      <c r="M1145" s="667"/>
      <c r="N1145" s="667"/>
      <c r="O1145" s="667"/>
      <c r="P1145" s="667"/>
      <c r="Q1145" s="667"/>
      <c r="R1145" s="667"/>
      <c r="S1145" s="667"/>
      <c r="T1145" s="667"/>
      <c r="U1145" s="1021">
        <v>12</v>
      </c>
      <c r="V1145" s="668">
        <f t="shared" si="391"/>
        <v>600</v>
      </c>
      <c r="W1145" s="668">
        <f t="shared" si="392"/>
        <v>0</v>
      </c>
      <c r="X1145" s="668">
        <f t="shared" si="393"/>
        <v>0</v>
      </c>
      <c r="Y1145" s="668">
        <f t="shared" si="394"/>
        <v>0</v>
      </c>
      <c r="Z1145" s="668">
        <f t="shared" si="395"/>
        <v>0</v>
      </c>
      <c r="AA1145" s="668">
        <f t="shared" si="396"/>
        <v>0</v>
      </c>
      <c r="AB1145" s="668">
        <f t="shared" si="397"/>
        <v>0</v>
      </c>
      <c r="AC1145" s="668">
        <f t="shared" si="387"/>
        <v>0</v>
      </c>
      <c r="AD1145" s="668">
        <f t="shared" si="398"/>
        <v>0</v>
      </c>
      <c r="AE1145" s="668">
        <f t="shared" si="399"/>
        <v>0</v>
      </c>
      <c r="AF1145" s="668">
        <f t="shared" si="400"/>
        <v>0</v>
      </c>
      <c r="AG1145" s="668">
        <f t="shared" si="401"/>
        <v>0</v>
      </c>
      <c r="AH1145" s="668"/>
      <c r="AI1145" s="668"/>
      <c r="AJ1145" s="668"/>
      <c r="AK1145" s="668"/>
      <c r="AL1145" s="668"/>
      <c r="AM1145" s="668">
        <f t="shared" si="389"/>
        <v>0</v>
      </c>
      <c r="AN1145" s="668">
        <f t="shared" si="385"/>
        <v>0</v>
      </c>
      <c r="AO1145" s="668">
        <f t="shared" si="386"/>
        <v>0</v>
      </c>
      <c r="AP1145" s="668">
        <f t="shared" si="390"/>
        <v>0</v>
      </c>
      <c r="AQ1145" s="668">
        <f t="shared" si="383"/>
        <v>0</v>
      </c>
      <c r="AR1145" s="668">
        <f t="shared" si="384"/>
        <v>0</v>
      </c>
      <c r="AS1145" s="668"/>
      <c r="AT1145" s="668"/>
      <c r="AU1145" s="668"/>
      <c r="AV1145" s="668"/>
      <c r="AW1145" s="668"/>
      <c r="AX1145" s="668"/>
      <c r="AY1145" s="668"/>
      <c r="AZ1145" s="668"/>
      <c r="BA1145" s="668"/>
      <c r="BB1145" s="668">
        <f t="shared" si="388"/>
        <v>0</v>
      </c>
      <c r="BC1145" s="668"/>
      <c r="BD1145" s="668"/>
      <c r="BE1145" s="668"/>
      <c r="BF1145" s="668"/>
      <c r="BG1145" s="668"/>
      <c r="BH1145" s="668"/>
      <c r="BI1145" s="668"/>
    </row>
    <row r="1146" spans="1:61" x14ac:dyDescent="0.2">
      <c r="A1146" s="1021">
        <v>6168</v>
      </c>
      <c r="B1146" s="1021" t="s">
        <v>682</v>
      </c>
      <c r="C1146" s="1021"/>
      <c r="D1146" s="667">
        <v>32</v>
      </c>
      <c r="E1146" s="667"/>
      <c r="F1146" s="667">
        <v>32</v>
      </c>
      <c r="G1146" s="667"/>
      <c r="H1146" s="667"/>
      <c r="I1146" s="667"/>
      <c r="J1146" s="667"/>
      <c r="K1146" s="667"/>
      <c r="L1146" s="667"/>
      <c r="M1146" s="667"/>
      <c r="N1146" s="667"/>
      <c r="O1146" s="667"/>
      <c r="P1146" s="667"/>
      <c r="Q1146" s="667"/>
      <c r="R1146" s="667"/>
      <c r="S1146" s="667"/>
      <c r="T1146" s="667"/>
      <c r="U1146" s="1021">
        <v>10</v>
      </c>
      <c r="V1146" s="668">
        <f t="shared" si="391"/>
        <v>320</v>
      </c>
      <c r="W1146" s="668">
        <f t="shared" si="392"/>
        <v>0</v>
      </c>
      <c r="X1146" s="668">
        <f t="shared" si="393"/>
        <v>0</v>
      </c>
      <c r="Y1146" s="668">
        <f t="shared" si="394"/>
        <v>0</v>
      </c>
      <c r="Z1146" s="668">
        <f t="shared" si="395"/>
        <v>0</v>
      </c>
      <c r="AA1146" s="668">
        <f t="shared" si="396"/>
        <v>0</v>
      </c>
      <c r="AB1146" s="668">
        <f t="shared" si="397"/>
        <v>0</v>
      </c>
      <c r="AC1146" s="668">
        <f t="shared" si="387"/>
        <v>0</v>
      </c>
      <c r="AD1146" s="668">
        <f t="shared" si="398"/>
        <v>0</v>
      </c>
      <c r="AE1146" s="668">
        <f t="shared" si="399"/>
        <v>0</v>
      </c>
      <c r="AF1146" s="668">
        <f t="shared" si="400"/>
        <v>0</v>
      </c>
      <c r="AG1146" s="668">
        <f t="shared" si="401"/>
        <v>0</v>
      </c>
      <c r="AH1146" s="668"/>
      <c r="AI1146" s="668"/>
      <c r="AJ1146" s="668"/>
      <c r="AK1146" s="668"/>
      <c r="AL1146" s="668"/>
      <c r="AM1146" s="668">
        <f t="shared" si="389"/>
        <v>0</v>
      </c>
      <c r="AN1146" s="668">
        <f t="shared" si="385"/>
        <v>0</v>
      </c>
      <c r="AO1146" s="668">
        <f t="shared" si="386"/>
        <v>0</v>
      </c>
      <c r="AP1146" s="668">
        <f t="shared" si="390"/>
        <v>320</v>
      </c>
      <c r="AQ1146" s="668">
        <f t="shared" si="383"/>
        <v>0</v>
      </c>
      <c r="AR1146" s="668">
        <f t="shared" si="384"/>
        <v>0</v>
      </c>
      <c r="AS1146" s="668"/>
      <c r="AT1146" s="668"/>
      <c r="AU1146" s="668"/>
      <c r="AV1146" s="668"/>
      <c r="AW1146" s="668"/>
      <c r="AX1146" s="668"/>
      <c r="AY1146" s="668"/>
      <c r="AZ1146" s="668"/>
      <c r="BA1146" s="668"/>
      <c r="BB1146" s="668">
        <f t="shared" si="388"/>
        <v>320</v>
      </c>
      <c r="BC1146" s="668"/>
      <c r="BD1146" s="668"/>
      <c r="BE1146" s="668"/>
      <c r="BF1146" s="668"/>
      <c r="BG1146" s="668"/>
      <c r="BH1146" s="668"/>
      <c r="BI1146" s="668"/>
    </row>
    <row r="1147" spans="1:61" x14ac:dyDescent="0.2">
      <c r="A1147" s="1021">
        <v>6169</v>
      </c>
      <c r="B1147" s="1021" t="s">
        <v>682</v>
      </c>
      <c r="C1147" s="1021"/>
      <c r="D1147" s="667">
        <v>32</v>
      </c>
      <c r="E1147" s="667"/>
      <c r="F1147" s="667">
        <v>32</v>
      </c>
      <c r="G1147" s="667"/>
      <c r="H1147" s="667"/>
      <c r="I1147" s="667"/>
      <c r="J1147" s="667"/>
      <c r="K1147" s="667"/>
      <c r="L1147" s="667"/>
      <c r="M1147" s="667"/>
      <c r="N1147" s="667"/>
      <c r="O1147" s="667"/>
      <c r="P1147" s="667"/>
      <c r="Q1147" s="667"/>
      <c r="R1147" s="667"/>
      <c r="S1147" s="667"/>
      <c r="T1147" s="667"/>
      <c r="U1147" s="1021">
        <v>10</v>
      </c>
      <c r="V1147" s="668">
        <f t="shared" si="391"/>
        <v>320</v>
      </c>
      <c r="W1147" s="668">
        <f t="shared" si="392"/>
        <v>0</v>
      </c>
      <c r="X1147" s="668">
        <f t="shared" si="393"/>
        <v>0</v>
      </c>
      <c r="Y1147" s="668">
        <f t="shared" si="394"/>
        <v>0</v>
      </c>
      <c r="Z1147" s="668">
        <f t="shared" si="395"/>
        <v>0</v>
      </c>
      <c r="AA1147" s="668">
        <f t="shared" si="396"/>
        <v>0</v>
      </c>
      <c r="AB1147" s="668">
        <f t="shared" si="397"/>
        <v>0</v>
      </c>
      <c r="AC1147" s="668">
        <f t="shared" si="387"/>
        <v>0</v>
      </c>
      <c r="AD1147" s="668">
        <f t="shared" si="398"/>
        <v>0</v>
      </c>
      <c r="AE1147" s="668">
        <f t="shared" si="399"/>
        <v>0</v>
      </c>
      <c r="AF1147" s="668">
        <f t="shared" si="400"/>
        <v>0</v>
      </c>
      <c r="AG1147" s="668">
        <f t="shared" si="401"/>
        <v>0</v>
      </c>
      <c r="AH1147" s="668"/>
      <c r="AI1147" s="668"/>
      <c r="AJ1147" s="668"/>
      <c r="AK1147" s="668"/>
      <c r="AL1147" s="668"/>
      <c r="AM1147" s="668">
        <f t="shared" si="389"/>
        <v>0</v>
      </c>
      <c r="AN1147" s="668">
        <f t="shared" si="385"/>
        <v>0</v>
      </c>
      <c r="AO1147" s="668">
        <f t="shared" si="386"/>
        <v>0</v>
      </c>
      <c r="AP1147" s="668">
        <f t="shared" si="390"/>
        <v>320</v>
      </c>
      <c r="AQ1147" s="668">
        <f t="shared" si="383"/>
        <v>0</v>
      </c>
      <c r="AR1147" s="668">
        <f t="shared" si="384"/>
        <v>0</v>
      </c>
      <c r="AS1147" s="668"/>
      <c r="AT1147" s="668"/>
      <c r="AU1147" s="668"/>
      <c r="AV1147" s="668"/>
      <c r="AW1147" s="668"/>
      <c r="AX1147" s="668"/>
      <c r="AY1147" s="668"/>
      <c r="AZ1147" s="668"/>
      <c r="BA1147" s="668"/>
      <c r="BB1147" s="668">
        <f t="shared" si="388"/>
        <v>320</v>
      </c>
      <c r="BC1147" s="668"/>
      <c r="BD1147" s="668"/>
      <c r="BE1147" s="668"/>
      <c r="BF1147" s="668"/>
      <c r="BG1147" s="668"/>
      <c r="BH1147" s="668"/>
      <c r="BI1147" s="668"/>
    </row>
    <row r="1148" spans="1:61" x14ac:dyDescent="0.2">
      <c r="A1148" s="1021">
        <v>6170</v>
      </c>
      <c r="B1148" s="1021" t="s">
        <v>685</v>
      </c>
      <c r="C1148" s="1021"/>
      <c r="D1148" s="667">
        <v>82</v>
      </c>
      <c r="E1148" s="667"/>
      <c r="F1148" s="667"/>
      <c r="G1148" s="667"/>
      <c r="H1148" s="667"/>
      <c r="I1148" s="667"/>
      <c r="J1148" s="667"/>
      <c r="K1148" s="667"/>
      <c r="L1148" s="667"/>
      <c r="M1148" s="667"/>
      <c r="N1148" s="667"/>
      <c r="O1148" s="667"/>
      <c r="P1148" s="667"/>
      <c r="Q1148" s="667"/>
      <c r="R1148" s="667"/>
      <c r="S1148" s="667"/>
      <c r="T1148" s="667"/>
      <c r="U1148" s="1021">
        <v>10</v>
      </c>
      <c r="V1148" s="668">
        <f t="shared" si="391"/>
        <v>820</v>
      </c>
      <c r="W1148" s="668">
        <f t="shared" si="392"/>
        <v>0</v>
      </c>
      <c r="X1148" s="668">
        <f t="shared" si="393"/>
        <v>0</v>
      </c>
      <c r="Y1148" s="668">
        <f t="shared" si="394"/>
        <v>0</v>
      </c>
      <c r="Z1148" s="668">
        <f t="shared" si="395"/>
        <v>0</v>
      </c>
      <c r="AA1148" s="668">
        <f t="shared" si="396"/>
        <v>0</v>
      </c>
      <c r="AB1148" s="668">
        <f t="shared" si="397"/>
        <v>0</v>
      </c>
      <c r="AC1148" s="668">
        <f t="shared" si="387"/>
        <v>0</v>
      </c>
      <c r="AD1148" s="668">
        <f t="shared" si="398"/>
        <v>0</v>
      </c>
      <c r="AE1148" s="668">
        <f t="shared" si="399"/>
        <v>0</v>
      </c>
      <c r="AF1148" s="668">
        <f t="shared" si="400"/>
        <v>0</v>
      </c>
      <c r="AG1148" s="668">
        <f t="shared" si="401"/>
        <v>0</v>
      </c>
      <c r="AH1148" s="668"/>
      <c r="AI1148" s="668"/>
      <c r="AJ1148" s="668"/>
      <c r="AK1148" s="668"/>
      <c r="AL1148" s="668"/>
      <c r="AM1148" s="668">
        <f t="shared" si="389"/>
        <v>0</v>
      </c>
      <c r="AN1148" s="668">
        <f t="shared" si="385"/>
        <v>0</v>
      </c>
      <c r="AO1148" s="668">
        <f t="shared" si="386"/>
        <v>0</v>
      </c>
      <c r="AP1148" s="668">
        <f t="shared" si="390"/>
        <v>0</v>
      </c>
      <c r="AQ1148" s="668">
        <f t="shared" si="383"/>
        <v>0</v>
      </c>
      <c r="AR1148" s="668">
        <f t="shared" si="384"/>
        <v>0</v>
      </c>
      <c r="AS1148" s="668"/>
      <c r="AT1148" s="668"/>
      <c r="AU1148" s="668"/>
      <c r="AV1148" s="668"/>
      <c r="AW1148" s="668"/>
      <c r="AX1148" s="668"/>
      <c r="AY1148" s="668"/>
      <c r="AZ1148" s="668"/>
      <c r="BA1148" s="668"/>
      <c r="BB1148" s="668">
        <f t="shared" si="388"/>
        <v>0</v>
      </c>
      <c r="BC1148" s="668"/>
      <c r="BD1148" s="668"/>
      <c r="BE1148" s="668"/>
      <c r="BF1148" s="668"/>
      <c r="BG1148" s="668"/>
      <c r="BH1148" s="668"/>
      <c r="BI1148" s="668"/>
    </row>
    <row r="1149" spans="1:61" x14ac:dyDescent="0.2">
      <c r="A1149" s="1021">
        <v>6171</v>
      </c>
      <c r="B1149" s="1021" t="s">
        <v>517</v>
      </c>
      <c r="C1149" s="1021"/>
      <c r="D1149" s="667">
        <v>83</v>
      </c>
      <c r="E1149" s="667"/>
      <c r="F1149" s="667"/>
      <c r="G1149" s="667"/>
      <c r="H1149" s="667"/>
      <c r="I1149" s="667"/>
      <c r="J1149" s="667"/>
      <c r="K1149" s="667"/>
      <c r="L1149" s="667"/>
      <c r="M1149" s="667"/>
      <c r="N1149" s="667"/>
      <c r="O1149" s="667"/>
      <c r="P1149" s="667"/>
      <c r="Q1149" s="667"/>
      <c r="R1149" s="667"/>
      <c r="S1149" s="667"/>
      <c r="T1149" s="667"/>
      <c r="U1149" s="1021">
        <v>12</v>
      </c>
      <c r="V1149" s="668">
        <f t="shared" si="391"/>
        <v>996</v>
      </c>
      <c r="W1149" s="668">
        <f t="shared" si="392"/>
        <v>0</v>
      </c>
      <c r="X1149" s="668">
        <f t="shared" si="393"/>
        <v>0</v>
      </c>
      <c r="Y1149" s="668">
        <f t="shared" si="394"/>
        <v>0</v>
      </c>
      <c r="Z1149" s="668">
        <f t="shared" si="395"/>
        <v>0</v>
      </c>
      <c r="AA1149" s="668">
        <f t="shared" si="396"/>
        <v>0</v>
      </c>
      <c r="AB1149" s="668">
        <f t="shared" si="397"/>
        <v>0</v>
      </c>
      <c r="AC1149" s="668">
        <f t="shared" si="387"/>
        <v>0</v>
      </c>
      <c r="AD1149" s="668">
        <f t="shared" si="398"/>
        <v>0</v>
      </c>
      <c r="AE1149" s="668">
        <f t="shared" si="399"/>
        <v>0</v>
      </c>
      <c r="AF1149" s="668">
        <f t="shared" si="400"/>
        <v>0</v>
      </c>
      <c r="AG1149" s="668">
        <f t="shared" si="401"/>
        <v>0</v>
      </c>
      <c r="AH1149" s="668"/>
      <c r="AI1149" s="668"/>
      <c r="AJ1149" s="668"/>
      <c r="AK1149" s="668"/>
      <c r="AL1149" s="668"/>
      <c r="AM1149" s="668">
        <f t="shared" si="389"/>
        <v>0</v>
      </c>
      <c r="AN1149" s="668">
        <f t="shared" si="385"/>
        <v>0</v>
      </c>
      <c r="AO1149" s="668">
        <f t="shared" si="386"/>
        <v>0</v>
      </c>
      <c r="AP1149" s="668">
        <f t="shared" si="390"/>
        <v>0</v>
      </c>
      <c r="AQ1149" s="668">
        <f t="shared" si="383"/>
        <v>0</v>
      </c>
      <c r="AR1149" s="668">
        <f t="shared" si="384"/>
        <v>0</v>
      </c>
      <c r="AS1149" s="668"/>
      <c r="AT1149" s="668"/>
      <c r="AU1149" s="668"/>
      <c r="AV1149" s="668"/>
      <c r="AW1149" s="668"/>
      <c r="AX1149" s="668"/>
      <c r="AY1149" s="668"/>
      <c r="AZ1149" s="668"/>
      <c r="BA1149" s="668"/>
      <c r="BB1149" s="668">
        <f t="shared" si="388"/>
        <v>0</v>
      </c>
      <c r="BC1149" s="668"/>
      <c r="BD1149" s="668"/>
      <c r="BE1149" s="668"/>
      <c r="BF1149" s="668"/>
      <c r="BG1149" s="668"/>
      <c r="BH1149" s="668"/>
      <c r="BI1149" s="668"/>
    </row>
    <row r="1150" spans="1:61" x14ac:dyDescent="0.2">
      <c r="A1150" s="1021">
        <v>6172</v>
      </c>
      <c r="B1150" s="1021" t="s">
        <v>519</v>
      </c>
      <c r="C1150" s="1021"/>
      <c r="D1150" s="667">
        <v>35</v>
      </c>
      <c r="E1150" s="667"/>
      <c r="F1150" s="667">
        <v>15</v>
      </c>
      <c r="G1150" s="667"/>
      <c r="H1150" s="667"/>
      <c r="I1150" s="667"/>
      <c r="J1150" s="667"/>
      <c r="K1150" s="667"/>
      <c r="L1150" s="667"/>
      <c r="M1150" s="667"/>
      <c r="N1150" s="667"/>
      <c r="O1150" s="667"/>
      <c r="P1150" s="667"/>
      <c r="Q1150" s="667"/>
      <c r="R1150" s="667"/>
      <c r="S1150" s="667"/>
      <c r="T1150" s="667">
        <v>150</v>
      </c>
      <c r="U1150" s="1021">
        <v>12</v>
      </c>
      <c r="V1150" s="668">
        <f t="shared" si="391"/>
        <v>420</v>
      </c>
      <c r="W1150" s="668">
        <f t="shared" si="392"/>
        <v>0</v>
      </c>
      <c r="X1150" s="668">
        <f t="shared" si="393"/>
        <v>0</v>
      </c>
      <c r="Y1150" s="668">
        <f t="shared" si="394"/>
        <v>0</v>
      </c>
      <c r="Z1150" s="668">
        <f t="shared" si="395"/>
        <v>0</v>
      </c>
      <c r="AA1150" s="668">
        <f t="shared" si="396"/>
        <v>0</v>
      </c>
      <c r="AB1150" s="668">
        <f t="shared" si="397"/>
        <v>150</v>
      </c>
      <c r="AC1150" s="668">
        <f t="shared" si="387"/>
        <v>0</v>
      </c>
      <c r="AD1150" s="668">
        <f t="shared" si="398"/>
        <v>0</v>
      </c>
      <c r="AE1150" s="668">
        <f t="shared" si="399"/>
        <v>0</v>
      </c>
      <c r="AF1150" s="668">
        <f t="shared" si="400"/>
        <v>0</v>
      </c>
      <c r="AG1150" s="668">
        <f t="shared" si="401"/>
        <v>0</v>
      </c>
      <c r="AH1150" s="668"/>
      <c r="AI1150" s="668"/>
      <c r="AJ1150" s="668"/>
      <c r="AK1150" s="668"/>
      <c r="AL1150" s="668"/>
      <c r="AM1150" s="668">
        <f t="shared" si="389"/>
        <v>0</v>
      </c>
      <c r="AN1150" s="668">
        <f t="shared" si="385"/>
        <v>0</v>
      </c>
      <c r="AO1150" s="668">
        <f t="shared" si="386"/>
        <v>0</v>
      </c>
      <c r="AP1150" s="668">
        <f t="shared" si="390"/>
        <v>180</v>
      </c>
      <c r="AQ1150" s="668">
        <f t="shared" si="383"/>
        <v>0</v>
      </c>
      <c r="AR1150" s="668">
        <f t="shared" si="384"/>
        <v>0</v>
      </c>
      <c r="AS1150" s="668"/>
      <c r="AT1150" s="668"/>
      <c r="AU1150" s="668"/>
      <c r="AV1150" s="668"/>
      <c r="AW1150" s="668"/>
      <c r="AX1150" s="668"/>
      <c r="AY1150" s="668"/>
      <c r="AZ1150" s="668"/>
      <c r="BA1150" s="668"/>
      <c r="BB1150" s="668">
        <f t="shared" si="388"/>
        <v>180</v>
      </c>
      <c r="BC1150" s="668"/>
      <c r="BD1150" s="668"/>
      <c r="BE1150" s="668"/>
      <c r="BF1150" s="668"/>
      <c r="BG1150" s="668"/>
      <c r="BH1150" s="668"/>
      <c r="BI1150" s="668"/>
    </row>
    <row r="1151" spans="1:61" x14ac:dyDescent="0.2">
      <c r="A1151" s="1021">
        <v>6173</v>
      </c>
      <c r="B1151" s="1021" t="s">
        <v>519</v>
      </c>
      <c r="C1151" s="1021"/>
      <c r="D1151" s="667">
        <v>35</v>
      </c>
      <c r="E1151" s="667"/>
      <c r="F1151" s="667">
        <v>15</v>
      </c>
      <c r="G1151" s="667"/>
      <c r="H1151" s="667"/>
      <c r="I1151" s="667"/>
      <c r="J1151" s="667"/>
      <c r="K1151" s="667"/>
      <c r="L1151" s="667"/>
      <c r="M1151" s="667"/>
      <c r="N1151" s="667"/>
      <c r="O1151" s="667"/>
      <c r="P1151" s="667"/>
      <c r="Q1151" s="667"/>
      <c r="R1151" s="667"/>
      <c r="S1151" s="667"/>
      <c r="T1151" s="667">
        <v>150</v>
      </c>
      <c r="U1151" s="1021">
        <v>12</v>
      </c>
      <c r="V1151" s="668">
        <f t="shared" si="391"/>
        <v>420</v>
      </c>
      <c r="W1151" s="668">
        <f t="shared" si="392"/>
        <v>0</v>
      </c>
      <c r="X1151" s="668">
        <f t="shared" si="393"/>
        <v>0</v>
      </c>
      <c r="Y1151" s="668">
        <f t="shared" si="394"/>
        <v>0</v>
      </c>
      <c r="Z1151" s="668">
        <f t="shared" si="395"/>
        <v>0</v>
      </c>
      <c r="AA1151" s="668">
        <f t="shared" si="396"/>
        <v>0</v>
      </c>
      <c r="AB1151" s="668">
        <f t="shared" si="397"/>
        <v>150</v>
      </c>
      <c r="AC1151" s="668">
        <f t="shared" si="387"/>
        <v>0</v>
      </c>
      <c r="AD1151" s="668">
        <f t="shared" si="398"/>
        <v>0</v>
      </c>
      <c r="AE1151" s="668">
        <f t="shared" si="399"/>
        <v>0</v>
      </c>
      <c r="AF1151" s="668">
        <f t="shared" si="400"/>
        <v>0</v>
      </c>
      <c r="AG1151" s="668">
        <f t="shared" si="401"/>
        <v>0</v>
      </c>
      <c r="AH1151" s="668"/>
      <c r="AI1151" s="668"/>
      <c r="AJ1151" s="668"/>
      <c r="AK1151" s="668"/>
      <c r="AL1151" s="668"/>
      <c r="AM1151" s="668">
        <f t="shared" si="389"/>
        <v>0</v>
      </c>
      <c r="AN1151" s="668">
        <f t="shared" si="385"/>
        <v>0</v>
      </c>
      <c r="AO1151" s="668">
        <f t="shared" si="386"/>
        <v>0</v>
      </c>
      <c r="AP1151" s="668">
        <f t="shared" si="390"/>
        <v>180</v>
      </c>
      <c r="AQ1151" s="668">
        <f t="shared" si="383"/>
        <v>0</v>
      </c>
      <c r="AR1151" s="668">
        <f t="shared" si="384"/>
        <v>0</v>
      </c>
      <c r="AS1151" s="668"/>
      <c r="AT1151" s="668"/>
      <c r="AU1151" s="668"/>
      <c r="AV1151" s="668"/>
      <c r="AW1151" s="668"/>
      <c r="AX1151" s="668"/>
      <c r="AY1151" s="668"/>
      <c r="AZ1151" s="668"/>
      <c r="BA1151" s="668"/>
      <c r="BB1151" s="668">
        <f t="shared" si="388"/>
        <v>180</v>
      </c>
      <c r="BC1151" s="668"/>
      <c r="BD1151" s="668"/>
      <c r="BE1151" s="668"/>
      <c r="BF1151" s="668"/>
      <c r="BG1151" s="668"/>
      <c r="BH1151" s="668"/>
      <c r="BI1151" s="668"/>
    </row>
    <row r="1152" spans="1:61" x14ac:dyDescent="0.2">
      <c r="A1152" s="1021">
        <v>6174</v>
      </c>
      <c r="B1152" s="1021" t="s">
        <v>515</v>
      </c>
      <c r="C1152" s="1021"/>
      <c r="D1152" s="667">
        <v>70</v>
      </c>
      <c r="E1152" s="667"/>
      <c r="F1152" s="667">
        <v>90</v>
      </c>
      <c r="G1152" s="667"/>
      <c r="H1152" s="667"/>
      <c r="I1152" s="667"/>
      <c r="J1152" s="667"/>
      <c r="K1152" s="667"/>
      <c r="L1152" s="667"/>
      <c r="M1152" s="667"/>
      <c r="N1152" s="667"/>
      <c r="O1152" s="667"/>
      <c r="P1152" s="667"/>
      <c r="Q1152" s="667"/>
      <c r="R1152" s="667"/>
      <c r="S1152" s="667"/>
      <c r="T1152" s="667">
        <v>3000</v>
      </c>
      <c r="U1152" s="1021">
        <v>12</v>
      </c>
      <c r="V1152" s="668">
        <f t="shared" si="391"/>
        <v>840</v>
      </c>
      <c r="W1152" s="668">
        <f t="shared" si="392"/>
        <v>0</v>
      </c>
      <c r="X1152" s="668">
        <f t="shared" si="393"/>
        <v>0</v>
      </c>
      <c r="Y1152" s="668">
        <f t="shared" si="394"/>
        <v>0</v>
      </c>
      <c r="Z1152" s="668">
        <f t="shared" si="395"/>
        <v>0</v>
      </c>
      <c r="AA1152" s="668">
        <f t="shared" si="396"/>
        <v>0</v>
      </c>
      <c r="AB1152" s="668">
        <f t="shared" si="397"/>
        <v>3000</v>
      </c>
      <c r="AC1152" s="668">
        <f t="shared" si="387"/>
        <v>0</v>
      </c>
      <c r="AD1152" s="668">
        <f t="shared" si="398"/>
        <v>0</v>
      </c>
      <c r="AE1152" s="668">
        <f t="shared" si="399"/>
        <v>0</v>
      </c>
      <c r="AF1152" s="668">
        <f t="shared" si="400"/>
        <v>0</v>
      </c>
      <c r="AG1152" s="668">
        <f t="shared" si="401"/>
        <v>0</v>
      </c>
      <c r="AH1152" s="668"/>
      <c r="AI1152" s="668"/>
      <c r="AJ1152" s="668"/>
      <c r="AK1152" s="668"/>
      <c r="AL1152" s="668"/>
      <c r="AM1152" s="668">
        <f t="shared" si="389"/>
        <v>0</v>
      </c>
      <c r="AN1152" s="668">
        <f t="shared" si="385"/>
        <v>0</v>
      </c>
      <c r="AO1152" s="668">
        <f t="shared" si="386"/>
        <v>0</v>
      </c>
      <c r="AP1152" s="668">
        <f t="shared" si="390"/>
        <v>1080</v>
      </c>
      <c r="AQ1152" s="668">
        <f t="shared" si="383"/>
        <v>0</v>
      </c>
      <c r="AR1152" s="668">
        <f t="shared" si="384"/>
        <v>0</v>
      </c>
      <c r="AS1152" s="668"/>
      <c r="AT1152" s="668"/>
      <c r="AU1152" s="668"/>
      <c r="AV1152" s="668"/>
      <c r="AW1152" s="668"/>
      <c r="AX1152" s="668"/>
      <c r="AY1152" s="668"/>
      <c r="AZ1152" s="668"/>
      <c r="BA1152" s="668"/>
      <c r="BB1152" s="668"/>
      <c r="BC1152" s="668"/>
      <c r="BD1152" s="668"/>
      <c r="BE1152" s="668"/>
      <c r="BF1152" s="668"/>
      <c r="BG1152" s="668"/>
      <c r="BH1152" s="668"/>
      <c r="BI1152" s="668"/>
    </row>
    <row r="1153" spans="1:61" x14ac:dyDescent="0.2">
      <c r="A1153" s="1021">
        <v>6175</v>
      </c>
      <c r="B1153" s="1021" t="s">
        <v>515</v>
      </c>
      <c r="C1153" s="1021"/>
      <c r="D1153" s="667">
        <v>144</v>
      </c>
      <c r="E1153" s="667"/>
      <c r="F1153" s="667">
        <v>90</v>
      </c>
      <c r="G1153" s="667"/>
      <c r="H1153" s="667"/>
      <c r="I1153" s="667"/>
      <c r="J1153" s="667"/>
      <c r="K1153" s="667"/>
      <c r="L1153" s="667"/>
      <c r="M1153" s="667"/>
      <c r="N1153" s="667"/>
      <c r="O1153" s="667"/>
      <c r="P1153" s="667"/>
      <c r="Q1153" s="667"/>
      <c r="R1153" s="667"/>
      <c r="S1153" s="667"/>
      <c r="T1153" s="667">
        <v>5000</v>
      </c>
      <c r="U1153" s="1021">
        <v>12</v>
      </c>
      <c r="V1153" s="668">
        <f t="shared" si="391"/>
        <v>1728</v>
      </c>
      <c r="W1153" s="668">
        <f t="shared" si="392"/>
        <v>0</v>
      </c>
      <c r="X1153" s="668">
        <f t="shared" si="393"/>
        <v>0</v>
      </c>
      <c r="Y1153" s="668">
        <f t="shared" si="394"/>
        <v>0</v>
      </c>
      <c r="Z1153" s="668">
        <f t="shared" si="395"/>
        <v>0</v>
      </c>
      <c r="AA1153" s="668">
        <f t="shared" si="396"/>
        <v>0</v>
      </c>
      <c r="AB1153" s="668">
        <f t="shared" si="397"/>
        <v>5000</v>
      </c>
      <c r="AC1153" s="668">
        <f t="shared" si="387"/>
        <v>0</v>
      </c>
      <c r="AD1153" s="668">
        <f t="shared" si="398"/>
        <v>0</v>
      </c>
      <c r="AE1153" s="668">
        <f t="shared" si="399"/>
        <v>0</v>
      </c>
      <c r="AF1153" s="668">
        <f t="shared" si="400"/>
        <v>0</v>
      </c>
      <c r="AG1153" s="668">
        <f t="shared" si="401"/>
        <v>0</v>
      </c>
      <c r="AH1153" s="668"/>
      <c r="AI1153" s="668"/>
      <c r="AJ1153" s="668"/>
      <c r="AK1153" s="668"/>
      <c r="AL1153" s="668"/>
      <c r="AM1153" s="668">
        <f t="shared" si="389"/>
        <v>0</v>
      </c>
      <c r="AN1153" s="668">
        <f t="shared" si="385"/>
        <v>0</v>
      </c>
      <c r="AO1153" s="668">
        <f t="shared" si="386"/>
        <v>0</v>
      </c>
      <c r="AP1153" s="668">
        <f t="shared" si="390"/>
        <v>1080</v>
      </c>
      <c r="AQ1153" s="668">
        <f t="shared" si="383"/>
        <v>0</v>
      </c>
      <c r="AR1153" s="668">
        <f t="shared" si="384"/>
        <v>0</v>
      </c>
      <c r="AS1153" s="668"/>
      <c r="AT1153" s="668"/>
      <c r="AU1153" s="668"/>
      <c r="AV1153" s="668"/>
      <c r="AW1153" s="668"/>
      <c r="AX1153" s="668"/>
      <c r="AY1153" s="668"/>
      <c r="AZ1153" s="668"/>
      <c r="BA1153" s="668"/>
      <c r="BB1153" s="668"/>
      <c r="BC1153" s="668"/>
      <c r="BD1153" s="668"/>
      <c r="BE1153" s="668"/>
      <c r="BF1153" s="668"/>
      <c r="BG1153" s="668"/>
      <c r="BH1153" s="668"/>
      <c r="BI1153" s="668"/>
    </row>
    <row r="1154" spans="1:61" x14ac:dyDescent="0.2">
      <c r="A1154" s="1021">
        <v>6176</v>
      </c>
      <c r="B1154" s="1021" t="s">
        <v>519</v>
      </c>
      <c r="C1154" s="1021"/>
      <c r="D1154" s="667">
        <v>35</v>
      </c>
      <c r="E1154" s="667"/>
      <c r="F1154" s="667">
        <v>15</v>
      </c>
      <c r="G1154" s="667"/>
      <c r="H1154" s="667"/>
      <c r="I1154" s="667"/>
      <c r="J1154" s="667"/>
      <c r="K1154" s="667"/>
      <c r="L1154" s="667"/>
      <c r="M1154" s="667"/>
      <c r="N1154" s="667"/>
      <c r="O1154" s="667"/>
      <c r="P1154" s="667"/>
      <c r="Q1154" s="667"/>
      <c r="R1154" s="667"/>
      <c r="S1154" s="667"/>
      <c r="T1154" s="667">
        <v>150</v>
      </c>
      <c r="U1154" s="1021">
        <v>12</v>
      </c>
      <c r="V1154" s="668">
        <f t="shared" si="391"/>
        <v>420</v>
      </c>
      <c r="W1154" s="668">
        <f t="shared" si="392"/>
        <v>0</v>
      </c>
      <c r="X1154" s="668">
        <f t="shared" si="393"/>
        <v>0</v>
      </c>
      <c r="Y1154" s="668">
        <f t="shared" si="394"/>
        <v>0</v>
      </c>
      <c r="Z1154" s="668">
        <f t="shared" si="395"/>
        <v>0</v>
      </c>
      <c r="AA1154" s="668">
        <f t="shared" si="396"/>
        <v>0</v>
      </c>
      <c r="AB1154" s="668">
        <f t="shared" si="397"/>
        <v>150</v>
      </c>
      <c r="AC1154" s="668">
        <f t="shared" si="387"/>
        <v>0</v>
      </c>
      <c r="AD1154" s="668">
        <f t="shared" si="398"/>
        <v>0</v>
      </c>
      <c r="AE1154" s="668">
        <f t="shared" si="399"/>
        <v>0</v>
      </c>
      <c r="AF1154" s="668">
        <f t="shared" si="400"/>
        <v>0</v>
      </c>
      <c r="AG1154" s="668">
        <f t="shared" si="401"/>
        <v>0</v>
      </c>
      <c r="AH1154" s="668"/>
      <c r="AI1154" s="668"/>
      <c r="AJ1154" s="668"/>
      <c r="AK1154" s="668"/>
      <c r="AL1154" s="668"/>
      <c r="AM1154" s="668">
        <f t="shared" si="389"/>
        <v>0</v>
      </c>
      <c r="AN1154" s="668">
        <f t="shared" si="385"/>
        <v>0</v>
      </c>
      <c r="AO1154" s="668">
        <f t="shared" si="386"/>
        <v>0</v>
      </c>
      <c r="AP1154" s="668">
        <f t="shared" si="390"/>
        <v>180</v>
      </c>
      <c r="AQ1154" s="668">
        <f t="shared" si="383"/>
        <v>0</v>
      </c>
      <c r="AR1154" s="668">
        <f t="shared" si="384"/>
        <v>0</v>
      </c>
      <c r="AS1154" s="668"/>
      <c r="AT1154" s="668"/>
      <c r="AU1154" s="668"/>
      <c r="AV1154" s="668"/>
      <c r="AW1154" s="668"/>
      <c r="AX1154" s="668"/>
      <c r="AY1154" s="668"/>
      <c r="AZ1154" s="668"/>
      <c r="BA1154" s="668"/>
      <c r="BB1154" s="668">
        <f t="shared" si="388"/>
        <v>180</v>
      </c>
      <c r="BC1154" s="668"/>
      <c r="BD1154" s="668"/>
      <c r="BE1154" s="668"/>
      <c r="BF1154" s="668"/>
      <c r="BG1154" s="668"/>
      <c r="BH1154" s="668"/>
      <c r="BI1154" s="668"/>
    </row>
    <row r="1155" spans="1:61" x14ac:dyDescent="0.2">
      <c r="A1155" s="1021">
        <v>6177</v>
      </c>
      <c r="B1155" s="1021" t="s">
        <v>519</v>
      </c>
      <c r="C1155" s="1021"/>
      <c r="D1155" s="667">
        <v>35</v>
      </c>
      <c r="E1155" s="667"/>
      <c r="F1155" s="667">
        <v>15</v>
      </c>
      <c r="G1155" s="667"/>
      <c r="H1155" s="667"/>
      <c r="I1155" s="667"/>
      <c r="J1155" s="667"/>
      <c r="K1155" s="667"/>
      <c r="L1155" s="667"/>
      <c r="M1155" s="667"/>
      <c r="N1155" s="667"/>
      <c r="O1155" s="667"/>
      <c r="P1155" s="667"/>
      <c r="Q1155" s="667"/>
      <c r="R1155" s="667"/>
      <c r="S1155" s="667"/>
      <c r="T1155" s="667">
        <v>150</v>
      </c>
      <c r="U1155" s="1021">
        <v>12</v>
      </c>
      <c r="V1155" s="668">
        <f t="shared" si="391"/>
        <v>420</v>
      </c>
      <c r="W1155" s="668">
        <f t="shared" si="392"/>
        <v>0</v>
      </c>
      <c r="X1155" s="668">
        <f t="shared" si="393"/>
        <v>0</v>
      </c>
      <c r="Y1155" s="668">
        <f t="shared" si="394"/>
        <v>0</v>
      </c>
      <c r="Z1155" s="668">
        <f t="shared" si="395"/>
        <v>0</v>
      </c>
      <c r="AA1155" s="668">
        <f t="shared" si="396"/>
        <v>0</v>
      </c>
      <c r="AB1155" s="668">
        <f t="shared" si="397"/>
        <v>150</v>
      </c>
      <c r="AC1155" s="668">
        <f t="shared" si="387"/>
        <v>0</v>
      </c>
      <c r="AD1155" s="668">
        <f t="shared" si="398"/>
        <v>0</v>
      </c>
      <c r="AE1155" s="668">
        <f t="shared" si="399"/>
        <v>0</v>
      </c>
      <c r="AF1155" s="668">
        <f t="shared" si="400"/>
        <v>0</v>
      </c>
      <c r="AG1155" s="668">
        <f t="shared" si="401"/>
        <v>0</v>
      </c>
      <c r="AH1155" s="668"/>
      <c r="AI1155" s="668"/>
      <c r="AJ1155" s="668"/>
      <c r="AK1155" s="668"/>
      <c r="AL1155" s="668"/>
      <c r="AM1155" s="668">
        <f t="shared" si="389"/>
        <v>0</v>
      </c>
      <c r="AN1155" s="668">
        <f t="shared" si="385"/>
        <v>0</v>
      </c>
      <c r="AO1155" s="668">
        <f t="shared" si="386"/>
        <v>0</v>
      </c>
      <c r="AP1155" s="668">
        <f t="shared" si="390"/>
        <v>180</v>
      </c>
      <c r="AQ1155" s="668">
        <f t="shared" si="383"/>
        <v>0</v>
      </c>
      <c r="AR1155" s="668">
        <f t="shared" si="384"/>
        <v>0</v>
      </c>
      <c r="AS1155" s="668"/>
      <c r="AT1155" s="668"/>
      <c r="AU1155" s="668"/>
      <c r="AV1155" s="668"/>
      <c r="AW1155" s="668"/>
      <c r="AX1155" s="668"/>
      <c r="AY1155" s="668"/>
      <c r="AZ1155" s="668"/>
      <c r="BA1155" s="668"/>
      <c r="BB1155" s="668">
        <f t="shared" si="388"/>
        <v>180</v>
      </c>
      <c r="BC1155" s="668"/>
      <c r="BD1155" s="668"/>
      <c r="BE1155" s="668"/>
      <c r="BF1155" s="668"/>
      <c r="BG1155" s="668"/>
      <c r="BH1155" s="668"/>
      <c r="BI1155" s="668"/>
    </row>
    <row r="1156" spans="1:61" x14ac:dyDescent="0.2">
      <c r="A1156" s="1021">
        <v>6178</v>
      </c>
      <c r="B1156" s="1021" t="s">
        <v>467</v>
      </c>
      <c r="C1156" s="1021"/>
      <c r="D1156" s="667">
        <v>80</v>
      </c>
      <c r="E1156" s="667"/>
      <c r="F1156" s="667"/>
      <c r="G1156" s="667"/>
      <c r="H1156" s="667"/>
      <c r="I1156" s="667"/>
      <c r="J1156" s="667"/>
      <c r="K1156" s="667"/>
      <c r="L1156" s="667"/>
      <c r="M1156" s="667"/>
      <c r="N1156" s="667"/>
      <c r="O1156" s="667"/>
      <c r="P1156" s="667"/>
      <c r="Q1156" s="667"/>
      <c r="R1156" s="667"/>
      <c r="S1156" s="667"/>
      <c r="T1156" s="667"/>
      <c r="U1156" s="1021">
        <v>3</v>
      </c>
      <c r="V1156" s="668">
        <f t="shared" si="391"/>
        <v>240</v>
      </c>
      <c r="W1156" s="668">
        <f t="shared" si="392"/>
        <v>0</v>
      </c>
      <c r="X1156" s="668">
        <f t="shared" si="393"/>
        <v>0</v>
      </c>
      <c r="Y1156" s="668">
        <f t="shared" si="394"/>
        <v>0</v>
      </c>
      <c r="Z1156" s="668">
        <f t="shared" si="395"/>
        <v>0</v>
      </c>
      <c r="AA1156" s="668">
        <f t="shared" si="396"/>
        <v>0</v>
      </c>
      <c r="AB1156" s="668">
        <f t="shared" si="397"/>
        <v>0</v>
      </c>
      <c r="AC1156" s="668">
        <f t="shared" si="387"/>
        <v>0</v>
      </c>
      <c r="AD1156" s="668">
        <f t="shared" si="398"/>
        <v>0</v>
      </c>
      <c r="AE1156" s="668">
        <f t="shared" si="399"/>
        <v>0</v>
      </c>
      <c r="AF1156" s="668">
        <f t="shared" si="400"/>
        <v>0</v>
      </c>
      <c r="AG1156" s="668">
        <f t="shared" si="401"/>
        <v>0</v>
      </c>
      <c r="AH1156" s="668"/>
      <c r="AI1156" s="668"/>
      <c r="AJ1156" s="668"/>
      <c r="AK1156" s="668"/>
      <c r="AL1156" s="668"/>
      <c r="AM1156" s="668">
        <f t="shared" si="389"/>
        <v>0</v>
      </c>
      <c r="AN1156" s="668">
        <f t="shared" si="385"/>
        <v>0</v>
      </c>
      <c r="AO1156" s="668">
        <f t="shared" si="386"/>
        <v>0</v>
      </c>
      <c r="AP1156" s="668">
        <f t="shared" si="390"/>
        <v>0</v>
      </c>
      <c r="AQ1156" s="668">
        <f t="shared" si="383"/>
        <v>0</v>
      </c>
      <c r="AR1156" s="668">
        <f t="shared" si="384"/>
        <v>0</v>
      </c>
      <c r="AS1156" s="668"/>
      <c r="AT1156" s="668"/>
      <c r="AU1156" s="668"/>
      <c r="AV1156" s="668"/>
      <c r="AW1156" s="668"/>
      <c r="AX1156" s="668"/>
      <c r="AY1156" s="668"/>
      <c r="AZ1156" s="668"/>
      <c r="BA1156" s="668"/>
      <c r="BB1156" s="668">
        <f t="shared" si="388"/>
        <v>0</v>
      </c>
      <c r="BC1156" s="668"/>
      <c r="BD1156" s="668"/>
      <c r="BE1156" s="668"/>
      <c r="BF1156" s="668"/>
      <c r="BG1156" s="668"/>
      <c r="BH1156" s="668"/>
      <c r="BI1156" s="668"/>
    </row>
    <row r="1157" spans="1:61" x14ac:dyDescent="0.2">
      <c r="A1157" s="1021">
        <v>6179</v>
      </c>
      <c r="B1157" s="1021" t="s">
        <v>466</v>
      </c>
      <c r="C1157" s="1021"/>
      <c r="D1157" s="667">
        <v>80</v>
      </c>
      <c r="E1157" s="667"/>
      <c r="F1157" s="667"/>
      <c r="G1157" s="667"/>
      <c r="H1157" s="667"/>
      <c r="I1157" s="667"/>
      <c r="J1157" s="667"/>
      <c r="K1157" s="667"/>
      <c r="L1157" s="667"/>
      <c r="M1157" s="667"/>
      <c r="N1157" s="667"/>
      <c r="O1157" s="667"/>
      <c r="P1157" s="667"/>
      <c r="Q1157" s="667"/>
      <c r="R1157" s="667"/>
      <c r="S1157" s="667"/>
      <c r="T1157" s="667"/>
      <c r="U1157" s="1021">
        <v>3</v>
      </c>
      <c r="V1157" s="668">
        <f t="shared" si="391"/>
        <v>240</v>
      </c>
      <c r="W1157" s="668">
        <f t="shared" si="392"/>
        <v>0</v>
      </c>
      <c r="X1157" s="668">
        <f t="shared" si="393"/>
        <v>0</v>
      </c>
      <c r="Y1157" s="668">
        <f t="shared" si="394"/>
        <v>0</v>
      </c>
      <c r="Z1157" s="668">
        <f t="shared" si="395"/>
        <v>0</v>
      </c>
      <c r="AA1157" s="668">
        <f t="shared" si="396"/>
        <v>0</v>
      </c>
      <c r="AB1157" s="668">
        <f t="shared" si="397"/>
        <v>0</v>
      </c>
      <c r="AC1157" s="668">
        <f t="shared" si="387"/>
        <v>0</v>
      </c>
      <c r="AD1157" s="668">
        <f t="shared" si="398"/>
        <v>0</v>
      </c>
      <c r="AE1157" s="668">
        <f t="shared" si="399"/>
        <v>0</v>
      </c>
      <c r="AF1157" s="668">
        <f t="shared" si="400"/>
        <v>0</v>
      </c>
      <c r="AG1157" s="668">
        <f t="shared" si="401"/>
        <v>0</v>
      </c>
      <c r="AH1157" s="668"/>
      <c r="AI1157" s="668"/>
      <c r="AJ1157" s="668"/>
      <c r="AK1157" s="668"/>
      <c r="AL1157" s="668"/>
      <c r="AM1157" s="668">
        <f t="shared" si="389"/>
        <v>0</v>
      </c>
      <c r="AN1157" s="668">
        <f t="shared" si="385"/>
        <v>0</v>
      </c>
      <c r="AO1157" s="668">
        <f t="shared" si="386"/>
        <v>0</v>
      </c>
      <c r="AP1157" s="668">
        <f t="shared" si="390"/>
        <v>0</v>
      </c>
      <c r="AQ1157" s="668">
        <f t="shared" si="383"/>
        <v>0</v>
      </c>
      <c r="AR1157" s="668">
        <f t="shared" si="384"/>
        <v>0</v>
      </c>
      <c r="AS1157" s="668"/>
      <c r="AT1157" s="668"/>
      <c r="AU1157" s="668"/>
      <c r="AV1157" s="668"/>
      <c r="AW1157" s="668"/>
      <c r="AX1157" s="668"/>
      <c r="AY1157" s="668"/>
      <c r="AZ1157" s="668"/>
      <c r="BA1157" s="668"/>
      <c r="BB1157" s="668">
        <f t="shared" si="388"/>
        <v>0</v>
      </c>
      <c r="BC1157" s="668"/>
      <c r="BD1157" s="668"/>
      <c r="BE1157" s="668"/>
      <c r="BF1157" s="668"/>
      <c r="BG1157" s="668"/>
      <c r="BH1157" s="668"/>
      <c r="BI1157" s="668"/>
    </row>
    <row r="1158" spans="1:61" x14ac:dyDescent="0.2">
      <c r="A1158" s="1021">
        <v>6180</v>
      </c>
      <c r="B1158" s="1021" t="s">
        <v>684</v>
      </c>
      <c r="C1158" s="1021"/>
      <c r="D1158" s="667">
        <v>42</v>
      </c>
      <c r="E1158" s="667"/>
      <c r="F1158" s="667">
        <v>42</v>
      </c>
      <c r="G1158" s="667"/>
      <c r="H1158" s="667"/>
      <c r="I1158" s="667"/>
      <c r="J1158" s="667"/>
      <c r="K1158" s="667"/>
      <c r="L1158" s="667"/>
      <c r="M1158" s="667"/>
      <c r="N1158" s="667"/>
      <c r="O1158" s="667"/>
      <c r="P1158" s="667"/>
      <c r="Q1158" s="667"/>
      <c r="R1158" s="667"/>
      <c r="S1158" s="667"/>
      <c r="T1158" s="667"/>
      <c r="U1158" s="1021">
        <v>10</v>
      </c>
      <c r="V1158" s="668">
        <f t="shared" si="391"/>
        <v>420</v>
      </c>
      <c r="W1158" s="668">
        <f t="shared" si="392"/>
        <v>0</v>
      </c>
      <c r="X1158" s="668">
        <f t="shared" si="393"/>
        <v>0</v>
      </c>
      <c r="Y1158" s="668">
        <f t="shared" si="394"/>
        <v>0</v>
      </c>
      <c r="Z1158" s="668">
        <f t="shared" si="395"/>
        <v>0</v>
      </c>
      <c r="AA1158" s="668">
        <f t="shared" si="396"/>
        <v>0</v>
      </c>
      <c r="AB1158" s="668">
        <f t="shared" si="397"/>
        <v>0</v>
      </c>
      <c r="AC1158" s="668">
        <f t="shared" si="387"/>
        <v>0</v>
      </c>
      <c r="AD1158" s="668">
        <f t="shared" si="398"/>
        <v>0</v>
      </c>
      <c r="AE1158" s="668">
        <f t="shared" si="399"/>
        <v>0</v>
      </c>
      <c r="AF1158" s="668">
        <f t="shared" si="400"/>
        <v>0</v>
      </c>
      <c r="AG1158" s="668">
        <f t="shared" si="401"/>
        <v>0</v>
      </c>
      <c r="AH1158" s="668"/>
      <c r="AI1158" s="668"/>
      <c r="AJ1158" s="668"/>
      <c r="AK1158" s="668"/>
      <c r="AL1158" s="668"/>
      <c r="AM1158" s="668">
        <f t="shared" si="389"/>
        <v>0</v>
      </c>
      <c r="AN1158" s="668">
        <f t="shared" si="385"/>
        <v>0</v>
      </c>
      <c r="AO1158" s="668">
        <f t="shared" si="386"/>
        <v>0</v>
      </c>
      <c r="AP1158" s="668">
        <f t="shared" si="390"/>
        <v>420</v>
      </c>
      <c r="AQ1158" s="668">
        <f t="shared" si="383"/>
        <v>0</v>
      </c>
      <c r="AR1158" s="668">
        <f t="shared" si="384"/>
        <v>0</v>
      </c>
      <c r="AS1158" s="668"/>
      <c r="AT1158" s="668"/>
      <c r="AU1158" s="668"/>
      <c r="AV1158" s="668"/>
      <c r="AW1158" s="668"/>
      <c r="AX1158" s="668"/>
      <c r="AY1158" s="668"/>
      <c r="AZ1158" s="668"/>
      <c r="BA1158" s="668"/>
      <c r="BB1158" s="668"/>
      <c r="BC1158" s="668"/>
      <c r="BD1158" s="668"/>
      <c r="BE1158" s="668"/>
      <c r="BF1158" s="668"/>
      <c r="BG1158" s="668"/>
      <c r="BH1158" s="668"/>
      <c r="BI1158" s="668"/>
    </row>
    <row r="1159" spans="1:61" x14ac:dyDescent="0.2">
      <c r="A1159" s="1021">
        <v>6181</v>
      </c>
      <c r="B1159" s="1021" t="s">
        <v>516</v>
      </c>
      <c r="C1159" s="1021"/>
      <c r="D1159" s="667">
        <v>32</v>
      </c>
      <c r="E1159" s="667"/>
      <c r="F1159" s="667">
        <v>32</v>
      </c>
      <c r="G1159" s="667"/>
      <c r="H1159" s="667"/>
      <c r="I1159" s="667"/>
      <c r="J1159" s="667"/>
      <c r="K1159" s="667"/>
      <c r="L1159" s="667"/>
      <c r="M1159" s="667"/>
      <c r="N1159" s="667"/>
      <c r="O1159" s="667"/>
      <c r="P1159" s="667"/>
      <c r="Q1159" s="667"/>
      <c r="R1159" s="667"/>
      <c r="S1159" s="667"/>
      <c r="T1159" s="667"/>
      <c r="U1159" s="1021">
        <v>10</v>
      </c>
      <c r="V1159" s="668">
        <f t="shared" si="391"/>
        <v>320</v>
      </c>
      <c r="W1159" s="668">
        <f t="shared" si="392"/>
        <v>0</v>
      </c>
      <c r="X1159" s="668">
        <f t="shared" si="393"/>
        <v>0</v>
      </c>
      <c r="Y1159" s="668">
        <f t="shared" si="394"/>
        <v>0</v>
      </c>
      <c r="Z1159" s="668">
        <f t="shared" si="395"/>
        <v>0</v>
      </c>
      <c r="AA1159" s="668">
        <f t="shared" si="396"/>
        <v>0</v>
      </c>
      <c r="AB1159" s="668">
        <f t="shared" si="397"/>
        <v>0</v>
      </c>
      <c r="AC1159" s="668">
        <f t="shared" si="387"/>
        <v>0</v>
      </c>
      <c r="AD1159" s="668">
        <f t="shared" si="398"/>
        <v>0</v>
      </c>
      <c r="AE1159" s="668">
        <f t="shared" si="399"/>
        <v>0</v>
      </c>
      <c r="AF1159" s="668">
        <f t="shared" si="400"/>
        <v>0</v>
      </c>
      <c r="AG1159" s="668">
        <f t="shared" si="401"/>
        <v>0</v>
      </c>
      <c r="AH1159" s="668"/>
      <c r="AI1159" s="668"/>
      <c r="AJ1159" s="668"/>
      <c r="AK1159" s="668"/>
      <c r="AL1159" s="668"/>
      <c r="AM1159" s="668">
        <f t="shared" si="389"/>
        <v>0</v>
      </c>
      <c r="AN1159" s="668">
        <f t="shared" si="385"/>
        <v>0</v>
      </c>
      <c r="AO1159" s="668">
        <f t="shared" si="386"/>
        <v>0</v>
      </c>
      <c r="AP1159" s="668">
        <f t="shared" si="390"/>
        <v>320</v>
      </c>
      <c r="AQ1159" s="668">
        <f t="shared" si="383"/>
        <v>0</v>
      </c>
      <c r="AR1159" s="668">
        <f t="shared" si="384"/>
        <v>0</v>
      </c>
      <c r="AS1159" s="668"/>
      <c r="AT1159" s="668"/>
      <c r="AU1159" s="668"/>
      <c r="AV1159" s="668"/>
      <c r="AW1159" s="668"/>
      <c r="AX1159" s="668"/>
      <c r="AY1159" s="668"/>
      <c r="AZ1159" s="668"/>
      <c r="BA1159" s="668"/>
      <c r="BB1159" s="668"/>
      <c r="BC1159" s="668"/>
      <c r="BD1159" s="668"/>
      <c r="BE1159" s="668"/>
      <c r="BF1159" s="668"/>
      <c r="BG1159" s="668"/>
      <c r="BH1159" s="668"/>
      <c r="BI1159" s="668"/>
    </row>
    <row r="1160" spans="1:61" x14ac:dyDescent="0.2">
      <c r="A1160" s="1021" t="s">
        <v>861</v>
      </c>
      <c r="B1160" s="1021" t="s">
        <v>685</v>
      </c>
      <c r="C1160" s="1021"/>
      <c r="D1160" s="667">
        <v>85</v>
      </c>
      <c r="E1160" s="667"/>
      <c r="F1160" s="667"/>
      <c r="G1160" s="667"/>
      <c r="H1160" s="667"/>
      <c r="I1160" s="667"/>
      <c r="J1160" s="667"/>
      <c r="K1160" s="667"/>
      <c r="L1160" s="667"/>
      <c r="M1160" s="667"/>
      <c r="N1160" s="667"/>
      <c r="O1160" s="667"/>
      <c r="P1160" s="667"/>
      <c r="Q1160" s="667"/>
      <c r="R1160" s="667"/>
      <c r="S1160" s="667"/>
      <c r="T1160" s="667"/>
      <c r="U1160" s="1021">
        <v>10</v>
      </c>
      <c r="V1160" s="668">
        <f t="shared" si="391"/>
        <v>850</v>
      </c>
      <c r="W1160" s="668">
        <f t="shared" si="392"/>
        <v>0</v>
      </c>
      <c r="X1160" s="668">
        <f t="shared" si="393"/>
        <v>0</v>
      </c>
      <c r="Y1160" s="668">
        <f t="shared" si="394"/>
        <v>0</v>
      </c>
      <c r="Z1160" s="668">
        <f t="shared" si="395"/>
        <v>0</v>
      </c>
      <c r="AA1160" s="668">
        <f t="shared" si="396"/>
        <v>0</v>
      </c>
      <c r="AB1160" s="668">
        <f t="shared" si="397"/>
        <v>0</v>
      </c>
      <c r="AC1160" s="668">
        <f t="shared" si="387"/>
        <v>0</v>
      </c>
      <c r="AD1160" s="668">
        <f t="shared" si="398"/>
        <v>0</v>
      </c>
      <c r="AE1160" s="668">
        <f t="shared" si="399"/>
        <v>0</v>
      </c>
      <c r="AF1160" s="668">
        <f t="shared" si="400"/>
        <v>0</v>
      </c>
      <c r="AG1160" s="668">
        <f t="shared" si="401"/>
        <v>0</v>
      </c>
      <c r="AH1160" s="668"/>
      <c r="AI1160" s="668"/>
      <c r="AJ1160" s="668"/>
      <c r="AK1160" s="668"/>
      <c r="AL1160" s="668"/>
      <c r="AM1160" s="668">
        <f t="shared" si="389"/>
        <v>0</v>
      </c>
      <c r="AN1160" s="668">
        <f t="shared" si="385"/>
        <v>0</v>
      </c>
      <c r="AO1160" s="668">
        <f t="shared" si="386"/>
        <v>0</v>
      </c>
      <c r="AP1160" s="668">
        <f t="shared" si="390"/>
        <v>0</v>
      </c>
      <c r="AQ1160" s="668">
        <f t="shared" ref="AQ1160:AQ1223" si="402">+$AQ$4*K1160</f>
        <v>0</v>
      </c>
      <c r="AR1160" s="668">
        <f t="shared" ref="AR1160:AR1223" si="403">+$AR$4*K1160</f>
        <v>0</v>
      </c>
      <c r="AS1160" s="668"/>
      <c r="AT1160" s="668"/>
      <c r="AU1160" s="668"/>
      <c r="AV1160" s="668"/>
      <c r="AW1160" s="668"/>
      <c r="AX1160" s="668"/>
      <c r="AY1160" s="668"/>
      <c r="AZ1160" s="668"/>
      <c r="BA1160" s="668"/>
      <c r="BB1160" s="668">
        <f t="shared" si="388"/>
        <v>0</v>
      </c>
      <c r="BC1160" s="668"/>
      <c r="BD1160" s="668"/>
      <c r="BE1160" s="668"/>
      <c r="BF1160" s="668"/>
      <c r="BG1160" s="668"/>
      <c r="BH1160" s="668"/>
      <c r="BI1160" s="668"/>
    </row>
    <row r="1161" spans="1:61" x14ac:dyDescent="0.2">
      <c r="A1161" s="1021" t="s">
        <v>860</v>
      </c>
      <c r="B1161" s="1021" t="s">
        <v>517</v>
      </c>
      <c r="C1161" s="1021"/>
      <c r="D1161" s="667">
        <v>52</v>
      </c>
      <c r="E1161" s="667"/>
      <c r="F1161" s="667"/>
      <c r="G1161" s="667"/>
      <c r="H1161" s="667"/>
      <c r="I1161" s="667"/>
      <c r="J1161" s="667"/>
      <c r="K1161" s="667"/>
      <c r="L1161" s="667"/>
      <c r="M1161" s="667"/>
      <c r="N1161" s="667"/>
      <c r="O1161" s="667"/>
      <c r="P1161" s="667"/>
      <c r="Q1161" s="667"/>
      <c r="R1161" s="667"/>
      <c r="S1161" s="667"/>
      <c r="T1161" s="667"/>
      <c r="U1161" s="1021">
        <v>12</v>
      </c>
      <c r="V1161" s="668">
        <f t="shared" si="391"/>
        <v>624</v>
      </c>
      <c r="W1161" s="668">
        <f t="shared" si="392"/>
        <v>0</v>
      </c>
      <c r="X1161" s="668">
        <f t="shared" si="393"/>
        <v>0</v>
      </c>
      <c r="Y1161" s="668">
        <f t="shared" si="394"/>
        <v>0</v>
      </c>
      <c r="Z1161" s="668">
        <f t="shared" si="395"/>
        <v>0</v>
      </c>
      <c r="AA1161" s="668">
        <f t="shared" si="396"/>
        <v>0</v>
      </c>
      <c r="AB1161" s="668">
        <f t="shared" si="397"/>
        <v>0</v>
      </c>
      <c r="AC1161" s="668">
        <f t="shared" si="387"/>
        <v>0</v>
      </c>
      <c r="AD1161" s="668">
        <f t="shared" si="398"/>
        <v>0</v>
      </c>
      <c r="AE1161" s="668">
        <f t="shared" si="399"/>
        <v>0</v>
      </c>
      <c r="AF1161" s="668">
        <f t="shared" si="400"/>
        <v>0</v>
      </c>
      <c r="AG1161" s="668">
        <f t="shared" si="401"/>
        <v>0</v>
      </c>
      <c r="AH1161" s="668"/>
      <c r="AI1161" s="668"/>
      <c r="AJ1161" s="668"/>
      <c r="AK1161" s="668"/>
      <c r="AL1161" s="668"/>
      <c r="AM1161" s="668">
        <f t="shared" si="389"/>
        <v>0</v>
      </c>
      <c r="AN1161" s="668">
        <f t="shared" si="385"/>
        <v>0</v>
      </c>
      <c r="AO1161" s="668">
        <f t="shared" si="386"/>
        <v>0</v>
      </c>
      <c r="AP1161" s="668">
        <f t="shared" si="390"/>
        <v>0</v>
      </c>
      <c r="AQ1161" s="668">
        <f t="shared" si="402"/>
        <v>0</v>
      </c>
      <c r="AR1161" s="668">
        <f t="shared" si="403"/>
        <v>0</v>
      </c>
      <c r="AS1161" s="668"/>
      <c r="AT1161" s="668"/>
      <c r="AU1161" s="668"/>
      <c r="AV1161" s="668"/>
      <c r="AW1161" s="668"/>
      <c r="AX1161" s="668"/>
      <c r="AY1161" s="668"/>
      <c r="AZ1161" s="668"/>
      <c r="BA1161" s="668"/>
      <c r="BB1161" s="668">
        <f t="shared" si="388"/>
        <v>0</v>
      </c>
      <c r="BC1161" s="668"/>
      <c r="BD1161" s="668"/>
      <c r="BE1161" s="668"/>
      <c r="BF1161" s="668"/>
      <c r="BG1161" s="668"/>
      <c r="BH1161" s="668"/>
      <c r="BI1161" s="668"/>
    </row>
    <row r="1162" spans="1:61" x14ac:dyDescent="0.2">
      <c r="A1162" s="1021">
        <v>6183</v>
      </c>
      <c r="B1162" s="1021" t="s">
        <v>519</v>
      </c>
      <c r="C1162" s="1021"/>
      <c r="D1162" s="667">
        <v>35</v>
      </c>
      <c r="E1162" s="667"/>
      <c r="F1162" s="667">
        <v>15</v>
      </c>
      <c r="G1162" s="667"/>
      <c r="H1162" s="667"/>
      <c r="I1162" s="667"/>
      <c r="J1162" s="667"/>
      <c r="K1162" s="667"/>
      <c r="L1162" s="667"/>
      <c r="M1162" s="667"/>
      <c r="N1162" s="667"/>
      <c r="O1162" s="667"/>
      <c r="P1162" s="667"/>
      <c r="Q1162" s="667"/>
      <c r="R1162" s="667"/>
      <c r="S1162" s="667"/>
      <c r="T1162" s="667">
        <v>150</v>
      </c>
      <c r="U1162" s="1021">
        <v>12</v>
      </c>
      <c r="V1162" s="668">
        <f t="shared" si="391"/>
        <v>420</v>
      </c>
      <c r="W1162" s="668">
        <f t="shared" si="392"/>
        <v>0</v>
      </c>
      <c r="X1162" s="668">
        <f t="shared" si="393"/>
        <v>0</v>
      </c>
      <c r="Y1162" s="668">
        <f t="shared" si="394"/>
        <v>0</v>
      </c>
      <c r="Z1162" s="668">
        <f t="shared" si="395"/>
        <v>0</v>
      </c>
      <c r="AA1162" s="668">
        <f t="shared" si="396"/>
        <v>0</v>
      </c>
      <c r="AB1162" s="668">
        <f t="shared" si="397"/>
        <v>150</v>
      </c>
      <c r="AC1162" s="668">
        <f t="shared" si="387"/>
        <v>0</v>
      </c>
      <c r="AD1162" s="668">
        <f t="shared" si="398"/>
        <v>0</v>
      </c>
      <c r="AE1162" s="668">
        <f t="shared" si="399"/>
        <v>0</v>
      </c>
      <c r="AF1162" s="668">
        <f t="shared" si="400"/>
        <v>0</v>
      </c>
      <c r="AG1162" s="668">
        <f t="shared" si="401"/>
        <v>0</v>
      </c>
      <c r="AH1162" s="668"/>
      <c r="AI1162" s="668"/>
      <c r="AJ1162" s="668"/>
      <c r="AK1162" s="668"/>
      <c r="AL1162" s="668"/>
      <c r="AM1162" s="668">
        <f t="shared" si="389"/>
        <v>0</v>
      </c>
      <c r="AN1162" s="668">
        <f t="shared" si="385"/>
        <v>0</v>
      </c>
      <c r="AO1162" s="668">
        <f t="shared" si="386"/>
        <v>0</v>
      </c>
      <c r="AP1162" s="668">
        <f t="shared" si="390"/>
        <v>180</v>
      </c>
      <c r="AQ1162" s="668">
        <f t="shared" si="402"/>
        <v>0</v>
      </c>
      <c r="AR1162" s="668">
        <f t="shared" si="403"/>
        <v>0</v>
      </c>
      <c r="AS1162" s="668"/>
      <c r="AT1162" s="668"/>
      <c r="AU1162" s="668"/>
      <c r="AV1162" s="668"/>
      <c r="AW1162" s="668"/>
      <c r="AX1162" s="668"/>
      <c r="AY1162" s="668"/>
      <c r="AZ1162" s="668"/>
      <c r="BA1162" s="668"/>
      <c r="BB1162" s="668">
        <f t="shared" si="388"/>
        <v>180</v>
      </c>
      <c r="BC1162" s="668"/>
      <c r="BD1162" s="668"/>
      <c r="BE1162" s="668"/>
      <c r="BF1162" s="668"/>
      <c r="BG1162" s="668"/>
      <c r="BH1162" s="668"/>
      <c r="BI1162" s="668"/>
    </row>
    <row r="1163" spans="1:61" x14ac:dyDescent="0.2">
      <c r="A1163" s="1021">
        <v>6184</v>
      </c>
      <c r="B1163" s="1021" t="s">
        <v>519</v>
      </c>
      <c r="C1163" s="1021"/>
      <c r="D1163" s="667">
        <v>35</v>
      </c>
      <c r="E1163" s="667"/>
      <c r="F1163" s="667">
        <v>15</v>
      </c>
      <c r="G1163" s="667"/>
      <c r="H1163" s="667"/>
      <c r="I1163" s="667"/>
      <c r="J1163" s="667"/>
      <c r="K1163" s="667"/>
      <c r="L1163" s="667"/>
      <c r="M1163" s="667"/>
      <c r="N1163" s="667"/>
      <c r="O1163" s="667"/>
      <c r="P1163" s="667"/>
      <c r="Q1163" s="667"/>
      <c r="R1163" s="667"/>
      <c r="S1163" s="667"/>
      <c r="T1163" s="667">
        <v>150</v>
      </c>
      <c r="U1163" s="1021">
        <v>12</v>
      </c>
      <c r="V1163" s="668">
        <f t="shared" si="391"/>
        <v>420</v>
      </c>
      <c r="W1163" s="668">
        <f t="shared" si="392"/>
        <v>0</v>
      </c>
      <c r="X1163" s="668">
        <f t="shared" si="393"/>
        <v>0</v>
      </c>
      <c r="Y1163" s="668">
        <f t="shared" si="394"/>
        <v>0</v>
      </c>
      <c r="Z1163" s="668">
        <f t="shared" si="395"/>
        <v>0</v>
      </c>
      <c r="AA1163" s="668">
        <f t="shared" si="396"/>
        <v>0</v>
      </c>
      <c r="AB1163" s="668">
        <f t="shared" si="397"/>
        <v>150</v>
      </c>
      <c r="AC1163" s="668">
        <f t="shared" si="387"/>
        <v>0</v>
      </c>
      <c r="AD1163" s="668">
        <f t="shared" si="398"/>
        <v>0</v>
      </c>
      <c r="AE1163" s="668">
        <f t="shared" si="399"/>
        <v>0</v>
      </c>
      <c r="AF1163" s="668">
        <f t="shared" si="400"/>
        <v>0</v>
      </c>
      <c r="AG1163" s="668">
        <f t="shared" si="401"/>
        <v>0</v>
      </c>
      <c r="AH1163" s="668"/>
      <c r="AI1163" s="668"/>
      <c r="AJ1163" s="668"/>
      <c r="AK1163" s="668"/>
      <c r="AL1163" s="668"/>
      <c r="AM1163" s="668">
        <f t="shared" si="389"/>
        <v>0</v>
      </c>
      <c r="AN1163" s="668">
        <f t="shared" ref="AN1163:AN1226" si="404">+U1163*E1163</f>
        <v>0</v>
      </c>
      <c r="AO1163" s="668">
        <f t="shared" ref="AO1163:AO1226" si="405">+U1163*O1163</f>
        <v>0</v>
      </c>
      <c r="AP1163" s="668">
        <f t="shared" si="390"/>
        <v>180</v>
      </c>
      <c r="AQ1163" s="668">
        <f t="shared" si="402"/>
        <v>0</v>
      </c>
      <c r="AR1163" s="668">
        <f t="shared" si="403"/>
        <v>0</v>
      </c>
      <c r="AS1163" s="668"/>
      <c r="AT1163" s="668"/>
      <c r="AU1163" s="668"/>
      <c r="AV1163" s="668"/>
      <c r="AW1163" s="668"/>
      <c r="AX1163" s="668"/>
      <c r="AY1163" s="668"/>
      <c r="AZ1163" s="668"/>
      <c r="BA1163" s="668"/>
      <c r="BB1163" s="668">
        <f t="shared" si="388"/>
        <v>180</v>
      </c>
      <c r="BC1163" s="668"/>
      <c r="BD1163" s="668"/>
      <c r="BE1163" s="668"/>
      <c r="BF1163" s="668"/>
      <c r="BG1163" s="668"/>
      <c r="BH1163" s="668"/>
      <c r="BI1163" s="668"/>
    </row>
    <row r="1164" spans="1:61" x14ac:dyDescent="0.2">
      <c r="A1164" s="1021">
        <v>6185</v>
      </c>
      <c r="B1164" s="1021" t="s">
        <v>515</v>
      </c>
      <c r="C1164" s="1021"/>
      <c r="D1164" s="667">
        <v>80</v>
      </c>
      <c r="E1164" s="667"/>
      <c r="F1164" s="667">
        <v>60</v>
      </c>
      <c r="G1164" s="667"/>
      <c r="H1164" s="667"/>
      <c r="I1164" s="667"/>
      <c r="J1164" s="667"/>
      <c r="K1164" s="667"/>
      <c r="L1164" s="667"/>
      <c r="M1164" s="667"/>
      <c r="N1164" s="667"/>
      <c r="O1164" s="667"/>
      <c r="P1164" s="667"/>
      <c r="Q1164" s="667"/>
      <c r="R1164" s="667"/>
      <c r="S1164" s="667"/>
      <c r="T1164" s="667">
        <v>2000</v>
      </c>
      <c r="U1164" s="1021">
        <v>12</v>
      </c>
      <c r="V1164" s="668">
        <f t="shared" si="391"/>
        <v>960</v>
      </c>
      <c r="W1164" s="668">
        <f t="shared" si="392"/>
        <v>0</v>
      </c>
      <c r="X1164" s="668">
        <f t="shared" si="393"/>
        <v>0</v>
      </c>
      <c r="Y1164" s="668">
        <f t="shared" si="394"/>
        <v>0</v>
      </c>
      <c r="Z1164" s="668">
        <f t="shared" si="395"/>
        <v>0</v>
      </c>
      <c r="AA1164" s="668">
        <f t="shared" si="396"/>
        <v>0</v>
      </c>
      <c r="AB1164" s="668">
        <f t="shared" si="397"/>
        <v>2000</v>
      </c>
      <c r="AC1164" s="668">
        <f t="shared" si="387"/>
        <v>0</v>
      </c>
      <c r="AD1164" s="668">
        <f t="shared" si="398"/>
        <v>0</v>
      </c>
      <c r="AE1164" s="668">
        <f t="shared" si="399"/>
        <v>0</v>
      </c>
      <c r="AF1164" s="668">
        <f t="shared" si="400"/>
        <v>0</v>
      </c>
      <c r="AG1164" s="668">
        <f t="shared" si="401"/>
        <v>0</v>
      </c>
      <c r="AH1164" s="668"/>
      <c r="AI1164" s="668"/>
      <c r="AJ1164" s="668"/>
      <c r="AK1164" s="668"/>
      <c r="AL1164" s="668"/>
      <c r="AM1164" s="668">
        <f t="shared" si="389"/>
        <v>0</v>
      </c>
      <c r="AN1164" s="668">
        <f t="shared" si="404"/>
        <v>0</v>
      </c>
      <c r="AO1164" s="668">
        <f t="shared" si="405"/>
        <v>0</v>
      </c>
      <c r="AP1164" s="668">
        <f t="shared" si="390"/>
        <v>720</v>
      </c>
      <c r="AQ1164" s="668">
        <f t="shared" si="402"/>
        <v>0</v>
      </c>
      <c r="AR1164" s="668">
        <f t="shared" si="403"/>
        <v>0</v>
      </c>
      <c r="AS1164" s="668"/>
      <c r="AT1164" s="668"/>
      <c r="AU1164" s="668"/>
      <c r="AV1164" s="668"/>
      <c r="AW1164" s="668"/>
      <c r="AX1164" s="668"/>
      <c r="AY1164" s="668"/>
      <c r="AZ1164" s="668"/>
      <c r="BA1164" s="668"/>
      <c r="BB1164" s="668"/>
      <c r="BC1164" s="668"/>
      <c r="BD1164" s="668"/>
      <c r="BE1164" s="668"/>
      <c r="BF1164" s="668"/>
      <c r="BG1164" s="668"/>
      <c r="BH1164" s="668"/>
      <c r="BI1164" s="668"/>
    </row>
    <row r="1165" spans="1:61" x14ac:dyDescent="0.2">
      <c r="A1165" s="1021">
        <v>6186</v>
      </c>
      <c r="B1165" s="1021" t="s">
        <v>465</v>
      </c>
      <c r="C1165" s="1021" t="s">
        <v>984</v>
      </c>
      <c r="D1165" s="667">
        <v>190</v>
      </c>
      <c r="E1165" s="667"/>
      <c r="F1165" s="667">
        <v>60</v>
      </c>
      <c r="G1165" s="667"/>
      <c r="H1165" s="667"/>
      <c r="I1165" s="667"/>
      <c r="J1165" s="667"/>
      <c r="K1165" s="667"/>
      <c r="L1165" s="667"/>
      <c r="M1165" s="667"/>
      <c r="N1165" s="667"/>
      <c r="O1165" s="667"/>
      <c r="P1165" s="667"/>
      <c r="Q1165" s="667"/>
      <c r="R1165" s="667"/>
      <c r="S1165" s="667"/>
      <c r="T1165" s="667"/>
      <c r="U1165" s="1021">
        <v>10</v>
      </c>
      <c r="V1165" s="668">
        <f t="shared" si="391"/>
        <v>1900</v>
      </c>
      <c r="W1165" s="668">
        <f t="shared" si="392"/>
        <v>0</v>
      </c>
      <c r="X1165" s="668">
        <f t="shared" si="393"/>
        <v>0</v>
      </c>
      <c r="Y1165" s="668">
        <f t="shared" si="394"/>
        <v>0</v>
      </c>
      <c r="Z1165" s="668">
        <f t="shared" si="395"/>
        <v>1900</v>
      </c>
      <c r="AA1165" s="668">
        <f t="shared" si="396"/>
        <v>0</v>
      </c>
      <c r="AB1165" s="668">
        <f t="shared" si="397"/>
        <v>0</v>
      </c>
      <c r="AC1165" s="668">
        <f t="shared" ref="AC1165:AC1228" si="406">+U1165*P1165</f>
        <v>0</v>
      </c>
      <c r="AD1165" s="668">
        <f t="shared" si="398"/>
        <v>0</v>
      </c>
      <c r="AE1165" s="668">
        <f t="shared" si="399"/>
        <v>0</v>
      </c>
      <c r="AF1165" s="668">
        <f t="shared" si="400"/>
        <v>0</v>
      </c>
      <c r="AG1165" s="668">
        <f t="shared" si="401"/>
        <v>0</v>
      </c>
      <c r="AH1165" s="668"/>
      <c r="AI1165" s="668"/>
      <c r="AJ1165" s="668"/>
      <c r="AK1165" s="668"/>
      <c r="AL1165" s="668"/>
      <c r="AM1165" s="668">
        <f t="shared" si="389"/>
        <v>0</v>
      </c>
      <c r="AN1165" s="668">
        <f t="shared" si="404"/>
        <v>0</v>
      </c>
      <c r="AO1165" s="668">
        <f t="shared" si="405"/>
        <v>0</v>
      </c>
      <c r="AP1165" s="668">
        <f t="shared" si="390"/>
        <v>600</v>
      </c>
      <c r="AQ1165" s="668">
        <f t="shared" si="402"/>
        <v>0</v>
      </c>
      <c r="AR1165" s="668">
        <f t="shared" si="403"/>
        <v>0</v>
      </c>
      <c r="AS1165" s="668"/>
      <c r="AT1165" s="668"/>
      <c r="AU1165" s="668"/>
      <c r="AV1165" s="668"/>
      <c r="AW1165" s="668"/>
      <c r="AX1165" s="668"/>
      <c r="AY1165" s="668"/>
      <c r="AZ1165" s="668"/>
      <c r="BA1165" s="668"/>
      <c r="BB1165" s="668"/>
      <c r="BC1165" s="668"/>
      <c r="BD1165" s="668"/>
      <c r="BE1165" s="668"/>
      <c r="BF1165" s="668"/>
      <c r="BG1165" s="668"/>
      <c r="BH1165" s="668"/>
      <c r="BI1165" s="668"/>
    </row>
    <row r="1166" spans="1:61" x14ac:dyDescent="0.2">
      <c r="A1166" s="1021">
        <v>6188</v>
      </c>
      <c r="B1166" s="1021" t="s">
        <v>519</v>
      </c>
      <c r="C1166" s="1021"/>
      <c r="D1166" s="667">
        <v>35</v>
      </c>
      <c r="E1166" s="667"/>
      <c r="F1166" s="667">
        <v>15</v>
      </c>
      <c r="G1166" s="667"/>
      <c r="H1166" s="667"/>
      <c r="I1166" s="667"/>
      <c r="J1166" s="667"/>
      <c r="K1166" s="667"/>
      <c r="L1166" s="667"/>
      <c r="M1166" s="667"/>
      <c r="N1166" s="667"/>
      <c r="O1166" s="667"/>
      <c r="P1166" s="667"/>
      <c r="Q1166" s="667"/>
      <c r="R1166" s="667"/>
      <c r="S1166" s="667"/>
      <c r="T1166" s="667">
        <v>150</v>
      </c>
      <c r="U1166" s="1021">
        <v>12</v>
      </c>
      <c r="V1166" s="668">
        <f t="shared" si="391"/>
        <v>420</v>
      </c>
      <c r="W1166" s="668">
        <f t="shared" si="392"/>
        <v>0</v>
      </c>
      <c r="X1166" s="668">
        <f t="shared" si="393"/>
        <v>0</v>
      </c>
      <c r="Y1166" s="668">
        <f t="shared" si="394"/>
        <v>0</v>
      </c>
      <c r="Z1166" s="668">
        <f t="shared" si="395"/>
        <v>0</v>
      </c>
      <c r="AA1166" s="668">
        <f t="shared" si="396"/>
        <v>0</v>
      </c>
      <c r="AB1166" s="668">
        <f t="shared" si="397"/>
        <v>150</v>
      </c>
      <c r="AC1166" s="668">
        <f t="shared" si="406"/>
        <v>0</v>
      </c>
      <c r="AD1166" s="668">
        <f t="shared" si="398"/>
        <v>0</v>
      </c>
      <c r="AE1166" s="668">
        <f t="shared" si="399"/>
        <v>0</v>
      </c>
      <c r="AF1166" s="668">
        <f t="shared" si="400"/>
        <v>0</v>
      </c>
      <c r="AG1166" s="668">
        <f t="shared" si="401"/>
        <v>0</v>
      </c>
      <c r="AH1166" s="668"/>
      <c r="AI1166" s="668"/>
      <c r="AJ1166" s="668"/>
      <c r="AK1166" s="668"/>
      <c r="AL1166" s="668"/>
      <c r="AM1166" s="668">
        <f t="shared" si="389"/>
        <v>0</v>
      </c>
      <c r="AN1166" s="668">
        <f t="shared" si="404"/>
        <v>0</v>
      </c>
      <c r="AO1166" s="668">
        <f t="shared" si="405"/>
        <v>0</v>
      </c>
      <c r="AP1166" s="668">
        <f t="shared" si="390"/>
        <v>180</v>
      </c>
      <c r="AQ1166" s="668">
        <f t="shared" si="402"/>
        <v>0</v>
      </c>
      <c r="AR1166" s="668">
        <f t="shared" si="403"/>
        <v>0</v>
      </c>
      <c r="AS1166" s="668"/>
      <c r="AT1166" s="668"/>
      <c r="AU1166" s="668"/>
      <c r="AV1166" s="668"/>
      <c r="AW1166" s="668"/>
      <c r="AX1166" s="668"/>
      <c r="AY1166" s="668"/>
      <c r="AZ1166" s="668"/>
      <c r="BA1166" s="668"/>
      <c r="BB1166" s="668">
        <f t="shared" si="388"/>
        <v>180</v>
      </c>
      <c r="BC1166" s="668"/>
      <c r="BD1166" s="668"/>
      <c r="BE1166" s="668"/>
      <c r="BF1166" s="668"/>
      <c r="BG1166" s="668"/>
      <c r="BH1166" s="668"/>
      <c r="BI1166" s="668"/>
    </row>
    <row r="1167" spans="1:61" x14ac:dyDescent="0.2">
      <c r="A1167" s="1021">
        <v>6189</v>
      </c>
      <c r="B1167" s="1021" t="s">
        <v>519</v>
      </c>
      <c r="C1167" s="1021"/>
      <c r="D1167" s="667">
        <v>35</v>
      </c>
      <c r="E1167" s="667"/>
      <c r="F1167" s="667">
        <v>15</v>
      </c>
      <c r="G1167" s="667"/>
      <c r="H1167" s="667"/>
      <c r="I1167" s="667"/>
      <c r="J1167" s="667"/>
      <c r="K1167" s="667"/>
      <c r="L1167" s="667"/>
      <c r="M1167" s="667"/>
      <c r="N1167" s="667"/>
      <c r="O1167" s="667"/>
      <c r="P1167" s="667"/>
      <c r="Q1167" s="667"/>
      <c r="R1167" s="667"/>
      <c r="S1167" s="667"/>
      <c r="T1167" s="667">
        <v>150</v>
      </c>
      <c r="U1167" s="1021">
        <v>12</v>
      </c>
      <c r="V1167" s="668">
        <f t="shared" si="391"/>
        <v>420</v>
      </c>
      <c r="W1167" s="668">
        <f t="shared" si="392"/>
        <v>0</v>
      </c>
      <c r="X1167" s="668">
        <f t="shared" si="393"/>
        <v>0</v>
      </c>
      <c r="Y1167" s="668">
        <f t="shared" si="394"/>
        <v>0</v>
      </c>
      <c r="Z1167" s="668">
        <f t="shared" si="395"/>
        <v>0</v>
      </c>
      <c r="AA1167" s="668">
        <f t="shared" si="396"/>
        <v>0</v>
      </c>
      <c r="AB1167" s="668">
        <f t="shared" si="397"/>
        <v>150</v>
      </c>
      <c r="AC1167" s="668">
        <f t="shared" si="406"/>
        <v>0</v>
      </c>
      <c r="AD1167" s="668">
        <f t="shared" si="398"/>
        <v>0</v>
      </c>
      <c r="AE1167" s="668">
        <f t="shared" si="399"/>
        <v>0</v>
      </c>
      <c r="AF1167" s="668">
        <f t="shared" si="400"/>
        <v>0</v>
      </c>
      <c r="AG1167" s="668">
        <f t="shared" si="401"/>
        <v>0</v>
      </c>
      <c r="AH1167" s="668"/>
      <c r="AI1167" s="668"/>
      <c r="AJ1167" s="668"/>
      <c r="AK1167" s="668"/>
      <c r="AL1167" s="668"/>
      <c r="AM1167" s="668">
        <f t="shared" si="389"/>
        <v>0</v>
      </c>
      <c r="AN1167" s="668">
        <f t="shared" si="404"/>
        <v>0</v>
      </c>
      <c r="AO1167" s="668">
        <f t="shared" si="405"/>
        <v>0</v>
      </c>
      <c r="AP1167" s="668">
        <f t="shared" si="390"/>
        <v>180</v>
      </c>
      <c r="AQ1167" s="668">
        <f t="shared" si="402"/>
        <v>0</v>
      </c>
      <c r="AR1167" s="668">
        <f t="shared" si="403"/>
        <v>0</v>
      </c>
      <c r="AS1167" s="668"/>
      <c r="AT1167" s="668"/>
      <c r="AU1167" s="668"/>
      <c r="AV1167" s="668"/>
      <c r="AW1167" s="668"/>
      <c r="AX1167" s="668"/>
      <c r="AY1167" s="668"/>
      <c r="AZ1167" s="668"/>
      <c r="BA1167" s="668"/>
      <c r="BB1167" s="668">
        <f t="shared" si="388"/>
        <v>180</v>
      </c>
      <c r="BC1167" s="668"/>
      <c r="BD1167" s="668"/>
      <c r="BE1167" s="668"/>
      <c r="BF1167" s="668"/>
      <c r="BG1167" s="668"/>
      <c r="BH1167" s="668"/>
      <c r="BI1167" s="668"/>
    </row>
    <row r="1168" spans="1:61" x14ac:dyDescent="0.2">
      <c r="A1168" s="1021">
        <v>6190</v>
      </c>
      <c r="B1168" s="1021" t="s">
        <v>686</v>
      </c>
      <c r="C1168" s="1021"/>
      <c r="D1168" s="667">
        <v>105</v>
      </c>
      <c r="E1168" s="667"/>
      <c r="F1168" s="667"/>
      <c r="G1168" s="667"/>
      <c r="H1168" s="667"/>
      <c r="I1168" s="667"/>
      <c r="J1168" s="667"/>
      <c r="K1168" s="667"/>
      <c r="L1168" s="667"/>
      <c r="M1168" s="667"/>
      <c r="N1168" s="667"/>
      <c r="O1168" s="667"/>
      <c r="P1168" s="667"/>
      <c r="Q1168" s="667"/>
      <c r="R1168" s="667"/>
      <c r="S1168" s="667"/>
      <c r="T1168" s="667"/>
      <c r="U1168" s="1021">
        <v>10</v>
      </c>
      <c r="V1168" s="668">
        <f t="shared" si="391"/>
        <v>1050</v>
      </c>
      <c r="W1168" s="668">
        <f t="shared" si="392"/>
        <v>0</v>
      </c>
      <c r="X1168" s="668">
        <f t="shared" si="393"/>
        <v>0</v>
      </c>
      <c r="Y1168" s="668">
        <f t="shared" si="394"/>
        <v>0</v>
      </c>
      <c r="Z1168" s="668">
        <f t="shared" si="395"/>
        <v>0</v>
      </c>
      <c r="AA1168" s="668">
        <f t="shared" si="396"/>
        <v>0</v>
      </c>
      <c r="AB1168" s="668">
        <f t="shared" si="397"/>
        <v>0</v>
      </c>
      <c r="AC1168" s="668">
        <f t="shared" si="406"/>
        <v>0</v>
      </c>
      <c r="AD1168" s="668">
        <f t="shared" si="398"/>
        <v>0</v>
      </c>
      <c r="AE1168" s="668">
        <f t="shared" si="399"/>
        <v>0</v>
      </c>
      <c r="AF1168" s="668">
        <f t="shared" si="400"/>
        <v>0</v>
      </c>
      <c r="AG1168" s="668">
        <f t="shared" si="401"/>
        <v>0</v>
      </c>
      <c r="AH1168" s="668"/>
      <c r="AI1168" s="668"/>
      <c r="AJ1168" s="668"/>
      <c r="AK1168" s="668"/>
      <c r="AL1168" s="668"/>
      <c r="AM1168" s="668">
        <f t="shared" si="389"/>
        <v>0</v>
      </c>
      <c r="AN1168" s="668">
        <f t="shared" si="404"/>
        <v>0</v>
      </c>
      <c r="AO1168" s="668">
        <f t="shared" si="405"/>
        <v>0</v>
      </c>
      <c r="AP1168" s="668">
        <f t="shared" si="390"/>
        <v>0</v>
      </c>
      <c r="AQ1168" s="668">
        <f t="shared" si="402"/>
        <v>0</v>
      </c>
      <c r="AR1168" s="668">
        <f t="shared" si="403"/>
        <v>0</v>
      </c>
      <c r="AS1168" s="668"/>
      <c r="AT1168" s="668"/>
      <c r="AU1168" s="668"/>
      <c r="AV1168" s="668"/>
      <c r="AW1168" s="668"/>
      <c r="AX1168" s="668"/>
      <c r="AY1168" s="668"/>
      <c r="AZ1168" s="668"/>
      <c r="BA1168" s="668"/>
      <c r="BB1168" s="668">
        <f t="shared" si="388"/>
        <v>0</v>
      </c>
      <c r="BC1168" s="668"/>
      <c r="BD1168" s="668"/>
      <c r="BE1168" s="668"/>
      <c r="BF1168" s="668"/>
      <c r="BG1168" s="668"/>
      <c r="BH1168" s="668"/>
      <c r="BI1168" s="668"/>
    </row>
    <row r="1169" spans="1:61" x14ac:dyDescent="0.2">
      <c r="A1169" s="1021">
        <v>6192</v>
      </c>
      <c r="B1169" s="1021" t="s">
        <v>684</v>
      </c>
      <c r="C1169" s="1021"/>
      <c r="D1169" s="667">
        <v>42</v>
      </c>
      <c r="E1169" s="667"/>
      <c r="F1169" s="667">
        <v>42</v>
      </c>
      <c r="G1169" s="667"/>
      <c r="H1169" s="667"/>
      <c r="I1169" s="667"/>
      <c r="J1169" s="667"/>
      <c r="K1169" s="667"/>
      <c r="L1169" s="667"/>
      <c r="M1169" s="667"/>
      <c r="N1169" s="667"/>
      <c r="O1169" s="667"/>
      <c r="P1169" s="667"/>
      <c r="Q1169" s="667"/>
      <c r="R1169" s="667"/>
      <c r="S1169" s="667"/>
      <c r="T1169" s="667"/>
      <c r="U1169" s="1021">
        <v>10</v>
      </c>
      <c r="V1169" s="668">
        <f t="shared" si="391"/>
        <v>420</v>
      </c>
      <c r="W1169" s="668">
        <f t="shared" si="392"/>
        <v>0</v>
      </c>
      <c r="X1169" s="668">
        <f t="shared" si="393"/>
        <v>0</v>
      </c>
      <c r="Y1169" s="668">
        <f t="shared" si="394"/>
        <v>0</v>
      </c>
      <c r="Z1169" s="668">
        <f t="shared" si="395"/>
        <v>0</v>
      </c>
      <c r="AA1169" s="668">
        <f t="shared" si="396"/>
        <v>0</v>
      </c>
      <c r="AB1169" s="668">
        <f t="shared" si="397"/>
        <v>0</v>
      </c>
      <c r="AC1169" s="668">
        <f t="shared" si="406"/>
        <v>0</v>
      </c>
      <c r="AD1169" s="668">
        <f t="shared" si="398"/>
        <v>0</v>
      </c>
      <c r="AE1169" s="668">
        <f t="shared" si="399"/>
        <v>0</v>
      </c>
      <c r="AF1169" s="668">
        <f t="shared" si="400"/>
        <v>0</v>
      </c>
      <c r="AG1169" s="668">
        <f t="shared" si="401"/>
        <v>0</v>
      </c>
      <c r="AH1169" s="668"/>
      <c r="AI1169" s="668"/>
      <c r="AJ1169" s="668"/>
      <c r="AK1169" s="668"/>
      <c r="AL1169" s="668"/>
      <c r="AM1169" s="668">
        <f t="shared" si="389"/>
        <v>0</v>
      </c>
      <c r="AN1169" s="668">
        <f t="shared" si="404"/>
        <v>0</v>
      </c>
      <c r="AO1169" s="668">
        <f t="shared" si="405"/>
        <v>0</v>
      </c>
      <c r="AP1169" s="668">
        <f t="shared" si="390"/>
        <v>420</v>
      </c>
      <c r="AQ1169" s="668">
        <f t="shared" si="402"/>
        <v>0</v>
      </c>
      <c r="AR1169" s="668">
        <f t="shared" si="403"/>
        <v>0</v>
      </c>
      <c r="AS1169" s="668"/>
      <c r="AT1169" s="668"/>
      <c r="AU1169" s="668"/>
      <c r="AV1169" s="668"/>
      <c r="AW1169" s="668"/>
      <c r="AX1169" s="668"/>
      <c r="AY1169" s="668"/>
      <c r="AZ1169" s="668"/>
      <c r="BA1169" s="668"/>
      <c r="BB1169" s="668"/>
      <c r="BC1169" s="668"/>
      <c r="BD1169" s="668"/>
      <c r="BE1169" s="668"/>
      <c r="BF1169" s="668"/>
      <c r="BG1169" s="668"/>
      <c r="BH1169" s="668"/>
      <c r="BI1169" s="668"/>
    </row>
    <row r="1170" spans="1:61" x14ac:dyDescent="0.2">
      <c r="A1170" s="1021" t="s">
        <v>862</v>
      </c>
      <c r="B1170" s="1021" t="s">
        <v>516</v>
      </c>
      <c r="C1170" s="1021"/>
      <c r="D1170" s="667">
        <v>32</v>
      </c>
      <c r="E1170" s="667"/>
      <c r="F1170" s="667">
        <v>32</v>
      </c>
      <c r="G1170" s="667"/>
      <c r="H1170" s="667"/>
      <c r="I1170" s="667"/>
      <c r="J1170" s="667"/>
      <c r="K1170" s="667"/>
      <c r="L1170" s="667"/>
      <c r="M1170" s="667"/>
      <c r="N1170" s="667"/>
      <c r="O1170" s="667"/>
      <c r="P1170" s="667"/>
      <c r="Q1170" s="667"/>
      <c r="R1170" s="667"/>
      <c r="S1170" s="667"/>
      <c r="T1170" s="667"/>
      <c r="U1170" s="1021">
        <v>10</v>
      </c>
      <c r="V1170" s="668">
        <f t="shared" si="391"/>
        <v>320</v>
      </c>
      <c r="W1170" s="668">
        <f t="shared" si="392"/>
        <v>0</v>
      </c>
      <c r="X1170" s="668">
        <f t="shared" si="393"/>
        <v>0</v>
      </c>
      <c r="Y1170" s="668">
        <f t="shared" si="394"/>
        <v>0</v>
      </c>
      <c r="Z1170" s="668">
        <f t="shared" si="395"/>
        <v>0</v>
      </c>
      <c r="AA1170" s="668">
        <f t="shared" si="396"/>
        <v>0</v>
      </c>
      <c r="AB1170" s="668">
        <f t="shared" si="397"/>
        <v>0</v>
      </c>
      <c r="AC1170" s="668">
        <f t="shared" si="406"/>
        <v>0</v>
      </c>
      <c r="AD1170" s="668">
        <f t="shared" si="398"/>
        <v>0</v>
      </c>
      <c r="AE1170" s="668">
        <f t="shared" si="399"/>
        <v>0</v>
      </c>
      <c r="AF1170" s="668">
        <f t="shared" si="400"/>
        <v>0</v>
      </c>
      <c r="AG1170" s="668">
        <f t="shared" si="401"/>
        <v>0</v>
      </c>
      <c r="AH1170" s="668"/>
      <c r="AI1170" s="668"/>
      <c r="AJ1170" s="668"/>
      <c r="AK1170" s="668"/>
      <c r="AL1170" s="668"/>
      <c r="AM1170" s="668">
        <f t="shared" si="389"/>
        <v>0</v>
      </c>
      <c r="AN1170" s="668">
        <f t="shared" si="404"/>
        <v>0</v>
      </c>
      <c r="AO1170" s="668">
        <f t="shared" si="405"/>
        <v>0</v>
      </c>
      <c r="AP1170" s="668">
        <f t="shared" si="390"/>
        <v>320</v>
      </c>
      <c r="AQ1170" s="668">
        <f t="shared" si="402"/>
        <v>0</v>
      </c>
      <c r="AR1170" s="668">
        <f t="shared" si="403"/>
        <v>0</v>
      </c>
      <c r="AS1170" s="668"/>
      <c r="AT1170" s="668"/>
      <c r="AU1170" s="668"/>
      <c r="AV1170" s="668"/>
      <c r="AW1170" s="668"/>
      <c r="AX1170" s="668"/>
      <c r="AY1170" s="668"/>
      <c r="AZ1170" s="668"/>
      <c r="BA1170" s="668"/>
      <c r="BB1170" s="668"/>
      <c r="BC1170" s="668"/>
      <c r="BD1170" s="668"/>
      <c r="BE1170" s="668"/>
      <c r="BF1170" s="668"/>
      <c r="BG1170" s="668"/>
      <c r="BH1170" s="668"/>
      <c r="BI1170" s="668"/>
    </row>
    <row r="1171" spans="1:61" x14ac:dyDescent="0.2">
      <c r="A1171" s="1021" t="s">
        <v>863</v>
      </c>
      <c r="B1171" s="1021" t="s">
        <v>517</v>
      </c>
      <c r="C1171" s="1021"/>
      <c r="D1171" s="667">
        <v>50</v>
      </c>
      <c r="E1171" s="667"/>
      <c r="F1171" s="667"/>
      <c r="G1171" s="667"/>
      <c r="H1171" s="667"/>
      <c r="I1171" s="667"/>
      <c r="J1171" s="667"/>
      <c r="K1171" s="667"/>
      <c r="L1171" s="667"/>
      <c r="M1171" s="667"/>
      <c r="N1171" s="667"/>
      <c r="O1171" s="667"/>
      <c r="P1171" s="667"/>
      <c r="Q1171" s="667"/>
      <c r="R1171" s="667"/>
      <c r="S1171" s="667"/>
      <c r="T1171" s="667"/>
      <c r="U1171" s="1021">
        <v>12</v>
      </c>
      <c r="V1171" s="668">
        <f t="shared" si="391"/>
        <v>600</v>
      </c>
      <c r="W1171" s="668">
        <f t="shared" si="392"/>
        <v>0</v>
      </c>
      <c r="X1171" s="668">
        <f t="shared" si="393"/>
        <v>0</v>
      </c>
      <c r="Y1171" s="668">
        <f t="shared" si="394"/>
        <v>0</v>
      </c>
      <c r="Z1171" s="668">
        <f t="shared" si="395"/>
        <v>0</v>
      </c>
      <c r="AA1171" s="668">
        <f t="shared" si="396"/>
        <v>0</v>
      </c>
      <c r="AB1171" s="668">
        <f t="shared" si="397"/>
        <v>0</v>
      </c>
      <c r="AC1171" s="668">
        <f t="shared" si="406"/>
        <v>0</v>
      </c>
      <c r="AD1171" s="668">
        <f t="shared" si="398"/>
        <v>0</v>
      </c>
      <c r="AE1171" s="668">
        <f t="shared" si="399"/>
        <v>0</v>
      </c>
      <c r="AF1171" s="668">
        <f t="shared" si="400"/>
        <v>0</v>
      </c>
      <c r="AG1171" s="668">
        <f t="shared" si="401"/>
        <v>0</v>
      </c>
      <c r="AH1171" s="668"/>
      <c r="AI1171" s="668"/>
      <c r="AJ1171" s="668"/>
      <c r="AK1171" s="668"/>
      <c r="AL1171" s="668"/>
      <c r="AM1171" s="668">
        <f t="shared" si="389"/>
        <v>0</v>
      </c>
      <c r="AN1171" s="668">
        <f t="shared" si="404"/>
        <v>0</v>
      </c>
      <c r="AO1171" s="668">
        <f t="shared" si="405"/>
        <v>0</v>
      </c>
      <c r="AP1171" s="668">
        <f t="shared" si="390"/>
        <v>0</v>
      </c>
      <c r="AQ1171" s="668">
        <f t="shared" si="402"/>
        <v>0</v>
      </c>
      <c r="AR1171" s="668">
        <f t="shared" si="403"/>
        <v>0</v>
      </c>
      <c r="AS1171" s="668"/>
      <c r="AT1171" s="668"/>
      <c r="AU1171" s="668"/>
      <c r="AV1171" s="668"/>
      <c r="AW1171" s="668"/>
      <c r="AX1171" s="668"/>
      <c r="AY1171" s="668"/>
      <c r="AZ1171" s="668"/>
      <c r="BA1171" s="668"/>
      <c r="BB1171" s="668">
        <f t="shared" ref="BB1171:BB1233" si="407">+AP1171</f>
        <v>0</v>
      </c>
      <c r="BC1171" s="668"/>
      <c r="BD1171" s="668"/>
      <c r="BE1171" s="668"/>
      <c r="BF1171" s="668"/>
      <c r="BG1171" s="668"/>
      <c r="BH1171" s="668"/>
      <c r="BI1171" s="668"/>
    </row>
    <row r="1172" spans="1:61" x14ac:dyDescent="0.2">
      <c r="A1172" s="1021">
        <v>6194</v>
      </c>
      <c r="B1172" s="1021" t="s">
        <v>579</v>
      </c>
      <c r="C1172" s="1021"/>
      <c r="D1172" s="667">
        <v>50</v>
      </c>
      <c r="E1172" s="667"/>
      <c r="F1172" s="667"/>
      <c r="G1172" s="667"/>
      <c r="H1172" s="667"/>
      <c r="I1172" s="667"/>
      <c r="J1172" s="667"/>
      <c r="K1172" s="667"/>
      <c r="L1172" s="667"/>
      <c r="M1172" s="667"/>
      <c r="N1172" s="667"/>
      <c r="O1172" s="667"/>
      <c r="P1172" s="667"/>
      <c r="Q1172" s="667"/>
      <c r="R1172" s="667"/>
      <c r="S1172" s="667"/>
      <c r="T1172" s="667"/>
      <c r="U1172" s="1021">
        <v>12</v>
      </c>
      <c r="V1172" s="668">
        <f t="shared" si="391"/>
        <v>600</v>
      </c>
      <c r="W1172" s="668">
        <f t="shared" si="392"/>
        <v>0</v>
      </c>
      <c r="X1172" s="668">
        <f t="shared" si="393"/>
        <v>0</v>
      </c>
      <c r="Y1172" s="668">
        <f t="shared" si="394"/>
        <v>0</v>
      </c>
      <c r="Z1172" s="668">
        <f t="shared" si="395"/>
        <v>0</v>
      </c>
      <c r="AA1172" s="668">
        <f t="shared" si="396"/>
        <v>0</v>
      </c>
      <c r="AB1172" s="668">
        <f t="shared" si="397"/>
        <v>0</v>
      </c>
      <c r="AC1172" s="668">
        <f t="shared" si="406"/>
        <v>0</v>
      </c>
      <c r="AD1172" s="668">
        <f t="shared" si="398"/>
        <v>0</v>
      </c>
      <c r="AE1172" s="668">
        <f t="shared" si="399"/>
        <v>0</v>
      </c>
      <c r="AF1172" s="668">
        <f t="shared" si="400"/>
        <v>0</v>
      </c>
      <c r="AG1172" s="668">
        <f t="shared" si="401"/>
        <v>0</v>
      </c>
      <c r="AH1172" s="668"/>
      <c r="AI1172" s="668"/>
      <c r="AJ1172" s="668"/>
      <c r="AK1172" s="668"/>
      <c r="AL1172" s="668"/>
      <c r="AM1172" s="668">
        <f t="shared" ref="AM1172:AM1235" si="408">+I1172</f>
        <v>0</v>
      </c>
      <c r="AN1172" s="668">
        <f t="shared" si="404"/>
        <v>0</v>
      </c>
      <c r="AO1172" s="668">
        <f t="shared" si="405"/>
        <v>0</v>
      </c>
      <c r="AP1172" s="668">
        <f t="shared" si="390"/>
        <v>0</v>
      </c>
      <c r="AQ1172" s="668">
        <f t="shared" si="402"/>
        <v>0</v>
      </c>
      <c r="AR1172" s="668">
        <f t="shared" si="403"/>
        <v>0</v>
      </c>
      <c r="AS1172" s="668"/>
      <c r="AT1172" s="668"/>
      <c r="AU1172" s="668"/>
      <c r="AV1172" s="668"/>
      <c r="AW1172" s="668"/>
      <c r="AX1172" s="668"/>
      <c r="AY1172" s="668"/>
      <c r="AZ1172" s="668"/>
      <c r="BA1172" s="668"/>
      <c r="BB1172" s="668">
        <f t="shared" si="407"/>
        <v>0</v>
      </c>
      <c r="BC1172" s="668"/>
      <c r="BD1172" s="668"/>
      <c r="BE1172" s="668"/>
      <c r="BF1172" s="668"/>
      <c r="BG1172" s="668"/>
      <c r="BH1172" s="668"/>
      <c r="BI1172" s="668"/>
    </row>
    <row r="1173" spans="1:61" x14ac:dyDescent="0.2">
      <c r="A1173" s="1021">
        <v>6195</v>
      </c>
      <c r="B1173" s="1021" t="s">
        <v>624</v>
      </c>
      <c r="C1173" s="1021"/>
      <c r="D1173" s="667">
        <v>35</v>
      </c>
      <c r="E1173" s="667"/>
      <c r="F1173" s="667">
        <v>15</v>
      </c>
      <c r="G1173" s="667"/>
      <c r="H1173" s="667"/>
      <c r="I1173" s="667"/>
      <c r="J1173" s="667"/>
      <c r="K1173" s="667"/>
      <c r="L1173" s="667"/>
      <c r="M1173" s="667"/>
      <c r="N1173" s="667"/>
      <c r="O1173" s="667"/>
      <c r="P1173" s="667"/>
      <c r="Q1173" s="667"/>
      <c r="R1173" s="667"/>
      <c r="S1173" s="667"/>
      <c r="T1173" s="667"/>
      <c r="U1173" s="1021">
        <v>10</v>
      </c>
      <c r="V1173" s="668">
        <f t="shared" si="391"/>
        <v>350</v>
      </c>
      <c r="W1173" s="668">
        <f t="shared" si="392"/>
        <v>0</v>
      </c>
      <c r="X1173" s="668">
        <f t="shared" si="393"/>
        <v>0</v>
      </c>
      <c r="Y1173" s="668">
        <f t="shared" si="394"/>
        <v>0</v>
      </c>
      <c r="Z1173" s="668">
        <f t="shared" si="395"/>
        <v>0</v>
      </c>
      <c r="AA1173" s="668">
        <f t="shared" si="396"/>
        <v>0</v>
      </c>
      <c r="AB1173" s="668">
        <f t="shared" si="397"/>
        <v>0</v>
      </c>
      <c r="AC1173" s="668">
        <f t="shared" si="406"/>
        <v>0</v>
      </c>
      <c r="AD1173" s="668">
        <f t="shared" si="398"/>
        <v>0</v>
      </c>
      <c r="AE1173" s="668">
        <f t="shared" si="399"/>
        <v>0</v>
      </c>
      <c r="AF1173" s="668">
        <f t="shared" si="400"/>
        <v>0</v>
      </c>
      <c r="AG1173" s="668">
        <f t="shared" si="401"/>
        <v>0</v>
      </c>
      <c r="AH1173" s="668"/>
      <c r="AI1173" s="668"/>
      <c r="AJ1173" s="668"/>
      <c r="AK1173" s="668"/>
      <c r="AL1173" s="668"/>
      <c r="AM1173" s="668">
        <f t="shared" si="408"/>
        <v>0</v>
      </c>
      <c r="AN1173" s="668">
        <f t="shared" si="404"/>
        <v>0</v>
      </c>
      <c r="AO1173" s="668">
        <f t="shared" si="405"/>
        <v>0</v>
      </c>
      <c r="AP1173" s="668">
        <f t="shared" ref="AP1173:AP1236" si="409">+U1173*F1173</f>
        <v>150</v>
      </c>
      <c r="AQ1173" s="668">
        <f t="shared" si="402"/>
        <v>0</v>
      </c>
      <c r="AR1173" s="668">
        <f t="shared" si="403"/>
        <v>0</v>
      </c>
      <c r="AS1173" s="668"/>
      <c r="AT1173" s="668"/>
      <c r="AU1173" s="668"/>
      <c r="AV1173" s="668"/>
      <c r="AW1173" s="668"/>
      <c r="AX1173" s="668"/>
      <c r="AY1173" s="668"/>
      <c r="AZ1173" s="668"/>
      <c r="BA1173" s="668"/>
      <c r="BB1173" s="668">
        <f t="shared" si="407"/>
        <v>150</v>
      </c>
      <c r="BC1173" s="668"/>
      <c r="BD1173" s="668"/>
      <c r="BE1173" s="668"/>
      <c r="BF1173" s="668"/>
      <c r="BG1173" s="668"/>
      <c r="BH1173" s="668"/>
      <c r="BI1173" s="668"/>
    </row>
    <row r="1174" spans="1:61" x14ac:dyDescent="0.2">
      <c r="A1174" s="1021">
        <v>6196</v>
      </c>
      <c r="B1174" s="1021" t="s">
        <v>476</v>
      </c>
      <c r="C1174" s="1021"/>
      <c r="D1174" s="667">
        <v>55</v>
      </c>
      <c r="E1174" s="667"/>
      <c r="F1174" s="667"/>
      <c r="G1174" s="667"/>
      <c r="H1174" s="667"/>
      <c r="I1174" s="667"/>
      <c r="J1174" s="667"/>
      <c r="K1174" s="667"/>
      <c r="L1174" s="667"/>
      <c r="M1174" s="667"/>
      <c r="N1174" s="667"/>
      <c r="O1174" s="667"/>
      <c r="P1174" s="667"/>
      <c r="Q1174" s="667"/>
      <c r="R1174" s="667"/>
      <c r="S1174" s="667"/>
      <c r="T1174" s="667"/>
      <c r="U1174" s="1021">
        <v>12</v>
      </c>
      <c r="V1174" s="668">
        <f t="shared" si="391"/>
        <v>660</v>
      </c>
      <c r="W1174" s="668">
        <f t="shared" si="392"/>
        <v>0</v>
      </c>
      <c r="X1174" s="668">
        <f t="shared" si="393"/>
        <v>0</v>
      </c>
      <c r="Y1174" s="668">
        <f t="shared" si="394"/>
        <v>0</v>
      </c>
      <c r="Z1174" s="668">
        <f t="shared" si="395"/>
        <v>0</v>
      </c>
      <c r="AA1174" s="668">
        <f t="shared" si="396"/>
        <v>0</v>
      </c>
      <c r="AB1174" s="668">
        <f t="shared" si="397"/>
        <v>0</v>
      </c>
      <c r="AC1174" s="668">
        <f t="shared" si="406"/>
        <v>0</v>
      </c>
      <c r="AD1174" s="668">
        <f t="shared" si="398"/>
        <v>0</v>
      </c>
      <c r="AE1174" s="668">
        <f t="shared" si="399"/>
        <v>0</v>
      </c>
      <c r="AF1174" s="668">
        <f t="shared" si="400"/>
        <v>0</v>
      </c>
      <c r="AG1174" s="668">
        <f t="shared" si="401"/>
        <v>0</v>
      </c>
      <c r="AH1174" s="668"/>
      <c r="AI1174" s="668"/>
      <c r="AJ1174" s="668"/>
      <c r="AK1174" s="668"/>
      <c r="AL1174" s="668"/>
      <c r="AM1174" s="668">
        <f t="shared" si="408"/>
        <v>0</v>
      </c>
      <c r="AN1174" s="668">
        <f t="shared" si="404"/>
        <v>0</v>
      </c>
      <c r="AO1174" s="668">
        <f t="shared" si="405"/>
        <v>0</v>
      </c>
      <c r="AP1174" s="668">
        <f t="shared" si="409"/>
        <v>0</v>
      </c>
      <c r="AQ1174" s="668">
        <f t="shared" si="402"/>
        <v>0</v>
      </c>
      <c r="AR1174" s="668">
        <f t="shared" si="403"/>
        <v>0</v>
      </c>
      <c r="AS1174" s="668"/>
      <c r="AT1174" s="668"/>
      <c r="AU1174" s="668"/>
      <c r="AV1174" s="668"/>
      <c r="AW1174" s="668"/>
      <c r="AX1174" s="668"/>
      <c r="AY1174" s="668"/>
      <c r="AZ1174" s="668"/>
      <c r="BA1174" s="668"/>
      <c r="BB1174" s="668">
        <f t="shared" si="407"/>
        <v>0</v>
      </c>
      <c r="BC1174" s="668"/>
      <c r="BD1174" s="668"/>
      <c r="BE1174" s="668"/>
      <c r="BF1174" s="668"/>
      <c r="BG1174" s="668"/>
      <c r="BH1174" s="668"/>
      <c r="BI1174" s="668"/>
    </row>
    <row r="1175" spans="1:61" x14ac:dyDescent="0.2">
      <c r="A1175" s="1021">
        <v>6197</v>
      </c>
      <c r="B1175" s="1021" t="s">
        <v>519</v>
      </c>
      <c r="C1175" s="1021"/>
      <c r="D1175" s="667">
        <v>35</v>
      </c>
      <c r="E1175" s="667"/>
      <c r="F1175" s="667">
        <v>15</v>
      </c>
      <c r="G1175" s="667"/>
      <c r="H1175" s="667"/>
      <c r="I1175" s="667"/>
      <c r="J1175" s="667"/>
      <c r="K1175" s="667"/>
      <c r="L1175" s="667"/>
      <c r="M1175" s="667"/>
      <c r="N1175" s="667"/>
      <c r="O1175" s="667"/>
      <c r="P1175" s="667"/>
      <c r="Q1175" s="667"/>
      <c r="R1175" s="667"/>
      <c r="S1175" s="667"/>
      <c r="T1175" s="667">
        <v>150</v>
      </c>
      <c r="U1175" s="1021">
        <v>12</v>
      </c>
      <c r="V1175" s="668">
        <f t="shared" si="391"/>
        <v>420</v>
      </c>
      <c r="W1175" s="668">
        <f t="shared" si="392"/>
        <v>0</v>
      </c>
      <c r="X1175" s="668">
        <f t="shared" si="393"/>
        <v>0</v>
      </c>
      <c r="Y1175" s="668">
        <f t="shared" si="394"/>
        <v>0</v>
      </c>
      <c r="Z1175" s="668">
        <f t="shared" si="395"/>
        <v>0</v>
      </c>
      <c r="AA1175" s="668">
        <f t="shared" si="396"/>
        <v>0</v>
      </c>
      <c r="AB1175" s="668">
        <f t="shared" si="397"/>
        <v>150</v>
      </c>
      <c r="AC1175" s="668">
        <f t="shared" si="406"/>
        <v>0</v>
      </c>
      <c r="AD1175" s="668">
        <f t="shared" si="398"/>
        <v>0</v>
      </c>
      <c r="AE1175" s="668">
        <f t="shared" si="399"/>
        <v>0</v>
      </c>
      <c r="AF1175" s="668">
        <f t="shared" si="400"/>
        <v>0</v>
      </c>
      <c r="AG1175" s="668">
        <f t="shared" si="401"/>
        <v>0</v>
      </c>
      <c r="AH1175" s="668"/>
      <c r="AI1175" s="668"/>
      <c r="AJ1175" s="668"/>
      <c r="AK1175" s="668"/>
      <c r="AL1175" s="668"/>
      <c r="AM1175" s="668">
        <f t="shared" si="408"/>
        <v>0</v>
      </c>
      <c r="AN1175" s="668">
        <f t="shared" si="404"/>
        <v>0</v>
      </c>
      <c r="AO1175" s="668">
        <f t="shared" si="405"/>
        <v>0</v>
      </c>
      <c r="AP1175" s="668">
        <f t="shared" si="409"/>
        <v>180</v>
      </c>
      <c r="AQ1175" s="668">
        <f t="shared" si="402"/>
        <v>0</v>
      </c>
      <c r="AR1175" s="668">
        <f t="shared" si="403"/>
        <v>0</v>
      </c>
      <c r="AS1175" s="668"/>
      <c r="AT1175" s="668"/>
      <c r="AU1175" s="668"/>
      <c r="AV1175" s="668"/>
      <c r="AW1175" s="668"/>
      <c r="AX1175" s="668"/>
      <c r="AY1175" s="668"/>
      <c r="AZ1175" s="668"/>
      <c r="BA1175" s="668"/>
      <c r="BB1175" s="668">
        <f t="shared" si="407"/>
        <v>180</v>
      </c>
      <c r="BC1175" s="668"/>
      <c r="BD1175" s="668"/>
      <c r="BE1175" s="668"/>
      <c r="BF1175" s="668"/>
      <c r="BG1175" s="668"/>
      <c r="BH1175" s="668"/>
      <c r="BI1175" s="668"/>
    </row>
    <row r="1176" spans="1:61" x14ac:dyDescent="0.2">
      <c r="A1176" s="1021">
        <v>6198</v>
      </c>
      <c r="B1176" s="1021" t="s">
        <v>515</v>
      </c>
      <c r="C1176" s="1021"/>
      <c r="D1176" s="667">
        <v>80</v>
      </c>
      <c r="E1176" s="667"/>
      <c r="F1176" s="667">
        <v>60</v>
      </c>
      <c r="G1176" s="667"/>
      <c r="H1176" s="667"/>
      <c r="I1176" s="667"/>
      <c r="J1176" s="667"/>
      <c r="K1176" s="667"/>
      <c r="L1176" s="667"/>
      <c r="M1176" s="667"/>
      <c r="N1176" s="667"/>
      <c r="O1176" s="667"/>
      <c r="P1176" s="667"/>
      <c r="Q1176" s="667"/>
      <c r="R1176" s="667"/>
      <c r="S1176" s="667"/>
      <c r="T1176" s="667">
        <v>2000</v>
      </c>
      <c r="U1176" s="1021">
        <v>12</v>
      </c>
      <c r="V1176" s="668">
        <f t="shared" si="391"/>
        <v>960</v>
      </c>
      <c r="W1176" s="668">
        <f t="shared" si="392"/>
        <v>0</v>
      </c>
      <c r="X1176" s="668">
        <f t="shared" si="393"/>
        <v>0</v>
      </c>
      <c r="Y1176" s="668">
        <f t="shared" si="394"/>
        <v>0</v>
      </c>
      <c r="Z1176" s="668">
        <f t="shared" si="395"/>
        <v>0</v>
      </c>
      <c r="AA1176" s="668">
        <f t="shared" si="396"/>
        <v>0</v>
      </c>
      <c r="AB1176" s="668">
        <f t="shared" si="397"/>
        <v>2000</v>
      </c>
      <c r="AC1176" s="668">
        <f t="shared" si="406"/>
        <v>0</v>
      </c>
      <c r="AD1176" s="668">
        <f t="shared" si="398"/>
        <v>0</v>
      </c>
      <c r="AE1176" s="668">
        <f t="shared" si="399"/>
        <v>0</v>
      </c>
      <c r="AF1176" s="668">
        <f t="shared" si="400"/>
        <v>0</v>
      </c>
      <c r="AG1176" s="668">
        <f t="shared" si="401"/>
        <v>0</v>
      </c>
      <c r="AH1176" s="668"/>
      <c r="AI1176" s="668"/>
      <c r="AJ1176" s="668"/>
      <c r="AK1176" s="668"/>
      <c r="AL1176" s="668"/>
      <c r="AM1176" s="668">
        <f t="shared" si="408"/>
        <v>0</v>
      </c>
      <c r="AN1176" s="668">
        <f t="shared" si="404"/>
        <v>0</v>
      </c>
      <c r="AO1176" s="668">
        <f t="shared" si="405"/>
        <v>0</v>
      </c>
      <c r="AP1176" s="668">
        <f t="shared" si="409"/>
        <v>720</v>
      </c>
      <c r="AQ1176" s="668">
        <f t="shared" si="402"/>
        <v>0</v>
      </c>
      <c r="AR1176" s="668">
        <f t="shared" si="403"/>
        <v>0</v>
      </c>
      <c r="AS1176" s="668"/>
      <c r="AT1176" s="668"/>
      <c r="AU1176" s="668"/>
      <c r="AV1176" s="668"/>
      <c r="AW1176" s="668"/>
      <c r="AX1176" s="668"/>
      <c r="AY1176" s="668"/>
      <c r="AZ1176" s="668"/>
      <c r="BA1176" s="668"/>
      <c r="BB1176" s="668"/>
      <c r="BC1176" s="668"/>
      <c r="BD1176" s="668"/>
      <c r="BE1176" s="668"/>
      <c r="BF1176" s="668"/>
      <c r="BG1176" s="668"/>
      <c r="BH1176" s="668"/>
      <c r="BI1176" s="668"/>
    </row>
    <row r="1177" spans="1:61" x14ac:dyDescent="0.2">
      <c r="A1177" s="1021">
        <v>6199</v>
      </c>
      <c r="B1177" s="1021" t="s">
        <v>515</v>
      </c>
      <c r="C1177" s="1021"/>
      <c r="D1177" s="667">
        <v>118</v>
      </c>
      <c r="E1177" s="667"/>
      <c r="F1177" s="667">
        <v>60</v>
      </c>
      <c r="G1177" s="667"/>
      <c r="H1177" s="667"/>
      <c r="I1177" s="667"/>
      <c r="J1177" s="667"/>
      <c r="K1177" s="667"/>
      <c r="L1177" s="667"/>
      <c r="M1177" s="667"/>
      <c r="N1177" s="667"/>
      <c r="O1177" s="667"/>
      <c r="P1177" s="667"/>
      <c r="Q1177" s="667"/>
      <c r="R1177" s="667"/>
      <c r="S1177" s="667"/>
      <c r="T1177" s="667">
        <v>3000</v>
      </c>
      <c r="U1177" s="1021">
        <v>12</v>
      </c>
      <c r="V1177" s="668">
        <f t="shared" si="391"/>
        <v>1416</v>
      </c>
      <c r="W1177" s="668">
        <f t="shared" si="392"/>
        <v>0</v>
      </c>
      <c r="X1177" s="668">
        <f t="shared" si="393"/>
        <v>0</v>
      </c>
      <c r="Y1177" s="668">
        <f t="shared" si="394"/>
        <v>0</v>
      </c>
      <c r="Z1177" s="668">
        <f t="shared" si="395"/>
        <v>0</v>
      </c>
      <c r="AA1177" s="668">
        <f t="shared" si="396"/>
        <v>0</v>
      </c>
      <c r="AB1177" s="668">
        <f t="shared" si="397"/>
        <v>3000</v>
      </c>
      <c r="AC1177" s="668">
        <f t="shared" si="406"/>
        <v>0</v>
      </c>
      <c r="AD1177" s="668">
        <f t="shared" si="398"/>
        <v>0</v>
      </c>
      <c r="AE1177" s="668">
        <f t="shared" si="399"/>
        <v>0</v>
      </c>
      <c r="AF1177" s="668">
        <f t="shared" si="400"/>
        <v>0</v>
      </c>
      <c r="AG1177" s="668">
        <f t="shared" si="401"/>
        <v>0</v>
      </c>
      <c r="AH1177" s="668"/>
      <c r="AI1177" s="668"/>
      <c r="AJ1177" s="668"/>
      <c r="AK1177" s="668"/>
      <c r="AL1177" s="668"/>
      <c r="AM1177" s="668">
        <f t="shared" si="408"/>
        <v>0</v>
      </c>
      <c r="AN1177" s="668">
        <f t="shared" si="404"/>
        <v>0</v>
      </c>
      <c r="AO1177" s="668">
        <f t="shared" si="405"/>
        <v>0</v>
      </c>
      <c r="AP1177" s="668">
        <f t="shared" si="409"/>
        <v>720</v>
      </c>
      <c r="AQ1177" s="668">
        <f t="shared" si="402"/>
        <v>0</v>
      </c>
      <c r="AR1177" s="668">
        <f t="shared" si="403"/>
        <v>0</v>
      </c>
      <c r="AS1177" s="668"/>
      <c r="AT1177" s="668"/>
      <c r="AU1177" s="668"/>
      <c r="AV1177" s="668"/>
      <c r="AW1177" s="668"/>
      <c r="AX1177" s="668"/>
      <c r="AY1177" s="668"/>
      <c r="AZ1177" s="668"/>
      <c r="BA1177" s="668"/>
      <c r="BB1177" s="668"/>
      <c r="BC1177" s="668"/>
      <c r="BD1177" s="668"/>
      <c r="BE1177" s="668"/>
      <c r="BF1177" s="668"/>
      <c r="BG1177" s="668"/>
      <c r="BH1177" s="668"/>
      <c r="BI1177" s="668"/>
    </row>
    <row r="1178" spans="1:61" x14ac:dyDescent="0.2">
      <c r="A1178" s="1021">
        <v>6200</v>
      </c>
      <c r="B1178" s="1021" t="s">
        <v>519</v>
      </c>
      <c r="C1178" s="1021"/>
      <c r="D1178" s="667">
        <v>35</v>
      </c>
      <c r="E1178" s="667"/>
      <c r="F1178" s="667">
        <v>15</v>
      </c>
      <c r="G1178" s="667"/>
      <c r="H1178" s="667"/>
      <c r="I1178" s="667"/>
      <c r="J1178" s="667"/>
      <c r="K1178" s="667"/>
      <c r="L1178" s="667"/>
      <c r="M1178" s="667"/>
      <c r="N1178" s="667"/>
      <c r="O1178" s="667"/>
      <c r="P1178" s="667"/>
      <c r="Q1178" s="667"/>
      <c r="R1178" s="667"/>
      <c r="S1178" s="667"/>
      <c r="T1178" s="667">
        <v>150</v>
      </c>
      <c r="U1178" s="1021">
        <v>12</v>
      </c>
      <c r="V1178" s="668">
        <f t="shared" si="391"/>
        <v>420</v>
      </c>
      <c r="W1178" s="668">
        <f t="shared" si="392"/>
        <v>0</v>
      </c>
      <c r="X1178" s="668">
        <f t="shared" si="393"/>
        <v>0</v>
      </c>
      <c r="Y1178" s="668">
        <f t="shared" si="394"/>
        <v>0</v>
      </c>
      <c r="Z1178" s="668">
        <f t="shared" si="395"/>
        <v>0</v>
      </c>
      <c r="AA1178" s="668">
        <f t="shared" si="396"/>
        <v>0</v>
      </c>
      <c r="AB1178" s="668">
        <f t="shared" si="397"/>
        <v>150</v>
      </c>
      <c r="AC1178" s="668">
        <f t="shared" si="406"/>
        <v>0</v>
      </c>
      <c r="AD1178" s="668">
        <f t="shared" si="398"/>
        <v>0</v>
      </c>
      <c r="AE1178" s="668">
        <f t="shared" si="399"/>
        <v>0</v>
      </c>
      <c r="AF1178" s="668">
        <f t="shared" si="400"/>
        <v>0</v>
      </c>
      <c r="AG1178" s="668">
        <f t="shared" si="401"/>
        <v>0</v>
      </c>
      <c r="AH1178" s="668"/>
      <c r="AI1178" s="668"/>
      <c r="AJ1178" s="668"/>
      <c r="AK1178" s="668"/>
      <c r="AL1178" s="668"/>
      <c r="AM1178" s="668">
        <f t="shared" si="408"/>
        <v>0</v>
      </c>
      <c r="AN1178" s="668">
        <f t="shared" si="404"/>
        <v>0</v>
      </c>
      <c r="AO1178" s="668">
        <f t="shared" si="405"/>
        <v>0</v>
      </c>
      <c r="AP1178" s="668">
        <f t="shared" si="409"/>
        <v>180</v>
      </c>
      <c r="AQ1178" s="668">
        <f t="shared" si="402"/>
        <v>0</v>
      </c>
      <c r="AR1178" s="668">
        <f t="shared" si="403"/>
        <v>0</v>
      </c>
      <c r="AS1178" s="668"/>
      <c r="AT1178" s="668"/>
      <c r="AU1178" s="668"/>
      <c r="AV1178" s="668"/>
      <c r="AW1178" s="668"/>
      <c r="AX1178" s="668"/>
      <c r="AY1178" s="668"/>
      <c r="AZ1178" s="668"/>
      <c r="BA1178" s="668"/>
      <c r="BB1178" s="668">
        <f t="shared" si="407"/>
        <v>180</v>
      </c>
      <c r="BC1178" s="668"/>
      <c r="BD1178" s="668"/>
      <c r="BE1178" s="668"/>
      <c r="BF1178" s="668"/>
      <c r="BG1178" s="668"/>
      <c r="BH1178" s="668"/>
      <c r="BI1178" s="668"/>
    </row>
    <row r="1179" spans="1:61" x14ac:dyDescent="0.2">
      <c r="A1179" s="1021" t="s">
        <v>864</v>
      </c>
      <c r="B1179" s="1021" t="s">
        <v>747</v>
      </c>
      <c r="C1179" s="1021"/>
      <c r="D1179" s="667">
        <v>80</v>
      </c>
      <c r="E1179" s="667"/>
      <c r="F1179" s="667"/>
      <c r="G1179" s="667"/>
      <c r="H1179" s="667"/>
      <c r="I1179" s="667"/>
      <c r="J1179" s="667"/>
      <c r="K1179" s="667"/>
      <c r="L1179" s="667"/>
      <c r="M1179" s="667"/>
      <c r="N1179" s="667"/>
      <c r="O1179" s="667">
        <v>1</v>
      </c>
      <c r="P1179" s="667"/>
      <c r="Q1179" s="667"/>
      <c r="R1179" s="667"/>
      <c r="S1179" s="667"/>
      <c r="T1179" s="667"/>
      <c r="U1179" s="1021">
        <v>10</v>
      </c>
      <c r="V1179" s="668">
        <f t="shared" ref="V1179:V1247" si="410">+U1179*D1179</f>
        <v>800</v>
      </c>
      <c r="W1179" s="668">
        <f t="shared" ref="W1179:W1247" si="411">+U1179*G1179</f>
        <v>0</v>
      </c>
      <c r="X1179" s="668">
        <f t="shared" ref="X1179:X1247" si="412">+U1179*H1179</f>
        <v>0</v>
      </c>
      <c r="Y1179" s="668">
        <f t="shared" ref="Y1179:Y1247" si="413">+U1179*J1179</f>
        <v>0</v>
      </c>
      <c r="Z1179" s="668">
        <f t="shared" ref="Z1179:Z1247" si="414">IF(C1179="y",V1179+W1179+X1179+Y1179,0)</f>
        <v>0</v>
      </c>
      <c r="AA1179" s="668">
        <f t="shared" ref="AA1179:AA1247" si="415">+S1179</f>
        <v>0</v>
      </c>
      <c r="AB1179" s="668">
        <f t="shared" ref="AB1179:AB1247" si="416">+T1179</f>
        <v>0</v>
      </c>
      <c r="AC1179" s="668">
        <f t="shared" si="406"/>
        <v>0</v>
      </c>
      <c r="AD1179" s="668">
        <f t="shared" ref="AD1179:AD1247" si="417">+Q1179</f>
        <v>0</v>
      </c>
      <c r="AE1179" s="668">
        <f t="shared" ref="AE1179:AE1247" si="418">+U1179*M1179</f>
        <v>0</v>
      </c>
      <c r="AF1179" s="668">
        <f t="shared" ref="AF1179:AF1247" si="419">+L1179*U1179</f>
        <v>0</v>
      </c>
      <c r="AG1179" s="668">
        <f t="shared" ref="AG1179:AG1247" si="420">+$AG$4*N1179</f>
        <v>0</v>
      </c>
      <c r="AH1179" s="668"/>
      <c r="AI1179" s="668"/>
      <c r="AJ1179" s="668"/>
      <c r="AK1179" s="668"/>
      <c r="AL1179" s="668"/>
      <c r="AM1179" s="668">
        <f t="shared" si="408"/>
        <v>0</v>
      </c>
      <c r="AN1179" s="668">
        <f t="shared" si="404"/>
        <v>0</v>
      </c>
      <c r="AO1179" s="668">
        <f t="shared" si="405"/>
        <v>10</v>
      </c>
      <c r="AP1179" s="668">
        <f t="shared" si="409"/>
        <v>0</v>
      </c>
      <c r="AQ1179" s="668">
        <f t="shared" si="402"/>
        <v>0</v>
      </c>
      <c r="AR1179" s="668">
        <f t="shared" si="403"/>
        <v>0</v>
      </c>
      <c r="AS1179" s="668"/>
      <c r="AT1179" s="668"/>
      <c r="AU1179" s="668"/>
      <c r="AV1179" s="668"/>
      <c r="AW1179" s="668"/>
      <c r="AX1179" s="668"/>
      <c r="AY1179" s="668"/>
      <c r="AZ1179" s="668"/>
      <c r="BA1179" s="668"/>
      <c r="BB1179" s="668">
        <f t="shared" si="407"/>
        <v>0</v>
      </c>
      <c r="BC1179" s="668"/>
      <c r="BD1179" s="668"/>
      <c r="BE1179" s="668"/>
      <c r="BF1179" s="668"/>
      <c r="BG1179" s="668"/>
      <c r="BH1179" s="668"/>
      <c r="BI1179" s="668"/>
    </row>
    <row r="1180" spans="1:61" x14ac:dyDescent="0.2">
      <c r="A1180" s="1021" t="s">
        <v>865</v>
      </c>
      <c r="B1180" s="1021" t="s">
        <v>696</v>
      </c>
      <c r="C1180" s="1021"/>
      <c r="D1180" s="667">
        <v>50</v>
      </c>
      <c r="E1180" s="667"/>
      <c r="F1180" s="667"/>
      <c r="G1180" s="667"/>
      <c r="H1180" s="667"/>
      <c r="I1180" s="667"/>
      <c r="J1180" s="667"/>
      <c r="K1180" s="667"/>
      <c r="L1180" s="667"/>
      <c r="M1180" s="667"/>
      <c r="N1180" s="667"/>
      <c r="O1180" s="667"/>
      <c r="P1180" s="667"/>
      <c r="Q1180" s="667"/>
      <c r="R1180" s="667"/>
      <c r="S1180" s="667"/>
      <c r="T1180" s="667"/>
      <c r="U1180" s="1021">
        <v>10</v>
      </c>
      <c r="V1180" s="668">
        <f t="shared" si="410"/>
        <v>500</v>
      </c>
      <c r="W1180" s="668">
        <f t="shared" si="411"/>
        <v>0</v>
      </c>
      <c r="X1180" s="668">
        <f t="shared" si="412"/>
        <v>0</v>
      </c>
      <c r="Y1180" s="668">
        <f t="shared" si="413"/>
        <v>0</v>
      </c>
      <c r="Z1180" s="668">
        <f t="shared" si="414"/>
        <v>0</v>
      </c>
      <c r="AA1180" s="668">
        <f t="shared" si="415"/>
        <v>0</v>
      </c>
      <c r="AB1180" s="668">
        <f t="shared" si="416"/>
        <v>0</v>
      </c>
      <c r="AC1180" s="668">
        <f t="shared" si="406"/>
        <v>0</v>
      </c>
      <c r="AD1180" s="668">
        <f t="shared" si="417"/>
        <v>0</v>
      </c>
      <c r="AE1180" s="668">
        <f t="shared" si="418"/>
        <v>0</v>
      </c>
      <c r="AF1180" s="668">
        <f t="shared" si="419"/>
        <v>0</v>
      </c>
      <c r="AG1180" s="668">
        <f t="shared" si="420"/>
        <v>0</v>
      </c>
      <c r="AH1180" s="668"/>
      <c r="AI1180" s="668"/>
      <c r="AJ1180" s="668"/>
      <c r="AK1180" s="668"/>
      <c r="AL1180" s="668"/>
      <c r="AM1180" s="668">
        <f t="shared" si="408"/>
        <v>0</v>
      </c>
      <c r="AN1180" s="668">
        <f t="shared" si="404"/>
        <v>0</v>
      </c>
      <c r="AO1180" s="668">
        <f t="shared" si="405"/>
        <v>0</v>
      </c>
      <c r="AP1180" s="668">
        <f t="shared" si="409"/>
        <v>0</v>
      </c>
      <c r="AQ1180" s="668">
        <f t="shared" si="402"/>
        <v>0</v>
      </c>
      <c r="AR1180" s="668">
        <f t="shared" si="403"/>
        <v>0</v>
      </c>
      <c r="AS1180" s="668"/>
      <c r="AT1180" s="668"/>
      <c r="AU1180" s="668"/>
      <c r="AV1180" s="668"/>
      <c r="AW1180" s="668"/>
      <c r="AX1180" s="668"/>
      <c r="AY1180" s="668"/>
      <c r="AZ1180" s="668"/>
      <c r="BA1180" s="668"/>
      <c r="BB1180" s="668">
        <f t="shared" si="407"/>
        <v>0</v>
      </c>
      <c r="BC1180" s="668"/>
      <c r="BD1180" s="668"/>
      <c r="BE1180" s="668"/>
      <c r="BF1180" s="668"/>
      <c r="BG1180" s="668"/>
      <c r="BH1180" s="668"/>
      <c r="BI1180" s="668"/>
    </row>
    <row r="1181" spans="1:61" x14ac:dyDescent="0.2">
      <c r="A1181" s="1021">
        <v>6202</v>
      </c>
      <c r="B1181" s="1021" t="s">
        <v>780</v>
      </c>
      <c r="C1181" s="1021"/>
      <c r="D1181" s="667">
        <v>69</v>
      </c>
      <c r="E1181" s="667"/>
      <c r="F1181" s="667"/>
      <c r="G1181" s="667"/>
      <c r="H1181" s="667"/>
      <c r="I1181" s="667"/>
      <c r="J1181" s="667"/>
      <c r="K1181" s="667"/>
      <c r="L1181" s="667"/>
      <c r="M1181" s="667"/>
      <c r="N1181" s="667"/>
      <c r="O1181" s="667"/>
      <c r="P1181" s="667"/>
      <c r="Q1181" s="667"/>
      <c r="R1181" s="667"/>
      <c r="S1181" s="667"/>
      <c r="T1181" s="667"/>
      <c r="U1181" s="1021">
        <v>10</v>
      </c>
      <c r="V1181" s="668">
        <f t="shared" si="410"/>
        <v>690</v>
      </c>
      <c r="W1181" s="668">
        <f t="shared" si="411"/>
        <v>0</v>
      </c>
      <c r="X1181" s="668">
        <f t="shared" si="412"/>
        <v>0</v>
      </c>
      <c r="Y1181" s="668">
        <f t="shared" si="413"/>
        <v>0</v>
      </c>
      <c r="Z1181" s="668">
        <f t="shared" si="414"/>
        <v>0</v>
      </c>
      <c r="AA1181" s="668">
        <f t="shared" si="415"/>
        <v>0</v>
      </c>
      <c r="AB1181" s="668">
        <f t="shared" si="416"/>
        <v>0</v>
      </c>
      <c r="AC1181" s="668">
        <f t="shared" si="406"/>
        <v>0</v>
      </c>
      <c r="AD1181" s="668">
        <f t="shared" si="417"/>
        <v>0</v>
      </c>
      <c r="AE1181" s="668">
        <f t="shared" si="418"/>
        <v>0</v>
      </c>
      <c r="AF1181" s="668">
        <f t="shared" si="419"/>
        <v>0</v>
      </c>
      <c r="AG1181" s="668">
        <f t="shared" si="420"/>
        <v>0</v>
      </c>
      <c r="AH1181" s="668"/>
      <c r="AI1181" s="668"/>
      <c r="AJ1181" s="668"/>
      <c r="AK1181" s="668"/>
      <c r="AL1181" s="668"/>
      <c r="AM1181" s="668">
        <f t="shared" si="408"/>
        <v>0</v>
      </c>
      <c r="AN1181" s="668">
        <f t="shared" si="404"/>
        <v>0</v>
      </c>
      <c r="AO1181" s="668">
        <f t="shared" si="405"/>
        <v>0</v>
      </c>
      <c r="AP1181" s="668">
        <f t="shared" si="409"/>
        <v>0</v>
      </c>
      <c r="AQ1181" s="668">
        <f t="shared" si="402"/>
        <v>0</v>
      </c>
      <c r="AR1181" s="668">
        <f t="shared" si="403"/>
        <v>0</v>
      </c>
      <c r="AS1181" s="668"/>
      <c r="AT1181" s="668"/>
      <c r="AU1181" s="668"/>
      <c r="AV1181" s="668"/>
      <c r="AW1181" s="668"/>
      <c r="AX1181" s="668"/>
      <c r="AY1181" s="668"/>
      <c r="AZ1181" s="668"/>
      <c r="BA1181" s="668"/>
      <c r="BB1181" s="668">
        <f t="shared" si="407"/>
        <v>0</v>
      </c>
      <c r="BC1181" s="668"/>
      <c r="BD1181" s="668"/>
      <c r="BE1181" s="668"/>
      <c r="BF1181" s="668"/>
      <c r="BG1181" s="668"/>
      <c r="BH1181" s="668"/>
      <c r="BI1181" s="668"/>
    </row>
    <row r="1182" spans="1:61" x14ac:dyDescent="0.2">
      <c r="A1182" s="1021">
        <v>6203</v>
      </c>
      <c r="B1182" s="1021" t="s">
        <v>624</v>
      </c>
      <c r="C1182" s="1021"/>
      <c r="D1182" s="667">
        <v>35</v>
      </c>
      <c r="E1182" s="667"/>
      <c r="F1182" s="667">
        <v>15</v>
      </c>
      <c r="G1182" s="667"/>
      <c r="H1182" s="667"/>
      <c r="I1182" s="667"/>
      <c r="J1182" s="667"/>
      <c r="K1182" s="667"/>
      <c r="L1182" s="667"/>
      <c r="M1182" s="667"/>
      <c r="N1182" s="667"/>
      <c r="O1182" s="667"/>
      <c r="P1182" s="667"/>
      <c r="Q1182" s="667"/>
      <c r="R1182" s="667"/>
      <c r="S1182" s="667"/>
      <c r="T1182" s="667"/>
      <c r="U1182" s="1021">
        <v>10</v>
      </c>
      <c r="V1182" s="668">
        <f t="shared" si="410"/>
        <v>350</v>
      </c>
      <c r="W1182" s="668">
        <f t="shared" si="411"/>
        <v>0</v>
      </c>
      <c r="X1182" s="668">
        <f t="shared" si="412"/>
        <v>0</v>
      </c>
      <c r="Y1182" s="668">
        <f t="shared" si="413"/>
        <v>0</v>
      </c>
      <c r="Z1182" s="668">
        <f t="shared" si="414"/>
        <v>0</v>
      </c>
      <c r="AA1182" s="668">
        <f t="shared" si="415"/>
        <v>0</v>
      </c>
      <c r="AB1182" s="668">
        <f t="shared" si="416"/>
        <v>0</v>
      </c>
      <c r="AC1182" s="668">
        <f t="shared" si="406"/>
        <v>0</v>
      </c>
      <c r="AD1182" s="668">
        <f t="shared" si="417"/>
        <v>0</v>
      </c>
      <c r="AE1182" s="668">
        <f t="shared" si="418"/>
        <v>0</v>
      </c>
      <c r="AF1182" s="668">
        <f t="shared" si="419"/>
        <v>0</v>
      </c>
      <c r="AG1182" s="668">
        <f t="shared" si="420"/>
        <v>0</v>
      </c>
      <c r="AH1182" s="668"/>
      <c r="AI1182" s="668"/>
      <c r="AJ1182" s="668"/>
      <c r="AK1182" s="668"/>
      <c r="AL1182" s="668"/>
      <c r="AM1182" s="668">
        <f t="shared" si="408"/>
        <v>0</v>
      </c>
      <c r="AN1182" s="668">
        <f t="shared" si="404"/>
        <v>0</v>
      </c>
      <c r="AO1182" s="668">
        <f t="shared" si="405"/>
        <v>0</v>
      </c>
      <c r="AP1182" s="668">
        <f t="shared" si="409"/>
        <v>150</v>
      </c>
      <c r="AQ1182" s="668">
        <f t="shared" si="402"/>
        <v>0</v>
      </c>
      <c r="AR1182" s="668">
        <f t="shared" si="403"/>
        <v>0</v>
      </c>
      <c r="AS1182" s="668"/>
      <c r="AT1182" s="668"/>
      <c r="AU1182" s="668"/>
      <c r="AV1182" s="668"/>
      <c r="AW1182" s="668"/>
      <c r="AX1182" s="668"/>
      <c r="AY1182" s="668"/>
      <c r="AZ1182" s="668"/>
      <c r="BA1182" s="668"/>
      <c r="BB1182" s="668">
        <f t="shared" si="407"/>
        <v>150</v>
      </c>
      <c r="BC1182" s="668"/>
      <c r="BD1182" s="668"/>
      <c r="BE1182" s="668"/>
      <c r="BF1182" s="668"/>
      <c r="BG1182" s="668"/>
      <c r="BH1182" s="668"/>
      <c r="BI1182" s="668"/>
    </row>
    <row r="1183" spans="1:61" x14ac:dyDescent="0.2">
      <c r="A1183" s="1021">
        <v>6204</v>
      </c>
      <c r="B1183" s="1021" t="s">
        <v>519</v>
      </c>
      <c r="C1183" s="1021"/>
      <c r="D1183" s="667">
        <v>35</v>
      </c>
      <c r="E1183" s="667"/>
      <c r="F1183" s="667">
        <v>15</v>
      </c>
      <c r="G1183" s="667"/>
      <c r="H1183" s="667"/>
      <c r="I1183" s="667"/>
      <c r="J1183" s="667"/>
      <c r="K1183" s="667"/>
      <c r="L1183" s="667"/>
      <c r="M1183" s="667"/>
      <c r="N1183" s="667"/>
      <c r="O1183" s="667"/>
      <c r="P1183" s="667"/>
      <c r="Q1183" s="667"/>
      <c r="R1183" s="667"/>
      <c r="S1183" s="667"/>
      <c r="T1183" s="667">
        <v>150</v>
      </c>
      <c r="U1183" s="1021">
        <v>12</v>
      </c>
      <c r="V1183" s="668">
        <f t="shared" si="410"/>
        <v>420</v>
      </c>
      <c r="W1183" s="668">
        <f t="shared" si="411"/>
        <v>0</v>
      </c>
      <c r="X1183" s="668">
        <f t="shared" si="412"/>
        <v>0</v>
      </c>
      <c r="Y1183" s="668">
        <f t="shared" si="413"/>
        <v>0</v>
      </c>
      <c r="Z1183" s="668">
        <f t="shared" si="414"/>
        <v>0</v>
      </c>
      <c r="AA1183" s="668">
        <f t="shared" si="415"/>
        <v>0</v>
      </c>
      <c r="AB1183" s="668">
        <f t="shared" si="416"/>
        <v>150</v>
      </c>
      <c r="AC1183" s="668">
        <f t="shared" si="406"/>
        <v>0</v>
      </c>
      <c r="AD1183" s="668">
        <f t="shared" si="417"/>
        <v>0</v>
      </c>
      <c r="AE1183" s="668">
        <f t="shared" si="418"/>
        <v>0</v>
      </c>
      <c r="AF1183" s="668">
        <f t="shared" si="419"/>
        <v>0</v>
      </c>
      <c r="AG1183" s="668">
        <f t="shared" si="420"/>
        <v>0</v>
      </c>
      <c r="AH1183" s="668"/>
      <c r="AI1183" s="668"/>
      <c r="AJ1183" s="668"/>
      <c r="AK1183" s="668"/>
      <c r="AL1183" s="668"/>
      <c r="AM1183" s="668">
        <f t="shared" si="408"/>
        <v>0</v>
      </c>
      <c r="AN1183" s="668">
        <f t="shared" si="404"/>
        <v>0</v>
      </c>
      <c r="AO1183" s="668">
        <f t="shared" si="405"/>
        <v>0</v>
      </c>
      <c r="AP1183" s="668">
        <f t="shared" si="409"/>
        <v>180</v>
      </c>
      <c r="AQ1183" s="668">
        <f t="shared" si="402"/>
        <v>0</v>
      </c>
      <c r="AR1183" s="668">
        <f t="shared" si="403"/>
        <v>0</v>
      </c>
      <c r="AS1183" s="668"/>
      <c r="AT1183" s="668"/>
      <c r="AU1183" s="668"/>
      <c r="AV1183" s="668"/>
      <c r="AW1183" s="668"/>
      <c r="AX1183" s="668"/>
      <c r="AY1183" s="668"/>
      <c r="AZ1183" s="668"/>
      <c r="BA1183" s="668"/>
      <c r="BB1183" s="668">
        <f t="shared" si="407"/>
        <v>180</v>
      </c>
      <c r="BC1183" s="668"/>
      <c r="BD1183" s="668"/>
      <c r="BE1183" s="668"/>
      <c r="BF1183" s="668"/>
      <c r="BG1183" s="668"/>
      <c r="BH1183" s="668"/>
      <c r="BI1183" s="668"/>
    </row>
    <row r="1184" spans="1:61" x14ac:dyDescent="0.2">
      <c r="A1184" s="1021">
        <v>6205</v>
      </c>
      <c r="B1184" s="1021" t="s">
        <v>866</v>
      </c>
      <c r="C1184" s="1021"/>
      <c r="D1184" s="667">
        <v>80</v>
      </c>
      <c r="E1184" s="667"/>
      <c r="F1184" s="667">
        <v>40</v>
      </c>
      <c r="G1184" s="667"/>
      <c r="H1184" s="667"/>
      <c r="I1184" s="667"/>
      <c r="J1184" s="667"/>
      <c r="K1184" s="667"/>
      <c r="L1184" s="667"/>
      <c r="M1184" s="667"/>
      <c r="N1184" s="667"/>
      <c r="O1184" s="667">
        <v>2</v>
      </c>
      <c r="P1184" s="667"/>
      <c r="Q1184" s="667"/>
      <c r="R1184" s="667"/>
      <c r="S1184" s="667"/>
      <c r="T1184" s="667"/>
      <c r="U1184" s="1021">
        <v>10</v>
      </c>
      <c r="V1184" s="668">
        <f t="shared" si="410"/>
        <v>800</v>
      </c>
      <c r="W1184" s="668">
        <f t="shared" si="411"/>
        <v>0</v>
      </c>
      <c r="X1184" s="668">
        <f t="shared" si="412"/>
        <v>0</v>
      </c>
      <c r="Y1184" s="668">
        <f t="shared" si="413"/>
        <v>0</v>
      </c>
      <c r="Z1184" s="668">
        <f t="shared" si="414"/>
        <v>0</v>
      </c>
      <c r="AA1184" s="668">
        <f t="shared" si="415"/>
        <v>0</v>
      </c>
      <c r="AB1184" s="668">
        <f t="shared" si="416"/>
        <v>0</v>
      </c>
      <c r="AC1184" s="668">
        <f t="shared" si="406"/>
        <v>0</v>
      </c>
      <c r="AD1184" s="668">
        <f t="shared" si="417"/>
        <v>0</v>
      </c>
      <c r="AE1184" s="668">
        <f t="shared" si="418"/>
        <v>0</v>
      </c>
      <c r="AF1184" s="668">
        <f t="shared" si="419"/>
        <v>0</v>
      </c>
      <c r="AG1184" s="668">
        <f t="shared" si="420"/>
        <v>0</v>
      </c>
      <c r="AH1184" s="668"/>
      <c r="AI1184" s="668"/>
      <c r="AJ1184" s="668"/>
      <c r="AK1184" s="668"/>
      <c r="AL1184" s="668"/>
      <c r="AM1184" s="668">
        <f t="shared" si="408"/>
        <v>0</v>
      </c>
      <c r="AN1184" s="668">
        <f t="shared" si="404"/>
        <v>0</v>
      </c>
      <c r="AO1184" s="668">
        <f t="shared" si="405"/>
        <v>20</v>
      </c>
      <c r="AP1184" s="668">
        <f t="shared" si="409"/>
        <v>400</v>
      </c>
      <c r="AQ1184" s="668">
        <f t="shared" si="402"/>
        <v>0</v>
      </c>
      <c r="AR1184" s="668">
        <f t="shared" si="403"/>
        <v>0</v>
      </c>
      <c r="AS1184" s="668"/>
      <c r="AT1184" s="668"/>
      <c r="AU1184" s="668"/>
      <c r="AV1184" s="668"/>
      <c r="AW1184" s="668"/>
      <c r="AX1184" s="668"/>
      <c r="AY1184" s="668"/>
      <c r="AZ1184" s="668"/>
      <c r="BA1184" s="668"/>
      <c r="BB1184" s="668">
        <f t="shared" si="407"/>
        <v>400</v>
      </c>
      <c r="BC1184" s="668"/>
      <c r="BD1184" s="668"/>
      <c r="BE1184" s="668"/>
      <c r="BF1184" s="668"/>
      <c r="BG1184" s="668"/>
      <c r="BH1184" s="668"/>
      <c r="BI1184" s="668"/>
    </row>
    <row r="1185" spans="1:61" x14ac:dyDescent="0.2">
      <c r="A1185" s="1021">
        <v>6239</v>
      </c>
      <c r="B1185" s="1021" t="s">
        <v>465</v>
      </c>
      <c r="C1185" s="1021" t="s">
        <v>984</v>
      </c>
      <c r="D1185" s="667">
        <v>208</v>
      </c>
      <c r="E1185" s="667"/>
      <c r="F1185" s="667"/>
      <c r="G1185" s="667"/>
      <c r="H1185" s="667"/>
      <c r="I1185" s="667"/>
      <c r="J1185" s="667"/>
      <c r="K1185" s="667"/>
      <c r="L1185" s="667"/>
      <c r="M1185" s="667"/>
      <c r="N1185" s="667"/>
      <c r="O1185" s="667"/>
      <c r="P1185" s="667"/>
      <c r="Q1185" s="667"/>
      <c r="R1185" s="667"/>
      <c r="S1185" s="667"/>
      <c r="T1185" s="667"/>
      <c r="U1185" s="1021">
        <v>12</v>
      </c>
      <c r="V1185" s="668">
        <f t="shared" si="410"/>
        <v>2496</v>
      </c>
      <c r="W1185" s="668">
        <f t="shared" si="411"/>
        <v>0</v>
      </c>
      <c r="X1185" s="668">
        <f t="shared" si="412"/>
        <v>0</v>
      </c>
      <c r="Y1185" s="668">
        <f t="shared" si="413"/>
        <v>0</v>
      </c>
      <c r="Z1185" s="668">
        <f t="shared" si="414"/>
        <v>2496</v>
      </c>
      <c r="AA1185" s="668">
        <f t="shared" si="415"/>
        <v>0</v>
      </c>
      <c r="AB1185" s="668">
        <f t="shared" si="416"/>
        <v>0</v>
      </c>
      <c r="AC1185" s="668">
        <f t="shared" si="406"/>
        <v>0</v>
      </c>
      <c r="AD1185" s="668">
        <f t="shared" si="417"/>
        <v>0</v>
      </c>
      <c r="AE1185" s="668">
        <f t="shared" si="418"/>
        <v>0</v>
      </c>
      <c r="AF1185" s="668">
        <f t="shared" si="419"/>
        <v>0</v>
      </c>
      <c r="AG1185" s="668">
        <f t="shared" si="420"/>
        <v>0</v>
      </c>
      <c r="AH1185" s="668"/>
      <c r="AI1185" s="668"/>
      <c r="AJ1185" s="668"/>
      <c r="AK1185" s="668"/>
      <c r="AL1185" s="668"/>
      <c r="AM1185" s="668">
        <f t="shared" si="408"/>
        <v>0</v>
      </c>
      <c r="AN1185" s="668">
        <f t="shared" si="404"/>
        <v>0</v>
      </c>
      <c r="AO1185" s="668">
        <f t="shared" si="405"/>
        <v>0</v>
      </c>
      <c r="AP1185" s="668">
        <f t="shared" si="409"/>
        <v>0</v>
      </c>
      <c r="AQ1185" s="668">
        <f t="shared" si="402"/>
        <v>0</v>
      </c>
      <c r="AR1185" s="668">
        <f t="shared" si="403"/>
        <v>0</v>
      </c>
      <c r="AS1185" s="668"/>
      <c r="AT1185" s="668"/>
      <c r="AU1185" s="668"/>
      <c r="AV1185" s="668"/>
      <c r="AW1185" s="668"/>
      <c r="AX1185" s="668"/>
      <c r="AY1185" s="668"/>
      <c r="AZ1185" s="668"/>
      <c r="BA1185" s="668"/>
      <c r="BB1185" s="668">
        <f t="shared" si="407"/>
        <v>0</v>
      </c>
      <c r="BC1185" s="668"/>
      <c r="BD1185" s="668"/>
      <c r="BE1185" s="668"/>
      <c r="BF1185" s="668"/>
      <c r="BG1185" s="668"/>
      <c r="BH1185" s="668"/>
      <c r="BI1185" s="668"/>
    </row>
    <row r="1186" spans="1:61" x14ac:dyDescent="0.2">
      <c r="A1186" s="1021">
        <v>6240</v>
      </c>
      <c r="B1186" s="1021" t="s">
        <v>465</v>
      </c>
      <c r="C1186" s="1021" t="s">
        <v>984</v>
      </c>
      <c r="D1186" s="667">
        <v>119</v>
      </c>
      <c r="E1186" s="667"/>
      <c r="F1186" s="667"/>
      <c r="G1186" s="667"/>
      <c r="H1186" s="667"/>
      <c r="I1186" s="667"/>
      <c r="J1186" s="667"/>
      <c r="K1186" s="667"/>
      <c r="L1186" s="667"/>
      <c r="M1186" s="667"/>
      <c r="N1186" s="667"/>
      <c r="O1186" s="667"/>
      <c r="P1186" s="667"/>
      <c r="Q1186" s="667"/>
      <c r="R1186" s="667"/>
      <c r="S1186" s="667"/>
      <c r="T1186" s="667"/>
      <c r="U1186" s="1021">
        <v>12</v>
      </c>
      <c r="V1186" s="668">
        <f t="shared" si="410"/>
        <v>1428</v>
      </c>
      <c r="W1186" s="668">
        <f t="shared" si="411"/>
        <v>0</v>
      </c>
      <c r="X1186" s="668">
        <f t="shared" si="412"/>
        <v>0</v>
      </c>
      <c r="Y1186" s="668">
        <f t="shared" si="413"/>
        <v>0</v>
      </c>
      <c r="Z1186" s="668">
        <f t="shared" si="414"/>
        <v>1428</v>
      </c>
      <c r="AA1186" s="668">
        <f t="shared" si="415"/>
        <v>0</v>
      </c>
      <c r="AB1186" s="668">
        <f t="shared" si="416"/>
        <v>0</v>
      </c>
      <c r="AC1186" s="668">
        <f t="shared" si="406"/>
        <v>0</v>
      </c>
      <c r="AD1186" s="668">
        <f t="shared" si="417"/>
        <v>0</v>
      </c>
      <c r="AE1186" s="668">
        <f t="shared" si="418"/>
        <v>0</v>
      </c>
      <c r="AF1186" s="668">
        <f t="shared" si="419"/>
        <v>0</v>
      </c>
      <c r="AG1186" s="668">
        <f t="shared" si="420"/>
        <v>0</v>
      </c>
      <c r="AH1186" s="668"/>
      <c r="AI1186" s="668"/>
      <c r="AJ1186" s="668"/>
      <c r="AK1186" s="668"/>
      <c r="AL1186" s="668"/>
      <c r="AM1186" s="668">
        <f t="shared" si="408"/>
        <v>0</v>
      </c>
      <c r="AN1186" s="668">
        <f t="shared" si="404"/>
        <v>0</v>
      </c>
      <c r="AO1186" s="668">
        <f t="shared" si="405"/>
        <v>0</v>
      </c>
      <c r="AP1186" s="668">
        <f t="shared" si="409"/>
        <v>0</v>
      </c>
      <c r="AQ1186" s="668">
        <f t="shared" si="402"/>
        <v>0</v>
      </c>
      <c r="AR1186" s="668">
        <f t="shared" si="403"/>
        <v>0</v>
      </c>
      <c r="AS1186" s="668"/>
      <c r="AT1186" s="668"/>
      <c r="AU1186" s="668"/>
      <c r="AV1186" s="668"/>
      <c r="AW1186" s="668"/>
      <c r="AX1186" s="668"/>
      <c r="AY1186" s="668"/>
      <c r="AZ1186" s="668"/>
      <c r="BA1186" s="668"/>
      <c r="BB1186" s="668">
        <f t="shared" si="407"/>
        <v>0</v>
      </c>
      <c r="BC1186" s="668"/>
      <c r="BD1186" s="668"/>
      <c r="BE1186" s="668"/>
      <c r="BF1186" s="668"/>
      <c r="BG1186" s="668"/>
      <c r="BH1186" s="668"/>
      <c r="BI1186" s="668"/>
    </row>
    <row r="1187" spans="1:61" x14ac:dyDescent="0.2">
      <c r="A1187" s="1021">
        <v>6242</v>
      </c>
      <c r="B1187" s="1021" t="s">
        <v>465</v>
      </c>
      <c r="C1187" s="1021"/>
      <c r="D1187" s="667"/>
      <c r="E1187" s="667"/>
      <c r="F1187" s="667"/>
      <c r="G1187" s="667"/>
      <c r="H1187" s="667"/>
      <c r="I1187" s="667"/>
      <c r="J1187" s="667"/>
      <c r="K1187" s="667"/>
      <c r="L1187" s="667"/>
      <c r="M1187" s="667"/>
      <c r="N1187" s="667"/>
      <c r="O1187" s="667"/>
      <c r="P1187" s="667"/>
      <c r="Q1187" s="667"/>
      <c r="R1187" s="667"/>
      <c r="S1187" s="667"/>
      <c r="T1187" s="667"/>
      <c r="U1187" s="1021"/>
      <c r="V1187" s="668">
        <f t="shared" si="410"/>
        <v>0</v>
      </c>
      <c r="W1187" s="668">
        <f t="shared" si="411"/>
        <v>0</v>
      </c>
      <c r="X1187" s="668">
        <f t="shared" si="412"/>
        <v>0</v>
      </c>
      <c r="Y1187" s="668">
        <f t="shared" si="413"/>
        <v>0</v>
      </c>
      <c r="Z1187" s="668">
        <f t="shared" si="414"/>
        <v>0</v>
      </c>
      <c r="AA1187" s="668">
        <f t="shared" si="415"/>
        <v>0</v>
      </c>
      <c r="AB1187" s="668">
        <f t="shared" si="416"/>
        <v>0</v>
      </c>
      <c r="AC1187" s="668">
        <f t="shared" si="406"/>
        <v>0</v>
      </c>
      <c r="AD1187" s="668">
        <f t="shared" si="417"/>
        <v>0</v>
      </c>
      <c r="AE1187" s="668">
        <f t="shared" si="418"/>
        <v>0</v>
      </c>
      <c r="AF1187" s="668">
        <f t="shared" si="419"/>
        <v>0</v>
      </c>
      <c r="AG1187" s="668">
        <f t="shared" si="420"/>
        <v>0</v>
      </c>
      <c r="AH1187" s="668"/>
      <c r="AI1187" s="668"/>
      <c r="AJ1187" s="668"/>
      <c r="AK1187" s="668"/>
      <c r="AL1187" s="668"/>
      <c r="AM1187" s="668">
        <f t="shared" si="408"/>
        <v>0</v>
      </c>
      <c r="AN1187" s="668">
        <f t="shared" si="404"/>
        <v>0</v>
      </c>
      <c r="AO1187" s="668">
        <f t="shared" si="405"/>
        <v>0</v>
      </c>
      <c r="AP1187" s="668">
        <f t="shared" si="409"/>
        <v>0</v>
      </c>
      <c r="AQ1187" s="668">
        <f t="shared" si="402"/>
        <v>0</v>
      </c>
      <c r="AR1187" s="668">
        <f t="shared" si="403"/>
        <v>0</v>
      </c>
      <c r="AS1187" s="668"/>
      <c r="AT1187" s="668"/>
      <c r="AU1187" s="668"/>
      <c r="AV1187" s="668"/>
      <c r="AW1187" s="668"/>
      <c r="AX1187" s="668"/>
      <c r="AY1187" s="668"/>
      <c r="AZ1187" s="668"/>
      <c r="BA1187" s="668"/>
      <c r="BB1187" s="668">
        <f t="shared" si="407"/>
        <v>0</v>
      </c>
      <c r="BC1187" s="668"/>
      <c r="BD1187" s="668"/>
      <c r="BE1187" s="668"/>
      <c r="BF1187" s="668"/>
      <c r="BG1187" s="668"/>
      <c r="BH1187" s="668"/>
      <c r="BI1187" s="668"/>
    </row>
    <row r="1188" spans="1:61" x14ac:dyDescent="0.2">
      <c r="A1188" s="1021" t="s">
        <v>867</v>
      </c>
      <c r="B1188" s="1021" t="s">
        <v>845</v>
      </c>
      <c r="C1188" s="1021"/>
      <c r="D1188" s="667"/>
      <c r="E1188" s="667"/>
      <c r="F1188" s="667"/>
      <c r="G1188" s="667"/>
      <c r="H1188" s="667"/>
      <c r="I1188" s="667"/>
      <c r="J1188" s="667"/>
      <c r="K1188" s="667"/>
      <c r="L1188" s="667"/>
      <c r="M1188" s="667"/>
      <c r="N1188" s="667"/>
      <c r="O1188" s="667"/>
      <c r="P1188" s="667"/>
      <c r="Q1188" s="667"/>
      <c r="R1188" s="667"/>
      <c r="S1188" s="667"/>
      <c r="T1188" s="667"/>
      <c r="U1188" s="1021"/>
      <c r="V1188" s="668">
        <f t="shared" si="410"/>
        <v>0</v>
      </c>
      <c r="W1188" s="668">
        <f t="shared" si="411"/>
        <v>0</v>
      </c>
      <c r="X1188" s="668">
        <f t="shared" si="412"/>
        <v>0</v>
      </c>
      <c r="Y1188" s="668">
        <f t="shared" si="413"/>
        <v>0</v>
      </c>
      <c r="Z1188" s="668">
        <f t="shared" si="414"/>
        <v>0</v>
      </c>
      <c r="AA1188" s="668">
        <f t="shared" si="415"/>
        <v>0</v>
      </c>
      <c r="AB1188" s="668">
        <f t="shared" si="416"/>
        <v>0</v>
      </c>
      <c r="AC1188" s="668">
        <f t="shared" si="406"/>
        <v>0</v>
      </c>
      <c r="AD1188" s="668">
        <f t="shared" si="417"/>
        <v>0</v>
      </c>
      <c r="AE1188" s="668">
        <f t="shared" si="418"/>
        <v>0</v>
      </c>
      <c r="AF1188" s="668">
        <f t="shared" si="419"/>
        <v>0</v>
      </c>
      <c r="AG1188" s="668">
        <f t="shared" si="420"/>
        <v>0</v>
      </c>
      <c r="AH1188" s="668"/>
      <c r="AI1188" s="668"/>
      <c r="AJ1188" s="668"/>
      <c r="AK1188" s="668"/>
      <c r="AL1188" s="668"/>
      <c r="AM1188" s="668">
        <f t="shared" si="408"/>
        <v>0</v>
      </c>
      <c r="AN1188" s="668">
        <f t="shared" si="404"/>
        <v>0</v>
      </c>
      <c r="AO1188" s="668">
        <f t="shared" si="405"/>
        <v>0</v>
      </c>
      <c r="AP1188" s="668">
        <f t="shared" si="409"/>
        <v>0</v>
      </c>
      <c r="AQ1188" s="668">
        <f t="shared" si="402"/>
        <v>0</v>
      </c>
      <c r="AR1188" s="668">
        <f t="shared" si="403"/>
        <v>0</v>
      </c>
      <c r="AS1188" s="668"/>
      <c r="AT1188" s="668"/>
      <c r="AU1188" s="668"/>
      <c r="AV1188" s="668"/>
      <c r="AW1188" s="668"/>
      <c r="AX1188" s="668"/>
      <c r="AY1188" s="668"/>
      <c r="AZ1188" s="668"/>
      <c r="BA1188" s="668"/>
      <c r="BB1188" s="668">
        <f t="shared" si="407"/>
        <v>0</v>
      </c>
      <c r="BC1188" s="668"/>
      <c r="BD1188" s="668"/>
      <c r="BE1188" s="668"/>
      <c r="BF1188" s="668"/>
      <c r="BG1188" s="668"/>
      <c r="BH1188" s="668"/>
      <c r="BI1188" s="668"/>
    </row>
    <row r="1189" spans="1:61" x14ac:dyDescent="0.2">
      <c r="A1189" s="1021" t="s">
        <v>868</v>
      </c>
      <c r="B1189" s="1021" t="s">
        <v>845</v>
      </c>
      <c r="C1189" s="1021"/>
      <c r="D1189" s="667"/>
      <c r="E1189" s="667"/>
      <c r="F1189" s="667"/>
      <c r="G1189" s="667"/>
      <c r="H1189" s="667"/>
      <c r="I1189" s="667"/>
      <c r="J1189" s="667"/>
      <c r="K1189" s="667"/>
      <c r="L1189" s="667"/>
      <c r="M1189" s="667"/>
      <c r="N1189" s="667"/>
      <c r="O1189" s="667"/>
      <c r="P1189" s="667"/>
      <c r="Q1189" s="667"/>
      <c r="R1189" s="667"/>
      <c r="S1189" s="667"/>
      <c r="T1189" s="667"/>
      <c r="U1189" s="1021"/>
      <c r="V1189" s="668">
        <f t="shared" si="410"/>
        <v>0</v>
      </c>
      <c r="W1189" s="668">
        <f t="shared" si="411"/>
        <v>0</v>
      </c>
      <c r="X1189" s="668">
        <f t="shared" si="412"/>
        <v>0</v>
      </c>
      <c r="Y1189" s="668">
        <f t="shared" si="413"/>
        <v>0</v>
      </c>
      <c r="Z1189" s="668">
        <f t="shared" si="414"/>
        <v>0</v>
      </c>
      <c r="AA1189" s="668">
        <f t="shared" si="415"/>
        <v>0</v>
      </c>
      <c r="AB1189" s="668">
        <f t="shared" si="416"/>
        <v>0</v>
      </c>
      <c r="AC1189" s="668">
        <f t="shared" si="406"/>
        <v>0</v>
      </c>
      <c r="AD1189" s="668">
        <f t="shared" si="417"/>
        <v>0</v>
      </c>
      <c r="AE1189" s="668">
        <f t="shared" si="418"/>
        <v>0</v>
      </c>
      <c r="AF1189" s="668">
        <f t="shared" si="419"/>
        <v>0</v>
      </c>
      <c r="AG1189" s="668">
        <f t="shared" si="420"/>
        <v>0</v>
      </c>
      <c r="AH1189" s="668"/>
      <c r="AI1189" s="668"/>
      <c r="AJ1189" s="668"/>
      <c r="AK1189" s="668"/>
      <c r="AL1189" s="668"/>
      <c r="AM1189" s="668">
        <f t="shared" si="408"/>
        <v>0</v>
      </c>
      <c r="AN1189" s="668">
        <f t="shared" si="404"/>
        <v>0</v>
      </c>
      <c r="AO1189" s="668">
        <f t="shared" si="405"/>
        <v>0</v>
      </c>
      <c r="AP1189" s="668">
        <f t="shared" si="409"/>
        <v>0</v>
      </c>
      <c r="AQ1189" s="668">
        <f t="shared" si="402"/>
        <v>0</v>
      </c>
      <c r="AR1189" s="668">
        <f t="shared" si="403"/>
        <v>0</v>
      </c>
      <c r="AS1189" s="668"/>
      <c r="AT1189" s="668"/>
      <c r="AU1189" s="668"/>
      <c r="AV1189" s="668"/>
      <c r="AW1189" s="668"/>
      <c r="AX1189" s="668"/>
      <c r="AY1189" s="668"/>
      <c r="AZ1189" s="668"/>
      <c r="BA1189" s="668"/>
      <c r="BB1189" s="668">
        <f t="shared" si="407"/>
        <v>0</v>
      </c>
      <c r="BC1189" s="668"/>
      <c r="BD1189" s="668"/>
      <c r="BE1189" s="668"/>
      <c r="BF1189" s="668"/>
      <c r="BG1189" s="668"/>
      <c r="BH1189" s="668"/>
      <c r="BI1189" s="668"/>
    </row>
    <row r="1190" spans="1:61" x14ac:dyDescent="0.2">
      <c r="A1190" s="1021" t="s">
        <v>869</v>
      </c>
      <c r="B1190" s="1021" t="s">
        <v>845</v>
      </c>
      <c r="C1190" s="1021"/>
      <c r="D1190" s="667"/>
      <c r="E1190" s="667"/>
      <c r="F1190" s="667"/>
      <c r="G1190" s="667"/>
      <c r="H1190" s="667"/>
      <c r="I1190" s="667"/>
      <c r="J1190" s="667"/>
      <c r="K1190" s="667"/>
      <c r="L1190" s="667"/>
      <c r="M1190" s="667"/>
      <c r="N1190" s="667"/>
      <c r="O1190" s="667"/>
      <c r="P1190" s="667"/>
      <c r="Q1190" s="667"/>
      <c r="R1190" s="667"/>
      <c r="S1190" s="667"/>
      <c r="T1190" s="667"/>
      <c r="U1190" s="1021"/>
      <c r="V1190" s="668">
        <f t="shared" si="410"/>
        <v>0</v>
      </c>
      <c r="W1190" s="668">
        <f t="shared" si="411"/>
        <v>0</v>
      </c>
      <c r="X1190" s="668">
        <f t="shared" si="412"/>
        <v>0</v>
      </c>
      <c r="Y1190" s="668">
        <f t="shared" si="413"/>
        <v>0</v>
      </c>
      <c r="Z1190" s="668">
        <f t="shared" si="414"/>
        <v>0</v>
      </c>
      <c r="AA1190" s="668">
        <f t="shared" si="415"/>
        <v>0</v>
      </c>
      <c r="AB1190" s="668">
        <f t="shared" si="416"/>
        <v>0</v>
      </c>
      <c r="AC1190" s="668">
        <f t="shared" si="406"/>
        <v>0</v>
      </c>
      <c r="AD1190" s="668">
        <f t="shared" si="417"/>
        <v>0</v>
      </c>
      <c r="AE1190" s="668">
        <f t="shared" si="418"/>
        <v>0</v>
      </c>
      <c r="AF1190" s="668">
        <f t="shared" si="419"/>
        <v>0</v>
      </c>
      <c r="AG1190" s="668">
        <f t="shared" si="420"/>
        <v>0</v>
      </c>
      <c r="AH1190" s="668"/>
      <c r="AI1190" s="668"/>
      <c r="AJ1190" s="668"/>
      <c r="AK1190" s="668"/>
      <c r="AL1190" s="668"/>
      <c r="AM1190" s="668">
        <f t="shared" si="408"/>
        <v>0</v>
      </c>
      <c r="AN1190" s="668">
        <f t="shared" si="404"/>
        <v>0</v>
      </c>
      <c r="AO1190" s="668">
        <f t="shared" si="405"/>
        <v>0</v>
      </c>
      <c r="AP1190" s="668">
        <f t="shared" si="409"/>
        <v>0</v>
      </c>
      <c r="AQ1190" s="668">
        <f t="shared" si="402"/>
        <v>0</v>
      </c>
      <c r="AR1190" s="668">
        <f t="shared" si="403"/>
        <v>0</v>
      </c>
      <c r="AS1190" s="668"/>
      <c r="AT1190" s="668"/>
      <c r="AU1190" s="668"/>
      <c r="AV1190" s="668"/>
      <c r="AW1190" s="668"/>
      <c r="AX1190" s="668"/>
      <c r="AY1190" s="668"/>
      <c r="AZ1190" s="668"/>
      <c r="BA1190" s="668"/>
      <c r="BB1190" s="668">
        <f t="shared" si="407"/>
        <v>0</v>
      </c>
      <c r="BC1190" s="668"/>
      <c r="BD1190" s="668"/>
      <c r="BE1190" s="668"/>
      <c r="BF1190" s="668"/>
      <c r="BG1190" s="668"/>
      <c r="BH1190" s="668"/>
      <c r="BI1190" s="668"/>
    </row>
    <row r="1191" spans="1:61" x14ac:dyDescent="0.2">
      <c r="A1191" s="1021" t="s">
        <v>870</v>
      </c>
      <c r="B1191" s="1021" t="s">
        <v>845</v>
      </c>
      <c r="C1191" s="1021"/>
      <c r="D1191" s="667"/>
      <c r="E1191" s="667"/>
      <c r="F1191" s="667"/>
      <c r="G1191" s="667"/>
      <c r="H1191" s="667"/>
      <c r="I1191" s="667"/>
      <c r="J1191" s="667"/>
      <c r="K1191" s="667"/>
      <c r="L1191" s="667"/>
      <c r="M1191" s="667"/>
      <c r="N1191" s="667"/>
      <c r="O1191" s="667"/>
      <c r="P1191" s="667"/>
      <c r="Q1191" s="667"/>
      <c r="R1191" s="667"/>
      <c r="S1191" s="667"/>
      <c r="T1191" s="667"/>
      <c r="U1191" s="1021"/>
      <c r="V1191" s="668">
        <f t="shared" si="410"/>
        <v>0</v>
      </c>
      <c r="W1191" s="668">
        <f t="shared" si="411"/>
        <v>0</v>
      </c>
      <c r="X1191" s="668">
        <f t="shared" si="412"/>
        <v>0</v>
      </c>
      <c r="Y1191" s="668">
        <f t="shared" si="413"/>
        <v>0</v>
      </c>
      <c r="Z1191" s="668">
        <f t="shared" si="414"/>
        <v>0</v>
      </c>
      <c r="AA1191" s="668">
        <f t="shared" si="415"/>
        <v>0</v>
      </c>
      <c r="AB1191" s="668">
        <f t="shared" si="416"/>
        <v>0</v>
      </c>
      <c r="AC1191" s="668">
        <f t="shared" si="406"/>
        <v>0</v>
      </c>
      <c r="AD1191" s="668">
        <f t="shared" si="417"/>
        <v>0</v>
      </c>
      <c r="AE1191" s="668">
        <f t="shared" si="418"/>
        <v>0</v>
      </c>
      <c r="AF1191" s="668">
        <f t="shared" si="419"/>
        <v>0</v>
      </c>
      <c r="AG1191" s="668">
        <f t="shared" si="420"/>
        <v>0</v>
      </c>
      <c r="AH1191" s="668"/>
      <c r="AI1191" s="668"/>
      <c r="AJ1191" s="668"/>
      <c r="AK1191" s="668"/>
      <c r="AL1191" s="668"/>
      <c r="AM1191" s="668">
        <f t="shared" si="408"/>
        <v>0</v>
      </c>
      <c r="AN1191" s="668">
        <f t="shared" si="404"/>
        <v>0</v>
      </c>
      <c r="AO1191" s="668">
        <f t="shared" si="405"/>
        <v>0</v>
      </c>
      <c r="AP1191" s="668">
        <f t="shared" si="409"/>
        <v>0</v>
      </c>
      <c r="AQ1191" s="668">
        <f t="shared" si="402"/>
        <v>0</v>
      </c>
      <c r="AR1191" s="668">
        <f t="shared" si="403"/>
        <v>0</v>
      </c>
      <c r="AS1191" s="668"/>
      <c r="AT1191" s="668"/>
      <c r="AU1191" s="668"/>
      <c r="AV1191" s="668"/>
      <c r="AW1191" s="668"/>
      <c r="AX1191" s="668"/>
      <c r="AY1191" s="668"/>
      <c r="AZ1191" s="668"/>
      <c r="BA1191" s="668"/>
      <c r="BB1191" s="668">
        <f t="shared" si="407"/>
        <v>0</v>
      </c>
      <c r="BC1191" s="668"/>
      <c r="BD1191" s="668"/>
      <c r="BE1191" s="668"/>
      <c r="BF1191" s="668"/>
      <c r="BG1191" s="668"/>
      <c r="BH1191" s="668"/>
      <c r="BI1191" s="668"/>
    </row>
    <row r="1192" spans="1:61" x14ac:dyDescent="0.2">
      <c r="A1192" s="1021" t="s">
        <v>871</v>
      </c>
      <c r="B1192" s="1021" t="s">
        <v>845</v>
      </c>
      <c r="C1192" s="1021"/>
      <c r="D1192" s="667"/>
      <c r="E1192" s="667"/>
      <c r="F1192" s="667"/>
      <c r="G1192" s="667"/>
      <c r="H1192" s="667"/>
      <c r="I1192" s="667"/>
      <c r="J1192" s="667"/>
      <c r="K1192" s="667"/>
      <c r="L1192" s="667"/>
      <c r="M1192" s="667"/>
      <c r="N1192" s="667"/>
      <c r="O1192" s="667"/>
      <c r="P1192" s="667"/>
      <c r="Q1192" s="667"/>
      <c r="R1192" s="667"/>
      <c r="S1192" s="667"/>
      <c r="T1192" s="667"/>
      <c r="U1192" s="1021"/>
      <c r="V1192" s="668">
        <f t="shared" si="410"/>
        <v>0</v>
      </c>
      <c r="W1192" s="668">
        <f t="shared" si="411"/>
        <v>0</v>
      </c>
      <c r="X1192" s="668">
        <f t="shared" si="412"/>
        <v>0</v>
      </c>
      <c r="Y1192" s="668">
        <f t="shared" si="413"/>
        <v>0</v>
      </c>
      <c r="Z1192" s="668">
        <f t="shared" si="414"/>
        <v>0</v>
      </c>
      <c r="AA1192" s="668">
        <f t="shared" si="415"/>
        <v>0</v>
      </c>
      <c r="AB1192" s="668">
        <f t="shared" si="416"/>
        <v>0</v>
      </c>
      <c r="AC1192" s="668">
        <f t="shared" si="406"/>
        <v>0</v>
      </c>
      <c r="AD1192" s="668">
        <f t="shared" si="417"/>
        <v>0</v>
      </c>
      <c r="AE1192" s="668">
        <f t="shared" si="418"/>
        <v>0</v>
      </c>
      <c r="AF1192" s="668">
        <f t="shared" si="419"/>
        <v>0</v>
      </c>
      <c r="AG1192" s="668">
        <f t="shared" si="420"/>
        <v>0</v>
      </c>
      <c r="AH1192" s="668"/>
      <c r="AI1192" s="668"/>
      <c r="AJ1192" s="668"/>
      <c r="AK1192" s="668"/>
      <c r="AL1192" s="668"/>
      <c r="AM1192" s="668">
        <f t="shared" si="408"/>
        <v>0</v>
      </c>
      <c r="AN1192" s="668">
        <f t="shared" si="404"/>
        <v>0</v>
      </c>
      <c r="AO1192" s="668">
        <f t="shared" si="405"/>
        <v>0</v>
      </c>
      <c r="AP1192" s="668">
        <f t="shared" si="409"/>
        <v>0</v>
      </c>
      <c r="AQ1192" s="668">
        <f t="shared" si="402"/>
        <v>0</v>
      </c>
      <c r="AR1192" s="668">
        <f t="shared" si="403"/>
        <v>0</v>
      </c>
      <c r="AS1192" s="668"/>
      <c r="AT1192" s="668"/>
      <c r="AU1192" s="668"/>
      <c r="AV1192" s="668"/>
      <c r="AW1192" s="668"/>
      <c r="AX1192" s="668"/>
      <c r="AY1192" s="668"/>
      <c r="AZ1192" s="668"/>
      <c r="BA1192" s="668"/>
      <c r="BB1192" s="668">
        <f t="shared" si="407"/>
        <v>0</v>
      </c>
      <c r="BC1192" s="668"/>
      <c r="BD1192" s="668"/>
      <c r="BE1192" s="668"/>
      <c r="BF1192" s="668"/>
      <c r="BG1192" s="668"/>
      <c r="BH1192" s="668"/>
      <c r="BI1192" s="668"/>
    </row>
    <row r="1193" spans="1:61" x14ac:dyDescent="0.2">
      <c r="A1193" s="1021" t="s">
        <v>872</v>
      </c>
      <c r="B1193" s="1021" t="s">
        <v>606</v>
      </c>
      <c r="C1193" s="1021"/>
      <c r="D1193" s="667"/>
      <c r="E1193" s="667"/>
      <c r="F1193" s="667"/>
      <c r="G1193" s="667"/>
      <c r="H1193" s="667"/>
      <c r="I1193" s="667"/>
      <c r="J1193" s="667">
        <v>80</v>
      </c>
      <c r="K1193" s="667"/>
      <c r="L1193" s="667"/>
      <c r="M1193" s="667"/>
      <c r="N1193" s="667"/>
      <c r="O1193" s="667"/>
      <c r="P1193" s="667"/>
      <c r="Q1193" s="667"/>
      <c r="R1193" s="667"/>
      <c r="S1193" s="667"/>
      <c r="T1193" s="667"/>
      <c r="U1193" s="1021">
        <v>12</v>
      </c>
      <c r="V1193" s="668">
        <f t="shared" si="410"/>
        <v>0</v>
      </c>
      <c r="W1193" s="668">
        <f t="shared" si="411"/>
        <v>0</v>
      </c>
      <c r="X1193" s="668">
        <f t="shared" si="412"/>
        <v>0</v>
      </c>
      <c r="Y1193" s="668">
        <f t="shared" si="413"/>
        <v>960</v>
      </c>
      <c r="Z1193" s="668">
        <f t="shared" si="414"/>
        <v>0</v>
      </c>
      <c r="AA1193" s="668">
        <f t="shared" si="415"/>
        <v>0</v>
      </c>
      <c r="AB1193" s="668">
        <f t="shared" si="416"/>
        <v>0</v>
      </c>
      <c r="AC1193" s="668">
        <f t="shared" si="406"/>
        <v>0</v>
      </c>
      <c r="AD1193" s="668">
        <f t="shared" si="417"/>
        <v>0</v>
      </c>
      <c r="AE1193" s="668">
        <f t="shared" si="418"/>
        <v>0</v>
      </c>
      <c r="AF1193" s="668">
        <f t="shared" si="419"/>
        <v>0</v>
      </c>
      <c r="AG1193" s="668">
        <f t="shared" si="420"/>
        <v>0</v>
      </c>
      <c r="AH1193" s="668"/>
      <c r="AI1193" s="668"/>
      <c r="AJ1193" s="668"/>
      <c r="AK1193" s="668"/>
      <c r="AL1193" s="668"/>
      <c r="AM1193" s="668">
        <f t="shared" si="408"/>
        <v>0</v>
      </c>
      <c r="AN1193" s="668">
        <f t="shared" si="404"/>
        <v>0</v>
      </c>
      <c r="AO1193" s="668">
        <f t="shared" si="405"/>
        <v>0</v>
      </c>
      <c r="AP1193" s="668">
        <f t="shared" si="409"/>
        <v>0</v>
      </c>
      <c r="AQ1193" s="668">
        <f t="shared" si="402"/>
        <v>0</v>
      </c>
      <c r="AR1193" s="668">
        <f t="shared" si="403"/>
        <v>0</v>
      </c>
      <c r="AS1193" s="668"/>
      <c r="AT1193" s="668"/>
      <c r="AU1193" s="668"/>
      <c r="AV1193" s="668"/>
      <c r="AW1193" s="668"/>
      <c r="AX1193" s="668"/>
      <c r="AY1193" s="668"/>
      <c r="AZ1193" s="668"/>
      <c r="BA1193" s="668"/>
      <c r="BB1193" s="668">
        <f t="shared" si="407"/>
        <v>0</v>
      </c>
      <c r="BC1193" s="668"/>
      <c r="BD1193" s="668"/>
      <c r="BE1193" s="668"/>
      <c r="BF1193" s="668"/>
      <c r="BG1193" s="668"/>
      <c r="BH1193" s="668"/>
      <c r="BI1193" s="668"/>
    </row>
    <row r="1194" spans="1:61" x14ac:dyDescent="0.2">
      <c r="A1194" s="1021" t="s">
        <v>873</v>
      </c>
      <c r="B1194" s="1021" t="s">
        <v>607</v>
      </c>
      <c r="C1194" s="1021"/>
      <c r="D1194" s="667"/>
      <c r="E1194" s="667"/>
      <c r="F1194" s="667"/>
      <c r="G1194" s="667"/>
      <c r="H1194" s="667"/>
      <c r="I1194" s="667"/>
      <c r="J1194" s="667">
        <v>60</v>
      </c>
      <c r="K1194" s="667"/>
      <c r="L1194" s="667"/>
      <c r="M1194" s="667"/>
      <c r="N1194" s="667"/>
      <c r="O1194" s="667"/>
      <c r="P1194" s="667"/>
      <c r="Q1194" s="667"/>
      <c r="R1194" s="667"/>
      <c r="S1194" s="667"/>
      <c r="T1194" s="667"/>
      <c r="U1194" s="1021">
        <v>12</v>
      </c>
      <c r="V1194" s="668">
        <f t="shared" si="410"/>
        <v>0</v>
      </c>
      <c r="W1194" s="668">
        <f t="shared" si="411"/>
        <v>0</v>
      </c>
      <c r="X1194" s="668">
        <f t="shared" si="412"/>
        <v>0</v>
      </c>
      <c r="Y1194" s="668">
        <f t="shared" si="413"/>
        <v>720</v>
      </c>
      <c r="Z1194" s="668">
        <f t="shared" si="414"/>
        <v>0</v>
      </c>
      <c r="AA1194" s="668">
        <f t="shared" si="415"/>
        <v>0</v>
      </c>
      <c r="AB1194" s="668">
        <f t="shared" si="416"/>
        <v>0</v>
      </c>
      <c r="AC1194" s="668">
        <f t="shared" si="406"/>
        <v>0</v>
      </c>
      <c r="AD1194" s="668">
        <f t="shared" si="417"/>
        <v>0</v>
      </c>
      <c r="AE1194" s="668">
        <f t="shared" si="418"/>
        <v>0</v>
      </c>
      <c r="AF1194" s="668">
        <f t="shared" si="419"/>
        <v>0</v>
      </c>
      <c r="AG1194" s="668">
        <f t="shared" si="420"/>
        <v>0</v>
      </c>
      <c r="AH1194" s="668"/>
      <c r="AI1194" s="668"/>
      <c r="AJ1194" s="668"/>
      <c r="AK1194" s="668"/>
      <c r="AL1194" s="668"/>
      <c r="AM1194" s="668">
        <f t="shared" si="408"/>
        <v>0</v>
      </c>
      <c r="AN1194" s="668">
        <f t="shared" si="404"/>
        <v>0</v>
      </c>
      <c r="AO1194" s="668">
        <f t="shared" si="405"/>
        <v>0</v>
      </c>
      <c r="AP1194" s="668">
        <f t="shared" si="409"/>
        <v>0</v>
      </c>
      <c r="AQ1194" s="668">
        <f t="shared" si="402"/>
        <v>0</v>
      </c>
      <c r="AR1194" s="668">
        <f t="shared" si="403"/>
        <v>0</v>
      </c>
      <c r="AS1194" s="668"/>
      <c r="AT1194" s="668"/>
      <c r="AU1194" s="668"/>
      <c r="AV1194" s="668"/>
      <c r="AW1194" s="668"/>
      <c r="AX1194" s="668"/>
      <c r="AY1194" s="668"/>
      <c r="AZ1194" s="668"/>
      <c r="BA1194" s="668"/>
      <c r="BB1194" s="668">
        <f t="shared" si="407"/>
        <v>0</v>
      </c>
      <c r="BC1194" s="668"/>
      <c r="BD1194" s="668"/>
      <c r="BE1194" s="668"/>
      <c r="BF1194" s="668"/>
      <c r="BG1194" s="668"/>
      <c r="BH1194" s="668"/>
      <c r="BI1194" s="668"/>
    </row>
    <row r="1195" spans="1:61" x14ac:dyDescent="0.2">
      <c r="A1195" s="1021" t="s">
        <v>874</v>
      </c>
      <c r="B1195" s="1021" t="s">
        <v>611</v>
      </c>
      <c r="C1195" s="1021"/>
      <c r="D1195" s="667"/>
      <c r="E1195" s="667"/>
      <c r="F1195" s="667"/>
      <c r="G1195" s="667"/>
      <c r="H1195" s="667"/>
      <c r="I1195" s="667"/>
      <c r="J1195" s="667">
        <v>61</v>
      </c>
      <c r="K1195" s="667"/>
      <c r="L1195" s="667"/>
      <c r="M1195" s="667"/>
      <c r="N1195" s="667"/>
      <c r="O1195" s="667"/>
      <c r="P1195" s="667"/>
      <c r="Q1195" s="667"/>
      <c r="R1195" s="667"/>
      <c r="S1195" s="667"/>
      <c r="T1195" s="667"/>
      <c r="U1195" s="1021">
        <v>12</v>
      </c>
      <c r="V1195" s="668">
        <f t="shared" si="410"/>
        <v>0</v>
      </c>
      <c r="W1195" s="668">
        <f t="shared" si="411"/>
        <v>0</v>
      </c>
      <c r="X1195" s="668">
        <f t="shared" si="412"/>
        <v>0</v>
      </c>
      <c r="Y1195" s="668">
        <f t="shared" si="413"/>
        <v>732</v>
      </c>
      <c r="Z1195" s="668">
        <f t="shared" si="414"/>
        <v>0</v>
      </c>
      <c r="AA1195" s="668">
        <f t="shared" si="415"/>
        <v>0</v>
      </c>
      <c r="AB1195" s="668">
        <f t="shared" si="416"/>
        <v>0</v>
      </c>
      <c r="AC1195" s="668">
        <f t="shared" si="406"/>
        <v>0</v>
      </c>
      <c r="AD1195" s="668">
        <f t="shared" si="417"/>
        <v>0</v>
      </c>
      <c r="AE1195" s="668">
        <f t="shared" si="418"/>
        <v>0</v>
      </c>
      <c r="AF1195" s="668">
        <f t="shared" si="419"/>
        <v>0</v>
      </c>
      <c r="AG1195" s="668">
        <f t="shared" si="420"/>
        <v>0</v>
      </c>
      <c r="AH1195" s="668"/>
      <c r="AI1195" s="668"/>
      <c r="AJ1195" s="668"/>
      <c r="AK1195" s="668"/>
      <c r="AL1195" s="668"/>
      <c r="AM1195" s="668">
        <f t="shared" si="408"/>
        <v>0</v>
      </c>
      <c r="AN1195" s="668">
        <f t="shared" si="404"/>
        <v>0</v>
      </c>
      <c r="AO1195" s="668">
        <f t="shared" si="405"/>
        <v>0</v>
      </c>
      <c r="AP1195" s="668">
        <f t="shared" si="409"/>
        <v>0</v>
      </c>
      <c r="AQ1195" s="668">
        <f t="shared" si="402"/>
        <v>0</v>
      </c>
      <c r="AR1195" s="668">
        <f t="shared" si="403"/>
        <v>0</v>
      </c>
      <c r="AS1195" s="668"/>
      <c r="AT1195" s="668"/>
      <c r="AU1195" s="668"/>
      <c r="AV1195" s="668"/>
      <c r="AW1195" s="668"/>
      <c r="AX1195" s="668"/>
      <c r="AY1195" s="668"/>
      <c r="AZ1195" s="668"/>
      <c r="BA1195" s="668"/>
      <c r="BB1195" s="668">
        <f t="shared" si="407"/>
        <v>0</v>
      </c>
      <c r="BC1195" s="668"/>
      <c r="BD1195" s="668"/>
      <c r="BE1195" s="668"/>
      <c r="BF1195" s="668"/>
      <c r="BG1195" s="668"/>
      <c r="BH1195" s="668"/>
      <c r="BI1195" s="668"/>
    </row>
    <row r="1196" spans="1:61" x14ac:dyDescent="0.2">
      <c r="A1196" s="1021" t="s">
        <v>875</v>
      </c>
      <c r="B1196" s="1021" t="s">
        <v>612</v>
      </c>
      <c r="C1196" s="1021"/>
      <c r="D1196" s="667"/>
      <c r="E1196" s="667"/>
      <c r="F1196" s="667"/>
      <c r="G1196" s="667"/>
      <c r="H1196" s="667"/>
      <c r="I1196" s="667"/>
      <c r="J1196" s="667">
        <v>61</v>
      </c>
      <c r="K1196" s="667"/>
      <c r="L1196" s="667"/>
      <c r="M1196" s="667"/>
      <c r="N1196" s="667"/>
      <c r="O1196" s="667"/>
      <c r="P1196" s="667"/>
      <c r="Q1196" s="667"/>
      <c r="R1196" s="667"/>
      <c r="S1196" s="667"/>
      <c r="T1196" s="667"/>
      <c r="U1196" s="1021">
        <v>12</v>
      </c>
      <c r="V1196" s="668">
        <f t="shared" si="410"/>
        <v>0</v>
      </c>
      <c r="W1196" s="668">
        <f t="shared" si="411"/>
        <v>0</v>
      </c>
      <c r="X1196" s="668">
        <f t="shared" si="412"/>
        <v>0</v>
      </c>
      <c r="Y1196" s="668">
        <f t="shared" si="413"/>
        <v>732</v>
      </c>
      <c r="Z1196" s="668">
        <f t="shared" si="414"/>
        <v>0</v>
      </c>
      <c r="AA1196" s="668">
        <f t="shared" si="415"/>
        <v>0</v>
      </c>
      <c r="AB1196" s="668">
        <f t="shared" si="416"/>
        <v>0</v>
      </c>
      <c r="AC1196" s="668">
        <f t="shared" si="406"/>
        <v>0</v>
      </c>
      <c r="AD1196" s="668">
        <f t="shared" si="417"/>
        <v>0</v>
      </c>
      <c r="AE1196" s="668">
        <f t="shared" si="418"/>
        <v>0</v>
      </c>
      <c r="AF1196" s="668">
        <f t="shared" si="419"/>
        <v>0</v>
      </c>
      <c r="AG1196" s="668">
        <f t="shared" si="420"/>
        <v>0</v>
      </c>
      <c r="AH1196" s="668"/>
      <c r="AI1196" s="668"/>
      <c r="AJ1196" s="668"/>
      <c r="AK1196" s="668"/>
      <c r="AL1196" s="668"/>
      <c r="AM1196" s="668">
        <f t="shared" si="408"/>
        <v>0</v>
      </c>
      <c r="AN1196" s="668">
        <f t="shared" si="404"/>
        <v>0</v>
      </c>
      <c r="AO1196" s="668">
        <f t="shared" si="405"/>
        <v>0</v>
      </c>
      <c r="AP1196" s="668">
        <f t="shared" si="409"/>
        <v>0</v>
      </c>
      <c r="AQ1196" s="668">
        <f t="shared" si="402"/>
        <v>0</v>
      </c>
      <c r="AR1196" s="668">
        <f t="shared" si="403"/>
        <v>0</v>
      </c>
      <c r="AS1196" s="668"/>
      <c r="AT1196" s="668"/>
      <c r="AU1196" s="668"/>
      <c r="AV1196" s="668"/>
      <c r="AW1196" s="668"/>
      <c r="AX1196" s="668"/>
      <c r="AY1196" s="668"/>
      <c r="AZ1196" s="668"/>
      <c r="BA1196" s="668"/>
      <c r="BB1196" s="668">
        <f t="shared" si="407"/>
        <v>0</v>
      </c>
      <c r="BC1196" s="668"/>
      <c r="BD1196" s="668"/>
      <c r="BE1196" s="668"/>
      <c r="BF1196" s="668"/>
      <c r="BG1196" s="668"/>
      <c r="BH1196" s="668"/>
      <c r="BI1196" s="668"/>
    </row>
    <row r="1197" spans="1:61" x14ac:dyDescent="0.2">
      <c r="A1197" s="1025" t="s">
        <v>963</v>
      </c>
      <c r="B1197" s="1025" t="s">
        <v>976</v>
      </c>
      <c r="C1197" s="1025"/>
      <c r="D1197" s="667"/>
      <c r="E1197" s="667"/>
      <c r="F1197" s="667"/>
      <c r="G1197" s="667"/>
      <c r="H1197" s="667"/>
      <c r="I1197" s="667"/>
      <c r="J1197" s="667"/>
      <c r="K1197" s="667"/>
      <c r="L1197" s="667"/>
      <c r="M1197" s="667"/>
      <c r="N1197" s="667"/>
      <c r="O1197" s="667"/>
      <c r="P1197" s="667"/>
      <c r="Q1197" s="667"/>
      <c r="R1197" s="667"/>
      <c r="S1197" s="667">
        <v>2144</v>
      </c>
      <c r="T1197" s="667"/>
      <c r="U1197" s="1025"/>
      <c r="V1197" s="668"/>
      <c r="W1197" s="668"/>
      <c r="X1197" s="668"/>
      <c r="Y1197" s="668"/>
      <c r="Z1197" s="668"/>
      <c r="AA1197" s="668">
        <f t="shared" si="415"/>
        <v>2144</v>
      </c>
      <c r="AB1197" s="668"/>
      <c r="AC1197" s="668">
        <f t="shared" si="406"/>
        <v>0</v>
      </c>
      <c r="AD1197" s="668"/>
      <c r="AE1197" s="668"/>
      <c r="AF1197" s="668"/>
      <c r="AG1197" s="668"/>
      <c r="AH1197" s="668"/>
      <c r="AI1197" s="668"/>
      <c r="AJ1197" s="668"/>
      <c r="AK1197" s="668"/>
      <c r="AL1197" s="668"/>
      <c r="AM1197" s="668">
        <f t="shared" si="408"/>
        <v>0</v>
      </c>
      <c r="AN1197" s="668">
        <f t="shared" si="404"/>
        <v>0</v>
      </c>
      <c r="AO1197" s="668">
        <f t="shared" si="405"/>
        <v>0</v>
      </c>
      <c r="AP1197" s="668">
        <f t="shared" si="409"/>
        <v>0</v>
      </c>
      <c r="AQ1197" s="668">
        <f t="shared" si="402"/>
        <v>0</v>
      </c>
      <c r="AR1197" s="668">
        <f t="shared" si="403"/>
        <v>0</v>
      </c>
      <c r="AS1197" s="668"/>
      <c r="AT1197" s="668"/>
      <c r="AU1197" s="668"/>
      <c r="AV1197" s="668"/>
      <c r="AW1197" s="668"/>
      <c r="AX1197" s="668">
        <v>600</v>
      </c>
      <c r="AY1197" s="668"/>
      <c r="AZ1197" s="668"/>
      <c r="BA1197" s="668"/>
      <c r="BB1197" s="668">
        <f t="shared" si="407"/>
        <v>0</v>
      </c>
      <c r="BC1197" s="668"/>
      <c r="BD1197" s="668"/>
      <c r="BE1197" s="668"/>
      <c r="BF1197" s="668"/>
      <c r="BG1197" s="668"/>
      <c r="BH1197" s="668"/>
      <c r="BI1197" s="668"/>
    </row>
    <row r="1198" spans="1:61" x14ac:dyDescent="0.2">
      <c r="A1198" s="1025" t="s">
        <v>965</v>
      </c>
      <c r="B1198" s="1025" t="s">
        <v>976</v>
      </c>
      <c r="C1198" s="1025"/>
      <c r="D1198" s="667"/>
      <c r="E1198" s="667"/>
      <c r="F1198" s="667"/>
      <c r="G1198" s="667"/>
      <c r="H1198" s="667"/>
      <c r="I1198" s="667"/>
      <c r="J1198" s="667"/>
      <c r="K1198" s="667"/>
      <c r="L1198" s="667"/>
      <c r="M1198" s="667"/>
      <c r="N1198" s="667"/>
      <c r="O1198" s="667"/>
      <c r="P1198" s="667"/>
      <c r="Q1198" s="667"/>
      <c r="R1198" s="667"/>
      <c r="S1198" s="667">
        <v>2813</v>
      </c>
      <c r="T1198" s="667"/>
      <c r="U1198" s="1025"/>
      <c r="V1198" s="668"/>
      <c r="W1198" s="668"/>
      <c r="X1198" s="668"/>
      <c r="Y1198" s="668"/>
      <c r="Z1198" s="668"/>
      <c r="AA1198" s="668">
        <f t="shared" si="415"/>
        <v>2813</v>
      </c>
      <c r="AB1198" s="668"/>
      <c r="AC1198" s="668">
        <f t="shared" si="406"/>
        <v>0</v>
      </c>
      <c r="AD1198" s="668"/>
      <c r="AE1198" s="668"/>
      <c r="AF1198" s="668"/>
      <c r="AG1198" s="668"/>
      <c r="AH1198" s="668"/>
      <c r="AI1198" s="668"/>
      <c r="AJ1198" s="668"/>
      <c r="AK1198" s="668"/>
      <c r="AL1198" s="668"/>
      <c r="AM1198" s="668">
        <f t="shared" si="408"/>
        <v>0</v>
      </c>
      <c r="AN1198" s="668">
        <f t="shared" si="404"/>
        <v>0</v>
      </c>
      <c r="AO1198" s="668">
        <f t="shared" si="405"/>
        <v>0</v>
      </c>
      <c r="AP1198" s="668">
        <f t="shared" si="409"/>
        <v>0</v>
      </c>
      <c r="AQ1198" s="668">
        <f t="shared" si="402"/>
        <v>0</v>
      </c>
      <c r="AR1198" s="668">
        <f t="shared" si="403"/>
        <v>0</v>
      </c>
      <c r="AS1198" s="668"/>
      <c r="AT1198" s="668"/>
      <c r="AU1198" s="668"/>
      <c r="AV1198" s="668"/>
      <c r="AW1198" s="668"/>
      <c r="AX1198" s="668">
        <v>1100</v>
      </c>
      <c r="AY1198" s="668"/>
      <c r="AZ1198" s="668"/>
      <c r="BA1198" s="668"/>
      <c r="BB1198" s="668">
        <f t="shared" si="407"/>
        <v>0</v>
      </c>
      <c r="BC1198" s="668"/>
      <c r="BD1198" s="668"/>
      <c r="BE1198" s="668"/>
      <c r="BF1198" s="668"/>
      <c r="BG1198" s="668"/>
      <c r="BH1198" s="668"/>
      <c r="BI1198" s="668"/>
    </row>
    <row r="1199" spans="1:61" x14ac:dyDescent="0.2">
      <c r="A1199" s="1025" t="s">
        <v>967</v>
      </c>
      <c r="B1199" s="1025" t="s">
        <v>976</v>
      </c>
      <c r="C1199" s="1025"/>
      <c r="D1199" s="667"/>
      <c r="E1199" s="667"/>
      <c r="F1199" s="667"/>
      <c r="G1199" s="667"/>
      <c r="H1199" s="667"/>
      <c r="I1199" s="667"/>
      <c r="J1199" s="667"/>
      <c r="K1199" s="667"/>
      <c r="L1199" s="667"/>
      <c r="M1199" s="667"/>
      <c r="N1199" s="667"/>
      <c r="O1199" s="667"/>
      <c r="P1199" s="667"/>
      <c r="Q1199" s="667"/>
      <c r="R1199" s="667"/>
      <c r="S1199" s="667">
        <v>4607</v>
      </c>
      <c r="T1199" s="667"/>
      <c r="U1199" s="1025"/>
      <c r="V1199" s="668"/>
      <c r="W1199" s="668"/>
      <c r="X1199" s="668"/>
      <c r="Y1199" s="668"/>
      <c r="Z1199" s="668"/>
      <c r="AA1199" s="668">
        <f t="shared" si="415"/>
        <v>4607</v>
      </c>
      <c r="AB1199" s="668"/>
      <c r="AC1199" s="668">
        <f t="shared" si="406"/>
        <v>0</v>
      </c>
      <c r="AD1199" s="668"/>
      <c r="AE1199" s="668"/>
      <c r="AF1199" s="668"/>
      <c r="AG1199" s="668"/>
      <c r="AH1199" s="668"/>
      <c r="AI1199" s="668"/>
      <c r="AJ1199" s="668"/>
      <c r="AK1199" s="668"/>
      <c r="AL1199" s="668"/>
      <c r="AM1199" s="668">
        <f t="shared" si="408"/>
        <v>0</v>
      </c>
      <c r="AN1199" s="668">
        <f t="shared" si="404"/>
        <v>0</v>
      </c>
      <c r="AO1199" s="668">
        <f t="shared" si="405"/>
        <v>0</v>
      </c>
      <c r="AP1199" s="668">
        <f t="shared" si="409"/>
        <v>0</v>
      </c>
      <c r="AQ1199" s="668">
        <f t="shared" si="402"/>
        <v>0</v>
      </c>
      <c r="AR1199" s="668">
        <f t="shared" si="403"/>
        <v>0</v>
      </c>
      <c r="AS1199" s="668"/>
      <c r="AT1199" s="668"/>
      <c r="AU1199" s="668"/>
      <c r="AV1199" s="668"/>
      <c r="AW1199" s="668"/>
      <c r="AX1199" s="668">
        <v>120</v>
      </c>
      <c r="AY1199" s="668"/>
      <c r="AZ1199" s="668"/>
      <c r="BA1199" s="668"/>
      <c r="BB1199" s="668">
        <f t="shared" si="407"/>
        <v>0</v>
      </c>
      <c r="BC1199" s="668"/>
      <c r="BD1199" s="668"/>
      <c r="BE1199" s="668"/>
      <c r="BF1199" s="668"/>
      <c r="BG1199" s="668"/>
      <c r="BH1199" s="668"/>
      <c r="BI1199" s="668"/>
    </row>
    <row r="1200" spans="1:61" x14ac:dyDescent="0.2">
      <c r="A1200" s="1021"/>
      <c r="B1200" s="1021"/>
      <c r="C1200" s="1021"/>
      <c r="D1200" s="667"/>
      <c r="E1200" s="667"/>
      <c r="F1200" s="667"/>
      <c r="G1200" s="667"/>
      <c r="H1200" s="667"/>
      <c r="I1200" s="667"/>
      <c r="J1200" s="667"/>
      <c r="K1200" s="667"/>
      <c r="L1200" s="667"/>
      <c r="M1200" s="667"/>
      <c r="N1200" s="667"/>
      <c r="O1200" s="667"/>
      <c r="P1200" s="667"/>
      <c r="Q1200" s="667"/>
      <c r="R1200" s="667"/>
      <c r="S1200" s="667"/>
      <c r="T1200" s="667"/>
      <c r="U1200" s="1021"/>
      <c r="V1200" s="668">
        <f t="shared" si="410"/>
        <v>0</v>
      </c>
      <c r="W1200" s="668">
        <f t="shared" si="411"/>
        <v>0</v>
      </c>
      <c r="X1200" s="668">
        <f t="shared" si="412"/>
        <v>0</v>
      </c>
      <c r="Y1200" s="668">
        <f t="shared" si="413"/>
        <v>0</v>
      </c>
      <c r="Z1200" s="668">
        <f t="shared" si="414"/>
        <v>0</v>
      </c>
      <c r="AA1200" s="668">
        <f t="shared" si="415"/>
        <v>0</v>
      </c>
      <c r="AB1200" s="668">
        <f t="shared" si="416"/>
        <v>0</v>
      </c>
      <c r="AC1200" s="668">
        <f t="shared" si="406"/>
        <v>0</v>
      </c>
      <c r="AD1200" s="668">
        <f t="shared" si="417"/>
        <v>0</v>
      </c>
      <c r="AE1200" s="668">
        <f t="shared" si="418"/>
        <v>0</v>
      </c>
      <c r="AF1200" s="668">
        <f t="shared" si="419"/>
        <v>0</v>
      </c>
      <c r="AG1200" s="668">
        <f t="shared" si="420"/>
        <v>0</v>
      </c>
      <c r="AH1200" s="668"/>
      <c r="AI1200" s="668"/>
      <c r="AJ1200" s="668"/>
      <c r="AK1200" s="668"/>
      <c r="AL1200" s="668"/>
      <c r="AM1200" s="668">
        <f t="shared" si="408"/>
        <v>0</v>
      </c>
      <c r="AN1200" s="668">
        <f t="shared" si="404"/>
        <v>0</v>
      </c>
      <c r="AO1200" s="668">
        <f t="shared" si="405"/>
        <v>0</v>
      </c>
      <c r="AP1200" s="668">
        <f t="shared" si="409"/>
        <v>0</v>
      </c>
      <c r="AQ1200" s="668">
        <f t="shared" si="402"/>
        <v>0</v>
      </c>
      <c r="AR1200" s="668">
        <f t="shared" si="403"/>
        <v>0</v>
      </c>
      <c r="AS1200" s="668"/>
      <c r="AT1200" s="668"/>
      <c r="AU1200" s="668"/>
      <c r="AV1200" s="668"/>
      <c r="AW1200" s="668"/>
      <c r="AX1200" s="668"/>
      <c r="AY1200" s="668"/>
      <c r="AZ1200" s="668"/>
      <c r="BA1200" s="668"/>
      <c r="BB1200" s="668">
        <f t="shared" si="407"/>
        <v>0</v>
      </c>
      <c r="BC1200" s="668"/>
      <c r="BD1200" s="668"/>
      <c r="BE1200" s="668"/>
      <c r="BF1200" s="668"/>
      <c r="BG1200" s="668"/>
      <c r="BH1200" s="668"/>
      <c r="BI1200" s="668"/>
    </row>
    <row r="1201" spans="1:61" x14ac:dyDescent="0.2">
      <c r="A1201" s="1021"/>
      <c r="B1201" s="1019" t="s">
        <v>876</v>
      </c>
      <c r="C1201" s="1021"/>
      <c r="D1201" s="667"/>
      <c r="E1201" s="667"/>
      <c r="F1201" s="667"/>
      <c r="G1201" s="667"/>
      <c r="H1201" s="667"/>
      <c r="I1201" s="667"/>
      <c r="J1201" s="667"/>
      <c r="K1201" s="667"/>
      <c r="L1201" s="667"/>
      <c r="M1201" s="667"/>
      <c r="N1201" s="667"/>
      <c r="O1201" s="667"/>
      <c r="P1201" s="667"/>
      <c r="Q1201" s="667"/>
      <c r="R1201" s="667"/>
      <c r="S1201" s="667"/>
      <c r="T1201" s="667"/>
      <c r="U1201" s="1021"/>
      <c r="V1201" s="668">
        <f t="shared" si="410"/>
        <v>0</v>
      </c>
      <c r="W1201" s="668">
        <f t="shared" si="411"/>
        <v>0</v>
      </c>
      <c r="X1201" s="668">
        <f t="shared" si="412"/>
        <v>0</v>
      </c>
      <c r="Y1201" s="668">
        <f t="shared" si="413"/>
        <v>0</v>
      </c>
      <c r="Z1201" s="668">
        <f t="shared" si="414"/>
        <v>0</v>
      </c>
      <c r="AA1201" s="668">
        <f t="shared" si="415"/>
        <v>0</v>
      </c>
      <c r="AB1201" s="668">
        <f t="shared" si="416"/>
        <v>0</v>
      </c>
      <c r="AC1201" s="668">
        <f t="shared" si="406"/>
        <v>0</v>
      </c>
      <c r="AD1201" s="668">
        <f t="shared" si="417"/>
        <v>0</v>
      </c>
      <c r="AE1201" s="668">
        <f t="shared" si="418"/>
        <v>0</v>
      </c>
      <c r="AF1201" s="668">
        <f t="shared" si="419"/>
        <v>0</v>
      </c>
      <c r="AG1201" s="668">
        <f t="shared" si="420"/>
        <v>0</v>
      </c>
      <c r="AH1201" s="668"/>
      <c r="AI1201" s="668"/>
      <c r="AJ1201" s="668"/>
      <c r="AK1201" s="668"/>
      <c r="AL1201" s="668"/>
      <c r="AM1201" s="668">
        <f t="shared" si="408"/>
        <v>0</v>
      </c>
      <c r="AN1201" s="668">
        <f t="shared" si="404"/>
        <v>0</v>
      </c>
      <c r="AO1201" s="668">
        <f t="shared" si="405"/>
        <v>0</v>
      </c>
      <c r="AP1201" s="668">
        <f t="shared" si="409"/>
        <v>0</v>
      </c>
      <c r="AQ1201" s="668">
        <f t="shared" si="402"/>
        <v>0</v>
      </c>
      <c r="AR1201" s="668">
        <f t="shared" si="403"/>
        <v>0</v>
      </c>
      <c r="AS1201" s="668">
        <v>5</v>
      </c>
      <c r="AT1201" s="668">
        <v>3</v>
      </c>
      <c r="AU1201" s="668"/>
      <c r="AV1201" s="668"/>
      <c r="AW1201" s="668">
        <f>+'Misc Take Off'!C92</f>
        <v>3908.1000000000004</v>
      </c>
      <c r="AX1201" s="668"/>
      <c r="AY1201" s="668"/>
      <c r="AZ1201" s="668"/>
      <c r="BA1201" s="668"/>
      <c r="BB1201" s="668">
        <f t="shared" si="407"/>
        <v>0</v>
      </c>
      <c r="BC1201" s="668"/>
      <c r="BD1201" s="668"/>
      <c r="BE1201" s="668"/>
      <c r="BF1201" s="668"/>
      <c r="BG1201" s="668"/>
      <c r="BH1201" s="668"/>
      <c r="BI1201" s="668"/>
    </row>
    <row r="1202" spans="1:61" x14ac:dyDescent="0.2">
      <c r="A1202" s="1021">
        <v>2183</v>
      </c>
      <c r="B1202" s="1021" t="s">
        <v>845</v>
      </c>
      <c r="C1202" s="1021"/>
      <c r="D1202" s="667"/>
      <c r="E1202" s="667"/>
      <c r="F1202" s="667"/>
      <c r="G1202" s="667"/>
      <c r="H1202" s="667"/>
      <c r="I1202" s="667"/>
      <c r="J1202" s="667"/>
      <c r="K1202" s="667"/>
      <c r="L1202" s="667"/>
      <c r="M1202" s="667"/>
      <c r="N1202" s="667"/>
      <c r="O1202" s="667"/>
      <c r="P1202" s="667"/>
      <c r="Q1202" s="667"/>
      <c r="R1202" s="667"/>
      <c r="S1202" s="667"/>
      <c r="T1202" s="667"/>
      <c r="U1202" s="1021"/>
      <c r="V1202" s="668">
        <f t="shared" si="410"/>
        <v>0</v>
      </c>
      <c r="W1202" s="668">
        <f t="shared" si="411"/>
        <v>0</v>
      </c>
      <c r="X1202" s="668">
        <f t="shared" si="412"/>
        <v>0</v>
      </c>
      <c r="Y1202" s="668">
        <f t="shared" si="413"/>
        <v>0</v>
      </c>
      <c r="Z1202" s="668">
        <f t="shared" si="414"/>
        <v>0</v>
      </c>
      <c r="AA1202" s="668">
        <f t="shared" si="415"/>
        <v>0</v>
      </c>
      <c r="AB1202" s="668">
        <f t="shared" si="416"/>
        <v>0</v>
      </c>
      <c r="AC1202" s="668">
        <f t="shared" si="406"/>
        <v>0</v>
      </c>
      <c r="AD1202" s="668">
        <f t="shared" si="417"/>
        <v>0</v>
      </c>
      <c r="AE1202" s="668">
        <f t="shared" si="418"/>
        <v>0</v>
      </c>
      <c r="AF1202" s="668">
        <f t="shared" si="419"/>
        <v>0</v>
      </c>
      <c r="AG1202" s="668">
        <f t="shared" si="420"/>
        <v>0</v>
      </c>
      <c r="AH1202" s="668"/>
      <c r="AI1202" s="668"/>
      <c r="AJ1202" s="668"/>
      <c r="AK1202" s="668"/>
      <c r="AL1202" s="668"/>
      <c r="AM1202" s="668">
        <f t="shared" si="408"/>
        <v>0</v>
      </c>
      <c r="AN1202" s="668">
        <f t="shared" si="404"/>
        <v>0</v>
      </c>
      <c r="AO1202" s="668">
        <f t="shared" si="405"/>
        <v>0</v>
      </c>
      <c r="AP1202" s="668">
        <f t="shared" si="409"/>
        <v>0</v>
      </c>
      <c r="AQ1202" s="668">
        <f t="shared" si="402"/>
        <v>0</v>
      </c>
      <c r="AR1202" s="668">
        <f t="shared" si="403"/>
        <v>0</v>
      </c>
      <c r="AS1202" s="668"/>
      <c r="AT1202" s="668"/>
      <c r="AU1202" s="668"/>
      <c r="AV1202" s="668"/>
      <c r="AW1202" s="668"/>
      <c r="AX1202" s="668"/>
      <c r="AY1202" s="668"/>
      <c r="AZ1202" s="668"/>
      <c r="BA1202" s="668"/>
      <c r="BB1202" s="668">
        <f t="shared" si="407"/>
        <v>0</v>
      </c>
      <c r="BC1202" s="668"/>
      <c r="BD1202" s="668"/>
      <c r="BE1202" s="668"/>
      <c r="BF1202" s="668"/>
      <c r="BG1202" s="668"/>
      <c r="BH1202" s="668"/>
      <c r="BI1202" s="668"/>
    </row>
    <row r="1203" spans="1:61" x14ac:dyDescent="0.2">
      <c r="A1203" s="1021">
        <v>7000</v>
      </c>
      <c r="B1203" s="1021" t="s">
        <v>465</v>
      </c>
      <c r="C1203" s="1021" t="s">
        <v>984</v>
      </c>
      <c r="D1203" s="667">
        <v>120</v>
      </c>
      <c r="E1203" s="667"/>
      <c r="F1203" s="667"/>
      <c r="G1203" s="667"/>
      <c r="H1203" s="667"/>
      <c r="I1203" s="667">
        <f>+D1203</f>
        <v>120</v>
      </c>
      <c r="J1203" s="667"/>
      <c r="K1203" s="667"/>
      <c r="L1203" s="667"/>
      <c r="M1203" s="667"/>
      <c r="N1203" s="667"/>
      <c r="O1203" s="667"/>
      <c r="P1203" s="667"/>
      <c r="Q1203" s="667"/>
      <c r="R1203" s="667"/>
      <c r="S1203" s="667"/>
      <c r="T1203" s="667"/>
      <c r="U1203" s="1021">
        <v>12</v>
      </c>
      <c r="V1203" s="668">
        <f t="shared" si="410"/>
        <v>1440</v>
      </c>
      <c r="W1203" s="668">
        <f t="shared" si="411"/>
        <v>0</v>
      </c>
      <c r="X1203" s="668">
        <f t="shared" si="412"/>
        <v>0</v>
      </c>
      <c r="Y1203" s="668">
        <f t="shared" si="413"/>
        <v>0</v>
      </c>
      <c r="Z1203" s="668">
        <f t="shared" si="414"/>
        <v>1440</v>
      </c>
      <c r="AA1203" s="668">
        <f t="shared" si="415"/>
        <v>0</v>
      </c>
      <c r="AB1203" s="668">
        <f t="shared" si="416"/>
        <v>0</v>
      </c>
      <c r="AC1203" s="668">
        <f t="shared" si="406"/>
        <v>0</v>
      </c>
      <c r="AD1203" s="668">
        <f t="shared" si="417"/>
        <v>0</v>
      </c>
      <c r="AE1203" s="668">
        <f t="shared" si="418"/>
        <v>0</v>
      </c>
      <c r="AF1203" s="668">
        <f t="shared" si="419"/>
        <v>0</v>
      </c>
      <c r="AG1203" s="668">
        <f t="shared" si="420"/>
        <v>0</v>
      </c>
      <c r="AH1203" s="668"/>
      <c r="AI1203" s="668"/>
      <c r="AJ1203" s="668"/>
      <c r="AK1203" s="668"/>
      <c r="AL1203" s="668"/>
      <c r="AM1203" s="668">
        <f t="shared" si="408"/>
        <v>120</v>
      </c>
      <c r="AN1203" s="668">
        <f t="shared" si="404"/>
        <v>0</v>
      </c>
      <c r="AO1203" s="668">
        <f t="shared" si="405"/>
        <v>0</v>
      </c>
      <c r="AP1203" s="668">
        <f t="shared" si="409"/>
        <v>0</v>
      </c>
      <c r="AQ1203" s="668">
        <f t="shared" si="402"/>
        <v>0</v>
      </c>
      <c r="AR1203" s="668">
        <f t="shared" si="403"/>
        <v>0</v>
      </c>
      <c r="AS1203" s="668"/>
      <c r="AT1203" s="668"/>
      <c r="AU1203" s="668"/>
      <c r="AV1203" s="668"/>
      <c r="AW1203" s="668"/>
      <c r="AX1203" s="668"/>
      <c r="AY1203" s="668"/>
      <c r="AZ1203" s="668"/>
      <c r="BA1203" s="668"/>
      <c r="BB1203" s="668">
        <f t="shared" si="407"/>
        <v>0</v>
      </c>
      <c r="BC1203" s="668"/>
      <c r="BD1203" s="668"/>
      <c r="BE1203" s="668"/>
      <c r="BF1203" s="668"/>
      <c r="BG1203" s="668"/>
      <c r="BH1203" s="668"/>
      <c r="BI1203" s="668"/>
    </row>
    <row r="1204" spans="1:61" x14ac:dyDescent="0.2">
      <c r="A1204" s="1021">
        <v>7001</v>
      </c>
      <c r="B1204" s="1021" t="s">
        <v>465</v>
      </c>
      <c r="C1204" s="1021" t="s">
        <v>984</v>
      </c>
      <c r="D1204" s="667">
        <v>20</v>
      </c>
      <c r="E1204" s="667">
        <v>43</v>
      </c>
      <c r="F1204" s="667"/>
      <c r="G1204" s="667"/>
      <c r="H1204" s="667"/>
      <c r="I1204" s="667">
        <f>+E1204+D1204</f>
        <v>63</v>
      </c>
      <c r="J1204" s="667"/>
      <c r="K1204" s="667"/>
      <c r="L1204" s="667"/>
      <c r="M1204" s="667"/>
      <c r="N1204" s="667"/>
      <c r="O1204" s="667"/>
      <c r="P1204" s="667"/>
      <c r="Q1204" s="667"/>
      <c r="R1204" s="667"/>
      <c r="S1204" s="667"/>
      <c r="T1204" s="667"/>
      <c r="U1204" s="1021">
        <v>12</v>
      </c>
      <c r="V1204" s="668">
        <f t="shared" si="410"/>
        <v>240</v>
      </c>
      <c r="W1204" s="668">
        <f t="shared" si="411"/>
        <v>0</v>
      </c>
      <c r="X1204" s="668">
        <f t="shared" si="412"/>
        <v>0</v>
      </c>
      <c r="Y1204" s="668">
        <f t="shared" si="413"/>
        <v>0</v>
      </c>
      <c r="Z1204" s="668">
        <f t="shared" si="414"/>
        <v>240</v>
      </c>
      <c r="AA1204" s="668">
        <f t="shared" si="415"/>
        <v>0</v>
      </c>
      <c r="AB1204" s="668">
        <f t="shared" si="416"/>
        <v>0</v>
      </c>
      <c r="AC1204" s="668">
        <f t="shared" si="406"/>
        <v>0</v>
      </c>
      <c r="AD1204" s="668">
        <f t="shared" si="417"/>
        <v>0</v>
      </c>
      <c r="AE1204" s="668">
        <f t="shared" si="418"/>
        <v>0</v>
      </c>
      <c r="AF1204" s="668">
        <f t="shared" si="419"/>
        <v>0</v>
      </c>
      <c r="AG1204" s="668">
        <f t="shared" si="420"/>
        <v>0</v>
      </c>
      <c r="AH1204" s="668"/>
      <c r="AI1204" s="668"/>
      <c r="AJ1204" s="668"/>
      <c r="AK1204" s="668"/>
      <c r="AL1204" s="668"/>
      <c r="AM1204" s="668">
        <f t="shared" si="408"/>
        <v>63</v>
      </c>
      <c r="AN1204" s="668">
        <f t="shared" si="404"/>
        <v>516</v>
      </c>
      <c r="AO1204" s="668">
        <f t="shared" si="405"/>
        <v>0</v>
      </c>
      <c r="AP1204" s="668">
        <f t="shared" si="409"/>
        <v>0</v>
      </c>
      <c r="AQ1204" s="668">
        <f t="shared" si="402"/>
        <v>0</v>
      </c>
      <c r="AR1204" s="668">
        <f t="shared" si="403"/>
        <v>0</v>
      </c>
      <c r="AS1204" s="668"/>
      <c r="AT1204" s="668"/>
      <c r="AU1204" s="668"/>
      <c r="AV1204" s="668"/>
      <c r="AW1204" s="668"/>
      <c r="AX1204" s="668"/>
      <c r="AY1204" s="668"/>
      <c r="AZ1204" s="668"/>
      <c r="BA1204" s="668"/>
      <c r="BB1204" s="668">
        <f t="shared" si="407"/>
        <v>0</v>
      </c>
      <c r="BC1204" s="668"/>
      <c r="BD1204" s="668"/>
      <c r="BE1204" s="668"/>
      <c r="BF1204" s="668"/>
      <c r="BG1204" s="668"/>
      <c r="BH1204" s="668"/>
      <c r="BI1204" s="668"/>
    </row>
    <row r="1205" spans="1:61" x14ac:dyDescent="0.2">
      <c r="A1205" s="1012" t="s">
        <v>877</v>
      </c>
      <c r="B1205" s="1012" t="s">
        <v>533</v>
      </c>
      <c r="C1205" s="1012"/>
      <c r="D1205" s="667"/>
      <c r="E1205" s="667"/>
      <c r="F1205" s="667"/>
      <c r="G1205" s="667"/>
      <c r="H1205" s="667"/>
      <c r="I1205" s="667"/>
      <c r="J1205" s="667"/>
      <c r="K1205" s="667"/>
      <c r="L1205" s="667"/>
      <c r="M1205" s="667"/>
      <c r="N1205" s="667"/>
      <c r="O1205" s="667"/>
      <c r="P1205" s="667"/>
      <c r="Q1205" s="667"/>
      <c r="R1205" s="667"/>
      <c r="S1205" s="667"/>
      <c r="T1205" s="667"/>
      <c r="U1205" s="1012"/>
      <c r="V1205" s="668">
        <f t="shared" si="410"/>
        <v>0</v>
      </c>
      <c r="W1205" s="668">
        <f t="shared" si="411"/>
        <v>0</v>
      </c>
      <c r="X1205" s="668">
        <f t="shared" si="412"/>
        <v>0</v>
      </c>
      <c r="Y1205" s="668">
        <f t="shared" si="413"/>
        <v>0</v>
      </c>
      <c r="Z1205" s="668">
        <f t="shared" si="414"/>
        <v>0</v>
      </c>
      <c r="AA1205" s="668">
        <f t="shared" si="415"/>
        <v>0</v>
      </c>
      <c r="AB1205" s="668">
        <f t="shared" si="416"/>
        <v>0</v>
      </c>
      <c r="AC1205" s="668">
        <f t="shared" si="406"/>
        <v>0</v>
      </c>
      <c r="AD1205" s="668">
        <f t="shared" si="417"/>
        <v>0</v>
      </c>
      <c r="AE1205" s="668">
        <f t="shared" si="418"/>
        <v>0</v>
      </c>
      <c r="AF1205" s="668">
        <f t="shared" si="419"/>
        <v>0</v>
      </c>
      <c r="AG1205" s="668">
        <f t="shared" si="420"/>
        <v>0</v>
      </c>
      <c r="AH1205" s="668"/>
      <c r="AI1205" s="668"/>
      <c r="AJ1205" s="668"/>
      <c r="AK1205" s="668"/>
      <c r="AL1205" s="668"/>
      <c r="AM1205" s="668">
        <f t="shared" si="408"/>
        <v>0</v>
      </c>
      <c r="AN1205" s="668">
        <f t="shared" si="404"/>
        <v>0</v>
      </c>
      <c r="AO1205" s="668">
        <f t="shared" si="405"/>
        <v>0</v>
      </c>
      <c r="AP1205" s="668">
        <f t="shared" si="409"/>
        <v>0</v>
      </c>
      <c r="AQ1205" s="668">
        <f t="shared" si="402"/>
        <v>0</v>
      </c>
      <c r="AR1205" s="668">
        <f t="shared" si="403"/>
        <v>0</v>
      </c>
      <c r="AS1205" s="668"/>
      <c r="AT1205" s="668"/>
      <c r="AU1205" s="668"/>
      <c r="AV1205" s="668"/>
      <c r="AW1205" s="668"/>
      <c r="AX1205" s="668"/>
      <c r="AY1205" s="668"/>
      <c r="AZ1205" s="668"/>
      <c r="BA1205" s="668"/>
      <c r="BB1205" s="668">
        <f t="shared" si="407"/>
        <v>0</v>
      </c>
      <c r="BC1205" s="668"/>
      <c r="BD1205" s="668"/>
      <c r="BE1205" s="668"/>
      <c r="BF1205" s="668"/>
      <c r="BG1205" s="668"/>
      <c r="BH1205" s="668"/>
      <c r="BI1205" s="668"/>
    </row>
    <row r="1206" spans="1:61" x14ac:dyDescent="0.2">
      <c r="A1206" s="1012" t="s">
        <v>878</v>
      </c>
      <c r="B1206" s="1012" t="s">
        <v>543</v>
      </c>
      <c r="C1206" s="1012"/>
      <c r="D1206" s="667"/>
      <c r="E1206" s="667"/>
      <c r="F1206" s="667"/>
      <c r="G1206" s="667"/>
      <c r="H1206" s="667"/>
      <c r="I1206" s="667"/>
      <c r="J1206" s="667"/>
      <c r="K1206" s="667"/>
      <c r="L1206" s="667"/>
      <c r="M1206" s="667"/>
      <c r="N1206" s="667"/>
      <c r="O1206" s="667"/>
      <c r="P1206" s="667"/>
      <c r="Q1206" s="667"/>
      <c r="R1206" s="667"/>
      <c r="S1206" s="667"/>
      <c r="T1206" s="667"/>
      <c r="U1206" s="1012"/>
      <c r="V1206" s="668">
        <f t="shared" si="410"/>
        <v>0</v>
      </c>
      <c r="W1206" s="668">
        <f t="shared" si="411"/>
        <v>0</v>
      </c>
      <c r="X1206" s="668">
        <f t="shared" si="412"/>
        <v>0</v>
      </c>
      <c r="Y1206" s="668">
        <f t="shared" si="413"/>
        <v>0</v>
      </c>
      <c r="Z1206" s="668">
        <f t="shared" si="414"/>
        <v>0</v>
      </c>
      <c r="AA1206" s="668">
        <f t="shared" si="415"/>
        <v>0</v>
      </c>
      <c r="AB1206" s="668">
        <f t="shared" si="416"/>
        <v>0</v>
      </c>
      <c r="AC1206" s="668">
        <f t="shared" si="406"/>
        <v>0</v>
      </c>
      <c r="AD1206" s="668">
        <f t="shared" si="417"/>
        <v>0</v>
      </c>
      <c r="AE1206" s="668">
        <f t="shared" si="418"/>
        <v>0</v>
      </c>
      <c r="AF1206" s="668">
        <f t="shared" si="419"/>
        <v>0</v>
      </c>
      <c r="AG1206" s="668">
        <f t="shared" si="420"/>
        <v>0</v>
      </c>
      <c r="AH1206" s="668"/>
      <c r="AI1206" s="668"/>
      <c r="AJ1206" s="668"/>
      <c r="AK1206" s="668"/>
      <c r="AL1206" s="668"/>
      <c r="AM1206" s="668">
        <f t="shared" si="408"/>
        <v>0</v>
      </c>
      <c r="AN1206" s="668">
        <f t="shared" si="404"/>
        <v>0</v>
      </c>
      <c r="AO1206" s="668">
        <f t="shared" si="405"/>
        <v>0</v>
      </c>
      <c r="AP1206" s="668">
        <f t="shared" si="409"/>
        <v>0</v>
      </c>
      <c r="AQ1206" s="668">
        <f t="shared" si="402"/>
        <v>0</v>
      </c>
      <c r="AR1206" s="668">
        <f t="shared" si="403"/>
        <v>0</v>
      </c>
      <c r="AS1206" s="668"/>
      <c r="AT1206" s="668"/>
      <c r="AU1206" s="668"/>
      <c r="AV1206" s="668"/>
      <c r="AW1206" s="668"/>
      <c r="AX1206" s="668"/>
      <c r="AY1206" s="668"/>
      <c r="AZ1206" s="668"/>
      <c r="BA1206" s="668"/>
      <c r="BB1206" s="668">
        <f t="shared" si="407"/>
        <v>0</v>
      </c>
      <c r="BC1206" s="668"/>
      <c r="BD1206" s="668"/>
      <c r="BE1206" s="668"/>
      <c r="BF1206" s="668"/>
      <c r="BG1206" s="668"/>
      <c r="BH1206" s="668"/>
      <c r="BI1206" s="668"/>
    </row>
    <row r="1207" spans="1:61" x14ac:dyDescent="0.2">
      <c r="A1207" s="1012">
        <v>7004</v>
      </c>
      <c r="B1207" s="1012" t="s">
        <v>466</v>
      </c>
      <c r="C1207" s="1012"/>
      <c r="D1207" s="667">
        <v>60</v>
      </c>
      <c r="E1207" s="667"/>
      <c r="F1207" s="667"/>
      <c r="G1207" s="667"/>
      <c r="H1207" s="667"/>
      <c r="I1207" s="667"/>
      <c r="J1207" s="667"/>
      <c r="K1207" s="667"/>
      <c r="L1207" s="667"/>
      <c r="M1207" s="667"/>
      <c r="N1207" s="667"/>
      <c r="O1207" s="667"/>
      <c r="P1207" s="667"/>
      <c r="Q1207" s="667"/>
      <c r="R1207" s="667"/>
      <c r="S1207" s="667"/>
      <c r="T1207" s="667"/>
      <c r="U1207" s="1012">
        <v>3</v>
      </c>
      <c r="V1207" s="668">
        <f t="shared" si="410"/>
        <v>180</v>
      </c>
      <c r="W1207" s="668">
        <f t="shared" si="411"/>
        <v>0</v>
      </c>
      <c r="X1207" s="668">
        <f t="shared" si="412"/>
        <v>0</v>
      </c>
      <c r="Y1207" s="668">
        <f t="shared" si="413"/>
        <v>0</v>
      </c>
      <c r="Z1207" s="668">
        <f t="shared" si="414"/>
        <v>0</v>
      </c>
      <c r="AA1207" s="668">
        <f t="shared" si="415"/>
        <v>0</v>
      </c>
      <c r="AB1207" s="668">
        <f t="shared" si="416"/>
        <v>0</v>
      </c>
      <c r="AC1207" s="668">
        <f t="shared" si="406"/>
        <v>0</v>
      </c>
      <c r="AD1207" s="668">
        <f t="shared" si="417"/>
        <v>0</v>
      </c>
      <c r="AE1207" s="668">
        <f t="shared" si="418"/>
        <v>0</v>
      </c>
      <c r="AF1207" s="668">
        <f t="shared" si="419"/>
        <v>0</v>
      </c>
      <c r="AG1207" s="668">
        <f t="shared" si="420"/>
        <v>0</v>
      </c>
      <c r="AH1207" s="668"/>
      <c r="AI1207" s="668"/>
      <c r="AJ1207" s="668"/>
      <c r="AK1207" s="668"/>
      <c r="AL1207" s="668"/>
      <c r="AM1207" s="668">
        <f t="shared" si="408"/>
        <v>0</v>
      </c>
      <c r="AN1207" s="668">
        <f t="shared" si="404"/>
        <v>0</v>
      </c>
      <c r="AO1207" s="668">
        <f t="shared" si="405"/>
        <v>0</v>
      </c>
      <c r="AP1207" s="668">
        <f t="shared" si="409"/>
        <v>0</v>
      </c>
      <c r="AQ1207" s="668">
        <f t="shared" si="402"/>
        <v>0</v>
      </c>
      <c r="AR1207" s="668">
        <f t="shared" si="403"/>
        <v>0</v>
      </c>
      <c r="AS1207" s="668"/>
      <c r="AT1207" s="668"/>
      <c r="AU1207" s="668"/>
      <c r="AV1207" s="668"/>
      <c r="AW1207" s="668"/>
      <c r="AX1207" s="668"/>
      <c r="AY1207" s="668"/>
      <c r="AZ1207" s="668"/>
      <c r="BA1207" s="668"/>
      <c r="BB1207" s="668">
        <f t="shared" si="407"/>
        <v>0</v>
      </c>
      <c r="BC1207" s="668"/>
      <c r="BD1207" s="668"/>
      <c r="BE1207" s="668"/>
      <c r="BF1207" s="668"/>
      <c r="BG1207" s="668"/>
      <c r="BH1207" s="668"/>
      <c r="BI1207" s="668"/>
    </row>
    <row r="1208" spans="1:61" x14ac:dyDescent="0.2">
      <c r="A1208" s="1012">
        <v>7005</v>
      </c>
      <c r="B1208" s="1012" t="s">
        <v>467</v>
      </c>
      <c r="C1208" s="1012"/>
      <c r="D1208" s="667">
        <v>60</v>
      </c>
      <c r="E1208" s="667"/>
      <c r="F1208" s="667"/>
      <c r="G1208" s="667"/>
      <c r="H1208" s="667"/>
      <c r="I1208" s="667"/>
      <c r="J1208" s="667"/>
      <c r="K1208" s="667"/>
      <c r="L1208" s="667"/>
      <c r="M1208" s="667"/>
      <c r="N1208" s="667"/>
      <c r="O1208" s="667"/>
      <c r="P1208" s="667"/>
      <c r="Q1208" s="667"/>
      <c r="R1208" s="667"/>
      <c r="S1208" s="667"/>
      <c r="T1208" s="667"/>
      <c r="U1208" s="1012">
        <v>3</v>
      </c>
      <c r="V1208" s="668">
        <f t="shared" si="410"/>
        <v>180</v>
      </c>
      <c r="W1208" s="668">
        <f t="shared" si="411"/>
        <v>0</v>
      </c>
      <c r="X1208" s="668">
        <f t="shared" si="412"/>
        <v>0</v>
      </c>
      <c r="Y1208" s="668">
        <f t="shared" si="413"/>
        <v>0</v>
      </c>
      <c r="Z1208" s="668">
        <f t="shared" si="414"/>
        <v>0</v>
      </c>
      <c r="AA1208" s="668">
        <f t="shared" si="415"/>
        <v>0</v>
      </c>
      <c r="AB1208" s="668">
        <f t="shared" si="416"/>
        <v>0</v>
      </c>
      <c r="AC1208" s="668">
        <f t="shared" si="406"/>
        <v>0</v>
      </c>
      <c r="AD1208" s="668">
        <f t="shared" si="417"/>
        <v>0</v>
      </c>
      <c r="AE1208" s="668">
        <f t="shared" si="418"/>
        <v>0</v>
      </c>
      <c r="AF1208" s="668">
        <f t="shared" si="419"/>
        <v>0</v>
      </c>
      <c r="AG1208" s="668">
        <f t="shared" si="420"/>
        <v>0</v>
      </c>
      <c r="AH1208" s="668"/>
      <c r="AI1208" s="668"/>
      <c r="AJ1208" s="668"/>
      <c r="AK1208" s="668"/>
      <c r="AL1208" s="668"/>
      <c r="AM1208" s="668">
        <f t="shared" si="408"/>
        <v>0</v>
      </c>
      <c r="AN1208" s="668">
        <f t="shared" si="404"/>
        <v>0</v>
      </c>
      <c r="AO1208" s="668">
        <f t="shared" si="405"/>
        <v>0</v>
      </c>
      <c r="AP1208" s="668">
        <f t="shared" si="409"/>
        <v>0</v>
      </c>
      <c r="AQ1208" s="668">
        <f t="shared" si="402"/>
        <v>0</v>
      </c>
      <c r="AR1208" s="668">
        <f t="shared" si="403"/>
        <v>0</v>
      </c>
      <c r="AS1208" s="668"/>
      <c r="AT1208" s="668"/>
      <c r="AU1208" s="668"/>
      <c r="AV1208" s="668"/>
      <c r="AW1208" s="668"/>
      <c r="AX1208" s="668"/>
      <c r="AY1208" s="668"/>
      <c r="AZ1208" s="668"/>
      <c r="BA1208" s="668"/>
      <c r="BB1208" s="668">
        <f t="shared" si="407"/>
        <v>0</v>
      </c>
      <c r="BC1208" s="668"/>
      <c r="BD1208" s="668"/>
      <c r="BE1208" s="668"/>
      <c r="BF1208" s="668"/>
      <c r="BG1208" s="668"/>
      <c r="BH1208" s="668"/>
      <c r="BI1208" s="668"/>
    </row>
    <row r="1209" spans="1:61" x14ac:dyDescent="0.2">
      <c r="A1209" s="1021">
        <v>7006</v>
      </c>
      <c r="B1209" s="1012" t="s">
        <v>886</v>
      </c>
      <c r="C1209" s="1012"/>
      <c r="D1209" s="667">
        <v>18</v>
      </c>
      <c r="E1209" s="667"/>
      <c r="F1209" s="667"/>
      <c r="G1209" s="667"/>
      <c r="H1209" s="667"/>
      <c r="I1209" s="667"/>
      <c r="J1209" s="667"/>
      <c r="K1209" s="667"/>
      <c r="L1209" s="667"/>
      <c r="M1209" s="667"/>
      <c r="N1209" s="667"/>
      <c r="O1209" s="667"/>
      <c r="P1209" s="667"/>
      <c r="Q1209" s="667"/>
      <c r="R1209" s="667"/>
      <c r="S1209" s="667"/>
      <c r="T1209" s="667"/>
      <c r="U1209" s="1012">
        <v>11</v>
      </c>
      <c r="V1209" s="668">
        <f t="shared" si="410"/>
        <v>198</v>
      </c>
      <c r="W1209" s="668">
        <f t="shared" si="411"/>
        <v>0</v>
      </c>
      <c r="X1209" s="668">
        <f t="shared" si="412"/>
        <v>0</v>
      </c>
      <c r="Y1209" s="668">
        <f t="shared" si="413"/>
        <v>0</v>
      </c>
      <c r="Z1209" s="668">
        <f t="shared" si="414"/>
        <v>0</v>
      </c>
      <c r="AA1209" s="668">
        <f t="shared" si="415"/>
        <v>0</v>
      </c>
      <c r="AB1209" s="668">
        <f t="shared" si="416"/>
        <v>0</v>
      </c>
      <c r="AC1209" s="668">
        <f t="shared" si="406"/>
        <v>0</v>
      </c>
      <c r="AD1209" s="668">
        <f t="shared" si="417"/>
        <v>0</v>
      </c>
      <c r="AE1209" s="668">
        <f t="shared" si="418"/>
        <v>0</v>
      </c>
      <c r="AF1209" s="668">
        <f t="shared" si="419"/>
        <v>0</v>
      </c>
      <c r="AG1209" s="668">
        <f t="shared" si="420"/>
        <v>0</v>
      </c>
      <c r="AH1209" s="668"/>
      <c r="AI1209" s="668"/>
      <c r="AJ1209" s="668"/>
      <c r="AK1209" s="668"/>
      <c r="AL1209" s="668"/>
      <c r="AM1209" s="668">
        <f t="shared" si="408"/>
        <v>0</v>
      </c>
      <c r="AN1209" s="668">
        <f t="shared" si="404"/>
        <v>0</v>
      </c>
      <c r="AO1209" s="668">
        <f t="shared" si="405"/>
        <v>0</v>
      </c>
      <c r="AP1209" s="668">
        <f t="shared" si="409"/>
        <v>0</v>
      </c>
      <c r="AQ1209" s="668">
        <f t="shared" si="402"/>
        <v>0</v>
      </c>
      <c r="AR1209" s="668">
        <f t="shared" si="403"/>
        <v>0</v>
      </c>
      <c r="AS1209" s="668"/>
      <c r="AT1209" s="668"/>
      <c r="AU1209" s="668"/>
      <c r="AV1209" s="668"/>
      <c r="AW1209" s="668"/>
      <c r="AX1209" s="668"/>
      <c r="AY1209" s="668"/>
      <c r="AZ1209" s="668"/>
      <c r="BA1209" s="668"/>
      <c r="BB1209" s="668">
        <f t="shared" si="407"/>
        <v>0</v>
      </c>
      <c r="BC1209" s="668"/>
      <c r="BD1209" s="668"/>
      <c r="BE1209" s="668"/>
      <c r="BF1209" s="668"/>
      <c r="BG1209" s="668"/>
      <c r="BH1209" s="668"/>
      <c r="BI1209" s="668"/>
    </row>
    <row r="1210" spans="1:61" x14ac:dyDescent="0.2">
      <c r="A1210" s="1021">
        <v>7007</v>
      </c>
      <c r="B1210" s="1021" t="s">
        <v>887</v>
      </c>
      <c r="C1210" s="1021"/>
      <c r="D1210" s="667">
        <v>10</v>
      </c>
      <c r="E1210" s="667">
        <v>43</v>
      </c>
      <c r="F1210" s="667"/>
      <c r="G1210" s="667"/>
      <c r="H1210" s="667"/>
      <c r="I1210" s="667">
        <f>+D1210+E1210</f>
        <v>53</v>
      </c>
      <c r="J1210" s="667"/>
      <c r="K1210" s="667"/>
      <c r="L1210" s="667"/>
      <c r="M1210" s="667"/>
      <c r="N1210" s="667"/>
      <c r="O1210" s="667"/>
      <c r="P1210" s="667"/>
      <c r="Q1210" s="667"/>
      <c r="R1210" s="667"/>
      <c r="S1210" s="667"/>
      <c r="T1210" s="667"/>
      <c r="U1210" s="1021">
        <v>24</v>
      </c>
      <c r="V1210" s="668">
        <f t="shared" si="410"/>
        <v>240</v>
      </c>
      <c r="W1210" s="668">
        <f t="shared" si="411"/>
        <v>0</v>
      </c>
      <c r="X1210" s="668">
        <f t="shared" si="412"/>
        <v>0</v>
      </c>
      <c r="Y1210" s="668">
        <f t="shared" si="413"/>
        <v>0</v>
      </c>
      <c r="Z1210" s="668">
        <f t="shared" si="414"/>
        <v>0</v>
      </c>
      <c r="AA1210" s="668">
        <f t="shared" si="415"/>
        <v>0</v>
      </c>
      <c r="AB1210" s="668">
        <f t="shared" si="416"/>
        <v>0</v>
      </c>
      <c r="AC1210" s="668">
        <f t="shared" si="406"/>
        <v>0</v>
      </c>
      <c r="AD1210" s="668">
        <f t="shared" si="417"/>
        <v>0</v>
      </c>
      <c r="AE1210" s="668">
        <f t="shared" si="418"/>
        <v>0</v>
      </c>
      <c r="AF1210" s="668">
        <f t="shared" si="419"/>
        <v>0</v>
      </c>
      <c r="AG1210" s="668">
        <f t="shared" si="420"/>
        <v>0</v>
      </c>
      <c r="AH1210" s="668"/>
      <c r="AI1210" s="668"/>
      <c r="AJ1210" s="668"/>
      <c r="AK1210" s="668"/>
      <c r="AL1210" s="668"/>
      <c r="AM1210" s="668">
        <f t="shared" si="408"/>
        <v>53</v>
      </c>
      <c r="AN1210" s="668">
        <f t="shared" si="404"/>
        <v>1032</v>
      </c>
      <c r="AO1210" s="668">
        <f t="shared" si="405"/>
        <v>0</v>
      </c>
      <c r="AP1210" s="668">
        <f t="shared" si="409"/>
        <v>0</v>
      </c>
      <c r="AQ1210" s="668">
        <f t="shared" si="402"/>
        <v>0</v>
      </c>
      <c r="AR1210" s="668">
        <f t="shared" si="403"/>
        <v>0</v>
      </c>
      <c r="AS1210" s="668"/>
      <c r="AT1210" s="668"/>
      <c r="AU1210" s="668"/>
      <c r="AV1210" s="668"/>
      <c r="AW1210" s="668"/>
      <c r="AX1210" s="668"/>
      <c r="AY1210" s="668"/>
      <c r="AZ1210" s="668"/>
      <c r="BA1210" s="668"/>
      <c r="BB1210" s="668">
        <f t="shared" si="407"/>
        <v>0</v>
      </c>
      <c r="BC1210" s="668"/>
      <c r="BD1210" s="668"/>
      <c r="BE1210" s="668"/>
      <c r="BF1210" s="668"/>
      <c r="BG1210" s="668"/>
      <c r="BH1210" s="668"/>
      <c r="BI1210" s="668"/>
    </row>
    <row r="1211" spans="1:61" x14ac:dyDescent="0.2">
      <c r="A1211" s="1021">
        <v>7008</v>
      </c>
      <c r="B1211" s="1021" t="s">
        <v>888</v>
      </c>
      <c r="C1211" s="1021"/>
      <c r="D1211" s="667"/>
      <c r="E1211" s="667"/>
      <c r="F1211" s="667"/>
      <c r="G1211" s="667"/>
      <c r="H1211" s="667"/>
      <c r="I1211" s="667"/>
      <c r="J1211" s="667"/>
      <c r="K1211" s="667"/>
      <c r="L1211" s="667"/>
      <c r="M1211" s="667"/>
      <c r="N1211" s="667"/>
      <c r="O1211" s="667"/>
      <c r="P1211" s="667"/>
      <c r="Q1211" s="667"/>
      <c r="R1211" s="667"/>
      <c r="S1211" s="667"/>
      <c r="T1211" s="667"/>
      <c r="U1211" s="1021"/>
      <c r="V1211" s="668">
        <f t="shared" si="410"/>
        <v>0</v>
      </c>
      <c r="W1211" s="668">
        <f t="shared" si="411"/>
        <v>0</v>
      </c>
      <c r="X1211" s="668">
        <f t="shared" si="412"/>
        <v>0</v>
      </c>
      <c r="Y1211" s="668">
        <f t="shared" si="413"/>
        <v>0</v>
      </c>
      <c r="Z1211" s="668">
        <f t="shared" si="414"/>
        <v>0</v>
      </c>
      <c r="AA1211" s="668">
        <f t="shared" si="415"/>
        <v>0</v>
      </c>
      <c r="AB1211" s="668">
        <f t="shared" si="416"/>
        <v>0</v>
      </c>
      <c r="AC1211" s="668">
        <f t="shared" si="406"/>
        <v>0</v>
      </c>
      <c r="AD1211" s="668">
        <f t="shared" si="417"/>
        <v>0</v>
      </c>
      <c r="AE1211" s="668">
        <f t="shared" si="418"/>
        <v>0</v>
      </c>
      <c r="AF1211" s="668">
        <f t="shared" si="419"/>
        <v>0</v>
      </c>
      <c r="AG1211" s="668">
        <f t="shared" si="420"/>
        <v>0</v>
      </c>
      <c r="AH1211" s="668"/>
      <c r="AI1211" s="668"/>
      <c r="AJ1211" s="668"/>
      <c r="AK1211" s="668"/>
      <c r="AL1211" s="668"/>
      <c r="AM1211" s="668">
        <f t="shared" si="408"/>
        <v>0</v>
      </c>
      <c r="AN1211" s="668">
        <f t="shared" si="404"/>
        <v>0</v>
      </c>
      <c r="AO1211" s="668">
        <f t="shared" si="405"/>
        <v>0</v>
      </c>
      <c r="AP1211" s="668">
        <f t="shared" si="409"/>
        <v>0</v>
      </c>
      <c r="AQ1211" s="668">
        <f t="shared" si="402"/>
        <v>0</v>
      </c>
      <c r="AR1211" s="668">
        <f t="shared" si="403"/>
        <v>0</v>
      </c>
      <c r="AS1211" s="668"/>
      <c r="AT1211" s="668"/>
      <c r="AU1211" s="668"/>
      <c r="AV1211" s="668"/>
      <c r="AW1211" s="668"/>
      <c r="AX1211" s="668"/>
      <c r="AY1211" s="668"/>
      <c r="AZ1211" s="668"/>
      <c r="BA1211" s="668"/>
      <c r="BB1211" s="668">
        <f t="shared" si="407"/>
        <v>0</v>
      </c>
      <c r="BC1211" s="668"/>
      <c r="BD1211" s="668"/>
      <c r="BE1211" s="668"/>
      <c r="BF1211" s="668"/>
      <c r="BG1211" s="668"/>
      <c r="BH1211" s="668"/>
      <c r="BI1211" s="668"/>
    </row>
    <row r="1212" spans="1:61" x14ac:dyDescent="0.2">
      <c r="A1212" s="1021">
        <v>7009</v>
      </c>
      <c r="B1212" s="1021" t="s">
        <v>476</v>
      </c>
      <c r="C1212" s="1021"/>
      <c r="D1212" s="667">
        <v>37</v>
      </c>
      <c r="E1212" s="667"/>
      <c r="F1212" s="667"/>
      <c r="G1212" s="667"/>
      <c r="H1212" s="667"/>
      <c r="I1212" s="667"/>
      <c r="J1212" s="667"/>
      <c r="K1212" s="667"/>
      <c r="L1212" s="667">
        <v>2</v>
      </c>
      <c r="M1212" s="667"/>
      <c r="N1212" s="667"/>
      <c r="O1212" s="667"/>
      <c r="P1212" s="667"/>
      <c r="Q1212" s="667">
        <v>80</v>
      </c>
      <c r="R1212" s="667"/>
      <c r="S1212" s="667"/>
      <c r="T1212" s="667"/>
      <c r="U1212" s="1021">
        <v>12</v>
      </c>
      <c r="V1212" s="668">
        <f t="shared" si="410"/>
        <v>444</v>
      </c>
      <c r="W1212" s="668">
        <f t="shared" si="411"/>
        <v>0</v>
      </c>
      <c r="X1212" s="668">
        <f t="shared" si="412"/>
        <v>0</v>
      </c>
      <c r="Y1212" s="668">
        <f t="shared" si="413"/>
        <v>0</v>
      </c>
      <c r="Z1212" s="668">
        <f t="shared" si="414"/>
        <v>0</v>
      </c>
      <c r="AA1212" s="668">
        <f t="shared" si="415"/>
        <v>0</v>
      </c>
      <c r="AB1212" s="668">
        <f t="shared" si="416"/>
        <v>0</v>
      </c>
      <c r="AC1212" s="668">
        <f t="shared" si="406"/>
        <v>0</v>
      </c>
      <c r="AD1212" s="668">
        <f t="shared" si="417"/>
        <v>80</v>
      </c>
      <c r="AE1212" s="668">
        <f t="shared" si="418"/>
        <v>0</v>
      </c>
      <c r="AF1212" s="668">
        <f t="shared" si="419"/>
        <v>24</v>
      </c>
      <c r="AG1212" s="668">
        <f t="shared" si="420"/>
        <v>0</v>
      </c>
      <c r="AH1212" s="668"/>
      <c r="AI1212" s="668"/>
      <c r="AJ1212" s="668"/>
      <c r="AK1212" s="668"/>
      <c r="AL1212" s="668"/>
      <c r="AM1212" s="668">
        <f t="shared" si="408"/>
        <v>0</v>
      </c>
      <c r="AN1212" s="668">
        <f t="shared" si="404"/>
        <v>0</v>
      </c>
      <c r="AO1212" s="668">
        <f t="shared" si="405"/>
        <v>0</v>
      </c>
      <c r="AP1212" s="668">
        <f t="shared" si="409"/>
        <v>0</v>
      </c>
      <c r="AQ1212" s="668">
        <f t="shared" si="402"/>
        <v>0</v>
      </c>
      <c r="AR1212" s="668">
        <f t="shared" si="403"/>
        <v>0</v>
      </c>
      <c r="AS1212" s="668"/>
      <c r="AT1212" s="668"/>
      <c r="AU1212" s="668"/>
      <c r="AV1212" s="668"/>
      <c r="AW1212" s="668"/>
      <c r="AX1212" s="668"/>
      <c r="AY1212" s="668"/>
      <c r="AZ1212" s="668"/>
      <c r="BA1212" s="668"/>
      <c r="BB1212" s="668">
        <f t="shared" si="407"/>
        <v>0</v>
      </c>
      <c r="BC1212" s="668"/>
      <c r="BD1212" s="668"/>
      <c r="BE1212" s="668"/>
      <c r="BF1212" s="668"/>
      <c r="BG1212" s="668"/>
      <c r="BH1212" s="668"/>
      <c r="BI1212" s="668"/>
    </row>
    <row r="1213" spans="1:61" x14ac:dyDescent="0.2">
      <c r="A1213" s="1021">
        <v>7010</v>
      </c>
      <c r="B1213" s="1021" t="s">
        <v>889</v>
      </c>
      <c r="C1213" s="1021"/>
      <c r="D1213" s="667">
        <v>141</v>
      </c>
      <c r="E1213" s="667"/>
      <c r="F1213" s="667"/>
      <c r="G1213" s="667"/>
      <c r="H1213" s="667"/>
      <c r="I1213" s="667"/>
      <c r="J1213" s="667"/>
      <c r="K1213" s="667"/>
      <c r="L1213" s="667"/>
      <c r="M1213" s="667"/>
      <c r="N1213" s="667"/>
      <c r="O1213" s="667"/>
      <c r="P1213" s="667"/>
      <c r="Q1213" s="667">
        <v>898</v>
      </c>
      <c r="R1213" s="667"/>
      <c r="S1213" s="667"/>
      <c r="T1213" s="667"/>
      <c r="U1213" s="1021">
        <v>12</v>
      </c>
      <c r="V1213" s="668">
        <f t="shared" si="410"/>
        <v>1692</v>
      </c>
      <c r="W1213" s="668">
        <f t="shared" si="411"/>
        <v>0</v>
      </c>
      <c r="X1213" s="668">
        <f t="shared" si="412"/>
        <v>0</v>
      </c>
      <c r="Y1213" s="668">
        <f t="shared" si="413"/>
        <v>0</v>
      </c>
      <c r="Z1213" s="668">
        <f t="shared" si="414"/>
        <v>0</v>
      </c>
      <c r="AA1213" s="668">
        <f t="shared" si="415"/>
        <v>0</v>
      </c>
      <c r="AB1213" s="668">
        <f t="shared" si="416"/>
        <v>0</v>
      </c>
      <c r="AC1213" s="668">
        <f t="shared" si="406"/>
        <v>0</v>
      </c>
      <c r="AD1213" s="668">
        <f t="shared" si="417"/>
        <v>898</v>
      </c>
      <c r="AE1213" s="668">
        <f t="shared" si="418"/>
        <v>0</v>
      </c>
      <c r="AF1213" s="668">
        <f t="shared" si="419"/>
        <v>0</v>
      </c>
      <c r="AG1213" s="668">
        <f t="shared" si="420"/>
        <v>0</v>
      </c>
      <c r="AH1213" s="668"/>
      <c r="AI1213" s="668"/>
      <c r="AJ1213" s="668"/>
      <c r="AK1213" s="668"/>
      <c r="AL1213" s="668"/>
      <c r="AM1213" s="668">
        <f t="shared" si="408"/>
        <v>0</v>
      </c>
      <c r="AN1213" s="668">
        <f t="shared" si="404"/>
        <v>0</v>
      </c>
      <c r="AO1213" s="668">
        <f t="shared" si="405"/>
        <v>0</v>
      </c>
      <c r="AP1213" s="668">
        <f t="shared" si="409"/>
        <v>0</v>
      </c>
      <c r="AQ1213" s="668">
        <f t="shared" si="402"/>
        <v>0</v>
      </c>
      <c r="AR1213" s="668">
        <f t="shared" si="403"/>
        <v>0</v>
      </c>
      <c r="AS1213" s="668"/>
      <c r="AT1213" s="668"/>
      <c r="AU1213" s="668"/>
      <c r="AV1213" s="668"/>
      <c r="AW1213" s="668"/>
      <c r="AX1213" s="668"/>
      <c r="AY1213" s="668"/>
      <c r="AZ1213" s="668"/>
      <c r="BA1213" s="668"/>
      <c r="BB1213" s="668">
        <f t="shared" si="407"/>
        <v>0</v>
      </c>
      <c r="BC1213" s="668"/>
      <c r="BD1213" s="668"/>
      <c r="BE1213" s="668"/>
      <c r="BF1213" s="668"/>
      <c r="BG1213" s="668"/>
      <c r="BH1213" s="668"/>
      <c r="BI1213" s="668"/>
    </row>
    <row r="1214" spans="1:61" x14ac:dyDescent="0.2">
      <c r="A1214" s="1021">
        <v>7011</v>
      </c>
      <c r="B1214" s="1021" t="s">
        <v>579</v>
      </c>
      <c r="C1214" s="1021"/>
      <c r="D1214" s="667">
        <v>58</v>
      </c>
      <c r="E1214" s="667"/>
      <c r="F1214" s="667"/>
      <c r="G1214" s="667"/>
      <c r="H1214" s="667"/>
      <c r="I1214" s="667"/>
      <c r="J1214" s="667"/>
      <c r="K1214" s="667"/>
      <c r="L1214" s="667"/>
      <c r="M1214" s="667"/>
      <c r="N1214" s="667"/>
      <c r="O1214" s="667"/>
      <c r="P1214" s="667"/>
      <c r="Q1214" s="667"/>
      <c r="R1214" s="667"/>
      <c r="S1214" s="667"/>
      <c r="T1214" s="667"/>
      <c r="U1214" s="1021">
        <v>12</v>
      </c>
      <c r="V1214" s="668">
        <f t="shared" si="410"/>
        <v>696</v>
      </c>
      <c r="W1214" s="668">
        <f t="shared" si="411"/>
        <v>0</v>
      </c>
      <c r="X1214" s="668">
        <f t="shared" si="412"/>
        <v>0</v>
      </c>
      <c r="Y1214" s="668">
        <f t="shared" si="413"/>
        <v>0</v>
      </c>
      <c r="Z1214" s="668">
        <f t="shared" si="414"/>
        <v>0</v>
      </c>
      <c r="AA1214" s="668">
        <f t="shared" si="415"/>
        <v>0</v>
      </c>
      <c r="AB1214" s="668">
        <f t="shared" si="416"/>
        <v>0</v>
      </c>
      <c r="AC1214" s="668">
        <f t="shared" si="406"/>
        <v>0</v>
      </c>
      <c r="AD1214" s="668">
        <f t="shared" si="417"/>
        <v>0</v>
      </c>
      <c r="AE1214" s="668">
        <f t="shared" si="418"/>
        <v>0</v>
      </c>
      <c r="AF1214" s="668">
        <f t="shared" si="419"/>
        <v>0</v>
      </c>
      <c r="AG1214" s="668">
        <f t="shared" si="420"/>
        <v>0</v>
      </c>
      <c r="AH1214" s="668"/>
      <c r="AI1214" s="668"/>
      <c r="AJ1214" s="668"/>
      <c r="AK1214" s="668"/>
      <c r="AL1214" s="668"/>
      <c r="AM1214" s="668">
        <f t="shared" si="408"/>
        <v>0</v>
      </c>
      <c r="AN1214" s="668">
        <f t="shared" si="404"/>
        <v>0</v>
      </c>
      <c r="AO1214" s="668">
        <f t="shared" si="405"/>
        <v>0</v>
      </c>
      <c r="AP1214" s="668">
        <f t="shared" si="409"/>
        <v>0</v>
      </c>
      <c r="AQ1214" s="668">
        <f t="shared" si="402"/>
        <v>0</v>
      </c>
      <c r="AR1214" s="668">
        <f t="shared" si="403"/>
        <v>0</v>
      </c>
      <c r="AS1214" s="668"/>
      <c r="AT1214" s="668"/>
      <c r="AU1214" s="668"/>
      <c r="AV1214" s="668"/>
      <c r="AW1214" s="668"/>
      <c r="AX1214" s="668"/>
      <c r="AY1214" s="668"/>
      <c r="AZ1214" s="668"/>
      <c r="BA1214" s="668"/>
      <c r="BB1214" s="668">
        <f t="shared" si="407"/>
        <v>0</v>
      </c>
      <c r="BC1214" s="668"/>
      <c r="BD1214" s="668"/>
      <c r="BE1214" s="668"/>
      <c r="BF1214" s="668"/>
      <c r="BG1214" s="668"/>
      <c r="BH1214" s="668"/>
      <c r="BI1214" s="668"/>
    </row>
    <row r="1215" spans="1:61" x14ac:dyDescent="0.2">
      <c r="A1215" s="1021">
        <v>7012</v>
      </c>
      <c r="B1215" s="1021" t="s">
        <v>890</v>
      </c>
      <c r="C1215" s="1021"/>
      <c r="D1215" s="667">
        <v>42</v>
      </c>
      <c r="E1215" s="667"/>
      <c r="F1215" s="667"/>
      <c r="G1215" s="667"/>
      <c r="H1215" s="667"/>
      <c r="I1215" s="667"/>
      <c r="J1215" s="667"/>
      <c r="K1215" s="667"/>
      <c r="L1215" s="667"/>
      <c r="M1215" s="667"/>
      <c r="N1215" s="667"/>
      <c r="O1215" s="667"/>
      <c r="P1215" s="667"/>
      <c r="Q1215" s="667"/>
      <c r="R1215" s="667"/>
      <c r="S1215" s="667"/>
      <c r="T1215" s="667"/>
      <c r="U1215" s="1021">
        <v>12</v>
      </c>
      <c r="V1215" s="668">
        <f t="shared" si="410"/>
        <v>504</v>
      </c>
      <c r="W1215" s="668">
        <f t="shared" si="411"/>
        <v>0</v>
      </c>
      <c r="X1215" s="668">
        <f t="shared" si="412"/>
        <v>0</v>
      </c>
      <c r="Y1215" s="668">
        <f t="shared" si="413"/>
        <v>0</v>
      </c>
      <c r="Z1215" s="668">
        <f t="shared" si="414"/>
        <v>0</v>
      </c>
      <c r="AA1215" s="668">
        <f t="shared" si="415"/>
        <v>0</v>
      </c>
      <c r="AB1215" s="668">
        <f t="shared" si="416"/>
        <v>0</v>
      </c>
      <c r="AC1215" s="668">
        <f t="shared" si="406"/>
        <v>0</v>
      </c>
      <c r="AD1215" s="668">
        <f t="shared" si="417"/>
        <v>0</v>
      </c>
      <c r="AE1215" s="668">
        <f t="shared" si="418"/>
        <v>0</v>
      </c>
      <c r="AF1215" s="668">
        <f t="shared" si="419"/>
        <v>0</v>
      </c>
      <c r="AG1215" s="668">
        <f t="shared" si="420"/>
        <v>0</v>
      </c>
      <c r="AH1215" s="668"/>
      <c r="AI1215" s="668"/>
      <c r="AJ1215" s="668"/>
      <c r="AK1215" s="668"/>
      <c r="AL1215" s="668"/>
      <c r="AM1215" s="668">
        <f t="shared" si="408"/>
        <v>0</v>
      </c>
      <c r="AN1215" s="668">
        <f t="shared" si="404"/>
        <v>0</v>
      </c>
      <c r="AO1215" s="668">
        <f t="shared" si="405"/>
        <v>0</v>
      </c>
      <c r="AP1215" s="668">
        <f t="shared" si="409"/>
        <v>0</v>
      </c>
      <c r="AQ1215" s="668">
        <f t="shared" si="402"/>
        <v>0</v>
      </c>
      <c r="AR1215" s="668">
        <f t="shared" si="403"/>
        <v>0</v>
      </c>
      <c r="AS1215" s="668"/>
      <c r="AT1215" s="668"/>
      <c r="AU1215" s="668"/>
      <c r="AV1215" s="668"/>
      <c r="AW1215" s="668"/>
      <c r="AX1215" s="668"/>
      <c r="AY1215" s="668"/>
      <c r="AZ1215" s="668"/>
      <c r="BA1215" s="668"/>
      <c r="BB1215" s="668">
        <f t="shared" si="407"/>
        <v>0</v>
      </c>
      <c r="BC1215" s="668"/>
      <c r="BD1215" s="668"/>
      <c r="BE1215" s="668"/>
      <c r="BF1215" s="668"/>
      <c r="BG1215" s="668"/>
      <c r="BH1215" s="668"/>
      <c r="BI1215" s="668"/>
    </row>
    <row r="1216" spans="1:61" x14ac:dyDescent="0.2">
      <c r="A1216" s="1021" t="s">
        <v>879</v>
      </c>
      <c r="B1216" s="1021" t="s">
        <v>845</v>
      </c>
      <c r="C1216" s="1021"/>
      <c r="D1216" s="667"/>
      <c r="E1216" s="667"/>
      <c r="F1216" s="667"/>
      <c r="G1216" s="667"/>
      <c r="H1216" s="667"/>
      <c r="I1216" s="667"/>
      <c r="J1216" s="667"/>
      <c r="K1216" s="667"/>
      <c r="L1216" s="667"/>
      <c r="M1216" s="667"/>
      <c r="N1216" s="667"/>
      <c r="O1216" s="667"/>
      <c r="P1216" s="667"/>
      <c r="Q1216" s="667"/>
      <c r="R1216" s="667"/>
      <c r="S1216" s="667"/>
      <c r="T1216" s="667"/>
      <c r="U1216" s="1021"/>
      <c r="V1216" s="668">
        <f t="shared" si="410"/>
        <v>0</v>
      </c>
      <c r="W1216" s="668">
        <f t="shared" si="411"/>
        <v>0</v>
      </c>
      <c r="X1216" s="668">
        <f t="shared" si="412"/>
        <v>0</v>
      </c>
      <c r="Y1216" s="668">
        <f t="shared" si="413"/>
        <v>0</v>
      </c>
      <c r="Z1216" s="668">
        <f t="shared" si="414"/>
        <v>0</v>
      </c>
      <c r="AA1216" s="668">
        <f t="shared" si="415"/>
        <v>0</v>
      </c>
      <c r="AB1216" s="668">
        <f t="shared" si="416"/>
        <v>0</v>
      </c>
      <c r="AC1216" s="668">
        <f t="shared" si="406"/>
        <v>0</v>
      </c>
      <c r="AD1216" s="668">
        <f t="shared" si="417"/>
        <v>0</v>
      </c>
      <c r="AE1216" s="668">
        <f t="shared" si="418"/>
        <v>0</v>
      </c>
      <c r="AF1216" s="668">
        <f t="shared" si="419"/>
        <v>0</v>
      </c>
      <c r="AG1216" s="668">
        <f t="shared" si="420"/>
        <v>0</v>
      </c>
      <c r="AH1216" s="668"/>
      <c r="AI1216" s="668"/>
      <c r="AJ1216" s="668"/>
      <c r="AK1216" s="668"/>
      <c r="AL1216" s="668"/>
      <c r="AM1216" s="668">
        <f t="shared" si="408"/>
        <v>0</v>
      </c>
      <c r="AN1216" s="668">
        <f t="shared" si="404"/>
        <v>0</v>
      </c>
      <c r="AO1216" s="668">
        <f t="shared" si="405"/>
        <v>0</v>
      </c>
      <c r="AP1216" s="668">
        <f t="shared" si="409"/>
        <v>0</v>
      </c>
      <c r="AQ1216" s="668">
        <f t="shared" si="402"/>
        <v>0</v>
      </c>
      <c r="AR1216" s="668">
        <f t="shared" si="403"/>
        <v>0</v>
      </c>
      <c r="AS1216" s="668"/>
      <c r="AT1216" s="668"/>
      <c r="AU1216" s="668"/>
      <c r="AV1216" s="668"/>
      <c r="AW1216" s="668"/>
      <c r="AX1216" s="668"/>
      <c r="AY1216" s="668"/>
      <c r="AZ1216" s="668"/>
      <c r="BA1216" s="668"/>
      <c r="BB1216" s="668">
        <f t="shared" si="407"/>
        <v>0</v>
      </c>
      <c r="BC1216" s="668"/>
      <c r="BD1216" s="668"/>
      <c r="BE1216" s="668"/>
      <c r="BF1216" s="668"/>
      <c r="BG1216" s="668"/>
      <c r="BH1216" s="668"/>
      <c r="BI1216" s="668"/>
    </row>
    <row r="1217" spans="1:61" x14ac:dyDescent="0.2">
      <c r="A1217" s="1021" t="s">
        <v>880</v>
      </c>
      <c r="B1217" s="1021" t="s">
        <v>845</v>
      </c>
      <c r="C1217" s="1021"/>
      <c r="D1217" s="667"/>
      <c r="E1217" s="667"/>
      <c r="F1217" s="667"/>
      <c r="G1217" s="667"/>
      <c r="H1217" s="667"/>
      <c r="I1217" s="667"/>
      <c r="J1217" s="667"/>
      <c r="K1217" s="667"/>
      <c r="L1217" s="667"/>
      <c r="M1217" s="667"/>
      <c r="N1217" s="667"/>
      <c r="O1217" s="667"/>
      <c r="P1217" s="667"/>
      <c r="Q1217" s="667"/>
      <c r="R1217" s="667"/>
      <c r="S1217" s="667"/>
      <c r="T1217" s="667"/>
      <c r="U1217" s="1021"/>
      <c r="V1217" s="668">
        <f t="shared" si="410"/>
        <v>0</v>
      </c>
      <c r="W1217" s="668">
        <f t="shared" si="411"/>
        <v>0</v>
      </c>
      <c r="X1217" s="668">
        <f t="shared" si="412"/>
        <v>0</v>
      </c>
      <c r="Y1217" s="668">
        <f t="shared" si="413"/>
        <v>0</v>
      </c>
      <c r="Z1217" s="668">
        <f t="shared" si="414"/>
        <v>0</v>
      </c>
      <c r="AA1217" s="668">
        <f t="shared" si="415"/>
        <v>0</v>
      </c>
      <c r="AB1217" s="668">
        <f t="shared" si="416"/>
        <v>0</v>
      </c>
      <c r="AC1217" s="668">
        <f t="shared" si="406"/>
        <v>0</v>
      </c>
      <c r="AD1217" s="668">
        <f t="shared" si="417"/>
        <v>0</v>
      </c>
      <c r="AE1217" s="668">
        <f t="shared" si="418"/>
        <v>0</v>
      </c>
      <c r="AF1217" s="668">
        <f t="shared" si="419"/>
        <v>0</v>
      </c>
      <c r="AG1217" s="668">
        <f t="shared" si="420"/>
        <v>0</v>
      </c>
      <c r="AH1217" s="668"/>
      <c r="AI1217" s="668"/>
      <c r="AJ1217" s="668"/>
      <c r="AK1217" s="668"/>
      <c r="AL1217" s="668"/>
      <c r="AM1217" s="668">
        <f t="shared" si="408"/>
        <v>0</v>
      </c>
      <c r="AN1217" s="668">
        <f t="shared" si="404"/>
        <v>0</v>
      </c>
      <c r="AO1217" s="668">
        <f t="shared" si="405"/>
        <v>0</v>
      </c>
      <c r="AP1217" s="668">
        <f t="shared" si="409"/>
        <v>0</v>
      </c>
      <c r="AQ1217" s="668">
        <f t="shared" si="402"/>
        <v>0</v>
      </c>
      <c r="AR1217" s="668">
        <f t="shared" si="403"/>
        <v>0</v>
      </c>
      <c r="AS1217" s="668"/>
      <c r="AT1217" s="668"/>
      <c r="AU1217" s="668"/>
      <c r="AV1217" s="668"/>
      <c r="AW1217" s="668"/>
      <c r="AX1217" s="668"/>
      <c r="AY1217" s="668"/>
      <c r="AZ1217" s="668"/>
      <c r="BA1217" s="668"/>
      <c r="BB1217" s="668">
        <f t="shared" si="407"/>
        <v>0</v>
      </c>
      <c r="BC1217" s="668"/>
      <c r="BD1217" s="668"/>
      <c r="BE1217" s="668"/>
      <c r="BF1217" s="668"/>
      <c r="BG1217" s="668"/>
      <c r="BH1217" s="668"/>
      <c r="BI1217" s="668"/>
    </row>
    <row r="1218" spans="1:61" x14ac:dyDescent="0.2">
      <c r="A1218" s="1021" t="s">
        <v>881</v>
      </c>
      <c r="B1218" s="1021" t="s">
        <v>845</v>
      </c>
      <c r="C1218" s="1021"/>
      <c r="D1218" s="667"/>
      <c r="E1218" s="667"/>
      <c r="F1218" s="667"/>
      <c r="G1218" s="667"/>
      <c r="H1218" s="667"/>
      <c r="I1218" s="667"/>
      <c r="J1218" s="667"/>
      <c r="K1218" s="667"/>
      <c r="L1218" s="667"/>
      <c r="M1218" s="667"/>
      <c r="N1218" s="667"/>
      <c r="O1218" s="667"/>
      <c r="P1218" s="667"/>
      <c r="Q1218" s="667"/>
      <c r="R1218" s="667"/>
      <c r="S1218" s="667"/>
      <c r="T1218" s="667"/>
      <c r="U1218" s="1021"/>
      <c r="V1218" s="668">
        <f t="shared" si="410"/>
        <v>0</v>
      </c>
      <c r="W1218" s="668">
        <f t="shared" si="411"/>
        <v>0</v>
      </c>
      <c r="X1218" s="668">
        <f t="shared" si="412"/>
        <v>0</v>
      </c>
      <c r="Y1218" s="668">
        <f t="shared" si="413"/>
        <v>0</v>
      </c>
      <c r="Z1218" s="668">
        <f t="shared" si="414"/>
        <v>0</v>
      </c>
      <c r="AA1218" s="668">
        <f t="shared" si="415"/>
        <v>0</v>
      </c>
      <c r="AB1218" s="668">
        <f t="shared" si="416"/>
        <v>0</v>
      </c>
      <c r="AC1218" s="668">
        <f t="shared" si="406"/>
        <v>0</v>
      </c>
      <c r="AD1218" s="668">
        <f t="shared" si="417"/>
        <v>0</v>
      </c>
      <c r="AE1218" s="668">
        <f t="shared" si="418"/>
        <v>0</v>
      </c>
      <c r="AF1218" s="668">
        <f t="shared" si="419"/>
        <v>0</v>
      </c>
      <c r="AG1218" s="668">
        <f t="shared" si="420"/>
        <v>0</v>
      </c>
      <c r="AH1218" s="668"/>
      <c r="AI1218" s="668"/>
      <c r="AJ1218" s="668"/>
      <c r="AK1218" s="668"/>
      <c r="AL1218" s="668"/>
      <c r="AM1218" s="668">
        <f t="shared" si="408"/>
        <v>0</v>
      </c>
      <c r="AN1218" s="668">
        <f t="shared" si="404"/>
        <v>0</v>
      </c>
      <c r="AO1218" s="668">
        <f t="shared" si="405"/>
        <v>0</v>
      </c>
      <c r="AP1218" s="668">
        <f t="shared" si="409"/>
        <v>0</v>
      </c>
      <c r="AQ1218" s="668">
        <f t="shared" si="402"/>
        <v>0</v>
      </c>
      <c r="AR1218" s="668">
        <f t="shared" si="403"/>
        <v>0</v>
      </c>
      <c r="AS1218" s="668"/>
      <c r="AT1218" s="668"/>
      <c r="AU1218" s="668"/>
      <c r="AV1218" s="668"/>
      <c r="AW1218" s="668"/>
      <c r="AX1218" s="668"/>
      <c r="AY1218" s="668"/>
      <c r="AZ1218" s="668"/>
      <c r="BA1218" s="668"/>
      <c r="BB1218" s="668">
        <f t="shared" si="407"/>
        <v>0</v>
      </c>
      <c r="BC1218" s="668"/>
      <c r="BD1218" s="668"/>
      <c r="BE1218" s="668"/>
      <c r="BF1218" s="668"/>
      <c r="BG1218" s="668"/>
      <c r="BH1218" s="668"/>
      <c r="BI1218" s="668"/>
    </row>
    <row r="1219" spans="1:61" x14ac:dyDescent="0.2">
      <c r="A1219" s="1021" t="s">
        <v>882</v>
      </c>
      <c r="B1219" s="1021" t="s">
        <v>845</v>
      </c>
      <c r="C1219" s="1021"/>
      <c r="D1219" s="667"/>
      <c r="E1219" s="667"/>
      <c r="F1219" s="667"/>
      <c r="G1219" s="667"/>
      <c r="H1219" s="667"/>
      <c r="I1219" s="667"/>
      <c r="J1219" s="667"/>
      <c r="K1219" s="667"/>
      <c r="L1219" s="667"/>
      <c r="M1219" s="667"/>
      <c r="N1219" s="667"/>
      <c r="O1219" s="667"/>
      <c r="P1219" s="667"/>
      <c r="Q1219" s="667"/>
      <c r="R1219" s="667"/>
      <c r="S1219" s="667"/>
      <c r="T1219" s="667"/>
      <c r="U1219" s="1021"/>
      <c r="V1219" s="668">
        <f t="shared" si="410"/>
        <v>0</v>
      </c>
      <c r="W1219" s="668">
        <f t="shared" si="411"/>
        <v>0</v>
      </c>
      <c r="X1219" s="668">
        <f t="shared" si="412"/>
        <v>0</v>
      </c>
      <c r="Y1219" s="668">
        <f t="shared" si="413"/>
        <v>0</v>
      </c>
      <c r="Z1219" s="668">
        <f t="shared" si="414"/>
        <v>0</v>
      </c>
      <c r="AA1219" s="668">
        <f t="shared" si="415"/>
        <v>0</v>
      </c>
      <c r="AB1219" s="668">
        <f t="shared" si="416"/>
        <v>0</v>
      </c>
      <c r="AC1219" s="668">
        <f t="shared" si="406"/>
        <v>0</v>
      </c>
      <c r="AD1219" s="668">
        <f t="shared" si="417"/>
        <v>0</v>
      </c>
      <c r="AE1219" s="668">
        <f t="shared" si="418"/>
        <v>0</v>
      </c>
      <c r="AF1219" s="668">
        <f t="shared" si="419"/>
        <v>0</v>
      </c>
      <c r="AG1219" s="668">
        <f t="shared" si="420"/>
        <v>0</v>
      </c>
      <c r="AH1219" s="668"/>
      <c r="AI1219" s="668"/>
      <c r="AJ1219" s="668"/>
      <c r="AK1219" s="668"/>
      <c r="AL1219" s="668"/>
      <c r="AM1219" s="668">
        <f t="shared" si="408"/>
        <v>0</v>
      </c>
      <c r="AN1219" s="668">
        <f t="shared" si="404"/>
        <v>0</v>
      </c>
      <c r="AO1219" s="668">
        <f t="shared" si="405"/>
        <v>0</v>
      </c>
      <c r="AP1219" s="668">
        <f t="shared" si="409"/>
        <v>0</v>
      </c>
      <c r="AQ1219" s="668">
        <f t="shared" si="402"/>
        <v>0</v>
      </c>
      <c r="AR1219" s="668">
        <f t="shared" si="403"/>
        <v>0</v>
      </c>
      <c r="AS1219" s="668"/>
      <c r="AT1219" s="668"/>
      <c r="AU1219" s="668"/>
      <c r="AV1219" s="668"/>
      <c r="AW1219" s="668"/>
      <c r="AX1219" s="668"/>
      <c r="AY1219" s="668"/>
      <c r="AZ1219" s="668"/>
      <c r="BA1219" s="668"/>
      <c r="BB1219" s="668">
        <f t="shared" si="407"/>
        <v>0</v>
      </c>
      <c r="BC1219" s="668"/>
      <c r="BD1219" s="668"/>
      <c r="BE1219" s="668"/>
      <c r="BF1219" s="668"/>
      <c r="BG1219" s="668"/>
      <c r="BH1219" s="668"/>
      <c r="BI1219" s="668"/>
    </row>
    <row r="1220" spans="1:61" x14ac:dyDescent="0.2">
      <c r="A1220" s="1021" t="s">
        <v>883</v>
      </c>
      <c r="B1220" s="1021" t="s">
        <v>845</v>
      </c>
      <c r="C1220" s="1021"/>
      <c r="D1220" s="667"/>
      <c r="E1220" s="667"/>
      <c r="F1220" s="667"/>
      <c r="G1220" s="667"/>
      <c r="H1220" s="667"/>
      <c r="I1220" s="667"/>
      <c r="J1220" s="667"/>
      <c r="K1220" s="667"/>
      <c r="L1220" s="667"/>
      <c r="M1220" s="667"/>
      <c r="N1220" s="667"/>
      <c r="O1220" s="667"/>
      <c r="P1220" s="667"/>
      <c r="Q1220" s="667"/>
      <c r="R1220" s="667"/>
      <c r="S1220" s="667"/>
      <c r="T1220" s="667"/>
      <c r="U1220" s="1021"/>
      <c r="V1220" s="668">
        <f t="shared" si="410"/>
        <v>0</v>
      </c>
      <c r="W1220" s="668">
        <f t="shared" si="411"/>
        <v>0</v>
      </c>
      <c r="X1220" s="668">
        <f t="shared" si="412"/>
        <v>0</v>
      </c>
      <c r="Y1220" s="668">
        <f t="shared" si="413"/>
        <v>0</v>
      </c>
      <c r="Z1220" s="668">
        <f t="shared" si="414"/>
        <v>0</v>
      </c>
      <c r="AA1220" s="668">
        <f t="shared" si="415"/>
        <v>0</v>
      </c>
      <c r="AB1220" s="668">
        <f t="shared" si="416"/>
        <v>0</v>
      </c>
      <c r="AC1220" s="668">
        <f t="shared" si="406"/>
        <v>0</v>
      </c>
      <c r="AD1220" s="668">
        <f t="shared" si="417"/>
        <v>0</v>
      </c>
      <c r="AE1220" s="668">
        <f t="shared" si="418"/>
        <v>0</v>
      </c>
      <c r="AF1220" s="668">
        <f t="shared" si="419"/>
        <v>0</v>
      </c>
      <c r="AG1220" s="668">
        <f t="shared" si="420"/>
        <v>0</v>
      </c>
      <c r="AH1220" s="668"/>
      <c r="AI1220" s="668"/>
      <c r="AJ1220" s="668"/>
      <c r="AK1220" s="668"/>
      <c r="AL1220" s="668"/>
      <c r="AM1220" s="668">
        <f t="shared" si="408"/>
        <v>0</v>
      </c>
      <c r="AN1220" s="668">
        <f t="shared" si="404"/>
        <v>0</v>
      </c>
      <c r="AO1220" s="668">
        <f t="shared" si="405"/>
        <v>0</v>
      </c>
      <c r="AP1220" s="668">
        <f t="shared" si="409"/>
        <v>0</v>
      </c>
      <c r="AQ1220" s="668">
        <f t="shared" si="402"/>
        <v>0</v>
      </c>
      <c r="AR1220" s="668">
        <f t="shared" si="403"/>
        <v>0</v>
      </c>
      <c r="AS1220" s="668"/>
      <c r="AT1220" s="668"/>
      <c r="AU1220" s="668"/>
      <c r="AV1220" s="668"/>
      <c r="AW1220" s="668"/>
      <c r="AX1220" s="668"/>
      <c r="AY1220" s="668"/>
      <c r="AZ1220" s="668"/>
      <c r="BA1220" s="668"/>
      <c r="BB1220" s="668">
        <f t="shared" si="407"/>
        <v>0</v>
      </c>
      <c r="BC1220" s="668"/>
      <c r="BD1220" s="668"/>
      <c r="BE1220" s="668"/>
      <c r="BF1220" s="668"/>
      <c r="BG1220" s="668"/>
      <c r="BH1220" s="668"/>
      <c r="BI1220" s="668"/>
    </row>
    <row r="1221" spans="1:61" x14ac:dyDescent="0.2">
      <c r="A1221" s="1021" t="s">
        <v>884</v>
      </c>
      <c r="B1221" s="1021" t="s">
        <v>611</v>
      </c>
      <c r="C1221" s="1021"/>
      <c r="D1221" s="667"/>
      <c r="E1221" s="667"/>
      <c r="F1221" s="667"/>
      <c r="G1221" s="667"/>
      <c r="H1221" s="667"/>
      <c r="I1221" s="667"/>
      <c r="J1221" s="667">
        <v>61</v>
      </c>
      <c r="K1221" s="667"/>
      <c r="L1221" s="667"/>
      <c r="M1221" s="667"/>
      <c r="N1221" s="667"/>
      <c r="O1221" s="667"/>
      <c r="P1221" s="667"/>
      <c r="Q1221" s="667"/>
      <c r="R1221" s="667"/>
      <c r="S1221" s="667"/>
      <c r="T1221" s="667"/>
      <c r="U1221" s="1021">
        <v>14</v>
      </c>
      <c r="V1221" s="668">
        <f t="shared" si="410"/>
        <v>0</v>
      </c>
      <c r="W1221" s="668">
        <f t="shared" si="411"/>
        <v>0</v>
      </c>
      <c r="X1221" s="668">
        <f t="shared" si="412"/>
        <v>0</v>
      </c>
      <c r="Y1221" s="668">
        <f t="shared" si="413"/>
        <v>854</v>
      </c>
      <c r="Z1221" s="668">
        <f t="shared" si="414"/>
        <v>0</v>
      </c>
      <c r="AA1221" s="668">
        <f t="shared" si="415"/>
        <v>0</v>
      </c>
      <c r="AB1221" s="668">
        <f t="shared" si="416"/>
        <v>0</v>
      </c>
      <c r="AC1221" s="668">
        <f t="shared" si="406"/>
        <v>0</v>
      </c>
      <c r="AD1221" s="668">
        <f t="shared" si="417"/>
        <v>0</v>
      </c>
      <c r="AE1221" s="668">
        <f t="shared" si="418"/>
        <v>0</v>
      </c>
      <c r="AF1221" s="668">
        <f t="shared" si="419"/>
        <v>0</v>
      </c>
      <c r="AG1221" s="668">
        <f t="shared" si="420"/>
        <v>0</v>
      </c>
      <c r="AH1221" s="668"/>
      <c r="AI1221" s="668"/>
      <c r="AJ1221" s="668"/>
      <c r="AK1221" s="668"/>
      <c r="AL1221" s="668"/>
      <c r="AM1221" s="668">
        <f t="shared" si="408"/>
        <v>0</v>
      </c>
      <c r="AN1221" s="668">
        <f t="shared" si="404"/>
        <v>0</v>
      </c>
      <c r="AO1221" s="668">
        <f t="shared" si="405"/>
        <v>0</v>
      </c>
      <c r="AP1221" s="668">
        <f t="shared" si="409"/>
        <v>0</v>
      </c>
      <c r="AQ1221" s="668">
        <f t="shared" si="402"/>
        <v>0</v>
      </c>
      <c r="AR1221" s="668">
        <f t="shared" si="403"/>
        <v>0</v>
      </c>
      <c r="AS1221" s="668"/>
      <c r="AT1221" s="668"/>
      <c r="AU1221" s="668"/>
      <c r="AV1221" s="668"/>
      <c r="AW1221" s="668"/>
      <c r="AX1221" s="668"/>
      <c r="AY1221" s="668"/>
      <c r="AZ1221" s="668"/>
      <c r="BA1221" s="668"/>
      <c r="BB1221" s="668">
        <f t="shared" si="407"/>
        <v>0</v>
      </c>
      <c r="BC1221" s="668"/>
      <c r="BD1221" s="668"/>
      <c r="BE1221" s="668"/>
      <c r="BF1221" s="668"/>
      <c r="BG1221" s="668"/>
      <c r="BH1221" s="668"/>
      <c r="BI1221" s="668"/>
    </row>
    <row r="1222" spans="1:61" x14ac:dyDescent="0.2">
      <c r="A1222" s="1021" t="s">
        <v>885</v>
      </c>
      <c r="B1222" s="1021" t="s">
        <v>612</v>
      </c>
      <c r="C1222" s="1021"/>
      <c r="D1222" s="667"/>
      <c r="E1222" s="667"/>
      <c r="F1222" s="667"/>
      <c r="G1222" s="667"/>
      <c r="H1222" s="667"/>
      <c r="I1222" s="667"/>
      <c r="J1222" s="667">
        <v>61</v>
      </c>
      <c r="K1222" s="667"/>
      <c r="L1222" s="667"/>
      <c r="M1222" s="667"/>
      <c r="N1222" s="667"/>
      <c r="O1222" s="667"/>
      <c r="P1222" s="667"/>
      <c r="Q1222" s="667"/>
      <c r="R1222" s="667"/>
      <c r="S1222" s="667"/>
      <c r="T1222" s="667"/>
      <c r="U1222" s="1021">
        <v>14</v>
      </c>
      <c r="V1222" s="668">
        <f t="shared" si="410"/>
        <v>0</v>
      </c>
      <c r="W1222" s="668">
        <f t="shared" si="411"/>
        <v>0</v>
      </c>
      <c r="X1222" s="668">
        <f t="shared" si="412"/>
        <v>0</v>
      </c>
      <c r="Y1222" s="668">
        <f t="shared" si="413"/>
        <v>854</v>
      </c>
      <c r="Z1222" s="668">
        <f t="shared" si="414"/>
        <v>0</v>
      </c>
      <c r="AA1222" s="668">
        <f t="shared" si="415"/>
        <v>0</v>
      </c>
      <c r="AB1222" s="668">
        <f t="shared" si="416"/>
        <v>0</v>
      </c>
      <c r="AC1222" s="668">
        <f t="shared" si="406"/>
        <v>0</v>
      </c>
      <c r="AD1222" s="668">
        <f t="shared" si="417"/>
        <v>0</v>
      </c>
      <c r="AE1222" s="668">
        <f t="shared" si="418"/>
        <v>0</v>
      </c>
      <c r="AF1222" s="668">
        <f t="shared" si="419"/>
        <v>0</v>
      </c>
      <c r="AG1222" s="668">
        <f t="shared" si="420"/>
        <v>0</v>
      </c>
      <c r="AH1222" s="668"/>
      <c r="AI1222" s="668"/>
      <c r="AJ1222" s="668"/>
      <c r="AK1222" s="668"/>
      <c r="AL1222" s="668"/>
      <c r="AM1222" s="668">
        <f t="shared" si="408"/>
        <v>0</v>
      </c>
      <c r="AN1222" s="668">
        <f t="shared" si="404"/>
        <v>0</v>
      </c>
      <c r="AO1222" s="668">
        <f t="shared" si="405"/>
        <v>0</v>
      </c>
      <c r="AP1222" s="668">
        <f t="shared" si="409"/>
        <v>0</v>
      </c>
      <c r="AQ1222" s="668">
        <f t="shared" si="402"/>
        <v>0</v>
      </c>
      <c r="AR1222" s="668">
        <f t="shared" si="403"/>
        <v>0</v>
      </c>
      <c r="AS1222" s="668"/>
      <c r="AT1222" s="668"/>
      <c r="AU1222" s="668"/>
      <c r="AV1222" s="668"/>
      <c r="AW1222" s="668"/>
      <c r="AX1222" s="668"/>
      <c r="AY1222" s="668"/>
      <c r="AZ1222" s="668"/>
      <c r="BA1222" s="668"/>
      <c r="BB1222" s="668">
        <f t="shared" si="407"/>
        <v>0</v>
      </c>
      <c r="BC1222" s="668"/>
      <c r="BD1222" s="668"/>
      <c r="BE1222" s="668"/>
      <c r="BF1222" s="668"/>
      <c r="BG1222" s="668"/>
      <c r="BH1222" s="668"/>
      <c r="BI1222" s="668"/>
    </row>
    <row r="1223" spans="1:61" x14ac:dyDescent="0.2">
      <c r="A1223" s="1025" t="s">
        <v>967</v>
      </c>
      <c r="B1223" s="1025" t="s">
        <v>977</v>
      </c>
      <c r="C1223" s="1025"/>
      <c r="D1223" s="667"/>
      <c r="E1223" s="667"/>
      <c r="F1223" s="667"/>
      <c r="G1223" s="667"/>
      <c r="H1223" s="667"/>
      <c r="I1223" s="667"/>
      <c r="J1223" s="667"/>
      <c r="K1223" s="667"/>
      <c r="L1223" s="667"/>
      <c r="M1223" s="667"/>
      <c r="N1223" s="667"/>
      <c r="O1223" s="667"/>
      <c r="P1223" s="667"/>
      <c r="Q1223" s="667"/>
      <c r="R1223" s="667"/>
      <c r="S1223" s="667">
        <v>3124</v>
      </c>
      <c r="T1223" s="667"/>
      <c r="U1223" s="1025"/>
      <c r="V1223" s="668"/>
      <c r="W1223" s="668"/>
      <c r="X1223" s="668"/>
      <c r="Y1223" s="668"/>
      <c r="Z1223" s="668"/>
      <c r="AA1223" s="668">
        <f t="shared" si="415"/>
        <v>3124</v>
      </c>
      <c r="AB1223" s="668"/>
      <c r="AC1223" s="668">
        <f t="shared" si="406"/>
        <v>0</v>
      </c>
      <c r="AD1223" s="668"/>
      <c r="AE1223" s="668"/>
      <c r="AF1223" s="668"/>
      <c r="AG1223" s="668"/>
      <c r="AH1223" s="668"/>
      <c r="AI1223" s="668"/>
      <c r="AJ1223" s="668"/>
      <c r="AK1223" s="668"/>
      <c r="AL1223" s="668"/>
      <c r="AM1223" s="668">
        <f t="shared" si="408"/>
        <v>0</v>
      </c>
      <c r="AN1223" s="668">
        <f t="shared" si="404"/>
        <v>0</v>
      </c>
      <c r="AO1223" s="668">
        <f t="shared" si="405"/>
        <v>0</v>
      </c>
      <c r="AP1223" s="668">
        <f t="shared" si="409"/>
        <v>0</v>
      </c>
      <c r="AQ1223" s="668">
        <f t="shared" si="402"/>
        <v>0</v>
      </c>
      <c r="AR1223" s="668">
        <f t="shared" si="403"/>
        <v>0</v>
      </c>
      <c r="AS1223" s="668"/>
      <c r="AT1223" s="668"/>
      <c r="AU1223" s="668"/>
      <c r="AV1223" s="668"/>
      <c r="AW1223" s="668"/>
      <c r="AX1223" s="668"/>
      <c r="AY1223" s="668"/>
      <c r="AZ1223" s="668"/>
      <c r="BA1223" s="668"/>
      <c r="BB1223" s="668">
        <f t="shared" si="407"/>
        <v>0</v>
      </c>
      <c r="BC1223" s="668"/>
      <c r="BD1223" s="668"/>
      <c r="BE1223" s="668"/>
      <c r="BF1223" s="668"/>
      <c r="BG1223" s="668"/>
      <c r="BH1223" s="668"/>
      <c r="BI1223" s="668"/>
    </row>
    <row r="1224" spans="1:61" x14ac:dyDescent="0.2">
      <c r="A1224" s="1021"/>
      <c r="B1224" s="1021"/>
      <c r="C1224" s="1021"/>
      <c r="D1224" s="667"/>
      <c r="E1224" s="667"/>
      <c r="F1224" s="667"/>
      <c r="G1224" s="667"/>
      <c r="H1224" s="667"/>
      <c r="I1224" s="667"/>
      <c r="J1224" s="667"/>
      <c r="K1224" s="667"/>
      <c r="L1224" s="667"/>
      <c r="M1224" s="667"/>
      <c r="N1224" s="667"/>
      <c r="O1224" s="667"/>
      <c r="P1224" s="667"/>
      <c r="Q1224" s="667"/>
      <c r="R1224" s="667"/>
      <c r="S1224" s="667"/>
      <c r="T1224" s="667"/>
      <c r="U1224" s="1021"/>
      <c r="V1224" s="668">
        <f t="shared" si="410"/>
        <v>0</v>
      </c>
      <c r="W1224" s="668">
        <f t="shared" si="411"/>
        <v>0</v>
      </c>
      <c r="X1224" s="668">
        <f t="shared" si="412"/>
        <v>0</v>
      </c>
      <c r="Y1224" s="668">
        <f t="shared" si="413"/>
        <v>0</v>
      </c>
      <c r="Z1224" s="668">
        <f t="shared" si="414"/>
        <v>0</v>
      </c>
      <c r="AA1224" s="668">
        <f t="shared" si="415"/>
        <v>0</v>
      </c>
      <c r="AB1224" s="668">
        <f t="shared" si="416"/>
        <v>0</v>
      </c>
      <c r="AC1224" s="668">
        <f t="shared" si="406"/>
        <v>0</v>
      </c>
      <c r="AD1224" s="668">
        <f t="shared" si="417"/>
        <v>0</v>
      </c>
      <c r="AE1224" s="668">
        <f t="shared" si="418"/>
        <v>0</v>
      </c>
      <c r="AF1224" s="668">
        <f t="shared" si="419"/>
        <v>0</v>
      </c>
      <c r="AG1224" s="668">
        <f t="shared" si="420"/>
        <v>0</v>
      </c>
      <c r="AH1224" s="668"/>
      <c r="AI1224" s="668"/>
      <c r="AJ1224" s="668"/>
      <c r="AK1224" s="668"/>
      <c r="AL1224" s="668"/>
      <c r="AM1224" s="668">
        <f t="shared" si="408"/>
        <v>0</v>
      </c>
      <c r="AN1224" s="668">
        <f t="shared" si="404"/>
        <v>0</v>
      </c>
      <c r="AO1224" s="668">
        <f t="shared" si="405"/>
        <v>0</v>
      </c>
      <c r="AP1224" s="668">
        <f t="shared" si="409"/>
        <v>0</v>
      </c>
      <c r="AQ1224" s="668">
        <f t="shared" ref="AQ1224:AQ1269" si="421">+$AQ$4*K1224</f>
        <v>0</v>
      </c>
      <c r="AR1224" s="668">
        <f t="shared" ref="AR1224:AR1269" si="422">+$AR$4*K1224</f>
        <v>0</v>
      </c>
      <c r="AS1224" s="668"/>
      <c r="AT1224" s="668"/>
      <c r="AU1224" s="668"/>
      <c r="AV1224" s="668"/>
      <c r="AW1224" s="668"/>
      <c r="AX1224" s="668"/>
      <c r="AY1224" s="668"/>
      <c r="AZ1224" s="668"/>
      <c r="BA1224" s="668"/>
      <c r="BB1224" s="668">
        <f t="shared" si="407"/>
        <v>0</v>
      </c>
      <c r="BC1224" s="668"/>
      <c r="BD1224" s="668"/>
      <c r="BE1224" s="668"/>
      <c r="BF1224" s="668"/>
      <c r="BG1224" s="668"/>
      <c r="BH1224" s="668"/>
      <c r="BI1224" s="668"/>
    </row>
    <row r="1225" spans="1:61" x14ac:dyDescent="0.2">
      <c r="A1225" s="1021"/>
      <c r="B1225" s="1019" t="s">
        <v>891</v>
      </c>
      <c r="C1225" s="1021"/>
      <c r="D1225" s="667"/>
      <c r="E1225" s="667"/>
      <c r="F1225" s="667"/>
      <c r="G1225" s="667"/>
      <c r="H1225" s="667"/>
      <c r="I1225" s="667"/>
      <c r="J1225" s="667"/>
      <c r="K1225" s="667"/>
      <c r="L1225" s="667"/>
      <c r="M1225" s="667"/>
      <c r="N1225" s="667"/>
      <c r="O1225" s="667"/>
      <c r="P1225" s="667"/>
      <c r="Q1225" s="667"/>
      <c r="R1225" s="667"/>
      <c r="S1225" s="667"/>
      <c r="T1225" s="667"/>
      <c r="U1225" s="1021"/>
      <c r="V1225" s="668">
        <f t="shared" si="410"/>
        <v>0</v>
      </c>
      <c r="W1225" s="668">
        <f t="shared" si="411"/>
        <v>0</v>
      </c>
      <c r="X1225" s="668">
        <f t="shared" si="412"/>
        <v>0</v>
      </c>
      <c r="Y1225" s="668">
        <f t="shared" si="413"/>
        <v>0</v>
      </c>
      <c r="Z1225" s="668">
        <f t="shared" si="414"/>
        <v>0</v>
      </c>
      <c r="AA1225" s="668">
        <f t="shared" si="415"/>
        <v>0</v>
      </c>
      <c r="AB1225" s="668">
        <f t="shared" si="416"/>
        <v>0</v>
      </c>
      <c r="AC1225" s="668">
        <f t="shared" si="406"/>
        <v>0</v>
      </c>
      <c r="AD1225" s="668">
        <f t="shared" si="417"/>
        <v>0</v>
      </c>
      <c r="AE1225" s="668">
        <f t="shared" si="418"/>
        <v>0</v>
      </c>
      <c r="AF1225" s="668">
        <f t="shared" si="419"/>
        <v>0</v>
      </c>
      <c r="AG1225" s="668">
        <f t="shared" si="420"/>
        <v>0</v>
      </c>
      <c r="AH1225" s="668"/>
      <c r="AI1225" s="668"/>
      <c r="AJ1225" s="668"/>
      <c r="AK1225" s="668"/>
      <c r="AL1225" s="668"/>
      <c r="AM1225" s="668">
        <f t="shared" si="408"/>
        <v>0</v>
      </c>
      <c r="AN1225" s="668">
        <f t="shared" si="404"/>
        <v>0</v>
      </c>
      <c r="AO1225" s="668">
        <f t="shared" si="405"/>
        <v>0</v>
      </c>
      <c r="AP1225" s="668">
        <f t="shared" si="409"/>
        <v>0</v>
      </c>
      <c r="AQ1225" s="668">
        <f t="shared" si="421"/>
        <v>0</v>
      </c>
      <c r="AR1225" s="668">
        <f t="shared" si="422"/>
        <v>0</v>
      </c>
      <c r="AS1225" s="668"/>
      <c r="AT1225" s="668"/>
      <c r="AU1225" s="668"/>
      <c r="AV1225" s="668"/>
      <c r="AW1225" s="668"/>
      <c r="AX1225" s="668"/>
      <c r="AY1225" s="668"/>
      <c r="AZ1225" s="668"/>
      <c r="BA1225" s="668"/>
      <c r="BB1225" s="668">
        <f t="shared" si="407"/>
        <v>0</v>
      </c>
      <c r="BC1225" s="668"/>
      <c r="BD1225" s="668"/>
      <c r="BE1225" s="668"/>
      <c r="BF1225" s="668"/>
      <c r="BG1225" s="668"/>
      <c r="BH1225" s="668"/>
      <c r="BI1225" s="668"/>
    </row>
    <row r="1226" spans="1:61" x14ac:dyDescent="0.2">
      <c r="A1226" s="1021">
        <v>7008</v>
      </c>
      <c r="B1226" s="1021" t="s">
        <v>888</v>
      </c>
      <c r="C1226" s="1021"/>
      <c r="D1226" s="667"/>
      <c r="E1226" s="667"/>
      <c r="F1226" s="667"/>
      <c r="G1226" s="667"/>
      <c r="H1226" s="667"/>
      <c r="I1226" s="667"/>
      <c r="J1226" s="667"/>
      <c r="K1226" s="667"/>
      <c r="L1226" s="667"/>
      <c r="M1226" s="667"/>
      <c r="N1226" s="667"/>
      <c r="O1226" s="667"/>
      <c r="P1226" s="667"/>
      <c r="Q1226" s="667"/>
      <c r="R1226" s="667"/>
      <c r="S1226" s="667"/>
      <c r="T1226" s="667"/>
      <c r="U1226" s="1021"/>
      <c r="V1226" s="668">
        <f t="shared" si="410"/>
        <v>0</v>
      </c>
      <c r="W1226" s="668">
        <f t="shared" si="411"/>
        <v>0</v>
      </c>
      <c r="X1226" s="668">
        <f t="shared" si="412"/>
        <v>0</v>
      </c>
      <c r="Y1226" s="668">
        <f t="shared" si="413"/>
        <v>0</v>
      </c>
      <c r="Z1226" s="668">
        <f t="shared" si="414"/>
        <v>0</v>
      </c>
      <c r="AA1226" s="668">
        <f t="shared" si="415"/>
        <v>0</v>
      </c>
      <c r="AB1226" s="668">
        <f t="shared" si="416"/>
        <v>0</v>
      </c>
      <c r="AC1226" s="668">
        <f t="shared" si="406"/>
        <v>0</v>
      </c>
      <c r="AD1226" s="668">
        <f t="shared" si="417"/>
        <v>0</v>
      </c>
      <c r="AE1226" s="668">
        <f t="shared" si="418"/>
        <v>0</v>
      </c>
      <c r="AF1226" s="668">
        <f t="shared" si="419"/>
        <v>0</v>
      </c>
      <c r="AG1226" s="668">
        <f t="shared" si="420"/>
        <v>0</v>
      </c>
      <c r="AH1226" s="668"/>
      <c r="AI1226" s="668"/>
      <c r="AJ1226" s="668"/>
      <c r="AK1226" s="668"/>
      <c r="AL1226" s="668"/>
      <c r="AM1226" s="668">
        <f t="shared" si="408"/>
        <v>0</v>
      </c>
      <c r="AN1226" s="668">
        <f t="shared" si="404"/>
        <v>0</v>
      </c>
      <c r="AO1226" s="668">
        <f t="shared" si="405"/>
        <v>0</v>
      </c>
      <c r="AP1226" s="668">
        <f t="shared" si="409"/>
        <v>0</v>
      </c>
      <c r="AQ1226" s="668">
        <f t="shared" si="421"/>
        <v>0</v>
      </c>
      <c r="AR1226" s="668">
        <f t="shared" si="422"/>
        <v>0</v>
      </c>
      <c r="AS1226" s="668">
        <v>1</v>
      </c>
      <c r="AT1226" s="668">
        <v>1</v>
      </c>
      <c r="AU1226" s="668"/>
      <c r="AV1226" s="668"/>
      <c r="AW1226" s="668"/>
      <c r="AX1226" s="668"/>
      <c r="AY1226" s="668"/>
      <c r="AZ1226" s="668"/>
      <c r="BA1226" s="668"/>
      <c r="BB1226" s="668">
        <f t="shared" si="407"/>
        <v>0</v>
      </c>
      <c r="BC1226" s="668"/>
      <c r="BD1226" s="668"/>
      <c r="BE1226" s="668"/>
      <c r="BF1226" s="668"/>
      <c r="BG1226" s="668"/>
      <c r="BH1226" s="668"/>
      <c r="BI1226" s="668"/>
    </row>
    <row r="1227" spans="1:61" x14ac:dyDescent="0.2">
      <c r="A1227" s="1021">
        <v>8000</v>
      </c>
      <c r="B1227" s="1021" t="s">
        <v>465</v>
      </c>
      <c r="C1227" s="1021" t="s">
        <v>984</v>
      </c>
      <c r="D1227" s="667">
        <v>160</v>
      </c>
      <c r="E1227" s="667"/>
      <c r="F1227" s="667"/>
      <c r="G1227" s="667"/>
      <c r="H1227" s="667"/>
      <c r="I1227" s="667">
        <f>+D1227</f>
        <v>160</v>
      </c>
      <c r="J1227" s="667"/>
      <c r="K1227" s="667"/>
      <c r="L1227" s="667"/>
      <c r="M1227" s="667"/>
      <c r="N1227" s="667"/>
      <c r="O1227" s="667"/>
      <c r="P1227" s="667"/>
      <c r="Q1227" s="667"/>
      <c r="R1227" s="667"/>
      <c r="S1227" s="667"/>
      <c r="T1227" s="667"/>
      <c r="U1227" s="1021">
        <v>12</v>
      </c>
      <c r="V1227" s="668">
        <f t="shared" si="410"/>
        <v>1920</v>
      </c>
      <c r="W1227" s="668">
        <f t="shared" si="411"/>
        <v>0</v>
      </c>
      <c r="X1227" s="668">
        <f t="shared" si="412"/>
        <v>0</v>
      </c>
      <c r="Y1227" s="668">
        <f t="shared" si="413"/>
        <v>0</v>
      </c>
      <c r="Z1227" s="668">
        <f t="shared" si="414"/>
        <v>1920</v>
      </c>
      <c r="AA1227" s="668">
        <f t="shared" si="415"/>
        <v>0</v>
      </c>
      <c r="AB1227" s="668">
        <f t="shared" si="416"/>
        <v>0</v>
      </c>
      <c r="AC1227" s="668">
        <f t="shared" si="406"/>
        <v>0</v>
      </c>
      <c r="AD1227" s="668">
        <f t="shared" si="417"/>
        <v>0</v>
      </c>
      <c r="AE1227" s="668">
        <f t="shared" si="418"/>
        <v>0</v>
      </c>
      <c r="AF1227" s="668">
        <f t="shared" si="419"/>
        <v>0</v>
      </c>
      <c r="AG1227" s="668">
        <f t="shared" si="420"/>
        <v>0</v>
      </c>
      <c r="AH1227" s="668"/>
      <c r="AI1227" s="668"/>
      <c r="AJ1227" s="668"/>
      <c r="AK1227" s="668"/>
      <c r="AL1227" s="668"/>
      <c r="AM1227" s="668">
        <f t="shared" si="408"/>
        <v>160</v>
      </c>
      <c r="AN1227" s="668">
        <f t="shared" ref="AN1227:AN1269" si="423">+U1227*E1227</f>
        <v>0</v>
      </c>
      <c r="AO1227" s="668">
        <f t="shared" ref="AO1227:AO1269" si="424">+U1227*O1227</f>
        <v>0</v>
      </c>
      <c r="AP1227" s="668">
        <f t="shared" si="409"/>
        <v>0</v>
      </c>
      <c r="AQ1227" s="668">
        <f t="shared" si="421"/>
        <v>0</v>
      </c>
      <c r="AR1227" s="668">
        <f t="shared" si="422"/>
        <v>0</v>
      </c>
      <c r="AS1227" s="668"/>
      <c r="AT1227" s="668"/>
      <c r="AU1227" s="668"/>
      <c r="AV1227" s="668"/>
      <c r="AW1227" s="668"/>
      <c r="AX1227" s="668"/>
      <c r="AY1227" s="668"/>
      <c r="AZ1227" s="668"/>
      <c r="BA1227" s="668"/>
      <c r="BB1227" s="668">
        <f t="shared" si="407"/>
        <v>0</v>
      </c>
      <c r="BC1227" s="668"/>
      <c r="BD1227" s="668"/>
      <c r="BE1227" s="668"/>
      <c r="BF1227" s="668"/>
      <c r="BG1227" s="668"/>
      <c r="BH1227" s="668"/>
      <c r="BI1227" s="668"/>
    </row>
    <row r="1228" spans="1:61" x14ac:dyDescent="0.2">
      <c r="A1228" s="1021" t="s">
        <v>892</v>
      </c>
      <c r="B1228" s="1021" t="s">
        <v>533</v>
      </c>
      <c r="C1228" s="1021"/>
      <c r="D1228" s="667"/>
      <c r="E1228" s="667"/>
      <c r="F1228" s="667"/>
      <c r="G1228" s="667"/>
      <c r="H1228" s="667"/>
      <c r="I1228" s="667"/>
      <c r="J1228" s="667"/>
      <c r="K1228" s="667"/>
      <c r="L1228" s="667"/>
      <c r="M1228" s="667"/>
      <c r="N1228" s="667"/>
      <c r="O1228" s="667"/>
      <c r="P1228" s="667"/>
      <c r="Q1228" s="667"/>
      <c r="R1228" s="667"/>
      <c r="S1228" s="667"/>
      <c r="T1228" s="667"/>
      <c r="U1228" s="1021"/>
      <c r="V1228" s="668">
        <f t="shared" si="410"/>
        <v>0</v>
      </c>
      <c r="W1228" s="668">
        <f t="shared" si="411"/>
        <v>0</v>
      </c>
      <c r="X1228" s="668">
        <f t="shared" si="412"/>
        <v>0</v>
      </c>
      <c r="Y1228" s="668">
        <f t="shared" si="413"/>
        <v>0</v>
      </c>
      <c r="Z1228" s="668">
        <f t="shared" si="414"/>
        <v>0</v>
      </c>
      <c r="AA1228" s="668">
        <f t="shared" si="415"/>
        <v>0</v>
      </c>
      <c r="AB1228" s="668">
        <f t="shared" si="416"/>
        <v>0</v>
      </c>
      <c r="AC1228" s="668">
        <f t="shared" si="406"/>
        <v>0</v>
      </c>
      <c r="AD1228" s="668">
        <f t="shared" si="417"/>
        <v>0</v>
      </c>
      <c r="AE1228" s="668">
        <f t="shared" si="418"/>
        <v>0</v>
      </c>
      <c r="AF1228" s="668">
        <f t="shared" si="419"/>
        <v>0</v>
      </c>
      <c r="AG1228" s="668">
        <f t="shared" si="420"/>
        <v>0</v>
      </c>
      <c r="AH1228" s="668"/>
      <c r="AI1228" s="668"/>
      <c r="AJ1228" s="668"/>
      <c r="AK1228" s="668"/>
      <c r="AL1228" s="668"/>
      <c r="AM1228" s="668">
        <f t="shared" si="408"/>
        <v>0</v>
      </c>
      <c r="AN1228" s="668">
        <f t="shared" si="423"/>
        <v>0</v>
      </c>
      <c r="AO1228" s="668">
        <f t="shared" si="424"/>
        <v>0</v>
      </c>
      <c r="AP1228" s="668">
        <f t="shared" si="409"/>
        <v>0</v>
      </c>
      <c r="AQ1228" s="668">
        <f t="shared" si="421"/>
        <v>0</v>
      </c>
      <c r="AR1228" s="668">
        <f t="shared" si="422"/>
        <v>0</v>
      </c>
      <c r="AS1228" s="668"/>
      <c r="AT1228" s="668"/>
      <c r="AU1228" s="668"/>
      <c r="AV1228" s="668"/>
      <c r="AW1228" s="668"/>
      <c r="AX1228" s="668"/>
      <c r="AY1228" s="668"/>
      <c r="AZ1228" s="668"/>
      <c r="BA1228" s="668"/>
      <c r="BB1228" s="668">
        <f t="shared" si="407"/>
        <v>0</v>
      </c>
      <c r="BC1228" s="668"/>
      <c r="BD1228" s="668"/>
      <c r="BE1228" s="668"/>
      <c r="BF1228" s="668"/>
      <c r="BG1228" s="668"/>
      <c r="BH1228" s="668"/>
      <c r="BI1228" s="668"/>
    </row>
    <row r="1229" spans="1:61" x14ac:dyDescent="0.2">
      <c r="A1229" s="1021" t="s">
        <v>893</v>
      </c>
      <c r="B1229" s="1021" t="s">
        <v>543</v>
      </c>
      <c r="C1229" s="1021"/>
      <c r="D1229" s="667"/>
      <c r="E1229" s="667"/>
      <c r="F1229" s="667"/>
      <c r="G1229" s="667"/>
      <c r="H1229" s="667"/>
      <c r="I1229" s="667"/>
      <c r="J1229" s="667"/>
      <c r="K1229" s="667"/>
      <c r="L1229" s="667"/>
      <c r="M1229" s="667"/>
      <c r="N1229" s="667"/>
      <c r="O1229" s="667"/>
      <c r="P1229" s="667"/>
      <c r="Q1229" s="667"/>
      <c r="R1229" s="667"/>
      <c r="S1229" s="667"/>
      <c r="T1229" s="667"/>
      <c r="U1229" s="1021"/>
      <c r="V1229" s="668">
        <f t="shared" si="410"/>
        <v>0</v>
      </c>
      <c r="W1229" s="668">
        <f t="shared" si="411"/>
        <v>0</v>
      </c>
      <c r="X1229" s="668">
        <f t="shared" si="412"/>
        <v>0</v>
      </c>
      <c r="Y1229" s="668">
        <f t="shared" si="413"/>
        <v>0</v>
      </c>
      <c r="Z1229" s="668">
        <f t="shared" si="414"/>
        <v>0</v>
      </c>
      <c r="AA1229" s="668">
        <f t="shared" si="415"/>
        <v>0</v>
      </c>
      <c r="AB1229" s="668">
        <f t="shared" si="416"/>
        <v>0</v>
      </c>
      <c r="AC1229" s="668">
        <f t="shared" ref="AC1229:AC1269" si="425">+U1229*P1229</f>
        <v>0</v>
      </c>
      <c r="AD1229" s="668">
        <f t="shared" si="417"/>
        <v>0</v>
      </c>
      <c r="AE1229" s="668">
        <f t="shared" si="418"/>
        <v>0</v>
      </c>
      <c r="AF1229" s="668">
        <f t="shared" si="419"/>
        <v>0</v>
      </c>
      <c r="AG1229" s="668">
        <f t="shared" si="420"/>
        <v>0</v>
      </c>
      <c r="AH1229" s="668"/>
      <c r="AI1229" s="668"/>
      <c r="AJ1229" s="668"/>
      <c r="AK1229" s="668"/>
      <c r="AL1229" s="668"/>
      <c r="AM1229" s="668">
        <f t="shared" si="408"/>
        <v>0</v>
      </c>
      <c r="AN1229" s="668">
        <f t="shared" si="423"/>
        <v>0</v>
      </c>
      <c r="AO1229" s="668">
        <f t="shared" si="424"/>
        <v>0</v>
      </c>
      <c r="AP1229" s="668">
        <f t="shared" si="409"/>
        <v>0</v>
      </c>
      <c r="AQ1229" s="668">
        <f t="shared" si="421"/>
        <v>0</v>
      </c>
      <c r="AR1229" s="668">
        <f t="shared" si="422"/>
        <v>0</v>
      </c>
      <c r="AS1229" s="668"/>
      <c r="AT1229" s="668"/>
      <c r="AU1229" s="668"/>
      <c r="AV1229" s="668"/>
      <c r="AW1229" s="668"/>
      <c r="AX1229" s="668"/>
      <c r="AY1229" s="668"/>
      <c r="AZ1229" s="668"/>
      <c r="BA1229" s="668"/>
      <c r="BB1229" s="668">
        <f t="shared" si="407"/>
        <v>0</v>
      </c>
      <c r="BC1229" s="668"/>
      <c r="BD1229" s="668"/>
      <c r="BE1229" s="668"/>
      <c r="BF1229" s="668"/>
      <c r="BG1229" s="668"/>
      <c r="BH1229" s="668"/>
      <c r="BI1229" s="668"/>
    </row>
    <row r="1230" spans="1:61" x14ac:dyDescent="0.2">
      <c r="A1230" s="1021">
        <v>8004</v>
      </c>
      <c r="B1230" s="1021" t="s">
        <v>466</v>
      </c>
      <c r="C1230" s="1021"/>
      <c r="D1230" s="667">
        <v>60</v>
      </c>
      <c r="E1230" s="667"/>
      <c r="F1230" s="667"/>
      <c r="G1230" s="667"/>
      <c r="H1230" s="667"/>
      <c r="I1230" s="667"/>
      <c r="J1230" s="667"/>
      <c r="K1230" s="667"/>
      <c r="L1230" s="667"/>
      <c r="M1230" s="667"/>
      <c r="N1230" s="667"/>
      <c r="O1230" s="667"/>
      <c r="P1230" s="667"/>
      <c r="Q1230" s="667"/>
      <c r="R1230" s="667"/>
      <c r="S1230" s="667"/>
      <c r="T1230" s="667"/>
      <c r="U1230" s="1021">
        <v>3</v>
      </c>
      <c r="V1230" s="668">
        <f t="shared" si="410"/>
        <v>180</v>
      </c>
      <c r="W1230" s="668">
        <f t="shared" si="411"/>
        <v>0</v>
      </c>
      <c r="X1230" s="668">
        <f t="shared" si="412"/>
        <v>0</v>
      </c>
      <c r="Y1230" s="668">
        <f t="shared" si="413"/>
        <v>0</v>
      </c>
      <c r="Z1230" s="668">
        <f t="shared" si="414"/>
        <v>0</v>
      </c>
      <c r="AA1230" s="668">
        <f t="shared" si="415"/>
        <v>0</v>
      </c>
      <c r="AB1230" s="668">
        <f t="shared" si="416"/>
        <v>0</v>
      </c>
      <c r="AC1230" s="668">
        <f t="shared" si="425"/>
        <v>0</v>
      </c>
      <c r="AD1230" s="668">
        <f t="shared" si="417"/>
        <v>0</v>
      </c>
      <c r="AE1230" s="668">
        <f t="shared" si="418"/>
        <v>0</v>
      </c>
      <c r="AF1230" s="668">
        <f t="shared" si="419"/>
        <v>0</v>
      </c>
      <c r="AG1230" s="668">
        <f t="shared" si="420"/>
        <v>0</v>
      </c>
      <c r="AH1230" s="668"/>
      <c r="AI1230" s="668"/>
      <c r="AJ1230" s="668"/>
      <c r="AK1230" s="668"/>
      <c r="AL1230" s="668"/>
      <c r="AM1230" s="668">
        <f t="shared" si="408"/>
        <v>0</v>
      </c>
      <c r="AN1230" s="668">
        <f t="shared" si="423"/>
        <v>0</v>
      </c>
      <c r="AO1230" s="668">
        <f t="shared" si="424"/>
        <v>0</v>
      </c>
      <c r="AP1230" s="668">
        <f t="shared" si="409"/>
        <v>0</v>
      </c>
      <c r="AQ1230" s="668">
        <f t="shared" si="421"/>
        <v>0</v>
      </c>
      <c r="AR1230" s="668">
        <f t="shared" si="422"/>
        <v>0</v>
      </c>
      <c r="AS1230" s="668"/>
      <c r="AT1230" s="668"/>
      <c r="AU1230" s="668"/>
      <c r="AV1230" s="668"/>
      <c r="AW1230" s="668"/>
      <c r="AX1230" s="668"/>
      <c r="AY1230" s="668"/>
      <c r="AZ1230" s="668"/>
      <c r="BA1230" s="668"/>
      <c r="BB1230" s="668">
        <f t="shared" si="407"/>
        <v>0</v>
      </c>
      <c r="BC1230" s="668"/>
      <c r="BD1230" s="668"/>
      <c r="BE1230" s="668"/>
      <c r="BF1230" s="668"/>
      <c r="BG1230" s="668"/>
      <c r="BH1230" s="668"/>
      <c r="BI1230" s="668"/>
    </row>
    <row r="1231" spans="1:61" x14ac:dyDescent="0.2">
      <c r="A1231" s="1021">
        <v>8005</v>
      </c>
      <c r="B1231" s="1021" t="s">
        <v>467</v>
      </c>
      <c r="C1231" s="1021"/>
      <c r="D1231" s="667">
        <v>60</v>
      </c>
      <c r="E1231" s="667"/>
      <c r="F1231" s="667"/>
      <c r="G1231" s="667"/>
      <c r="H1231" s="667"/>
      <c r="I1231" s="667"/>
      <c r="J1231" s="667"/>
      <c r="K1231" s="667"/>
      <c r="L1231" s="667"/>
      <c r="M1231" s="667"/>
      <c r="N1231" s="667"/>
      <c r="O1231" s="667"/>
      <c r="P1231" s="667"/>
      <c r="Q1231" s="667"/>
      <c r="R1231" s="667"/>
      <c r="S1231" s="667"/>
      <c r="T1231" s="667"/>
      <c r="U1231" s="1021">
        <v>3</v>
      </c>
      <c r="V1231" s="668">
        <f t="shared" si="410"/>
        <v>180</v>
      </c>
      <c r="W1231" s="668">
        <f t="shared" si="411"/>
        <v>0</v>
      </c>
      <c r="X1231" s="668">
        <f t="shared" si="412"/>
        <v>0</v>
      </c>
      <c r="Y1231" s="668">
        <f t="shared" si="413"/>
        <v>0</v>
      </c>
      <c r="Z1231" s="668">
        <f t="shared" si="414"/>
        <v>0</v>
      </c>
      <c r="AA1231" s="668">
        <f t="shared" si="415"/>
        <v>0</v>
      </c>
      <c r="AB1231" s="668">
        <f t="shared" si="416"/>
        <v>0</v>
      </c>
      <c r="AC1231" s="668">
        <f t="shared" si="425"/>
        <v>0</v>
      </c>
      <c r="AD1231" s="668">
        <f t="shared" si="417"/>
        <v>0</v>
      </c>
      <c r="AE1231" s="668">
        <f t="shared" si="418"/>
        <v>0</v>
      </c>
      <c r="AF1231" s="668">
        <f t="shared" si="419"/>
        <v>0</v>
      </c>
      <c r="AG1231" s="668">
        <f t="shared" si="420"/>
        <v>0</v>
      </c>
      <c r="AH1231" s="668"/>
      <c r="AI1231" s="668"/>
      <c r="AJ1231" s="668"/>
      <c r="AK1231" s="668"/>
      <c r="AL1231" s="668"/>
      <c r="AM1231" s="668">
        <f t="shared" si="408"/>
        <v>0</v>
      </c>
      <c r="AN1231" s="668">
        <f t="shared" si="423"/>
        <v>0</v>
      </c>
      <c r="AO1231" s="668">
        <f t="shared" si="424"/>
        <v>0</v>
      </c>
      <c r="AP1231" s="668">
        <f t="shared" si="409"/>
        <v>0</v>
      </c>
      <c r="AQ1231" s="668">
        <f t="shared" si="421"/>
        <v>0</v>
      </c>
      <c r="AR1231" s="668">
        <f t="shared" si="422"/>
        <v>0</v>
      </c>
      <c r="AS1231" s="668"/>
      <c r="AT1231" s="668"/>
      <c r="AU1231" s="668"/>
      <c r="AV1231" s="668"/>
      <c r="AW1231" s="668"/>
      <c r="AX1231" s="668"/>
      <c r="AY1231" s="668"/>
      <c r="AZ1231" s="668"/>
      <c r="BA1231" s="668"/>
      <c r="BB1231" s="668">
        <f t="shared" si="407"/>
        <v>0</v>
      </c>
      <c r="BC1231" s="668"/>
      <c r="BD1231" s="668"/>
      <c r="BE1231" s="668"/>
      <c r="BF1231" s="668"/>
      <c r="BG1231" s="668"/>
      <c r="BH1231" s="668"/>
      <c r="BI1231" s="668"/>
    </row>
    <row r="1232" spans="1:61" x14ac:dyDescent="0.2">
      <c r="A1232" s="1021">
        <v>8006</v>
      </c>
      <c r="B1232" s="1021" t="s">
        <v>738</v>
      </c>
      <c r="C1232" s="1021"/>
      <c r="D1232" s="667">
        <v>118</v>
      </c>
      <c r="E1232" s="667"/>
      <c r="F1232" s="667"/>
      <c r="G1232" s="667"/>
      <c r="H1232" s="667"/>
      <c r="I1232" s="667"/>
      <c r="J1232" s="667"/>
      <c r="K1232" s="667"/>
      <c r="L1232" s="667"/>
      <c r="M1232" s="667"/>
      <c r="N1232" s="667"/>
      <c r="O1232" s="667"/>
      <c r="P1232" s="667"/>
      <c r="Q1232" s="667"/>
      <c r="R1232" s="667"/>
      <c r="S1232" s="667"/>
      <c r="T1232" s="667"/>
      <c r="U1232" s="1021">
        <v>4</v>
      </c>
      <c r="V1232" s="668">
        <f t="shared" si="410"/>
        <v>472</v>
      </c>
      <c r="W1232" s="668">
        <f t="shared" si="411"/>
        <v>0</v>
      </c>
      <c r="X1232" s="668">
        <f t="shared" si="412"/>
        <v>0</v>
      </c>
      <c r="Y1232" s="668">
        <f t="shared" si="413"/>
        <v>0</v>
      </c>
      <c r="Z1232" s="668">
        <f t="shared" si="414"/>
        <v>0</v>
      </c>
      <c r="AA1232" s="668">
        <f t="shared" si="415"/>
        <v>0</v>
      </c>
      <c r="AB1232" s="668">
        <f t="shared" si="416"/>
        <v>0</v>
      </c>
      <c r="AC1232" s="668">
        <f t="shared" si="425"/>
        <v>0</v>
      </c>
      <c r="AD1232" s="668">
        <f t="shared" si="417"/>
        <v>0</v>
      </c>
      <c r="AE1232" s="668">
        <f t="shared" si="418"/>
        <v>0</v>
      </c>
      <c r="AF1232" s="668">
        <f t="shared" si="419"/>
        <v>0</v>
      </c>
      <c r="AG1232" s="668">
        <f t="shared" si="420"/>
        <v>0</v>
      </c>
      <c r="AH1232" s="668"/>
      <c r="AI1232" s="668"/>
      <c r="AJ1232" s="668"/>
      <c r="AK1232" s="668"/>
      <c r="AL1232" s="668"/>
      <c r="AM1232" s="668">
        <f t="shared" si="408"/>
        <v>0</v>
      </c>
      <c r="AN1232" s="668">
        <f t="shared" si="423"/>
        <v>0</v>
      </c>
      <c r="AO1232" s="668">
        <f t="shared" si="424"/>
        <v>0</v>
      </c>
      <c r="AP1232" s="668">
        <f t="shared" si="409"/>
        <v>0</v>
      </c>
      <c r="AQ1232" s="668">
        <f t="shared" si="421"/>
        <v>0</v>
      </c>
      <c r="AR1232" s="668">
        <f t="shared" si="422"/>
        <v>0</v>
      </c>
      <c r="AS1232" s="668"/>
      <c r="AT1232" s="668"/>
      <c r="AU1232" s="668"/>
      <c r="AV1232" s="668"/>
      <c r="AW1232" s="668"/>
      <c r="AX1232" s="668"/>
      <c r="AY1232" s="668"/>
      <c r="AZ1232" s="668"/>
      <c r="BA1232" s="668"/>
      <c r="BB1232" s="668">
        <f t="shared" si="407"/>
        <v>0</v>
      </c>
      <c r="BC1232" s="668"/>
      <c r="BD1232" s="668"/>
      <c r="BE1232" s="668"/>
      <c r="BF1232" s="668"/>
      <c r="BG1232" s="668"/>
      <c r="BH1232" s="668"/>
      <c r="BI1232" s="668"/>
    </row>
    <row r="1233" spans="1:61" x14ac:dyDescent="0.2">
      <c r="A1233" s="1021">
        <v>8007</v>
      </c>
      <c r="B1233" s="1021" t="s">
        <v>476</v>
      </c>
      <c r="C1233" s="1021"/>
      <c r="D1233" s="667">
        <v>37</v>
      </c>
      <c r="E1233" s="667"/>
      <c r="F1233" s="667"/>
      <c r="G1233" s="667"/>
      <c r="H1233" s="667"/>
      <c r="I1233" s="667"/>
      <c r="J1233" s="667"/>
      <c r="K1233" s="667"/>
      <c r="L1233" s="667"/>
      <c r="M1233" s="667"/>
      <c r="N1233" s="667"/>
      <c r="O1233" s="667"/>
      <c r="P1233" s="667"/>
      <c r="Q1233" s="667">
        <v>80</v>
      </c>
      <c r="R1233" s="667"/>
      <c r="S1233" s="667"/>
      <c r="T1233" s="667"/>
      <c r="U1233" s="1021">
        <v>12</v>
      </c>
      <c r="V1233" s="668">
        <f t="shared" si="410"/>
        <v>444</v>
      </c>
      <c r="W1233" s="668">
        <f t="shared" si="411"/>
        <v>0</v>
      </c>
      <c r="X1233" s="668">
        <f t="shared" si="412"/>
        <v>0</v>
      </c>
      <c r="Y1233" s="668">
        <f t="shared" si="413"/>
        <v>0</v>
      </c>
      <c r="Z1233" s="668">
        <f t="shared" si="414"/>
        <v>0</v>
      </c>
      <c r="AA1233" s="668">
        <f t="shared" si="415"/>
        <v>0</v>
      </c>
      <c r="AB1233" s="668">
        <f t="shared" si="416"/>
        <v>0</v>
      </c>
      <c r="AC1233" s="668">
        <f t="shared" si="425"/>
        <v>0</v>
      </c>
      <c r="AD1233" s="668">
        <f t="shared" si="417"/>
        <v>80</v>
      </c>
      <c r="AE1233" s="668">
        <f t="shared" si="418"/>
        <v>0</v>
      </c>
      <c r="AF1233" s="668">
        <f t="shared" si="419"/>
        <v>0</v>
      </c>
      <c r="AG1233" s="668">
        <f t="shared" si="420"/>
        <v>0</v>
      </c>
      <c r="AH1233" s="668"/>
      <c r="AI1233" s="668"/>
      <c r="AJ1233" s="668"/>
      <c r="AK1233" s="668"/>
      <c r="AL1233" s="668"/>
      <c r="AM1233" s="668">
        <f t="shared" si="408"/>
        <v>0</v>
      </c>
      <c r="AN1233" s="668">
        <f t="shared" si="423"/>
        <v>0</v>
      </c>
      <c r="AO1233" s="668">
        <f t="shared" si="424"/>
        <v>0</v>
      </c>
      <c r="AP1233" s="668">
        <f t="shared" si="409"/>
        <v>0</v>
      </c>
      <c r="AQ1233" s="668">
        <f t="shared" si="421"/>
        <v>0</v>
      </c>
      <c r="AR1233" s="668">
        <f t="shared" si="422"/>
        <v>0</v>
      </c>
      <c r="AS1233" s="668"/>
      <c r="AT1233" s="668"/>
      <c r="AU1233" s="668"/>
      <c r="AV1233" s="668"/>
      <c r="AW1233" s="668"/>
      <c r="AX1233" s="668"/>
      <c r="AY1233" s="668"/>
      <c r="AZ1233" s="668"/>
      <c r="BA1233" s="668"/>
      <c r="BB1233" s="668">
        <f t="shared" si="407"/>
        <v>0</v>
      </c>
      <c r="BC1233" s="668"/>
      <c r="BD1233" s="668"/>
      <c r="BE1233" s="668"/>
      <c r="BF1233" s="668"/>
      <c r="BG1233" s="668"/>
      <c r="BH1233" s="668"/>
      <c r="BI1233" s="668"/>
    </row>
    <row r="1234" spans="1:61" x14ac:dyDescent="0.2">
      <c r="A1234" s="1021">
        <v>8011</v>
      </c>
      <c r="B1234" s="1021" t="s">
        <v>896</v>
      </c>
      <c r="C1234" s="1021"/>
      <c r="D1234" s="667">
        <v>92</v>
      </c>
      <c r="E1234" s="667"/>
      <c r="F1234" s="667"/>
      <c r="G1234" s="667"/>
      <c r="H1234" s="667"/>
      <c r="I1234" s="667"/>
      <c r="J1234" s="667"/>
      <c r="K1234" s="667"/>
      <c r="L1234" s="667"/>
      <c r="M1234" s="667"/>
      <c r="N1234" s="667"/>
      <c r="O1234" s="667"/>
      <c r="P1234" s="667"/>
      <c r="Q1234" s="667"/>
      <c r="R1234" s="667"/>
      <c r="S1234" s="667"/>
      <c r="T1234" s="667"/>
      <c r="U1234" s="1021">
        <v>10</v>
      </c>
      <c r="V1234" s="668">
        <f t="shared" si="410"/>
        <v>920</v>
      </c>
      <c r="W1234" s="668">
        <f t="shared" si="411"/>
        <v>0</v>
      </c>
      <c r="X1234" s="668">
        <f t="shared" si="412"/>
        <v>0</v>
      </c>
      <c r="Y1234" s="668">
        <f t="shared" si="413"/>
        <v>0</v>
      </c>
      <c r="Z1234" s="668">
        <f t="shared" si="414"/>
        <v>0</v>
      </c>
      <c r="AA1234" s="668">
        <f t="shared" si="415"/>
        <v>0</v>
      </c>
      <c r="AB1234" s="668">
        <f t="shared" si="416"/>
        <v>0</v>
      </c>
      <c r="AC1234" s="668">
        <f t="shared" si="425"/>
        <v>0</v>
      </c>
      <c r="AD1234" s="668">
        <f t="shared" si="417"/>
        <v>0</v>
      </c>
      <c r="AE1234" s="668">
        <f t="shared" si="418"/>
        <v>0</v>
      </c>
      <c r="AF1234" s="668">
        <f t="shared" si="419"/>
        <v>0</v>
      </c>
      <c r="AG1234" s="668">
        <f t="shared" si="420"/>
        <v>0</v>
      </c>
      <c r="AH1234" s="668"/>
      <c r="AI1234" s="668"/>
      <c r="AJ1234" s="668"/>
      <c r="AK1234" s="668"/>
      <c r="AL1234" s="668"/>
      <c r="AM1234" s="668">
        <f t="shared" si="408"/>
        <v>0</v>
      </c>
      <c r="AN1234" s="668">
        <f t="shared" si="423"/>
        <v>0</v>
      </c>
      <c r="AO1234" s="668">
        <f t="shared" si="424"/>
        <v>0</v>
      </c>
      <c r="AP1234" s="668">
        <f t="shared" si="409"/>
        <v>0</v>
      </c>
      <c r="AQ1234" s="668">
        <f t="shared" si="421"/>
        <v>0</v>
      </c>
      <c r="AR1234" s="668">
        <f t="shared" si="422"/>
        <v>0</v>
      </c>
      <c r="AS1234" s="668"/>
      <c r="AT1234" s="668"/>
      <c r="AU1234" s="668"/>
      <c r="AV1234" s="668"/>
      <c r="AW1234" s="668"/>
      <c r="AX1234" s="668"/>
      <c r="AY1234" s="668"/>
      <c r="AZ1234" s="668"/>
      <c r="BA1234" s="668"/>
      <c r="BB1234" s="668">
        <f t="shared" ref="BB1234:BB1271" si="426">+AP1234</f>
        <v>0</v>
      </c>
      <c r="BC1234" s="668"/>
      <c r="BD1234" s="668"/>
      <c r="BE1234" s="668"/>
      <c r="BF1234" s="668"/>
      <c r="BG1234" s="668"/>
      <c r="BH1234" s="668"/>
      <c r="BI1234" s="668"/>
    </row>
    <row r="1235" spans="1:61" x14ac:dyDescent="0.2">
      <c r="A1235" s="1021" t="s">
        <v>894</v>
      </c>
      <c r="B1235" s="1021" t="s">
        <v>611</v>
      </c>
      <c r="C1235" s="1021"/>
      <c r="D1235" s="667"/>
      <c r="E1235" s="667"/>
      <c r="F1235" s="667"/>
      <c r="G1235" s="667"/>
      <c r="H1235" s="667"/>
      <c r="I1235" s="667"/>
      <c r="J1235" s="667">
        <v>61</v>
      </c>
      <c r="K1235" s="667"/>
      <c r="L1235" s="667"/>
      <c r="M1235" s="667"/>
      <c r="N1235" s="667"/>
      <c r="O1235" s="667"/>
      <c r="P1235" s="667"/>
      <c r="Q1235" s="667"/>
      <c r="R1235" s="667"/>
      <c r="S1235" s="667"/>
      <c r="T1235" s="667"/>
      <c r="U1235" s="1021">
        <v>14</v>
      </c>
      <c r="V1235" s="668">
        <f t="shared" si="410"/>
        <v>0</v>
      </c>
      <c r="W1235" s="668">
        <f t="shared" si="411"/>
        <v>0</v>
      </c>
      <c r="X1235" s="668">
        <f t="shared" si="412"/>
        <v>0</v>
      </c>
      <c r="Y1235" s="668">
        <f t="shared" si="413"/>
        <v>854</v>
      </c>
      <c r="Z1235" s="668">
        <f t="shared" si="414"/>
        <v>0</v>
      </c>
      <c r="AA1235" s="668">
        <f t="shared" si="415"/>
        <v>0</v>
      </c>
      <c r="AB1235" s="668">
        <f t="shared" si="416"/>
        <v>0</v>
      </c>
      <c r="AC1235" s="668">
        <f t="shared" si="425"/>
        <v>0</v>
      </c>
      <c r="AD1235" s="668">
        <f t="shared" si="417"/>
        <v>0</v>
      </c>
      <c r="AE1235" s="668">
        <f t="shared" si="418"/>
        <v>0</v>
      </c>
      <c r="AF1235" s="668">
        <f t="shared" si="419"/>
        <v>0</v>
      </c>
      <c r="AG1235" s="668">
        <f t="shared" si="420"/>
        <v>0</v>
      </c>
      <c r="AH1235" s="668"/>
      <c r="AI1235" s="668"/>
      <c r="AJ1235" s="668"/>
      <c r="AK1235" s="668"/>
      <c r="AL1235" s="668"/>
      <c r="AM1235" s="668">
        <f t="shared" si="408"/>
        <v>0</v>
      </c>
      <c r="AN1235" s="668">
        <f t="shared" si="423"/>
        <v>0</v>
      </c>
      <c r="AO1235" s="668">
        <f t="shared" si="424"/>
        <v>0</v>
      </c>
      <c r="AP1235" s="668">
        <f t="shared" si="409"/>
        <v>0</v>
      </c>
      <c r="AQ1235" s="668">
        <f t="shared" si="421"/>
        <v>0</v>
      </c>
      <c r="AR1235" s="668">
        <f t="shared" si="422"/>
        <v>0</v>
      </c>
      <c r="AS1235" s="668"/>
      <c r="AT1235" s="668"/>
      <c r="AU1235" s="668"/>
      <c r="AV1235" s="668"/>
      <c r="AW1235" s="668"/>
      <c r="AX1235" s="668"/>
      <c r="AY1235" s="668"/>
      <c r="AZ1235" s="668"/>
      <c r="BA1235" s="668"/>
      <c r="BB1235" s="668">
        <f t="shared" si="426"/>
        <v>0</v>
      </c>
      <c r="BC1235" s="668"/>
      <c r="BD1235" s="668"/>
      <c r="BE1235" s="668"/>
      <c r="BF1235" s="668"/>
      <c r="BG1235" s="668"/>
      <c r="BH1235" s="668"/>
      <c r="BI1235" s="668"/>
    </row>
    <row r="1236" spans="1:61" x14ac:dyDescent="0.2">
      <c r="A1236" s="1021" t="s">
        <v>895</v>
      </c>
      <c r="B1236" s="1021" t="s">
        <v>612</v>
      </c>
      <c r="C1236" s="1021"/>
      <c r="D1236" s="667"/>
      <c r="E1236" s="667"/>
      <c r="F1236" s="667"/>
      <c r="G1236" s="667"/>
      <c r="H1236" s="667"/>
      <c r="I1236" s="667"/>
      <c r="J1236" s="667">
        <v>61</v>
      </c>
      <c r="K1236" s="667"/>
      <c r="L1236" s="667"/>
      <c r="M1236" s="667"/>
      <c r="N1236" s="667"/>
      <c r="O1236" s="667"/>
      <c r="P1236" s="667"/>
      <c r="Q1236" s="667"/>
      <c r="R1236" s="667"/>
      <c r="S1236" s="667"/>
      <c r="T1236" s="667"/>
      <c r="U1236" s="1021">
        <v>14</v>
      </c>
      <c r="V1236" s="668">
        <f t="shared" si="410"/>
        <v>0</v>
      </c>
      <c r="W1236" s="668">
        <f t="shared" si="411"/>
        <v>0</v>
      </c>
      <c r="X1236" s="668">
        <f t="shared" si="412"/>
        <v>0</v>
      </c>
      <c r="Y1236" s="668">
        <f t="shared" si="413"/>
        <v>854</v>
      </c>
      <c r="Z1236" s="668">
        <f t="shared" si="414"/>
        <v>0</v>
      </c>
      <c r="AA1236" s="668">
        <f t="shared" si="415"/>
        <v>0</v>
      </c>
      <c r="AB1236" s="668">
        <f t="shared" si="416"/>
        <v>0</v>
      </c>
      <c r="AC1236" s="668">
        <f t="shared" si="425"/>
        <v>0</v>
      </c>
      <c r="AD1236" s="668">
        <f t="shared" si="417"/>
        <v>0</v>
      </c>
      <c r="AE1236" s="668">
        <f t="shared" si="418"/>
        <v>0</v>
      </c>
      <c r="AF1236" s="668">
        <f t="shared" si="419"/>
        <v>0</v>
      </c>
      <c r="AG1236" s="668">
        <f t="shared" si="420"/>
        <v>0</v>
      </c>
      <c r="AH1236" s="668"/>
      <c r="AI1236" s="668"/>
      <c r="AJ1236" s="668"/>
      <c r="AK1236" s="668"/>
      <c r="AL1236" s="668"/>
      <c r="AM1236" s="668">
        <f t="shared" ref="AM1236:AM1269" si="427">+I1236</f>
        <v>0</v>
      </c>
      <c r="AN1236" s="668">
        <f t="shared" si="423"/>
        <v>0</v>
      </c>
      <c r="AO1236" s="668">
        <f t="shared" si="424"/>
        <v>0</v>
      </c>
      <c r="AP1236" s="668">
        <f t="shared" si="409"/>
        <v>0</v>
      </c>
      <c r="AQ1236" s="668">
        <f t="shared" si="421"/>
        <v>0</v>
      </c>
      <c r="AR1236" s="668">
        <f t="shared" si="422"/>
        <v>0</v>
      </c>
      <c r="AS1236" s="668"/>
      <c r="AT1236" s="668"/>
      <c r="AU1236" s="668"/>
      <c r="AV1236" s="668"/>
      <c r="AW1236" s="668"/>
      <c r="AX1236" s="668"/>
      <c r="AY1236" s="668"/>
      <c r="AZ1236" s="668"/>
      <c r="BA1236" s="668"/>
      <c r="BB1236" s="668">
        <f t="shared" si="426"/>
        <v>0</v>
      </c>
      <c r="BC1236" s="668"/>
      <c r="BD1236" s="668"/>
      <c r="BE1236" s="668"/>
      <c r="BF1236" s="668"/>
      <c r="BG1236" s="668"/>
      <c r="BH1236" s="668"/>
      <c r="BI1236" s="668"/>
    </row>
    <row r="1237" spans="1:61" x14ac:dyDescent="0.2">
      <c r="A1237" s="1025" t="s">
        <v>967</v>
      </c>
      <c r="B1237" s="1025" t="s">
        <v>978</v>
      </c>
      <c r="C1237" s="1025"/>
      <c r="D1237" s="667"/>
      <c r="E1237" s="667"/>
      <c r="F1237" s="667"/>
      <c r="G1237" s="667"/>
      <c r="H1237" s="667"/>
      <c r="I1237" s="667"/>
      <c r="J1237" s="667"/>
      <c r="K1237" s="667"/>
      <c r="L1237" s="667"/>
      <c r="M1237" s="667"/>
      <c r="N1237" s="667"/>
      <c r="O1237" s="667"/>
      <c r="P1237" s="667"/>
      <c r="Q1237" s="667"/>
      <c r="R1237" s="667"/>
      <c r="S1237" s="667">
        <v>1979</v>
      </c>
      <c r="T1237" s="667"/>
      <c r="U1237" s="1025"/>
      <c r="V1237" s="668"/>
      <c r="W1237" s="668"/>
      <c r="X1237" s="668"/>
      <c r="Y1237" s="668"/>
      <c r="Z1237" s="668"/>
      <c r="AA1237" s="668">
        <f t="shared" si="415"/>
        <v>1979</v>
      </c>
      <c r="AB1237" s="668"/>
      <c r="AC1237" s="668">
        <f t="shared" si="425"/>
        <v>0</v>
      </c>
      <c r="AD1237" s="668"/>
      <c r="AE1237" s="668"/>
      <c r="AF1237" s="668"/>
      <c r="AG1237" s="668"/>
      <c r="AH1237" s="668"/>
      <c r="AI1237" s="668"/>
      <c r="AJ1237" s="668"/>
      <c r="AK1237" s="668"/>
      <c r="AL1237" s="668"/>
      <c r="AM1237" s="668">
        <f t="shared" si="427"/>
        <v>0</v>
      </c>
      <c r="AN1237" s="668">
        <f t="shared" si="423"/>
        <v>0</v>
      </c>
      <c r="AO1237" s="668">
        <f t="shared" si="424"/>
        <v>0</v>
      </c>
      <c r="AP1237" s="668">
        <f t="shared" ref="AP1237:AP1269" si="428">+U1237*F1237</f>
        <v>0</v>
      </c>
      <c r="AQ1237" s="668">
        <f t="shared" si="421"/>
        <v>0</v>
      </c>
      <c r="AR1237" s="668">
        <f t="shared" si="422"/>
        <v>0</v>
      </c>
      <c r="AS1237" s="668"/>
      <c r="AT1237" s="668"/>
      <c r="AU1237" s="668"/>
      <c r="AV1237" s="668"/>
      <c r="AW1237" s="668"/>
      <c r="AX1237" s="668"/>
      <c r="AY1237" s="668"/>
      <c r="AZ1237" s="668"/>
      <c r="BA1237" s="668"/>
      <c r="BB1237" s="668">
        <f t="shared" si="426"/>
        <v>0</v>
      </c>
      <c r="BC1237" s="668"/>
      <c r="BD1237" s="668"/>
      <c r="BE1237" s="668"/>
      <c r="BF1237" s="668"/>
      <c r="BG1237" s="668"/>
      <c r="BH1237" s="668"/>
      <c r="BI1237" s="668"/>
    </row>
    <row r="1238" spans="1:61" x14ac:dyDescent="0.2">
      <c r="A1238" s="1021"/>
      <c r="B1238" s="1021"/>
      <c r="C1238" s="1021"/>
      <c r="D1238" s="667"/>
      <c r="E1238" s="667"/>
      <c r="F1238" s="667"/>
      <c r="G1238" s="667"/>
      <c r="H1238" s="667"/>
      <c r="I1238" s="667"/>
      <c r="J1238" s="667"/>
      <c r="K1238" s="667"/>
      <c r="L1238" s="667"/>
      <c r="M1238" s="667"/>
      <c r="N1238" s="667"/>
      <c r="O1238" s="667"/>
      <c r="P1238" s="667"/>
      <c r="Q1238" s="667"/>
      <c r="R1238" s="667"/>
      <c r="S1238" s="667"/>
      <c r="T1238" s="667"/>
      <c r="U1238" s="1021"/>
      <c r="V1238" s="668">
        <f t="shared" si="410"/>
        <v>0</v>
      </c>
      <c r="W1238" s="668">
        <f t="shared" si="411"/>
        <v>0</v>
      </c>
      <c r="X1238" s="668">
        <f t="shared" si="412"/>
        <v>0</v>
      </c>
      <c r="Y1238" s="668">
        <f t="shared" si="413"/>
        <v>0</v>
      </c>
      <c r="Z1238" s="668">
        <f t="shared" si="414"/>
        <v>0</v>
      </c>
      <c r="AA1238" s="668">
        <f t="shared" si="415"/>
        <v>0</v>
      </c>
      <c r="AB1238" s="668">
        <f t="shared" si="416"/>
        <v>0</v>
      </c>
      <c r="AC1238" s="668">
        <f t="shared" si="425"/>
        <v>0</v>
      </c>
      <c r="AD1238" s="668">
        <f t="shared" si="417"/>
        <v>0</v>
      </c>
      <c r="AE1238" s="668">
        <f t="shared" si="418"/>
        <v>0</v>
      </c>
      <c r="AF1238" s="668">
        <f t="shared" si="419"/>
        <v>0</v>
      </c>
      <c r="AG1238" s="668">
        <f t="shared" si="420"/>
        <v>0</v>
      </c>
      <c r="AH1238" s="668"/>
      <c r="AI1238" s="668"/>
      <c r="AJ1238" s="668"/>
      <c r="AK1238" s="668"/>
      <c r="AL1238" s="668"/>
      <c r="AM1238" s="668">
        <f t="shared" si="427"/>
        <v>0</v>
      </c>
      <c r="AN1238" s="668">
        <f t="shared" si="423"/>
        <v>0</v>
      </c>
      <c r="AO1238" s="668">
        <f t="shared" si="424"/>
        <v>0</v>
      </c>
      <c r="AP1238" s="668">
        <f t="shared" si="428"/>
        <v>0</v>
      </c>
      <c r="AQ1238" s="668">
        <f t="shared" si="421"/>
        <v>0</v>
      </c>
      <c r="AR1238" s="668">
        <f t="shared" si="422"/>
        <v>0</v>
      </c>
      <c r="AS1238" s="668"/>
      <c r="AT1238" s="668"/>
      <c r="AU1238" s="668"/>
      <c r="AV1238" s="668"/>
      <c r="AW1238" s="668"/>
      <c r="AX1238" s="668"/>
      <c r="AY1238" s="668"/>
      <c r="AZ1238" s="668"/>
      <c r="BA1238" s="668"/>
      <c r="BB1238" s="668">
        <f t="shared" si="426"/>
        <v>0</v>
      </c>
      <c r="BC1238" s="668"/>
      <c r="BD1238" s="668"/>
      <c r="BE1238" s="668"/>
      <c r="BF1238" s="668"/>
      <c r="BG1238" s="668"/>
      <c r="BH1238" s="668"/>
      <c r="BI1238" s="668"/>
    </row>
    <row r="1239" spans="1:61" x14ac:dyDescent="0.2">
      <c r="A1239" s="1021"/>
      <c r="B1239" s="1019" t="s">
        <v>897</v>
      </c>
      <c r="C1239" s="1021"/>
      <c r="D1239" s="667"/>
      <c r="E1239" s="667"/>
      <c r="F1239" s="667"/>
      <c r="G1239" s="667"/>
      <c r="H1239" s="667"/>
      <c r="I1239" s="667"/>
      <c r="J1239" s="667"/>
      <c r="K1239" s="667"/>
      <c r="L1239" s="667"/>
      <c r="M1239" s="667"/>
      <c r="N1239" s="667"/>
      <c r="O1239" s="667"/>
      <c r="P1239" s="667"/>
      <c r="Q1239" s="667"/>
      <c r="R1239" s="667"/>
      <c r="S1239" s="667"/>
      <c r="T1239" s="667"/>
      <c r="U1239" s="1021"/>
      <c r="V1239" s="668">
        <f t="shared" si="410"/>
        <v>0</v>
      </c>
      <c r="W1239" s="668">
        <f t="shared" si="411"/>
        <v>0</v>
      </c>
      <c r="X1239" s="668">
        <f t="shared" si="412"/>
        <v>0</v>
      </c>
      <c r="Y1239" s="668">
        <f t="shared" si="413"/>
        <v>0</v>
      </c>
      <c r="Z1239" s="668">
        <f t="shared" si="414"/>
        <v>0</v>
      </c>
      <c r="AA1239" s="668">
        <f t="shared" si="415"/>
        <v>0</v>
      </c>
      <c r="AB1239" s="668">
        <f t="shared" si="416"/>
        <v>0</v>
      </c>
      <c r="AC1239" s="668">
        <f t="shared" si="425"/>
        <v>0</v>
      </c>
      <c r="AD1239" s="668">
        <f t="shared" si="417"/>
        <v>0</v>
      </c>
      <c r="AE1239" s="668">
        <f t="shared" si="418"/>
        <v>0</v>
      </c>
      <c r="AF1239" s="668">
        <f t="shared" si="419"/>
        <v>0</v>
      </c>
      <c r="AG1239" s="668">
        <f t="shared" si="420"/>
        <v>0</v>
      </c>
      <c r="AH1239" s="668"/>
      <c r="AI1239" s="668"/>
      <c r="AJ1239" s="668"/>
      <c r="AK1239" s="668"/>
      <c r="AL1239" s="668"/>
      <c r="AM1239" s="668">
        <f t="shared" si="427"/>
        <v>0</v>
      </c>
      <c r="AN1239" s="668">
        <f t="shared" si="423"/>
        <v>0</v>
      </c>
      <c r="AO1239" s="668">
        <f t="shared" si="424"/>
        <v>0</v>
      </c>
      <c r="AP1239" s="668">
        <f t="shared" si="428"/>
        <v>0</v>
      </c>
      <c r="AQ1239" s="668">
        <f t="shared" si="421"/>
        <v>0</v>
      </c>
      <c r="AR1239" s="668">
        <f t="shared" si="422"/>
        <v>0</v>
      </c>
      <c r="AS1239" s="668">
        <v>2</v>
      </c>
      <c r="AT1239" s="668">
        <v>2</v>
      </c>
      <c r="AU1239" s="668"/>
      <c r="AV1239" s="668"/>
      <c r="AW1239" s="668"/>
      <c r="AX1239" s="668"/>
      <c r="AY1239" s="668"/>
      <c r="AZ1239" s="668"/>
      <c r="BA1239" s="668"/>
      <c r="BB1239" s="668">
        <f t="shared" si="426"/>
        <v>0</v>
      </c>
      <c r="BC1239" s="668"/>
      <c r="BD1239" s="668"/>
      <c r="BE1239" s="668"/>
      <c r="BF1239" s="668"/>
      <c r="BG1239" s="668"/>
      <c r="BH1239" s="668"/>
      <c r="BI1239" s="668"/>
    </row>
    <row r="1240" spans="1:61" x14ac:dyDescent="0.2">
      <c r="A1240" s="1021">
        <v>9000</v>
      </c>
      <c r="B1240" s="1021" t="s">
        <v>465</v>
      </c>
      <c r="C1240" s="1021" t="s">
        <v>984</v>
      </c>
      <c r="D1240" s="667">
        <v>190</v>
      </c>
      <c r="E1240" s="667"/>
      <c r="F1240" s="667"/>
      <c r="G1240" s="667"/>
      <c r="H1240" s="667"/>
      <c r="I1240" s="667">
        <f>+D1240</f>
        <v>190</v>
      </c>
      <c r="J1240" s="667"/>
      <c r="K1240" s="667"/>
      <c r="L1240" s="667"/>
      <c r="M1240" s="667"/>
      <c r="N1240" s="667"/>
      <c r="O1240" s="667"/>
      <c r="P1240" s="667"/>
      <c r="Q1240" s="667"/>
      <c r="R1240" s="667"/>
      <c r="S1240" s="667"/>
      <c r="T1240" s="667"/>
      <c r="U1240" s="1021">
        <v>12</v>
      </c>
      <c r="V1240" s="668">
        <f t="shared" si="410"/>
        <v>2280</v>
      </c>
      <c r="W1240" s="668">
        <f t="shared" si="411"/>
        <v>0</v>
      </c>
      <c r="X1240" s="668">
        <f t="shared" si="412"/>
        <v>0</v>
      </c>
      <c r="Y1240" s="668">
        <f t="shared" si="413"/>
        <v>0</v>
      </c>
      <c r="Z1240" s="668">
        <f t="shared" si="414"/>
        <v>2280</v>
      </c>
      <c r="AA1240" s="668">
        <f t="shared" si="415"/>
        <v>0</v>
      </c>
      <c r="AB1240" s="668">
        <f t="shared" si="416"/>
        <v>0</v>
      </c>
      <c r="AC1240" s="668">
        <f t="shared" si="425"/>
        <v>0</v>
      </c>
      <c r="AD1240" s="668">
        <f t="shared" si="417"/>
        <v>0</v>
      </c>
      <c r="AE1240" s="668">
        <f t="shared" si="418"/>
        <v>0</v>
      </c>
      <c r="AF1240" s="668">
        <f t="shared" si="419"/>
        <v>0</v>
      </c>
      <c r="AG1240" s="668">
        <f t="shared" si="420"/>
        <v>0</v>
      </c>
      <c r="AH1240" s="668"/>
      <c r="AI1240" s="668"/>
      <c r="AJ1240" s="668"/>
      <c r="AK1240" s="668"/>
      <c r="AL1240" s="668"/>
      <c r="AM1240" s="668">
        <f t="shared" si="427"/>
        <v>190</v>
      </c>
      <c r="AN1240" s="668">
        <f t="shared" si="423"/>
        <v>0</v>
      </c>
      <c r="AO1240" s="668">
        <f t="shared" si="424"/>
        <v>0</v>
      </c>
      <c r="AP1240" s="668">
        <f t="shared" si="428"/>
        <v>0</v>
      </c>
      <c r="AQ1240" s="668">
        <f t="shared" si="421"/>
        <v>0</v>
      </c>
      <c r="AR1240" s="668">
        <f t="shared" si="422"/>
        <v>0</v>
      </c>
      <c r="AS1240" s="668"/>
      <c r="AT1240" s="668"/>
      <c r="AU1240" s="668"/>
      <c r="AV1240" s="668"/>
      <c r="AW1240" s="668"/>
      <c r="AX1240" s="668"/>
      <c r="AY1240" s="668"/>
      <c r="AZ1240" s="668"/>
      <c r="BA1240" s="668"/>
      <c r="BB1240" s="668">
        <f t="shared" si="426"/>
        <v>0</v>
      </c>
      <c r="BC1240" s="668"/>
      <c r="BD1240" s="668"/>
      <c r="BE1240" s="668"/>
      <c r="BF1240" s="668"/>
      <c r="BG1240" s="668"/>
      <c r="BH1240" s="668"/>
      <c r="BI1240" s="668"/>
    </row>
    <row r="1241" spans="1:61" x14ac:dyDescent="0.2">
      <c r="A1241" s="1021">
        <v>9001</v>
      </c>
      <c r="B1241" s="1021" t="s">
        <v>465</v>
      </c>
      <c r="C1241" s="1021"/>
      <c r="D1241" s="667"/>
      <c r="E1241" s="667"/>
      <c r="F1241" s="667"/>
      <c r="G1241" s="667"/>
      <c r="H1241" s="667"/>
      <c r="I1241" s="667"/>
      <c r="J1241" s="667"/>
      <c r="K1241" s="667"/>
      <c r="L1241" s="667"/>
      <c r="M1241" s="667"/>
      <c r="N1241" s="667"/>
      <c r="O1241" s="667"/>
      <c r="P1241" s="667"/>
      <c r="Q1241" s="667"/>
      <c r="R1241" s="667"/>
      <c r="S1241" s="667"/>
      <c r="T1241" s="667"/>
      <c r="U1241" s="1021"/>
      <c r="V1241" s="668">
        <f t="shared" si="410"/>
        <v>0</v>
      </c>
      <c r="W1241" s="668">
        <f t="shared" si="411"/>
        <v>0</v>
      </c>
      <c r="X1241" s="668">
        <f t="shared" si="412"/>
        <v>0</v>
      </c>
      <c r="Y1241" s="668">
        <f t="shared" si="413"/>
        <v>0</v>
      </c>
      <c r="Z1241" s="668">
        <f t="shared" si="414"/>
        <v>0</v>
      </c>
      <c r="AA1241" s="668">
        <f t="shared" si="415"/>
        <v>0</v>
      </c>
      <c r="AB1241" s="668">
        <f t="shared" si="416"/>
        <v>0</v>
      </c>
      <c r="AC1241" s="668">
        <f t="shared" si="425"/>
        <v>0</v>
      </c>
      <c r="AD1241" s="668">
        <f t="shared" si="417"/>
        <v>0</v>
      </c>
      <c r="AE1241" s="668">
        <f t="shared" si="418"/>
        <v>0</v>
      </c>
      <c r="AF1241" s="668">
        <f t="shared" si="419"/>
        <v>0</v>
      </c>
      <c r="AG1241" s="668">
        <f t="shared" si="420"/>
        <v>0</v>
      </c>
      <c r="AH1241" s="668"/>
      <c r="AI1241" s="668"/>
      <c r="AJ1241" s="668"/>
      <c r="AK1241" s="668"/>
      <c r="AL1241" s="668"/>
      <c r="AM1241" s="668">
        <f t="shared" si="427"/>
        <v>0</v>
      </c>
      <c r="AN1241" s="668">
        <f t="shared" si="423"/>
        <v>0</v>
      </c>
      <c r="AO1241" s="668">
        <f t="shared" si="424"/>
        <v>0</v>
      </c>
      <c r="AP1241" s="668">
        <f t="shared" si="428"/>
        <v>0</v>
      </c>
      <c r="AQ1241" s="668">
        <f t="shared" si="421"/>
        <v>0</v>
      </c>
      <c r="AR1241" s="668">
        <f t="shared" si="422"/>
        <v>0</v>
      </c>
      <c r="AS1241" s="668"/>
      <c r="AT1241" s="668"/>
      <c r="AU1241" s="668"/>
      <c r="AV1241" s="668"/>
      <c r="AW1241" s="668"/>
      <c r="AX1241" s="668"/>
      <c r="AY1241" s="668"/>
      <c r="AZ1241" s="668"/>
      <c r="BA1241" s="668"/>
      <c r="BB1241" s="668">
        <f t="shared" si="426"/>
        <v>0</v>
      </c>
      <c r="BC1241" s="668"/>
      <c r="BD1241" s="668"/>
      <c r="BE1241" s="668"/>
      <c r="BF1241" s="668"/>
      <c r="BG1241" s="668"/>
      <c r="BH1241" s="668"/>
      <c r="BI1241" s="668"/>
    </row>
    <row r="1242" spans="1:61" x14ac:dyDescent="0.2">
      <c r="A1242" s="1021" t="s">
        <v>898</v>
      </c>
      <c r="B1242" s="1021" t="s">
        <v>533</v>
      </c>
      <c r="C1242" s="1021"/>
      <c r="D1242" s="667"/>
      <c r="E1242" s="667"/>
      <c r="F1242" s="667"/>
      <c r="G1242" s="667"/>
      <c r="H1242" s="667"/>
      <c r="I1242" s="667"/>
      <c r="J1242" s="667"/>
      <c r="K1242" s="667"/>
      <c r="L1242" s="667"/>
      <c r="M1242" s="667"/>
      <c r="N1242" s="667"/>
      <c r="O1242" s="667"/>
      <c r="P1242" s="667"/>
      <c r="Q1242" s="667"/>
      <c r="R1242" s="667"/>
      <c r="S1242" s="667"/>
      <c r="T1242" s="667"/>
      <c r="U1242" s="1021"/>
      <c r="V1242" s="668">
        <f t="shared" si="410"/>
        <v>0</v>
      </c>
      <c r="W1242" s="668">
        <f t="shared" si="411"/>
        <v>0</v>
      </c>
      <c r="X1242" s="668">
        <f t="shared" si="412"/>
        <v>0</v>
      </c>
      <c r="Y1242" s="668">
        <f t="shared" si="413"/>
        <v>0</v>
      </c>
      <c r="Z1242" s="668">
        <f t="shared" si="414"/>
        <v>0</v>
      </c>
      <c r="AA1242" s="668">
        <f t="shared" si="415"/>
        <v>0</v>
      </c>
      <c r="AB1242" s="668">
        <f t="shared" si="416"/>
        <v>0</v>
      </c>
      <c r="AC1242" s="668">
        <f t="shared" si="425"/>
        <v>0</v>
      </c>
      <c r="AD1242" s="668">
        <f t="shared" si="417"/>
        <v>0</v>
      </c>
      <c r="AE1242" s="668">
        <f t="shared" si="418"/>
        <v>0</v>
      </c>
      <c r="AF1242" s="668">
        <f t="shared" si="419"/>
        <v>0</v>
      </c>
      <c r="AG1242" s="668">
        <f t="shared" si="420"/>
        <v>0</v>
      </c>
      <c r="AH1242" s="668"/>
      <c r="AI1242" s="668"/>
      <c r="AJ1242" s="668"/>
      <c r="AK1242" s="668"/>
      <c r="AL1242" s="668"/>
      <c r="AM1242" s="668">
        <f t="shared" si="427"/>
        <v>0</v>
      </c>
      <c r="AN1242" s="668">
        <f t="shared" si="423"/>
        <v>0</v>
      </c>
      <c r="AO1242" s="668">
        <f t="shared" si="424"/>
        <v>0</v>
      </c>
      <c r="AP1242" s="668">
        <f t="shared" si="428"/>
        <v>0</v>
      </c>
      <c r="AQ1242" s="668">
        <f t="shared" si="421"/>
        <v>0</v>
      </c>
      <c r="AR1242" s="668">
        <f t="shared" si="422"/>
        <v>0</v>
      </c>
      <c r="AS1242" s="668"/>
      <c r="AT1242" s="668"/>
      <c r="AU1242" s="668"/>
      <c r="AV1242" s="668"/>
      <c r="AW1242" s="668"/>
      <c r="AX1242" s="668"/>
      <c r="AY1242" s="668"/>
      <c r="AZ1242" s="668"/>
      <c r="BA1242" s="668"/>
      <c r="BB1242" s="668">
        <f t="shared" si="426"/>
        <v>0</v>
      </c>
      <c r="BC1242" s="668"/>
      <c r="BD1242" s="668"/>
      <c r="BE1242" s="668"/>
      <c r="BF1242" s="668"/>
      <c r="BG1242" s="668"/>
      <c r="BH1242" s="668"/>
      <c r="BI1242" s="668"/>
    </row>
    <row r="1243" spans="1:61" x14ac:dyDescent="0.2">
      <c r="A1243" s="1021" t="s">
        <v>899</v>
      </c>
      <c r="B1243" s="1021" t="s">
        <v>543</v>
      </c>
      <c r="C1243" s="1021"/>
      <c r="D1243" s="667"/>
      <c r="E1243" s="667"/>
      <c r="F1243" s="667"/>
      <c r="G1243" s="667"/>
      <c r="H1243" s="667"/>
      <c r="I1243" s="667"/>
      <c r="J1243" s="667"/>
      <c r="K1243" s="667"/>
      <c r="L1243" s="667"/>
      <c r="M1243" s="667"/>
      <c r="N1243" s="667"/>
      <c r="O1243" s="667"/>
      <c r="P1243" s="667"/>
      <c r="Q1243" s="667"/>
      <c r="R1243" s="667"/>
      <c r="S1243" s="667"/>
      <c r="T1243" s="667"/>
      <c r="U1243" s="1021"/>
      <c r="V1243" s="668">
        <f t="shared" si="410"/>
        <v>0</v>
      </c>
      <c r="W1243" s="668">
        <f t="shared" si="411"/>
        <v>0</v>
      </c>
      <c r="X1243" s="668">
        <f t="shared" si="412"/>
        <v>0</v>
      </c>
      <c r="Y1243" s="668">
        <f t="shared" si="413"/>
        <v>0</v>
      </c>
      <c r="Z1243" s="668">
        <f t="shared" si="414"/>
        <v>0</v>
      </c>
      <c r="AA1243" s="668">
        <f t="shared" si="415"/>
        <v>0</v>
      </c>
      <c r="AB1243" s="668">
        <f t="shared" si="416"/>
        <v>0</v>
      </c>
      <c r="AC1243" s="668">
        <f t="shared" si="425"/>
        <v>0</v>
      </c>
      <c r="AD1243" s="668">
        <f t="shared" si="417"/>
        <v>0</v>
      </c>
      <c r="AE1243" s="668">
        <f t="shared" si="418"/>
        <v>0</v>
      </c>
      <c r="AF1243" s="668">
        <f t="shared" si="419"/>
        <v>0</v>
      </c>
      <c r="AG1243" s="668">
        <f t="shared" si="420"/>
        <v>0</v>
      </c>
      <c r="AH1243" s="668"/>
      <c r="AI1243" s="668"/>
      <c r="AJ1243" s="668"/>
      <c r="AK1243" s="668"/>
      <c r="AL1243" s="668"/>
      <c r="AM1243" s="668">
        <f t="shared" si="427"/>
        <v>0</v>
      </c>
      <c r="AN1243" s="668">
        <f t="shared" si="423"/>
        <v>0</v>
      </c>
      <c r="AO1243" s="668">
        <f t="shared" si="424"/>
        <v>0</v>
      </c>
      <c r="AP1243" s="668">
        <f t="shared" si="428"/>
        <v>0</v>
      </c>
      <c r="AQ1243" s="668">
        <f t="shared" si="421"/>
        <v>0</v>
      </c>
      <c r="AR1243" s="668">
        <f t="shared" si="422"/>
        <v>0</v>
      </c>
      <c r="AS1243" s="668"/>
      <c r="AT1243" s="668"/>
      <c r="AU1243" s="668"/>
      <c r="AV1243" s="668"/>
      <c r="AW1243" s="668"/>
      <c r="AX1243" s="668"/>
      <c r="AY1243" s="668"/>
      <c r="AZ1243" s="668"/>
      <c r="BA1243" s="668"/>
      <c r="BB1243" s="668">
        <f t="shared" si="426"/>
        <v>0</v>
      </c>
      <c r="BC1243" s="668"/>
      <c r="BD1243" s="668"/>
      <c r="BE1243" s="668"/>
      <c r="BF1243" s="668"/>
      <c r="BG1243" s="668"/>
      <c r="BH1243" s="668"/>
      <c r="BI1243" s="668"/>
    </row>
    <row r="1244" spans="1:61" x14ac:dyDescent="0.2">
      <c r="A1244" s="1021">
        <v>9004</v>
      </c>
      <c r="B1244" s="1021" t="s">
        <v>466</v>
      </c>
      <c r="C1244" s="1021"/>
      <c r="D1244" s="667">
        <v>60</v>
      </c>
      <c r="E1244" s="667"/>
      <c r="F1244" s="667"/>
      <c r="G1244" s="667"/>
      <c r="H1244" s="667"/>
      <c r="I1244" s="667"/>
      <c r="J1244" s="667"/>
      <c r="K1244" s="667"/>
      <c r="L1244" s="667"/>
      <c r="M1244" s="667"/>
      <c r="N1244" s="667"/>
      <c r="O1244" s="667"/>
      <c r="P1244" s="667"/>
      <c r="Q1244" s="667"/>
      <c r="R1244" s="667"/>
      <c r="S1244" s="667"/>
      <c r="T1244" s="667"/>
      <c r="U1244" s="1021">
        <v>3</v>
      </c>
      <c r="V1244" s="668">
        <f t="shared" si="410"/>
        <v>180</v>
      </c>
      <c r="W1244" s="668">
        <f t="shared" si="411"/>
        <v>0</v>
      </c>
      <c r="X1244" s="668">
        <f t="shared" si="412"/>
        <v>0</v>
      </c>
      <c r="Y1244" s="668">
        <f t="shared" si="413"/>
        <v>0</v>
      </c>
      <c r="Z1244" s="668">
        <f t="shared" si="414"/>
        <v>0</v>
      </c>
      <c r="AA1244" s="668">
        <f t="shared" si="415"/>
        <v>0</v>
      </c>
      <c r="AB1244" s="668">
        <f t="shared" si="416"/>
        <v>0</v>
      </c>
      <c r="AC1244" s="668">
        <f t="shared" si="425"/>
        <v>0</v>
      </c>
      <c r="AD1244" s="668">
        <f t="shared" si="417"/>
        <v>0</v>
      </c>
      <c r="AE1244" s="668">
        <f t="shared" si="418"/>
        <v>0</v>
      </c>
      <c r="AF1244" s="668">
        <f t="shared" si="419"/>
        <v>0</v>
      </c>
      <c r="AG1244" s="668">
        <f t="shared" si="420"/>
        <v>0</v>
      </c>
      <c r="AH1244" s="668"/>
      <c r="AI1244" s="668"/>
      <c r="AJ1244" s="668"/>
      <c r="AK1244" s="668"/>
      <c r="AL1244" s="668"/>
      <c r="AM1244" s="668">
        <f t="shared" si="427"/>
        <v>0</v>
      </c>
      <c r="AN1244" s="668">
        <f t="shared" si="423"/>
        <v>0</v>
      </c>
      <c r="AO1244" s="668">
        <f t="shared" si="424"/>
        <v>0</v>
      </c>
      <c r="AP1244" s="668">
        <f t="shared" si="428"/>
        <v>0</v>
      </c>
      <c r="AQ1244" s="668">
        <f t="shared" si="421"/>
        <v>0</v>
      </c>
      <c r="AR1244" s="668">
        <f t="shared" si="422"/>
        <v>0</v>
      </c>
      <c r="AS1244" s="668"/>
      <c r="AT1244" s="668"/>
      <c r="AU1244" s="668"/>
      <c r="AV1244" s="668"/>
      <c r="AW1244" s="668"/>
      <c r="AX1244" s="668"/>
      <c r="AY1244" s="668"/>
      <c r="AZ1244" s="668"/>
      <c r="BA1244" s="668"/>
      <c r="BB1244" s="668">
        <f t="shared" si="426"/>
        <v>0</v>
      </c>
      <c r="BC1244" s="668"/>
      <c r="BD1244" s="668"/>
      <c r="BE1244" s="668"/>
      <c r="BF1244" s="668"/>
      <c r="BG1244" s="668"/>
      <c r="BH1244" s="668"/>
      <c r="BI1244" s="668"/>
    </row>
    <row r="1245" spans="1:61" x14ac:dyDescent="0.2">
      <c r="A1245" s="1021">
        <v>9005</v>
      </c>
      <c r="B1245" s="1021" t="s">
        <v>467</v>
      </c>
      <c r="C1245" s="1021"/>
      <c r="D1245" s="667">
        <v>60</v>
      </c>
      <c r="E1245" s="667"/>
      <c r="F1245" s="667"/>
      <c r="G1245" s="667"/>
      <c r="H1245" s="667"/>
      <c r="I1245" s="667"/>
      <c r="J1245" s="667"/>
      <c r="K1245" s="667"/>
      <c r="L1245" s="667"/>
      <c r="M1245" s="667"/>
      <c r="N1245" s="667"/>
      <c r="O1245" s="667"/>
      <c r="P1245" s="667"/>
      <c r="Q1245" s="667"/>
      <c r="R1245" s="667"/>
      <c r="S1245" s="667"/>
      <c r="T1245" s="667"/>
      <c r="U1245" s="1021">
        <v>3</v>
      </c>
      <c r="V1245" s="668">
        <f t="shared" si="410"/>
        <v>180</v>
      </c>
      <c r="W1245" s="668">
        <f t="shared" si="411"/>
        <v>0</v>
      </c>
      <c r="X1245" s="668">
        <f t="shared" si="412"/>
        <v>0</v>
      </c>
      <c r="Y1245" s="668">
        <f t="shared" si="413"/>
        <v>0</v>
      </c>
      <c r="Z1245" s="668">
        <f t="shared" si="414"/>
        <v>0</v>
      </c>
      <c r="AA1245" s="668">
        <f t="shared" si="415"/>
        <v>0</v>
      </c>
      <c r="AB1245" s="668">
        <f t="shared" si="416"/>
        <v>0</v>
      </c>
      <c r="AC1245" s="668">
        <f t="shared" si="425"/>
        <v>0</v>
      </c>
      <c r="AD1245" s="668">
        <f t="shared" si="417"/>
        <v>0</v>
      </c>
      <c r="AE1245" s="668">
        <f t="shared" si="418"/>
        <v>0</v>
      </c>
      <c r="AF1245" s="668">
        <f t="shared" si="419"/>
        <v>0</v>
      </c>
      <c r="AG1245" s="668">
        <f t="shared" si="420"/>
        <v>0</v>
      </c>
      <c r="AH1245" s="668"/>
      <c r="AI1245" s="668"/>
      <c r="AJ1245" s="668"/>
      <c r="AK1245" s="668"/>
      <c r="AL1245" s="668"/>
      <c r="AM1245" s="668">
        <f t="shared" si="427"/>
        <v>0</v>
      </c>
      <c r="AN1245" s="668">
        <f t="shared" si="423"/>
        <v>0</v>
      </c>
      <c r="AO1245" s="668">
        <f t="shared" si="424"/>
        <v>0</v>
      </c>
      <c r="AP1245" s="668">
        <f t="shared" si="428"/>
        <v>0</v>
      </c>
      <c r="AQ1245" s="668">
        <f t="shared" si="421"/>
        <v>0</v>
      </c>
      <c r="AR1245" s="668">
        <f t="shared" si="422"/>
        <v>0</v>
      </c>
      <c r="AS1245" s="668"/>
      <c r="AT1245" s="668"/>
      <c r="AU1245" s="668"/>
      <c r="AV1245" s="668"/>
      <c r="AW1245" s="668"/>
      <c r="AX1245" s="668"/>
      <c r="AY1245" s="668"/>
      <c r="AZ1245" s="668"/>
      <c r="BA1245" s="668"/>
      <c r="BB1245" s="668">
        <f t="shared" si="426"/>
        <v>0</v>
      </c>
      <c r="BC1245" s="668"/>
      <c r="BD1245" s="668"/>
      <c r="BE1245" s="668"/>
      <c r="BF1245" s="668"/>
      <c r="BG1245" s="668"/>
      <c r="BH1245" s="668"/>
      <c r="BI1245" s="668"/>
    </row>
    <row r="1246" spans="1:61" x14ac:dyDescent="0.2">
      <c r="A1246" s="1021">
        <v>9006</v>
      </c>
      <c r="B1246" s="1021" t="s">
        <v>738</v>
      </c>
      <c r="C1246" s="1021"/>
      <c r="D1246" s="667">
        <v>118</v>
      </c>
      <c r="E1246" s="667"/>
      <c r="F1246" s="667"/>
      <c r="G1246" s="667"/>
      <c r="H1246" s="667"/>
      <c r="I1246" s="667"/>
      <c r="J1246" s="667"/>
      <c r="K1246" s="667"/>
      <c r="L1246" s="667"/>
      <c r="M1246" s="667"/>
      <c r="N1246" s="667"/>
      <c r="O1246" s="667"/>
      <c r="P1246" s="667"/>
      <c r="Q1246" s="667"/>
      <c r="R1246" s="667"/>
      <c r="S1246" s="667"/>
      <c r="T1246" s="667"/>
      <c r="U1246" s="1021">
        <v>4</v>
      </c>
      <c r="V1246" s="668">
        <f t="shared" si="410"/>
        <v>472</v>
      </c>
      <c r="W1246" s="668">
        <f t="shared" si="411"/>
        <v>0</v>
      </c>
      <c r="X1246" s="668">
        <f t="shared" si="412"/>
        <v>0</v>
      </c>
      <c r="Y1246" s="668">
        <f t="shared" si="413"/>
        <v>0</v>
      </c>
      <c r="Z1246" s="668">
        <f t="shared" si="414"/>
        <v>0</v>
      </c>
      <c r="AA1246" s="668">
        <f t="shared" si="415"/>
        <v>0</v>
      </c>
      <c r="AB1246" s="668">
        <f t="shared" si="416"/>
        <v>0</v>
      </c>
      <c r="AC1246" s="668">
        <f t="shared" si="425"/>
        <v>0</v>
      </c>
      <c r="AD1246" s="668">
        <f t="shared" si="417"/>
        <v>0</v>
      </c>
      <c r="AE1246" s="668">
        <f t="shared" si="418"/>
        <v>0</v>
      </c>
      <c r="AF1246" s="668">
        <f t="shared" si="419"/>
        <v>0</v>
      </c>
      <c r="AG1246" s="668">
        <f t="shared" si="420"/>
        <v>0</v>
      </c>
      <c r="AH1246" s="668"/>
      <c r="AI1246" s="668"/>
      <c r="AJ1246" s="668"/>
      <c r="AK1246" s="668"/>
      <c r="AL1246" s="668"/>
      <c r="AM1246" s="668">
        <f t="shared" si="427"/>
        <v>0</v>
      </c>
      <c r="AN1246" s="668">
        <f t="shared" si="423"/>
        <v>0</v>
      </c>
      <c r="AO1246" s="668">
        <f t="shared" si="424"/>
        <v>0</v>
      </c>
      <c r="AP1246" s="668">
        <f t="shared" si="428"/>
        <v>0</v>
      </c>
      <c r="AQ1246" s="668">
        <f t="shared" si="421"/>
        <v>0</v>
      </c>
      <c r="AR1246" s="668">
        <f t="shared" si="422"/>
        <v>0</v>
      </c>
      <c r="AS1246" s="668"/>
      <c r="AT1246" s="668"/>
      <c r="AU1246" s="668"/>
      <c r="AV1246" s="668"/>
      <c r="AW1246" s="668"/>
      <c r="AX1246" s="668"/>
      <c r="AY1246" s="668"/>
      <c r="AZ1246" s="668"/>
      <c r="BA1246" s="668"/>
      <c r="BB1246" s="668">
        <f t="shared" si="426"/>
        <v>0</v>
      </c>
      <c r="BC1246" s="668"/>
      <c r="BD1246" s="668"/>
      <c r="BE1246" s="668"/>
      <c r="BF1246" s="668"/>
      <c r="BG1246" s="668"/>
      <c r="BH1246" s="668"/>
      <c r="BI1246" s="668"/>
    </row>
    <row r="1247" spans="1:61" x14ac:dyDescent="0.2">
      <c r="A1247" s="1021">
        <v>9007</v>
      </c>
      <c r="B1247" s="1012" t="s">
        <v>902</v>
      </c>
      <c r="C1247" s="1012"/>
      <c r="D1247" s="667">
        <v>5</v>
      </c>
      <c r="E1247" s="667">
        <v>43</v>
      </c>
      <c r="F1247" s="667"/>
      <c r="G1247" s="667"/>
      <c r="H1247" s="667"/>
      <c r="I1247" s="667">
        <f>+E1247+D1247</f>
        <v>48</v>
      </c>
      <c r="J1247" s="667"/>
      <c r="K1247" s="667"/>
      <c r="L1247" s="667"/>
      <c r="M1247" s="667"/>
      <c r="N1247" s="667"/>
      <c r="O1247" s="667"/>
      <c r="P1247" s="667"/>
      <c r="Q1247" s="667"/>
      <c r="R1247" s="667"/>
      <c r="S1247" s="667"/>
      <c r="T1247" s="667"/>
      <c r="U1247" s="1012">
        <v>21</v>
      </c>
      <c r="V1247" s="668">
        <f t="shared" si="410"/>
        <v>105</v>
      </c>
      <c r="W1247" s="668">
        <f t="shared" si="411"/>
        <v>0</v>
      </c>
      <c r="X1247" s="668">
        <f t="shared" si="412"/>
        <v>0</v>
      </c>
      <c r="Y1247" s="668">
        <f t="shared" si="413"/>
        <v>0</v>
      </c>
      <c r="Z1247" s="668">
        <f t="shared" si="414"/>
        <v>0</v>
      </c>
      <c r="AA1247" s="668">
        <f t="shared" si="415"/>
        <v>0</v>
      </c>
      <c r="AB1247" s="668">
        <f t="shared" si="416"/>
        <v>0</v>
      </c>
      <c r="AC1247" s="668">
        <f t="shared" si="425"/>
        <v>0</v>
      </c>
      <c r="AD1247" s="668">
        <f t="shared" si="417"/>
        <v>0</v>
      </c>
      <c r="AE1247" s="668">
        <f t="shared" si="418"/>
        <v>0</v>
      </c>
      <c r="AF1247" s="668">
        <f t="shared" si="419"/>
        <v>0</v>
      </c>
      <c r="AG1247" s="668">
        <f t="shared" si="420"/>
        <v>0</v>
      </c>
      <c r="AH1247" s="668"/>
      <c r="AI1247" s="668"/>
      <c r="AJ1247" s="668"/>
      <c r="AK1247" s="668"/>
      <c r="AL1247" s="668"/>
      <c r="AM1247" s="668">
        <f t="shared" si="427"/>
        <v>48</v>
      </c>
      <c r="AN1247" s="668">
        <f t="shared" si="423"/>
        <v>903</v>
      </c>
      <c r="AO1247" s="668">
        <f t="shared" si="424"/>
        <v>0</v>
      </c>
      <c r="AP1247" s="668">
        <f t="shared" si="428"/>
        <v>0</v>
      </c>
      <c r="AQ1247" s="668">
        <f t="shared" si="421"/>
        <v>0</v>
      </c>
      <c r="AR1247" s="668">
        <f t="shared" si="422"/>
        <v>0</v>
      </c>
      <c r="AS1247" s="668"/>
      <c r="AT1247" s="668"/>
      <c r="AU1247" s="668"/>
      <c r="AV1247" s="668"/>
      <c r="AW1247" s="668"/>
      <c r="AX1247" s="668"/>
      <c r="AY1247" s="668"/>
      <c r="AZ1247" s="668"/>
      <c r="BA1247" s="668"/>
      <c r="BB1247" s="668">
        <f t="shared" si="426"/>
        <v>0</v>
      </c>
      <c r="BC1247" s="668"/>
      <c r="BD1247" s="668"/>
      <c r="BE1247" s="668"/>
      <c r="BF1247" s="668"/>
      <c r="BG1247" s="668"/>
      <c r="BH1247" s="668"/>
      <c r="BI1247" s="668"/>
    </row>
    <row r="1248" spans="1:61" x14ac:dyDescent="0.2">
      <c r="A1248" s="1021">
        <v>9008</v>
      </c>
      <c r="B1248" s="1021" t="s">
        <v>476</v>
      </c>
      <c r="C1248" s="1021"/>
      <c r="D1248" s="667">
        <v>37</v>
      </c>
      <c r="E1248" s="667"/>
      <c r="F1248" s="667"/>
      <c r="G1248" s="667"/>
      <c r="H1248" s="667"/>
      <c r="I1248" s="667"/>
      <c r="J1248" s="667"/>
      <c r="K1248" s="667"/>
      <c r="L1248" s="667"/>
      <c r="M1248" s="667"/>
      <c r="N1248" s="667"/>
      <c r="O1248" s="667"/>
      <c r="P1248" s="667">
        <v>80</v>
      </c>
      <c r="Q1248" s="667"/>
      <c r="R1248" s="667"/>
      <c r="S1248" s="667"/>
      <c r="T1248" s="667"/>
      <c r="U1248" s="1021">
        <v>12</v>
      </c>
      <c r="V1248" s="668">
        <f t="shared" ref="V1248:V1268" si="429">+U1248*D1248</f>
        <v>444</v>
      </c>
      <c r="W1248" s="668">
        <f t="shared" ref="W1248:W1268" si="430">+U1248*G1248</f>
        <v>0</v>
      </c>
      <c r="X1248" s="668">
        <f t="shared" ref="X1248:X1268" si="431">+U1248*H1248</f>
        <v>0</v>
      </c>
      <c r="Y1248" s="668">
        <f t="shared" ref="Y1248:Y1268" si="432">+U1248*J1248</f>
        <v>0</v>
      </c>
      <c r="Z1248" s="668">
        <f t="shared" ref="Z1248:Z1268" si="433">IF(C1248="y",V1248+W1248+X1248+Y1248,0)</f>
        <v>0</v>
      </c>
      <c r="AA1248" s="668">
        <f t="shared" ref="AA1248:AA1269" si="434">+S1248</f>
        <v>0</v>
      </c>
      <c r="AB1248" s="668">
        <f t="shared" ref="AB1248:AB1268" si="435">+T1248</f>
        <v>0</v>
      </c>
      <c r="AC1248" s="668">
        <f t="shared" si="425"/>
        <v>960</v>
      </c>
      <c r="AD1248" s="668">
        <f t="shared" ref="AD1248:AD1268" si="436">+Q1248</f>
        <v>0</v>
      </c>
      <c r="AE1248" s="668">
        <f t="shared" ref="AE1248:AE1268" si="437">+U1248*M1248</f>
        <v>0</v>
      </c>
      <c r="AF1248" s="668">
        <f t="shared" ref="AF1248:AF1268" si="438">+L1248*U1248</f>
        <v>0</v>
      </c>
      <c r="AG1248" s="668">
        <f t="shared" ref="AG1248:AG1268" si="439">+$AG$4*N1248</f>
        <v>0</v>
      </c>
      <c r="AH1248" s="668"/>
      <c r="AI1248" s="668"/>
      <c r="AJ1248" s="668"/>
      <c r="AK1248" s="668"/>
      <c r="AL1248" s="668"/>
      <c r="AM1248" s="668">
        <f t="shared" si="427"/>
        <v>0</v>
      </c>
      <c r="AN1248" s="668">
        <f t="shared" si="423"/>
        <v>0</v>
      </c>
      <c r="AO1248" s="668">
        <f t="shared" si="424"/>
        <v>0</v>
      </c>
      <c r="AP1248" s="668">
        <f t="shared" si="428"/>
        <v>0</v>
      </c>
      <c r="AQ1248" s="668">
        <f t="shared" si="421"/>
        <v>0</v>
      </c>
      <c r="AR1248" s="668">
        <f t="shared" si="422"/>
        <v>0</v>
      </c>
      <c r="AS1248" s="668"/>
      <c r="AT1248" s="668"/>
      <c r="AU1248" s="668"/>
      <c r="AV1248" s="668"/>
      <c r="AW1248" s="668"/>
      <c r="AX1248" s="668"/>
      <c r="AY1248" s="668"/>
      <c r="AZ1248" s="668"/>
      <c r="BA1248" s="668"/>
      <c r="BB1248" s="668">
        <f t="shared" si="426"/>
        <v>0</v>
      </c>
      <c r="BC1248" s="668"/>
      <c r="BD1248" s="668"/>
      <c r="BE1248" s="668"/>
      <c r="BF1248" s="668"/>
      <c r="BG1248" s="668"/>
      <c r="BH1248" s="668"/>
      <c r="BI1248" s="668"/>
    </row>
    <row r="1249" spans="1:61" x14ac:dyDescent="0.2">
      <c r="A1249" s="1021">
        <v>9009</v>
      </c>
      <c r="B1249" s="1021" t="s">
        <v>903</v>
      </c>
      <c r="C1249" s="1021"/>
      <c r="D1249" s="667"/>
      <c r="E1249" s="667"/>
      <c r="F1249" s="667">
        <v>187</v>
      </c>
      <c r="G1249" s="667"/>
      <c r="H1249" s="667"/>
      <c r="I1249" s="667">
        <f>+F1249</f>
        <v>187</v>
      </c>
      <c r="J1249" s="667"/>
      <c r="K1249" s="667"/>
      <c r="L1249" s="667"/>
      <c r="M1249" s="667"/>
      <c r="N1249" s="667"/>
      <c r="O1249" s="667"/>
      <c r="P1249" s="667"/>
      <c r="Q1249" s="667"/>
      <c r="R1249" s="667"/>
      <c r="S1249" s="667"/>
      <c r="T1249" s="667"/>
      <c r="U1249" s="1021">
        <v>12</v>
      </c>
      <c r="V1249" s="668">
        <f t="shared" si="429"/>
        <v>0</v>
      </c>
      <c r="W1249" s="668">
        <f t="shared" si="430"/>
        <v>0</v>
      </c>
      <c r="X1249" s="668">
        <f t="shared" si="431"/>
        <v>0</v>
      </c>
      <c r="Y1249" s="668">
        <f t="shared" si="432"/>
        <v>0</v>
      </c>
      <c r="Z1249" s="668">
        <f t="shared" si="433"/>
        <v>0</v>
      </c>
      <c r="AA1249" s="668">
        <f t="shared" si="434"/>
        <v>0</v>
      </c>
      <c r="AB1249" s="668">
        <f t="shared" si="435"/>
        <v>0</v>
      </c>
      <c r="AC1249" s="668">
        <f t="shared" si="425"/>
        <v>0</v>
      </c>
      <c r="AD1249" s="668">
        <f t="shared" si="436"/>
        <v>0</v>
      </c>
      <c r="AE1249" s="668">
        <f t="shared" si="437"/>
        <v>0</v>
      </c>
      <c r="AF1249" s="668">
        <f t="shared" si="438"/>
        <v>0</v>
      </c>
      <c r="AG1249" s="668">
        <f t="shared" si="439"/>
        <v>0</v>
      </c>
      <c r="AH1249" s="668"/>
      <c r="AI1249" s="668"/>
      <c r="AJ1249" s="668"/>
      <c r="AK1249" s="668"/>
      <c r="AL1249" s="668"/>
      <c r="AM1249" s="668">
        <f t="shared" si="427"/>
        <v>187</v>
      </c>
      <c r="AN1249" s="668">
        <f t="shared" si="423"/>
        <v>0</v>
      </c>
      <c r="AO1249" s="668">
        <f t="shared" si="424"/>
        <v>0</v>
      </c>
      <c r="AP1249" s="668">
        <f t="shared" si="428"/>
        <v>2244</v>
      </c>
      <c r="AQ1249" s="668">
        <f t="shared" si="421"/>
        <v>0</v>
      </c>
      <c r="AR1249" s="668">
        <f t="shared" si="422"/>
        <v>0</v>
      </c>
      <c r="AS1249" s="668"/>
      <c r="AT1249" s="668"/>
      <c r="AU1249" s="668"/>
      <c r="AV1249" s="668"/>
      <c r="AW1249" s="668"/>
      <c r="AX1249" s="668"/>
      <c r="AY1249" s="668"/>
      <c r="AZ1249" s="668"/>
      <c r="BA1249" s="668"/>
      <c r="BB1249" s="668"/>
      <c r="BC1249" s="668"/>
      <c r="BD1249" s="668"/>
      <c r="BE1249" s="668"/>
      <c r="BF1249" s="668"/>
      <c r="BG1249" s="668"/>
      <c r="BH1249" s="668"/>
      <c r="BI1249" s="668"/>
    </row>
    <row r="1250" spans="1:61" x14ac:dyDescent="0.2">
      <c r="A1250" s="1021">
        <v>9010</v>
      </c>
      <c r="B1250" s="1021" t="s">
        <v>485</v>
      </c>
      <c r="C1250" s="1021"/>
      <c r="D1250" s="667">
        <v>52</v>
      </c>
      <c r="E1250" s="667"/>
      <c r="F1250" s="667"/>
      <c r="G1250" s="667"/>
      <c r="H1250" s="667"/>
      <c r="I1250" s="667"/>
      <c r="J1250" s="667"/>
      <c r="K1250" s="667"/>
      <c r="L1250" s="667"/>
      <c r="M1250" s="667"/>
      <c r="N1250" s="667"/>
      <c r="O1250" s="667"/>
      <c r="P1250" s="667"/>
      <c r="Q1250" s="667"/>
      <c r="R1250" s="667"/>
      <c r="S1250" s="667"/>
      <c r="T1250" s="667"/>
      <c r="U1250" s="1021">
        <v>12</v>
      </c>
      <c r="V1250" s="668">
        <f t="shared" si="429"/>
        <v>624</v>
      </c>
      <c r="W1250" s="668">
        <f t="shared" si="430"/>
        <v>0</v>
      </c>
      <c r="X1250" s="668">
        <f t="shared" si="431"/>
        <v>0</v>
      </c>
      <c r="Y1250" s="668">
        <f t="shared" si="432"/>
        <v>0</v>
      </c>
      <c r="Z1250" s="668">
        <f t="shared" si="433"/>
        <v>0</v>
      </c>
      <c r="AA1250" s="668">
        <f t="shared" si="434"/>
        <v>0</v>
      </c>
      <c r="AB1250" s="668">
        <f t="shared" si="435"/>
        <v>0</v>
      </c>
      <c r="AC1250" s="668">
        <f t="shared" si="425"/>
        <v>0</v>
      </c>
      <c r="AD1250" s="668">
        <f t="shared" si="436"/>
        <v>0</v>
      </c>
      <c r="AE1250" s="668">
        <f t="shared" si="437"/>
        <v>0</v>
      </c>
      <c r="AF1250" s="668">
        <f t="shared" si="438"/>
        <v>0</v>
      </c>
      <c r="AG1250" s="668">
        <f t="shared" si="439"/>
        <v>0</v>
      </c>
      <c r="AH1250" s="668"/>
      <c r="AI1250" s="668"/>
      <c r="AJ1250" s="668"/>
      <c r="AK1250" s="668"/>
      <c r="AL1250" s="668"/>
      <c r="AM1250" s="668">
        <f t="shared" si="427"/>
        <v>0</v>
      </c>
      <c r="AN1250" s="668">
        <f t="shared" si="423"/>
        <v>0</v>
      </c>
      <c r="AO1250" s="668">
        <f t="shared" si="424"/>
        <v>0</v>
      </c>
      <c r="AP1250" s="668">
        <f t="shared" si="428"/>
        <v>0</v>
      </c>
      <c r="AQ1250" s="668">
        <f t="shared" si="421"/>
        <v>0</v>
      </c>
      <c r="AR1250" s="668">
        <f t="shared" si="422"/>
        <v>0</v>
      </c>
      <c r="AS1250" s="668"/>
      <c r="AT1250" s="668"/>
      <c r="AU1250" s="668"/>
      <c r="AV1250" s="668"/>
      <c r="AW1250" s="668"/>
      <c r="AX1250" s="668"/>
      <c r="AY1250" s="668"/>
      <c r="AZ1250" s="668"/>
      <c r="BA1250" s="668"/>
      <c r="BB1250" s="668">
        <f t="shared" si="426"/>
        <v>0</v>
      </c>
      <c r="BC1250" s="668"/>
      <c r="BD1250" s="668"/>
      <c r="BE1250" s="668"/>
      <c r="BF1250" s="668"/>
      <c r="BG1250" s="668"/>
      <c r="BH1250" s="668"/>
      <c r="BI1250" s="668"/>
    </row>
    <row r="1251" spans="1:61" x14ac:dyDescent="0.2">
      <c r="A1251" s="1021" t="s">
        <v>900</v>
      </c>
      <c r="B1251" s="1021" t="s">
        <v>611</v>
      </c>
      <c r="C1251" s="1021"/>
      <c r="D1251" s="667"/>
      <c r="E1251" s="667"/>
      <c r="F1251" s="667"/>
      <c r="G1251" s="667"/>
      <c r="H1251" s="667"/>
      <c r="I1251" s="667"/>
      <c r="J1251" s="667">
        <v>61</v>
      </c>
      <c r="K1251" s="667"/>
      <c r="L1251" s="667"/>
      <c r="M1251" s="667"/>
      <c r="N1251" s="667"/>
      <c r="O1251" s="667"/>
      <c r="P1251" s="667"/>
      <c r="Q1251" s="667"/>
      <c r="R1251" s="667"/>
      <c r="S1251" s="667"/>
      <c r="T1251" s="667"/>
      <c r="U1251" s="1021">
        <v>14</v>
      </c>
      <c r="V1251" s="668">
        <f t="shared" si="429"/>
        <v>0</v>
      </c>
      <c r="W1251" s="668">
        <f t="shared" si="430"/>
        <v>0</v>
      </c>
      <c r="X1251" s="668">
        <f t="shared" si="431"/>
        <v>0</v>
      </c>
      <c r="Y1251" s="668">
        <f t="shared" si="432"/>
        <v>854</v>
      </c>
      <c r="Z1251" s="668">
        <f t="shared" si="433"/>
        <v>0</v>
      </c>
      <c r="AA1251" s="668">
        <f t="shared" si="434"/>
        <v>0</v>
      </c>
      <c r="AB1251" s="668">
        <f t="shared" si="435"/>
        <v>0</v>
      </c>
      <c r="AC1251" s="668">
        <f t="shared" si="425"/>
        <v>0</v>
      </c>
      <c r="AD1251" s="668">
        <f t="shared" si="436"/>
        <v>0</v>
      </c>
      <c r="AE1251" s="668">
        <f t="shared" si="437"/>
        <v>0</v>
      </c>
      <c r="AF1251" s="668">
        <f t="shared" si="438"/>
        <v>0</v>
      </c>
      <c r="AG1251" s="668">
        <f t="shared" si="439"/>
        <v>0</v>
      </c>
      <c r="AH1251" s="668"/>
      <c r="AI1251" s="668"/>
      <c r="AJ1251" s="668"/>
      <c r="AK1251" s="668"/>
      <c r="AL1251" s="668"/>
      <c r="AM1251" s="668">
        <f t="shared" si="427"/>
        <v>0</v>
      </c>
      <c r="AN1251" s="668">
        <f t="shared" si="423"/>
        <v>0</v>
      </c>
      <c r="AO1251" s="668">
        <f t="shared" si="424"/>
        <v>0</v>
      </c>
      <c r="AP1251" s="668">
        <f t="shared" si="428"/>
        <v>0</v>
      </c>
      <c r="AQ1251" s="668">
        <f t="shared" si="421"/>
        <v>0</v>
      </c>
      <c r="AR1251" s="668">
        <f t="shared" si="422"/>
        <v>0</v>
      </c>
      <c r="AS1251" s="668"/>
      <c r="AT1251" s="668"/>
      <c r="AU1251" s="668"/>
      <c r="AV1251" s="668"/>
      <c r="AW1251" s="668"/>
      <c r="AX1251" s="668"/>
      <c r="AY1251" s="668"/>
      <c r="AZ1251" s="668"/>
      <c r="BA1251" s="668"/>
      <c r="BB1251" s="668">
        <f t="shared" si="426"/>
        <v>0</v>
      </c>
      <c r="BC1251" s="668"/>
      <c r="BD1251" s="668"/>
      <c r="BE1251" s="668"/>
      <c r="BF1251" s="668"/>
      <c r="BG1251" s="668"/>
      <c r="BH1251" s="668"/>
      <c r="BI1251" s="668"/>
    </row>
    <row r="1252" spans="1:61" x14ac:dyDescent="0.2">
      <c r="A1252" s="1021" t="s">
        <v>901</v>
      </c>
      <c r="B1252" s="1021" t="s">
        <v>612</v>
      </c>
      <c r="C1252" s="1021"/>
      <c r="D1252" s="667"/>
      <c r="E1252" s="667"/>
      <c r="F1252" s="667"/>
      <c r="G1252" s="667"/>
      <c r="H1252" s="667"/>
      <c r="I1252" s="667"/>
      <c r="J1252" s="667">
        <v>61</v>
      </c>
      <c r="K1252" s="667"/>
      <c r="L1252" s="667"/>
      <c r="M1252" s="667"/>
      <c r="N1252" s="667"/>
      <c r="O1252" s="667"/>
      <c r="P1252" s="667"/>
      <c r="Q1252" s="667"/>
      <c r="R1252" s="667"/>
      <c r="S1252" s="667"/>
      <c r="T1252" s="667"/>
      <c r="U1252" s="1021">
        <v>14</v>
      </c>
      <c r="V1252" s="668">
        <f t="shared" si="429"/>
        <v>0</v>
      </c>
      <c r="W1252" s="668">
        <f t="shared" si="430"/>
        <v>0</v>
      </c>
      <c r="X1252" s="668">
        <f t="shared" si="431"/>
        <v>0</v>
      </c>
      <c r="Y1252" s="668">
        <f t="shared" si="432"/>
        <v>854</v>
      </c>
      <c r="Z1252" s="668">
        <f t="shared" si="433"/>
        <v>0</v>
      </c>
      <c r="AA1252" s="668">
        <f t="shared" si="434"/>
        <v>0</v>
      </c>
      <c r="AB1252" s="668">
        <f t="shared" si="435"/>
        <v>0</v>
      </c>
      <c r="AC1252" s="668">
        <f t="shared" si="425"/>
        <v>0</v>
      </c>
      <c r="AD1252" s="668">
        <f t="shared" si="436"/>
        <v>0</v>
      </c>
      <c r="AE1252" s="668">
        <f t="shared" si="437"/>
        <v>0</v>
      </c>
      <c r="AF1252" s="668">
        <f t="shared" si="438"/>
        <v>0</v>
      </c>
      <c r="AG1252" s="668">
        <f t="shared" si="439"/>
        <v>0</v>
      </c>
      <c r="AH1252" s="668"/>
      <c r="AI1252" s="668"/>
      <c r="AJ1252" s="668"/>
      <c r="AK1252" s="668"/>
      <c r="AL1252" s="668"/>
      <c r="AM1252" s="668">
        <f t="shared" si="427"/>
        <v>0</v>
      </c>
      <c r="AN1252" s="668">
        <f t="shared" si="423"/>
        <v>0</v>
      </c>
      <c r="AO1252" s="668">
        <f t="shared" si="424"/>
        <v>0</v>
      </c>
      <c r="AP1252" s="668">
        <f t="shared" si="428"/>
        <v>0</v>
      </c>
      <c r="AQ1252" s="668">
        <f t="shared" si="421"/>
        <v>0</v>
      </c>
      <c r="AR1252" s="668">
        <f t="shared" si="422"/>
        <v>0</v>
      </c>
      <c r="AS1252" s="668"/>
      <c r="AT1252" s="668"/>
      <c r="AU1252" s="668"/>
      <c r="AV1252" s="668"/>
      <c r="AW1252" s="668"/>
      <c r="AX1252" s="668"/>
      <c r="AY1252" s="668"/>
      <c r="AZ1252" s="668"/>
      <c r="BA1252" s="668"/>
      <c r="BB1252" s="668">
        <f t="shared" si="426"/>
        <v>0</v>
      </c>
      <c r="BC1252" s="668"/>
      <c r="BD1252" s="668"/>
      <c r="BE1252" s="668"/>
      <c r="BF1252" s="668"/>
      <c r="BG1252" s="668"/>
      <c r="BH1252" s="668"/>
      <c r="BI1252" s="668"/>
    </row>
    <row r="1253" spans="1:61" x14ac:dyDescent="0.2">
      <c r="A1253" s="1025" t="s">
        <v>967</v>
      </c>
      <c r="B1253" s="1025" t="s">
        <v>979</v>
      </c>
      <c r="C1253" s="1025"/>
      <c r="D1253" s="667"/>
      <c r="E1253" s="667"/>
      <c r="F1253" s="667"/>
      <c r="G1253" s="667"/>
      <c r="H1253" s="667"/>
      <c r="I1253" s="667"/>
      <c r="J1253" s="667"/>
      <c r="K1253" s="667"/>
      <c r="L1253" s="667"/>
      <c r="M1253" s="667"/>
      <c r="N1253" s="667"/>
      <c r="O1253" s="667"/>
      <c r="P1253" s="667"/>
      <c r="Q1253" s="667"/>
      <c r="R1253" s="667"/>
      <c r="S1253" s="667">
        <v>5168</v>
      </c>
      <c r="T1253" s="667"/>
      <c r="U1253" s="1025"/>
      <c r="V1253" s="668"/>
      <c r="W1253" s="668"/>
      <c r="X1253" s="668"/>
      <c r="Y1253" s="668"/>
      <c r="Z1253" s="668"/>
      <c r="AA1253" s="668">
        <f t="shared" si="434"/>
        <v>5168</v>
      </c>
      <c r="AB1253" s="668"/>
      <c r="AC1253" s="668">
        <f t="shared" si="425"/>
        <v>0</v>
      </c>
      <c r="AD1253" s="668"/>
      <c r="AE1253" s="668"/>
      <c r="AF1253" s="668"/>
      <c r="AG1253" s="668"/>
      <c r="AH1253" s="668"/>
      <c r="AI1253" s="668"/>
      <c r="AJ1253" s="668"/>
      <c r="AK1253" s="668"/>
      <c r="AL1253" s="668"/>
      <c r="AM1253" s="668">
        <f t="shared" si="427"/>
        <v>0</v>
      </c>
      <c r="AN1253" s="668">
        <f t="shared" si="423"/>
        <v>0</v>
      </c>
      <c r="AO1253" s="668">
        <f t="shared" si="424"/>
        <v>0</v>
      </c>
      <c r="AP1253" s="668">
        <f t="shared" si="428"/>
        <v>0</v>
      </c>
      <c r="AQ1253" s="668">
        <f t="shared" si="421"/>
        <v>0</v>
      </c>
      <c r="AR1253" s="668">
        <f t="shared" si="422"/>
        <v>0</v>
      </c>
      <c r="AS1253" s="668"/>
      <c r="AT1253" s="668"/>
      <c r="AU1253" s="668"/>
      <c r="AV1253" s="668"/>
      <c r="AW1253" s="668"/>
      <c r="AX1253" s="668"/>
      <c r="AY1253" s="668"/>
      <c r="AZ1253" s="668"/>
      <c r="BA1253" s="668"/>
      <c r="BB1253" s="668">
        <f t="shared" si="426"/>
        <v>0</v>
      </c>
      <c r="BC1253" s="668"/>
      <c r="BD1253" s="668"/>
      <c r="BE1253" s="668"/>
      <c r="BF1253" s="668"/>
      <c r="BG1253" s="668"/>
      <c r="BH1253" s="668"/>
      <c r="BI1253" s="668"/>
    </row>
    <row r="1254" spans="1:61" x14ac:dyDescent="0.2">
      <c r="A1254" s="1021"/>
      <c r="B1254" s="1021"/>
      <c r="C1254" s="1021"/>
      <c r="D1254" s="667"/>
      <c r="E1254" s="667"/>
      <c r="F1254" s="667"/>
      <c r="G1254" s="667"/>
      <c r="H1254" s="667"/>
      <c r="I1254" s="667"/>
      <c r="J1254" s="667"/>
      <c r="K1254" s="667"/>
      <c r="L1254" s="667"/>
      <c r="M1254" s="667"/>
      <c r="N1254" s="667"/>
      <c r="O1254" s="667"/>
      <c r="P1254" s="667"/>
      <c r="Q1254" s="667"/>
      <c r="R1254" s="667"/>
      <c r="S1254" s="667"/>
      <c r="T1254" s="667"/>
      <c r="U1254" s="1021"/>
      <c r="V1254" s="668">
        <f t="shared" si="429"/>
        <v>0</v>
      </c>
      <c r="W1254" s="668">
        <f t="shared" si="430"/>
        <v>0</v>
      </c>
      <c r="X1254" s="668">
        <f t="shared" si="431"/>
        <v>0</v>
      </c>
      <c r="Y1254" s="668">
        <f t="shared" si="432"/>
        <v>0</v>
      </c>
      <c r="Z1254" s="668">
        <f t="shared" si="433"/>
        <v>0</v>
      </c>
      <c r="AA1254" s="668">
        <f t="shared" si="434"/>
        <v>0</v>
      </c>
      <c r="AB1254" s="668">
        <f t="shared" si="435"/>
        <v>0</v>
      </c>
      <c r="AC1254" s="668">
        <f t="shared" si="425"/>
        <v>0</v>
      </c>
      <c r="AD1254" s="668">
        <f t="shared" si="436"/>
        <v>0</v>
      </c>
      <c r="AE1254" s="668">
        <f t="shared" si="437"/>
        <v>0</v>
      </c>
      <c r="AF1254" s="668">
        <f t="shared" si="438"/>
        <v>0</v>
      </c>
      <c r="AG1254" s="668">
        <f t="shared" si="439"/>
        <v>0</v>
      </c>
      <c r="AH1254" s="668"/>
      <c r="AI1254" s="668"/>
      <c r="AJ1254" s="668"/>
      <c r="AK1254" s="668"/>
      <c r="AL1254" s="668"/>
      <c r="AM1254" s="668">
        <f t="shared" si="427"/>
        <v>0</v>
      </c>
      <c r="AN1254" s="668">
        <f t="shared" si="423"/>
        <v>0</v>
      </c>
      <c r="AO1254" s="668">
        <f t="shared" si="424"/>
        <v>0</v>
      </c>
      <c r="AP1254" s="668">
        <f t="shared" si="428"/>
        <v>0</v>
      </c>
      <c r="AQ1254" s="668">
        <f t="shared" si="421"/>
        <v>0</v>
      </c>
      <c r="AR1254" s="668">
        <f t="shared" si="422"/>
        <v>0</v>
      </c>
      <c r="AS1254" s="668"/>
      <c r="AT1254" s="668"/>
      <c r="AU1254" s="668"/>
      <c r="AV1254" s="668"/>
      <c r="AW1254" s="668"/>
      <c r="AX1254" s="668"/>
      <c r="AY1254" s="668"/>
      <c r="AZ1254" s="668"/>
      <c r="BA1254" s="668"/>
      <c r="BB1254" s="668">
        <f t="shared" si="426"/>
        <v>0</v>
      </c>
      <c r="BC1254" s="668"/>
      <c r="BD1254" s="668"/>
      <c r="BE1254" s="668"/>
      <c r="BF1254" s="668"/>
      <c r="BG1254" s="668"/>
      <c r="BH1254" s="668"/>
      <c r="BI1254" s="668"/>
    </row>
    <row r="1255" spans="1:61" x14ac:dyDescent="0.2">
      <c r="A1255" s="1021"/>
      <c r="B1255" s="1019" t="s">
        <v>904</v>
      </c>
      <c r="C1255" s="1021"/>
      <c r="D1255" s="667"/>
      <c r="E1255" s="667"/>
      <c r="F1255" s="667"/>
      <c r="G1255" s="667"/>
      <c r="H1255" s="667"/>
      <c r="I1255" s="667"/>
      <c r="J1255" s="667"/>
      <c r="K1255" s="667"/>
      <c r="L1255" s="667"/>
      <c r="M1255" s="667"/>
      <c r="N1255" s="667"/>
      <c r="O1255" s="667"/>
      <c r="P1255" s="667"/>
      <c r="Q1255" s="667"/>
      <c r="R1255" s="667"/>
      <c r="S1255" s="667"/>
      <c r="T1255" s="667"/>
      <c r="U1255" s="1021"/>
      <c r="V1255" s="668">
        <f t="shared" si="429"/>
        <v>0</v>
      </c>
      <c r="W1255" s="668">
        <f t="shared" si="430"/>
        <v>0</v>
      </c>
      <c r="X1255" s="668">
        <f t="shared" si="431"/>
        <v>0</v>
      </c>
      <c r="Y1255" s="668">
        <f t="shared" si="432"/>
        <v>0</v>
      </c>
      <c r="Z1255" s="668">
        <f t="shared" si="433"/>
        <v>0</v>
      </c>
      <c r="AA1255" s="668">
        <f t="shared" si="434"/>
        <v>0</v>
      </c>
      <c r="AB1255" s="668">
        <f t="shared" si="435"/>
        <v>0</v>
      </c>
      <c r="AC1255" s="668">
        <f t="shared" si="425"/>
        <v>0</v>
      </c>
      <c r="AD1255" s="668">
        <f t="shared" si="436"/>
        <v>0</v>
      </c>
      <c r="AE1255" s="668">
        <f t="shared" si="437"/>
        <v>0</v>
      </c>
      <c r="AF1255" s="668">
        <f t="shared" si="438"/>
        <v>0</v>
      </c>
      <c r="AG1255" s="668">
        <f t="shared" si="439"/>
        <v>0</v>
      </c>
      <c r="AH1255" s="668"/>
      <c r="AI1255" s="668"/>
      <c r="AJ1255" s="668"/>
      <c r="AK1255" s="668"/>
      <c r="AL1255" s="668"/>
      <c r="AM1255" s="668">
        <f t="shared" si="427"/>
        <v>0</v>
      </c>
      <c r="AN1255" s="668">
        <f t="shared" si="423"/>
        <v>0</v>
      </c>
      <c r="AO1255" s="668">
        <f t="shared" si="424"/>
        <v>0</v>
      </c>
      <c r="AP1255" s="668">
        <f t="shared" si="428"/>
        <v>0</v>
      </c>
      <c r="AQ1255" s="668">
        <f t="shared" si="421"/>
        <v>0</v>
      </c>
      <c r="AR1255" s="668">
        <f t="shared" si="422"/>
        <v>0</v>
      </c>
      <c r="AS1255" s="668">
        <v>2</v>
      </c>
      <c r="AT1255" s="668">
        <v>2</v>
      </c>
      <c r="AU1255" s="668"/>
      <c r="AV1255" s="668"/>
      <c r="AW1255" s="668"/>
      <c r="AX1255" s="668"/>
      <c r="AY1255" s="668"/>
      <c r="AZ1255" s="668"/>
      <c r="BA1255" s="668"/>
      <c r="BB1255" s="668">
        <f t="shared" si="426"/>
        <v>0</v>
      </c>
      <c r="BC1255" s="668"/>
      <c r="BD1255" s="668"/>
      <c r="BE1255" s="668"/>
      <c r="BF1255" s="668"/>
      <c r="BG1255" s="668"/>
      <c r="BH1255" s="668"/>
      <c r="BI1255" s="668"/>
    </row>
    <row r="1256" spans="1:61" x14ac:dyDescent="0.2">
      <c r="A1256" s="1021">
        <v>10000</v>
      </c>
      <c r="B1256" s="1021" t="s">
        <v>907</v>
      </c>
      <c r="C1256" s="1021"/>
      <c r="D1256" s="667"/>
      <c r="E1256" s="667"/>
      <c r="F1256" s="667"/>
      <c r="G1256" s="667"/>
      <c r="H1256" s="667"/>
      <c r="I1256" s="667"/>
      <c r="J1256" s="667"/>
      <c r="K1256" s="667"/>
      <c r="L1256" s="667"/>
      <c r="M1256" s="667"/>
      <c r="N1256" s="667"/>
      <c r="O1256" s="667"/>
      <c r="P1256" s="667"/>
      <c r="Q1256" s="667"/>
      <c r="R1256" s="667"/>
      <c r="S1256" s="667"/>
      <c r="T1256" s="667"/>
      <c r="U1256" s="1021"/>
      <c r="V1256" s="668">
        <f t="shared" si="429"/>
        <v>0</v>
      </c>
      <c r="W1256" s="668">
        <f t="shared" si="430"/>
        <v>0</v>
      </c>
      <c r="X1256" s="668">
        <f t="shared" si="431"/>
        <v>0</v>
      </c>
      <c r="Y1256" s="668">
        <f t="shared" si="432"/>
        <v>0</v>
      </c>
      <c r="Z1256" s="668">
        <f t="shared" si="433"/>
        <v>0</v>
      </c>
      <c r="AA1256" s="668">
        <f t="shared" si="434"/>
        <v>0</v>
      </c>
      <c r="AB1256" s="668">
        <f t="shared" si="435"/>
        <v>0</v>
      </c>
      <c r="AC1256" s="668">
        <f t="shared" si="425"/>
        <v>0</v>
      </c>
      <c r="AD1256" s="668">
        <f t="shared" si="436"/>
        <v>0</v>
      </c>
      <c r="AE1256" s="668">
        <f t="shared" si="437"/>
        <v>0</v>
      </c>
      <c r="AF1256" s="668">
        <f t="shared" si="438"/>
        <v>0</v>
      </c>
      <c r="AG1256" s="668">
        <f t="shared" si="439"/>
        <v>0</v>
      </c>
      <c r="AH1256" s="668"/>
      <c r="AI1256" s="668"/>
      <c r="AJ1256" s="668"/>
      <c r="AK1256" s="668"/>
      <c r="AL1256" s="668"/>
      <c r="AM1256" s="668">
        <f t="shared" si="427"/>
        <v>0</v>
      </c>
      <c r="AN1256" s="668">
        <f t="shared" si="423"/>
        <v>0</v>
      </c>
      <c r="AO1256" s="668">
        <f t="shared" si="424"/>
        <v>0</v>
      </c>
      <c r="AP1256" s="668">
        <f t="shared" si="428"/>
        <v>0</v>
      </c>
      <c r="AQ1256" s="668">
        <f t="shared" si="421"/>
        <v>0</v>
      </c>
      <c r="AR1256" s="668">
        <f t="shared" si="422"/>
        <v>0</v>
      </c>
      <c r="AS1256" s="668"/>
      <c r="AT1256" s="668"/>
      <c r="AU1256" s="668"/>
      <c r="AV1256" s="668"/>
      <c r="AW1256" s="668"/>
      <c r="AX1256" s="668"/>
      <c r="AY1256" s="668"/>
      <c r="AZ1256" s="668"/>
      <c r="BA1256" s="668"/>
      <c r="BB1256" s="668">
        <f t="shared" si="426"/>
        <v>0</v>
      </c>
      <c r="BC1256" s="668"/>
      <c r="BD1256" s="668"/>
      <c r="BE1256" s="668"/>
      <c r="BF1256" s="668"/>
      <c r="BG1256" s="668"/>
      <c r="BH1256" s="668"/>
      <c r="BI1256" s="668"/>
    </row>
    <row r="1257" spans="1:61" x14ac:dyDescent="0.2">
      <c r="A1257" s="1021">
        <v>10001</v>
      </c>
      <c r="B1257" s="1021" t="s">
        <v>533</v>
      </c>
      <c r="C1257" s="1021"/>
      <c r="D1257" s="667"/>
      <c r="E1257" s="667"/>
      <c r="F1257" s="667"/>
      <c r="G1257" s="667"/>
      <c r="H1257" s="667"/>
      <c r="I1257" s="667"/>
      <c r="J1257" s="667"/>
      <c r="K1257" s="667"/>
      <c r="L1257" s="667"/>
      <c r="M1257" s="667"/>
      <c r="N1257" s="667"/>
      <c r="O1257" s="667"/>
      <c r="P1257" s="667"/>
      <c r="Q1257" s="667"/>
      <c r="R1257" s="667"/>
      <c r="S1257" s="667"/>
      <c r="T1257" s="667"/>
      <c r="U1257" s="1021"/>
      <c r="V1257" s="668">
        <f t="shared" si="429"/>
        <v>0</v>
      </c>
      <c r="W1257" s="668">
        <f t="shared" si="430"/>
        <v>0</v>
      </c>
      <c r="X1257" s="668">
        <f t="shared" si="431"/>
        <v>0</v>
      </c>
      <c r="Y1257" s="668">
        <f t="shared" si="432"/>
        <v>0</v>
      </c>
      <c r="Z1257" s="668">
        <f t="shared" si="433"/>
        <v>0</v>
      </c>
      <c r="AA1257" s="668">
        <f t="shared" si="434"/>
        <v>0</v>
      </c>
      <c r="AB1257" s="668">
        <f t="shared" si="435"/>
        <v>0</v>
      </c>
      <c r="AC1257" s="668">
        <f t="shared" si="425"/>
        <v>0</v>
      </c>
      <c r="AD1257" s="668">
        <f t="shared" si="436"/>
        <v>0</v>
      </c>
      <c r="AE1257" s="668">
        <f t="shared" si="437"/>
        <v>0</v>
      </c>
      <c r="AF1257" s="668">
        <f t="shared" si="438"/>
        <v>0</v>
      </c>
      <c r="AG1257" s="668">
        <f t="shared" si="439"/>
        <v>0</v>
      </c>
      <c r="AH1257" s="668"/>
      <c r="AI1257" s="668"/>
      <c r="AJ1257" s="668"/>
      <c r="AK1257" s="668"/>
      <c r="AL1257" s="668"/>
      <c r="AM1257" s="668">
        <f t="shared" si="427"/>
        <v>0</v>
      </c>
      <c r="AN1257" s="668">
        <f t="shared" si="423"/>
        <v>0</v>
      </c>
      <c r="AO1257" s="668">
        <f t="shared" si="424"/>
        <v>0</v>
      </c>
      <c r="AP1257" s="668">
        <f t="shared" si="428"/>
        <v>0</v>
      </c>
      <c r="AQ1257" s="668">
        <f t="shared" si="421"/>
        <v>0</v>
      </c>
      <c r="AR1257" s="668">
        <f t="shared" si="422"/>
        <v>0</v>
      </c>
      <c r="AS1257" s="668"/>
      <c r="AT1257" s="668"/>
      <c r="AU1257" s="668"/>
      <c r="AV1257" s="668"/>
      <c r="AW1257" s="668"/>
      <c r="AX1257" s="668"/>
      <c r="AY1257" s="668"/>
      <c r="AZ1257" s="668"/>
      <c r="BA1257" s="668"/>
      <c r="BB1257" s="668">
        <f t="shared" si="426"/>
        <v>0</v>
      </c>
      <c r="BC1257" s="668"/>
      <c r="BD1257" s="668"/>
      <c r="BE1257" s="668"/>
      <c r="BF1257" s="668"/>
      <c r="BG1257" s="668"/>
      <c r="BH1257" s="668"/>
      <c r="BI1257" s="668"/>
    </row>
    <row r="1258" spans="1:61" x14ac:dyDescent="0.2">
      <c r="A1258" s="1021">
        <v>10003</v>
      </c>
      <c r="B1258" s="1021" t="s">
        <v>543</v>
      </c>
      <c r="C1258" s="1021"/>
      <c r="D1258" s="667"/>
      <c r="E1258" s="667"/>
      <c r="F1258" s="667"/>
      <c r="G1258" s="667"/>
      <c r="H1258" s="667"/>
      <c r="I1258" s="667"/>
      <c r="J1258" s="667"/>
      <c r="K1258" s="667"/>
      <c r="L1258" s="667"/>
      <c r="M1258" s="667"/>
      <c r="N1258" s="667"/>
      <c r="O1258" s="667"/>
      <c r="P1258" s="667"/>
      <c r="Q1258" s="667"/>
      <c r="R1258" s="667"/>
      <c r="S1258" s="667"/>
      <c r="T1258" s="667"/>
      <c r="U1258" s="1021"/>
      <c r="V1258" s="668">
        <f t="shared" si="429"/>
        <v>0</v>
      </c>
      <c r="W1258" s="668">
        <f t="shared" si="430"/>
        <v>0</v>
      </c>
      <c r="X1258" s="668">
        <f t="shared" si="431"/>
        <v>0</v>
      </c>
      <c r="Y1258" s="668">
        <f t="shared" si="432"/>
        <v>0</v>
      </c>
      <c r="Z1258" s="668">
        <f t="shared" si="433"/>
        <v>0</v>
      </c>
      <c r="AA1258" s="668">
        <f t="shared" si="434"/>
        <v>0</v>
      </c>
      <c r="AB1258" s="668">
        <f t="shared" si="435"/>
        <v>0</v>
      </c>
      <c r="AC1258" s="668">
        <f t="shared" si="425"/>
        <v>0</v>
      </c>
      <c r="AD1258" s="668">
        <f t="shared" si="436"/>
        <v>0</v>
      </c>
      <c r="AE1258" s="668">
        <f t="shared" si="437"/>
        <v>0</v>
      </c>
      <c r="AF1258" s="668">
        <f t="shared" si="438"/>
        <v>0</v>
      </c>
      <c r="AG1258" s="668">
        <f t="shared" si="439"/>
        <v>0</v>
      </c>
      <c r="AH1258" s="668"/>
      <c r="AI1258" s="668"/>
      <c r="AJ1258" s="668"/>
      <c r="AK1258" s="668"/>
      <c r="AL1258" s="668"/>
      <c r="AM1258" s="668">
        <f t="shared" si="427"/>
        <v>0</v>
      </c>
      <c r="AN1258" s="668">
        <f t="shared" si="423"/>
        <v>0</v>
      </c>
      <c r="AO1258" s="668">
        <f t="shared" si="424"/>
        <v>0</v>
      </c>
      <c r="AP1258" s="668">
        <f t="shared" si="428"/>
        <v>0</v>
      </c>
      <c r="AQ1258" s="668">
        <f t="shared" si="421"/>
        <v>0</v>
      </c>
      <c r="AR1258" s="668">
        <f t="shared" si="422"/>
        <v>0</v>
      </c>
      <c r="AS1258" s="668"/>
      <c r="AT1258" s="668"/>
      <c r="AU1258" s="668"/>
      <c r="AV1258" s="668"/>
      <c r="AW1258" s="668"/>
      <c r="AX1258" s="668"/>
      <c r="AY1258" s="668"/>
      <c r="AZ1258" s="668"/>
      <c r="BA1258" s="668"/>
      <c r="BB1258" s="668">
        <f t="shared" si="426"/>
        <v>0</v>
      </c>
      <c r="BC1258" s="668"/>
      <c r="BD1258" s="668"/>
      <c r="BE1258" s="668"/>
      <c r="BF1258" s="668"/>
      <c r="BG1258" s="668"/>
      <c r="BH1258" s="668"/>
      <c r="BI1258" s="668"/>
    </row>
    <row r="1259" spans="1:61" x14ac:dyDescent="0.2">
      <c r="A1259" s="1021">
        <v>10005</v>
      </c>
      <c r="B1259" s="1021" t="s">
        <v>908</v>
      </c>
      <c r="C1259" s="1021"/>
      <c r="D1259" s="667"/>
      <c r="E1259" s="667"/>
      <c r="F1259" s="667"/>
      <c r="G1259" s="667"/>
      <c r="H1259" s="667"/>
      <c r="I1259" s="667"/>
      <c r="J1259" s="667"/>
      <c r="K1259" s="667"/>
      <c r="L1259" s="667"/>
      <c r="M1259" s="667"/>
      <c r="N1259" s="667"/>
      <c r="O1259" s="667"/>
      <c r="P1259" s="667"/>
      <c r="Q1259" s="667"/>
      <c r="R1259" s="667"/>
      <c r="S1259" s="667"/>
      <c r="T1259" s="667"/>
      <c r="U1259" s="1021"/>
      <c r="V1259" s="668">
        <f t="shared" si="429"/>
        <v>0</v>
      </c>
      <c r="W1259" s="668">
        <f t="shared" si="430"/>
        <v>0</v>
      </c>
      <c r="X1259" s="668">
        <f t="shared" si="431"/>
        <v>0</v>
      </c>
      <c r="Y1259" s="668">
        <f t="shared" si="432"/>
        <v>0</v>
      </c>
      <c r="Z1259" s="668">
        <f t="shared" si="433"/>
        <v>0</v>
      </c>
      <c r="AA1259" s="668">
        <f t="shared" si="434"/>
        <v>0</v>
      </c>
      <c r="AB1259" s="668">
        <f t="shared" si="435"/>
        <v>0</v>
      </c>
      <c r="AC1259" s="668">
        <f t="shared" si="425"/>
        <v>0</v>
      </c>
      <c r="AD1259" s="668">
        <f t="shared" si="436"/>
        <v>0</v>
      </c>
      <c r="AE1259" s="668">
        <f t="shared" si="437"/>
        <v>0</v>
      </c>
      <c r="AF1259" s="668">
        <f t="shared" si="438"/>
        <v>0</v>
      </c>
      <c r="AG1259" s="668">
        <f t="shared" si="439"/>
        <v>0</v>
      </c>
      <c r="AH1259" s="668"/>
      <c r="AI1259" s="668"/>
      <c r="AJ1259" s="668"/>
      <c r="AK1259" s="668"/>
      <c r="AL1259" s="668"/>
      <c r="AM1259" s="668">
        <f t="shared" si="427"/>
        <v>0</v>
      </c>
      <c r="AN1259" s="668">
        <f t="shared" si="423"/>
        <v>0</v>
      </c>
      <c r="AO1259" s="668">
        <f t="shared" si="424"/>
        <v>0</v>
      </c>
      <c r="AP1259" s="668">
        <f t="shared" si="428"/>
        <v>0</v>
      </c>
      <c r="AQ1259" s="668">
        <f t="shared" si="421"/>
        <v>0</v>
      </c>
      <c r="AR1259" s="668">
        <f t="shared" si="422"/>
        <v>0</v>
      </c>
      <c r="AS1259" s="668"/>
      <c r="AT1259" s="668"/>
      <c r="AU1259" s="668"/>
      <c r="AV1259" s="668"/>
      <c r="AW1259" s="668"/>
      <c r="AX1259" s="668"/>
      <c r="AY1259" s="668"/>
      <c r="AZ1259" s="668"/>
      <c r="BA1259" s="668"/>
      <c r="BB1259" s="668">
        <f t="shared" si="426"/>
        <v>0</v>
      </c>
      <c r="BC1259" s="668"/>
      <c r="BD1259" s="668"/>
      <c r="BE1259" s="668"/>
      <c r="BF1259" s="668"/>
      <c r="BG1259" s="668"/>
      <c r="BH1259" s="668"/>
      <c r="BI1259" s="668"/>
    </row>
    <row r="1260" spans="1:61" x14ac:dyDescent="0.2">
      <c r="A1260" s="1021">
        <v>10007</v>
      </c>
      <c r="B1260" s="1021" t="s">
        <v>909</v>
      </c>
      <c r="C1260" s="1021"/>
      <c r="D1260" s="667">
        <v>27</v>
      </c>
      <c r="E1260" s="667"/>
      <c r="F1260" s="667"/>
      <c r="G1260" s="667"/>
      <c r="H1260" s="667"/>
      <c r="I1260" s="667"/>
      <c r="J1260" s="667"/>
      <c r="K1260" s="667"/>
      <c r="L1260" s="667"/>
      <c r="M1260" s="667"/>
      <c r="N1260" s="667"/>
      <c r="O1260" s="667"/>
      <c r="P1260" s="667"/>
      <c r="Q1260" s="667"/>
      <c r="R1260" s="667"/>
      <c r="S1260" s="667"/>
      <c r="T1260" s="667"/>
      <c r="U1260" s="1021">
        <v>10</v>
      </c>
      <c r="V1260" s="668">
        <f t="shared" si="429"/>
        <v>270</v>
      </c>
      <c r="W1260" s="668">
        <f t="shared" si="430"/>
        <v>0</v>
      </c>
      <c r="X1260" s="668">
        <f t="shared" si="431"/>
        <v>0</v>
      </c>
      <c r="Y1260" s="668">
        <f t="shared" si="432"/>
        <v>0</v>
      </c>
      <c r="Z1260" s="668">
        <f t="shared" si="433"/>
        <v>0</v>
      </c>
      <c r="AA1260" s="668">
        <f t="shared" si="434"/>
        <v>0</v>
      </c>
      <c r="AB1260" s="668">
        <f t="shared" si="435"/>
        <v>0</v>
      </c>
      <c r="AC1260" s="668">
        <f t="shared" si="425"/>
        <v>0</v>
      </c>
      <c r="AD1260" s="668">
        <f t="shared" si="436"/>
        <v>0</v>
      </c>
      <c r="AE1260" s="668">
        <f t="shared" si="437"/>
        <v>0</v>
      </c>
      <c r="AF1260" s="668">
        <f t="shared" si="438"/>
        <v>0</v>
      </c>
      <c r="AG1260" s="668">
        <f t="shared" si="439"/>
        <v>0</v>
      </c>
      <c r="AH1260" s="668"/>
      <c r="AI1260" s="668"/>
      <c r="AJ1260" s="668"/>
      <c r="AK1260" s="668"/>
      <c r="AL1260" s="668"/>
      <c r="AM1260" s="668">
        <f t="shared" si="427"/>
        <v>0</v>
      </c>
      <c r="AN1260" s="668">
        <f t="shared" si="423"/>
        <v>0</v>
      </c>
      <c r="AO1260" s="668">
        <f t="shared" si="424"/>
        <v>0</v>
      </c>
      <c r="AP1260" s="668">
        <f t="shared" si="428"/>
        <v>0</v>
      </c>
      <c r="AQ1260" s="668">
        <f t="shared" si="421"/>
        <v>0</v>
      </c>
      <c r="AR1260" s="668">
        <f t="shared" si="422"/>
        <v>0</v>
      </c>
      <c r="AS1260" s="668"/>
      <c r="AT1260" s="668"/>
      <c r="AU1260" s="668"/>
      <c r="AV1260" s="668"/>
      <c r="AW1260" s="668"/>
      <c r="AX1260" s="668"/>
      <c r="AY1260" s="668"/>
      <c r="AZ1260" s="668"/>
      <c r="BA1260" s="668"/>
      <c r="BB1260" s="668">
        <f t="shared" si="426"/>
        <v>0</v>
      </c>
      <c r="BC1260" s="668"/>
      <c r="BD1260" s="668"/>
      <c r="BE1260" s="668"/>
      <c r="BF1260" s="668"/>
      <c r="BG1260" s="668"/>
      <c r="BH1260" s="668"/>
      <c r="BI1260" s="668"/>
    </row>
    <row r="1261" spans="1:61" x14ac:dyDescent="0.2">
      <c r="A1261" s="1021">
        <v>10008</v>
      </c>
      <c r="B1261" s="1021" t="s">
        <v>738</v>
      </c>
      <c r="C1261" s="1021"/>
      <c r="D1261" s="667">
        <v>137</v>
      </c>
      <c r="E1261" s="667"/>
      <c r="F1261" s="667"/>
      <c r="G1261" s="667"/>
      <c r="H1261" s="667"/>
      <c r="I1261" s="667"/>
      <c r="J1261" s="667"/>
      <c r="K1261" s="667"/>
      <c r="L1261" s="667"/>
      <c r="M1261" s="667"/>
      <c r="N1261" s="667"/>
      <c r="O1261" s="667"/>
      <c r="P1261" s="667"/>
      <c r="Q1261" s="667"/>
      <c r="R1261" s="667"/>
      <c r="S1261" s="667"/>
      <c r="T1261" s="667"/>
      <c r="U1261" s="1021">
        <v>4</v>
      </c>
      <c r="V1261" s="668">
        <f t="shared" si="429"/>
        <v>548</v>
      </c>
      <c r="W1261" s="668">
        <f t="shared" si="430"/>
        <v>0</v>
      </c>
      <c r="X1261" s="668">
        <f t="shared" si="431"/>
        <v>0</v>
      </c>
      <c r="Y1261" s="668">
        <f t="shared" si="432"/>
        <v>0</v>
      </c>
      <c r="Z1261" s="668">
        <f t="shared" si="433"/>
        <v>0</v>
      </c>
      <c r="AA1261" s="668">
        <f t="shared" si="434"/>
        <v>0</v>
      </c>
      <c r="AB1261" s="668">
        <f t="shared" si="435"/>
        <v>0</v>
      </c>
      <c r="AC1261" s="668">
        <f t="shared" si="425"/>
        <v>0</v>
      </c>
      <c r="AD1261" s="668">
        <f t="shared" si="436"/>
        <v>0</v>
      </c>
      <c r="AE1261" s="668">
        <f t="shared" si="437"/>
        <v>0</v>
      </c>
      <c r="AF1261" s="668">
        <f t="shared" si="438"/>
        <v>0</v>
      </c>
      <c r="AG1261" s="668">
        <f t="shared" si="439"/>
        <v>0</v>
      </c>
      <c r="AH1261" s="668"/>
      <c r="AI1261" s="668"/>
      <c r="AJ1261" s="668"/>
      <c r="AK1261" s="668"/>
      <c r="AL1261" s="668"/>
      <c r="AM1261" s="668">
        <f t="shared" si="427"/>
        <v>0</v>
      </c>
      <c r="AN1261" s="668">
        <f t="shared" si="423"/>
        <v>0</v>
      </c>
      <c r="AO1261" s="668">
        <f t="shared" si="424"/>
        <v>0</v>
      </c>
      <c r="AP1261" s="668">
        <f t="shared" si="428"/>
        <v>0</v>
      </c>
      <c r="AQ1261" s="668">
        <f t="shared" si="421"/>
        <v>0</v>
      </c>
      <c r="AR1261" s="668">
        <f t="shared" si="422"/>
        <v>0</v>
      </c>
      <c r="AS1261" s="668"/>
      <c r="AT1261" s="668"/>
      <c r="AU1261" s="668"/>
      <c r="AV1261" s="668"/>
      <c r="AW1261" s="668"/>
      <c r="AX1261" s="668"/>
      <c r="AY1261" s="668"/>
      <c r="AZ1261" s="668"/>
      <c r="BA1261" s="668"/>
      <c r="BB1261" s="668">
        <f t="shared" si="426"/>
        <v>0</v>
      </c>
      <c r="BC1261" s="668"/>
      <c r="BD1261" s="668"/>
      <c r="BE1261" s="668"/>
      <c r="BF1261" s="668"/>
      <c r="BG1261" s="668"/>
      <c r="BH1261" s="668"/>
      <c r="BI1261" s="668"/>
    </row>
    <row r="1262" spans="1:61" x14ac:dyDescent="0.2">
      <c r="A1262" s="1021">
        <v>10010</v>
      </c>
      <c r="B1262" s="1021" t="s">
        <v>476</v>
      </c>
      <c r="C1262" s="1021"/>
      <c r="D1262" s="667">
        <v>37</v>
      </c>
      <c r="E1262" s="667"/>
      <c r="F1262" s="667"/>
      <c r="G1262" s="667"/>
      <c r="H1262" s="667"/>
      <c r="I1262" s="667"/>
      <c r="J1262" s="667"/>
      <c r="K1262" s="667"/>
      <c r="L1262" s="667"/>
      <c r="M1262" s="667"/>
      <c r="N1262" s="667"/>
      <c r="O1262" s="667"/>
      <c r="P1262" s="667">
        <v>80</v>
      </c>
      <c r="Q1262" s="667"/>
      <c r="R1262" s="667"/>
      <c r="S1262" s="667"/>
      <c r="T1262" s="667"/>
      <c r="U1262" s="1021">
        <v>12</v>
      </c>
      <c r="V1262" s="668">
        <f t="shared" si="429"/>
        <v>444</v>
      </c>
      <c r="W1262" s="668">
        <f t="shared" si="430"/>
        <v>0</v>
      </c>
      <c r="X1262" s="668">
        <f t="shared" si="431"/>
        <v>0</v>
      </c>
      <c r="Y1262" s="668">
        <f t="shared" si="432"/>
        <v>0</v>
      </c>
      <c r="Z1262" s="668">
        <f t="shared" si="433"/>
        <v>0</v>
      </c>
      <c r="AA1262" s="668">
        <f t="shared" si="434"/>
        <v>0</v>
      </c>
      <c r="AB1262" s="668">
        <f t="shared" si="435"/>
        <v>0</v>
      </c>
      <c r="AC1262" s="668">
        <f t="shared" si="425"/>
        <v>960</v>
      </c>
      <c r="AD1262" s="668">
        <f t="shared" si="436"/>
        <v>0</v>
      </c>
      <c r="AE1262" s="668">
        <f t="shared" si="437"/>
        <v>0</v>
      </c>
      <c r="AF1262" s="668">
        <f t="shared" si="438"/>
        <v>0</v>
      </c>
      <c r="AG1262" s="668">
        <f t="shared" si="439"/>
        <v>0</v>
      </c>
      <c r="AH1262" s="668"/>
      <c r="AI1262" s="668"/>
      <c r="AJ1262" s="668"/>
      <c r="AK1262" s="668"/>
      <c r="AL1262" s="668"/>
      <c r="AM1262" s="668">
        <f t="shared" si="427"/>
        <v>0</v>
      </c>
      <c r="AN1262" s="668">
        <f t="shared" si="423"/>
        <v>0</v>
      </c>
      <c r="AO1262" s="668">
        <f t="shared" si="424"/>
        <v>0</v>
      </c>
      <c r="AP1262" s="668">
        <f t="shared" si="428"/>
        <v>0</v>
      </c>
      <c r="AQ1262" s="668">
        <f t="shared" si="421"/>
        <v>0</v>
      </c>
      <c r="AR1262" s="668">
        <f t="shared" si="422"/>
        <v>0</v>
      </c>
      <c r="AS1262" s="668"/>
      <c r="AT1262" s="668"/>
      <c r="AU1262" s="668"/>
      <c r="AV1262" s="668"/>
      <c r="AW1262" s="668"/>
      <c r="AX1262" s="668"/>
      <c r="AY1262" s="668"/>
      <c r="AZ1262" s="668"/>
      <c r="BA1262" s="668"/>
      <c r="BB1262" s="668">
        <f t="shared" si="426"/>
        <v>0</v>
      </c>
      <c r="BC1262" s="668"/>
      <c r="BD1262" s="668"/>
      <c r="BE1262" s="668"/>
      <c r="BF1262" s="668"/>
      <c r="BG1262" s="668"/>
      <c r="BH1262" s="668"/>
      <c r="BI1262" s="668"/>
    </row>
    <row r="1263" spans="1:61" x14ac:dyDescent="0.2">
      <c r="A1263" s="1021">
        <v>10011</v>
      </c>
      <c r="B1263" s="1021" t="s">
        <v>486</v>
      </c>
      <c r="C1263" s="1021"/>
      <c r="D1263" s="667">
        <v>47</v>
      </c>
      <c r="E1263" s="667"/>
      <c r="F1263" s="667"/>
      <c r="G1263" s="667"/>
      <c r="H1263" s="667"/>
      <c r="I1263" s="667"/>
      <c r="J1263" s="667"/>
      <c r="K1263" s="667"/>
      <c r="L1263" s="667"/>
      <c r="M1263" s="667"/>
      <c r="N1263" s="667"/>
      <c r="O1263" s="667"/>
      <c r="P1263" s="667">
        <v>96</v>
      </c>
      <c r="Q1263" s="667"/>
      <c r="R1263" s="667"/>
      <c r="S1263" s="667"/>
      <c r="T1263" s="667"/>
      <c r="U1263" s="1021">
        <v>12</v>
      </c>
      <c r="V1263" s="668">
        <f t="shared" si="429"/>
        <v>564</v>
      </c>
      <c r="W1263" s="668">
        <f t="shared" si="430"/>
        <v>0</v>
      </c>
      <c r="X1263" s="668">
        <f t="shared" si="431"/>
        <v>0</v>
      </c>
      <c r="Y1263" s="668">
        <f t="shared" si="432"/>
        <v>0</v>
      </c>
      <c r="Z1263" s="668">
        <f t="shared" si="433"/>
        <v>0</v>
      </c>
      <c r="AA1263" s="668">
        <f t="shared" si="434"/>
        <v>0</v>
      </c>
      <c r="AB1263" s="668">
        <f t="shared" si="435"/>
        <v>0</v>
      </c>
      <c r="AC1263" s="668">
        <f t="shared" si="425"/>
        <v>1152</v>
      </c>
      <c r="AD1263" s="668">
        <f t="shared" si="436"/>
        <v>0</v>
      </c>
      <c r="AE1263" s="668">
        <f t="shared" si="437"/>
        <v>0</v>
      </c>
      <c r="AF1263" s="668">
        <f t="shared" si="438"/>
        <v>0</v>
      </c>
      <c r="AG1263" s="668">
        <f t="shared" si="439"/>
        <v>0</v>
      </c>
      <c r="AH1263" s="668"/>
      <c r="AI1263" s="668"/>
      <c r="AJ1263" s="668"/>
      <c r="AK1263" s="668"/>
      <c r="AL1263" s="668"/>
      <c r="AM1263" s="668">
        <f t="shared" si="427"/>
        <v>0</v>
      </c>
      <c r="AN1263" s="668">
        <f t="shared" si="423"/>
        <v>0</v>
      </c>
      <c r="AO1263" s="668">
        <f t="shared" si="424"/>
        <v>0</v>
      </c>
      <c r="AP1263" s="668">
        <f t="shared" si="428"/>
        <v>0</v>
      </c>
      <c r="AQ1263" s="668">
        <f t="shared" si="421"/>
        <v>0</v>
      </c>
      <c r="AR1263" s="668">
        <f t="shared" si="422"/>
        <v>0</v>
      </c>
      <c r="AS1263" s="668"/>
      <c r="AT1263" s="668"/>
      <c r="AU1263" s="668"/>
      <c r="AV1263" s="668"/>
      <c r="AW1263" s="668"/>
      <c r="AX1263" s="668"/>
      <c r="AY1263" s="668"/>
      <c r="AZ1263" s="668"/>
      <c r="BA1263" s="668"/>
      <c r="BB1263" s="668">
        <f t="shared" si="426"/>
        <v>0</v>
      </c>
      <c r="BC1263" s="668"/>
      <c r="BD1263" s="668"/>
      <c r="BE1263" s="668"/>
      <c r="BF1263" s="668"/>
      <c r="BG1263" s="668"/>
      <c r="BH1263" s="668"/>
      <c r="BI1263" s="668"/>
    </row>
    <row r="1264" spans="1:61" x14ac:dyDescent="0.2">
      <c r="A1264" s="1021">
        <v>10012</v>
      </c>
      <c r="B1264" s="1021" t="s">
        <v>466</v>
      </c>
      <c r="C1264" s="1021"/>
      <c r="D1264" s="667">
        <v>60</v>
      </c>
      <c r="E1264" s="667"/>
      <c r="F1264" s="667"/>
      <c r="G1264" s="667"/>
      <c r="H1264" s="667"/>
      <c r="I1264" s="667"/>
      <c r="J1264" s="667"/>
      <c r="K1264" s="667"/>
      <c r="L1264" s="667"/>
      <c r="M1264" s="667"/>
      <c r="N1264" s="667"/>
      <c r="O1264" s="667"/>
      <c r="P1264" s="667"/>
      <c r="Q1264" s="667"/>
      <c r="R1264" s="667"/>
      <c r="S1264" s="667"/>
      <c r="T1264" s="667"/>
      <c r="U1264" s="1021">
        <v>3</v>
      </c>
      <c r="V1264" s="668">
        <f t="shared" si="429"/>
        <v>180</v>
      </c>
      <c r="W1264" s="668">
        <f t="shared" si="430"/>
        <v>0</v>
      </c>
      <c r="X1264" s="668">
        <f t="shared" si="431"/>
        <v>0</v>
      </c>
      <c r="Y1264" s="668">
        <f t="shared" si="432"/>
        <v>0</v>
      </c>
      <c r="Z1264" s="668">
        <f t="shared" si="433"/>
        <v>0</v>
      </c>
      <c r="AA1264" s="668">
        <f t="shared" si="434"/>
        <v>0</v>
      </c>
      <c r="AB1264" s="668">
        <f t="shared" si="435"/>
        <v>0</v>
      </c>
      <c r="AC1264" s="668">
        <f t="shared" si="425"/>
        <v>0</v>
      </c>
      <c r="AD1264" s="668">
        <f t="shared" si="436"/>
        <v>0</v>
      </c>
      <c r="AE1264" s="668">
        <f t="shared" si="437"/>
        <v>0</v>
      </c>
      <c r="AF1264" s="668">
        <f t="shared" si="438"/>
        <v>0</v>
      </c>
      <c r="AG1264" s="668">
        <f t="shared" si="439"/>
        <v>0</v>
      </c>
      <c r="AH1264" s="668"/>
      <c r="AI1264" s="668"/>
      <c r="AJ1264" s="668"/>
      <c r="AK1264" s="668"/>
      <c r="AL1264" s="668"/>
      <c r="AM1264" s="668">
        <f t="shared" si="427"/>
        <v>0</v>
      </c>
      <c r="AN1264" s="668">
        <f t="shared" si="423"/>
        <v>0</v>
      </c>
      <c r="AO1264" s="668">
        <f t="shared" si="424"/>
        <v>0</v>
      </c>
      <c r="AP1264" s="668">
        <f t="shared" si="428"/>
        <v>0</v>
      </c>
      <c r="AQ1264" s="668">
        <f t="shared" si="421"/>
        <v>0</v>
      </c>
      <c r="AR1264" s="668">
        <f t="shared" si="422"/>
        <v>0</v>
      </c>
      <c r="AS1264" s="668"/>
      <c r="AT1264" s="668"/>
      <c r="AU1264" s="668"/>
      <c r="AV1264" s="668"/>
      <c r="AW1264" s="668"/>
      <c r="AX1264" s="668"/>
      <c r="AY1264" s="668"/>
      <c r="AZ1264" s="668"/>
      <c r="BA1264" s="668"/>
      <c r="BB1264" s="668">
        <f t="shared" si="426"/>
        <v>0</v>
      </c>
      <c r="BC1264" s="668"/>
      <c r="BD1264" s="668"/>
      <c r="BE1264" s="668"/>
      <c r="BF1264" s="668"/>
      <c r="BG1264" s="668"/>
      <c r="BH1264" s="668"/>
      <c r="BI1264" s="668"/>
    </row>
    <row r="1265" spans="1:61" x14ac:dyDescent="0.2">
      <c r="A1265" s="1021">
        <v>10013</v>
      </c>
      <c r="B1265" s="1021" t="s">
        <v>467</v>
      </c>
      <c r="C1265" s="1021"/>
      <c r="D1265" s="667">
        <v>60</v>
      </c>
      <c r="E1265" s="667"/>
      <c r="F1265" s="667"/>
      <c r="G1265" s="667"/>
      <c r="H1265" s="667"/>
      <c r="I1265" s="667"/>
      <c r="J1265" s="667"/>
      <c r="K1265" s="667"/>
      <c r="L1265" s="667"/>
      <c r="M1265" s="667"/>
      <c r="N1265" s="667"/>
      <c r="O1265" s="667"/>
      <c r="P1265" s="667"/>
      <c r="Q1265" s="667"/>
      <c r="R1265" s="667"/>
      <c r="S1265" s="667"/>
      <c r="T1265" s="667"/>
      <c r="U1265" s="1021">
        <v>3</v>
      </c>
      <c r="V1265" s="668">
        <f t="shared" si="429"/>
        <v>180</v>
      </c>
      <c r="W1265" s="668">
        <f t="shared" si="430"/>
        <v>0</v>
      </c>
      <c r="X1265" s="668">
        <f t="shared" si="431"/>
        <v>0</v>
      </c>
      <c r="Y1265" s="668">
        <f t="shared" si="432"/>
        <v>0</v>
      </c>
      <c r="Z1265" s="668">
        <f t="shared" si="433"/>
        <v>0</v>
      </c>
      <c r="AA1265" s="668">
        <f t="shared" si="434"/>
        <v>0</v>
      </c>
      <c r="AB1265" s="668">
        <f t="shared" si="435"/>
        <v>0</v>
      </c>
      <c r="AC1265" s="668">
        <f t="shared" si="425"/>
        <v>0</v>
      </c>
      <c r="AD1265" s="668">
        <f t="shared" si="436"/>
        <v>0</v>
      </c>
      <c r="AE1265" s="668">
        <f t="shared" si="437"/>
        <v>0</v>
      </c>
      <c r="AF1265" s="668">
        <f t="shared" si="438"/>
        <v>0</v>
      </c>
      <c r="AG1265" s="668">
        <f t="shared" si="439"/>
        <v>0</v>
      </c>
      <c r="AH1265" s="668"/>
      <c r="AI1265" s="668"/>
      <c r="AJ1265" s="668"/>
      <c r="AK1265" s="668"/>
      <c r="AL1265" s="668"/>
      <c r="AM1265" s="668">
        <f t="shared" si="427"/>
        <v>0</v>
      </c>
      <c r="AN1265" s="668">
        <f t="shared" si="423"/>
        <v>0</v>
      </c>
      <c r="AO1265" s="668">
        <f t="shared" si="424"/>
        <v>0</v>
      </c>
      <c r="AP1265" s="668">
        <f t="shared" si="428"/>
        <v>0</v>
      </c>
      <c r="AQ1265" s="668">
        <f t="shared" si="421"/>
        <v>0</v>
      </c>
      <c r="AR1265" s="668">
        <f t="shared" si="422"/>
        <v>0</v>
      </c>
      <c r="AS1265" s="668"/>
      <c r="AT1265" s="668"/>
      <c r="AU1265" s="668"/>
      <c r="AV1265" s="668"/>
      <c r="AW1265" s="668"/>
      <c r="AX1265" s="668"/>
      <c r="AY1265" s="668"/>
      <c r="AZ1265" s="668"/>
      <c r="BA1265" s="668"/>
      <c r="BB1265" s="668">
        <f t="shared" si="426"/>
        <v>0</v>
      </c>
      <c r="BC1265" s="668"/>
      <c r="BD1265" s="668"/>
      <c r="BE1265" s="668"/>
      <c r="BF1265" s="668"/>
      <c r="BG1265" s="668"/>
      <c r="BH1265" s="668"/>
      <c r="BI1265" s="668"/>
    </row>
    <row r="1266" spans="1:61" x14ac:dyDescent="0.2">
      <c r="A1266" s="1021">
        <v>10015</v>
      </c>
      <c r="B1266" s="1021" t="s">
        <v>910</v>
      </c>
      <c r="C1266" s="1021"/>
      <c r="D1266" s="667">
        <v>63</v>
      </c>
      <c r="E1266" s="667"/>
      <c r="F1266" s="667"/>
      <c r="G1266" s="667"/>
      <c r="H1266" s="667"/>
      <c r="I1266" s="667">
        <f>+D1266</f>
        <v>63</v>
      </c>
      <c r="J1266" s="667"/>
      <c r="K1266" s="667"/>
      <c r="L1266" s="667"/>
      <c r="M1266" s="667"/>
      <c r="N1266" s="667"/>
      <c r="O1266" s="667"/>
      <c r="P1266" s="667"/>
      <c r="Q1266" s="667"/>
      <c r="R1266" s="667"/>
      <c r="S1266" s="667"/>
      <c r="T1266" s="667"/>
      <c r="U1266" s="1021">
        <v>10</v>
      </c>
      <c r="V1266" s="668">
        <f t="shared" si="429"/>
        <v>630</v>
      </c>
      <c r="W1266" s="668">
        <f t="shared" si="430"/>
        <v>0</v>
      </c>
      <c r="X1266" s="668">
        <f t="shared" si="431"/>
        <v>0</v>
      </c>
      <c r="Y1266" s="668">
        <f t="shared" si="432"/>
        <v>0</v>
      </c>
      <c r="Z1266" s="668">
        <f t="shared" si="433"/>
        <v>0</v>
      </c>
      <c r="AA1266" s="668">
        <f t="shared" si="434"/>
        <v>0</v>
      </c>
      <c r="AB1266" s="668">
        <f t="shared" si="435"/>
        <v>0</v>
      </c>
      <c r="AC1266" s="668">
        <f t="shared" si="425"/>
        <v>0</v>
      </c>
      <c r="AD1266" s="668">
        <f t="shared" si="436"/>
        <v>0</v>
      </c>
      <c r="AE1266" s="668">
        <f t="shared" si="437"/>
        <v>0</v>
      </c>
      <c r="AF1266" s="668">
        <f t="shared" si="438"/>
        <v>0</v>
      </c>
      <c r="AG1266" s="668">
        <f t="shared" si="439"/>
        <v>0</v>
      </c>
      <c r="AH1266" s="668"/>
      <c r="AI1266" s="668"/>
      <c r="AJ1266" s="668"/>
      <c r="AK1266" s="668"/>
      <c r="AL1266" s="668"/>
      <c r="AM1266" s="668">
        <f t="shared" si="427"/>
        <v>63</v>
      </c>
      <c r="AN1266" s="668">
        <f t="shared" si="423"/>
        <v>0</v>
      </c>
      <c r="AO1266" s="668">
        <f t="shared" si="424"/>
        <v>0</v>
      </c>
      <c r="AP1266" s="668">
        <f t="shared" si="428"/>
        <v>0</v>
      </c>
      <c r="AQ1266" s="668">
        <f t="shared" si="421"/>
        <v>0</v>
      </c>
      <c r="AR1266" s="668">
        <f t="shared" si="422"/>
        <v>0</v>
      </c>
      <c r="AS1266" s="668"/>
      <c r="AT1266" s="668"/>
      <c r="AU1266" s="668"/>
      <c r="AV1266" s="668"/>
      <c r="AW1266" s="668"/>
      <c r="AX1266" s="668"/>
      <c r="AY1266" s="668"/>
      <c r="AZ1266" s="668"/>
      <c r="BA1266" s="668"/>
      <c r="BB1266" s="668">
        <f t="shared" si="426"/>
        <v>0</v>
      </c>
      <c r="BC1266" s="668"/>
      <c r="BD1266" s="668"/>
      <c r="BE1266" s="668"/>
      <c r="BF1266" s="668"/>
      <c r="BG1266" s="668"/>
      <c r="BH1266" s="668"/>
      <c r="BI1266" s="668"/>
    </row>
    <row r="1267" spans="1:61" x14ac:dyDescent="0.2">
      <c r="A1267" s="1021" t="s">
        <v>905</v>
      </c>
      <c r="B1267" s="1021" t="s">
        <v>611</v>
      </c>
      <c r="C1267" s="1021"/>
      <c r="D1267" s="667"/>
      <c r="E1267" s="667"/>
      <c r="F1267" s="667"/>
      <c r="G1267" s="667"/>
      <c r="H1267" s="667"/>
      <c r="I1267" s="667"/>
      <c r="J1267" s="667">
        <v>61</v>
      </c>
      <c r="K1267" s="667"/>
      <c r="L1267" s="667"/>
      <c r="M1267" s="667"/>
      <c r="N1267" s="667"/>
      <c r="O1267" s="667"/>
      <c r="P1267" s="667"/>
      <c r="Q1267" s="667"/>
      <c r="R1267" s="667"/>
      <c r="S1267" s="667"/>
      <c r="T1267" s="667"/>
      <c r="U1267" s="1021">
        <v>12</v>
      </c>
      <c r="V1267" s="668">
        <f t="shared" si="429"/>
        <v>0</v>
      </c>
      <c r="W1267" s="668">
        <f t="shared" si="430"/>
        <v>0</v>
      </c>
      <c r="X1267" s="668">
        <f t="shared" si="431"/>
        <v>0</v>
      </c>
      <c r="Y1267" s="668">
        <f t="shared" si="432"/>
        <v>732</v>
      </c>
      <c r="Z1267" s="668">
        <f t="shared" si="433"/>
        <v>0</v>
      </c>
      <c r="AA1267" s="668">
        <f t="shared" si="434"/>
        <v>0</v>
      </c>
      <c r="AB1267" s="668">
        <f t="shared" si="435"/>
        <v>0</v>
      </c>
      <c r="AC1267" s="668">
        <f t="shared" si="425"/>
        <v>0</v>
      </c>
      <c r="AD1267" s="668">
        <f t="shared" si="436"/>
        <v>0</v>
      </c>
      <c r="AE1267" s="668">
        <f t="shared" si="437"/>
        <v>0</v>
      </c>
      <c r="AF1267" s="668">
        <f t="shared" si="438"/>
        <v>0</v>
      </c>
      <c r="AG1267" s="668">
        <f t="shared" si="439"/>
        <v>0</v>
      </c>
      <c r="AH1267" s="668"/>
      <c r="AI1267" s="668"/>
      <c r="AJ1267" s="668"/>
      <c r="AK1267" s="668"/>
      <c r="AL1267" s="668"/>
      <c r="AM1267" s="668">
        <f t="shared" si="427"/>
        <v>0</v>
      </c>
      <c r="AN1267" s="668">
        <f t="shared" si="423"/>
        <v>0</v>
      </c>
      <c r="AO1267" s="668">
        <f t="shared" si="424"/>
        <v>0</v>
      </c>
      <c r="AP1267" s="668">
        <f t="shared" si="428"/>
        <v>0</v>
      </c>
      <c r="AQ1267" s="668">
        <f t="shared" si="421"/>
        <v>0</v>
      </c>
      <c r="AR1267" s="668">
        <f t="shared" si="422"/>
        <v>0</v>
      </c>
      <c r="AS1267" s="668"/>
      <c r="AT1267" s="668"/>
      <c r="AU1267" s="668"/>
      <c r="AV1267" s="668"/>
      <c r="AW1267" s="668"/>
      <c r="AX1267" s="668"/>
      <c r="AY1267" s="668"/>
      <c r="AZ1267" s="668"/>
      <c r="BA1267" s="668"/>
      <c r="BB1267" s="668">
        <f t="shared" si="426"/>
        <v>0</v>
      </c>
      <c r="BC1267" s="668"/>
      <c r="BD1267" s="668"/>
      <c r="BE1267" s="668"/>
      <c r="BF1267" s="668"/>
      <c r="BG1267" s="668"/>
      <c r="BH1267" s="668"/>
      <c r="BI1267" s="668"/>
    </row>
    <row r="1268" spans="1:61" x14ac:dyDescent="0.2">
      <c r="A1268" s="1021" t="s">
        <v>906</v>
      </c>
      <c r="B1268" s="1021" t="s">
        <v>612</v>
      </c>
      <c r="C1268" s="1021"/>
      <c r="D1268" s="667"/>
      <c r="E1268" s="667"/>
      <c r="F1268" s="667"/>
      <c r="G1268" s="667"/>
      <c r="H1268" s="667"/>
      <c r="I1268" s="667"/>
      <c r="J1268" s="667">
        <v>61</v>
      </c>
      <c r="K1268" s="667"/>
      <c r="L1268" s="667"/>
      <c r="M1268" s="667"/>
      <c r="N1268" s="667"/>
      <c r="O1268" s="667"/>
      <c r="P1268" s="667"/>
      <c r="Q1268" s="667"/>
      <c r="R1268" s="667"/>
      <c r="S1268" s="667"/>
      <c r="T1268" s="667"/>
      <c r="U1268" s="1021">
        <v>12</v>
      </c>
      <c r="V1268" s="668">
        <f t="shared" si="429"/>
        <v>0</v>
      </c>
      <c r="W1268" s="668">
        <f t="shared" si="430"/>
        <v>0</v>
      </c>
      <c r="X1268" s="668">
        <f t="shared" si="431"/>
        <v>0</v>
      </c>
      <c r="Y1268" s="668">
        <f t="shared" si="432"/>
        <v>732</v>
      </c>
      <c r="Z1268" s="668">
        <f t="shared" si="433"/>
        <v>0</v>
      </c>
      <c r="AA1268" s="668">
        <f t="shared" si="434"/>
        <v>0</v>
      </c>
      <c r="AB1268" s="668">
        <f t="shared" si="435"/>
        <v>0</v>
      </c>
      <c r="AC1268" s="668">
        <f t="shared" si="425"/>
        <v>0</v>
      </c>
      <c r="AD1268" s="668">
        <f t="shared" si="436"/>
        <v>0</v>
      </c>
      <c r="AE1268" s="668">
        <f t="shared" si="437"/>
        <v>0</v>
      </c>
      <c r="AF1268" s="668">
        <f t="shared" si="438"/>
        <v>0</v>
      </c>
      <c r="AG1268" s="668">
        <f t="shared" si="439"/>
        <v>0</v>
      </c>
      <c r="AH1268" s="668"/>
      <c r="AI1268" s="668"/>
      <c r="AJ1268" s="668"/>
      <c r="AK1268" s="668"/>
      <c r="AL1268" s="668"/>
      <c r="AM1268" s="668">
        <f t="shared" si="427"/>
        <v>0</v>
      </c>
      <c r="AN1268" s="668">
        <f t="shared" si="423"/>
        <v>0</v>
      </c>
      <c r="AO1268" s="668">
        <f t="shared" si="424"/>
        <v>0</v>
      </c>
      <c r="AP1268" s="668">
        <f t="shared" si="428"/>
        <v>0</v>
      </c>
      <c r="AQ1268" s="668">
        <f t="shared" si="421"/>
        <v>0</v>
      </c>
      <c r="AR1268" s="668">
        <f t="shared" si="422"/>
        <v>0</v>
      </c>
      <c r="AS1268" s="668"/>
      <c r="AT1268" s="668"/>
      <c r="AU1268" s="668"/>
      <c r="AV1268" s="668"/>
      <c r="AW1268" s="668"/>
      <c r="AX1268" s="668"/>
      <c r="AY1268" s="668"/>
      <c r="AZ1268" s="668"/>
      <c r="BA1268" s="668"/>
      <c r="BB1268" s="668">
        <f t="shared" si="426"/>
        <v>0</v>
      </c>
      <c r="BC1268" s="668"/>
      <c r="BD1268" s="668"/>
      <c r="BE1268" s="668"/>
      <c r="BF1268" s="668"/>
      <c r="BG1268" s="668"/>
      <c r="BH1268" s="668"/>
      <c r="BI1268" s="668"/>
    </row>
    <row r="1269" spans="1:61" x14ac:dyDescent="0.2">
      <c r="A1269" s="1021" t="s">
        <v>967</v>
      </c>
      <c r="B1269" s="1021" t="s">
        <v>980</v>
      </c>
      <c r="C1269" s="1021"/>
      <c r="D1269" s="667"/>
      <c r="E1269" s="667"/>
      <c r="F1269" s="667"/>
      <c r="G1269" s="667"/>
      <c r="H1269" s="667"/>
      <c r="I1269" s="667"/>
      <c r="J1269" s="667"/>
      <c r="K1269" s="667"/>
      <c r="L1269" s="667"/>
      <c r="M1269" s="667"/>
      <c r="N1269" s="667"/>
      <c r="O1269" s="667"/>
      <c r="P1269" s="667"/>
      <c r="Q1269" s="667"/>
      <c r="R1269" s="667"/>
      <c r="S1269" s="667">
        <v>1840</v>
      </c>
      <c r="T1269" s="667"/>
      <c r="U1269" s="1021"/>
      <c r="V1269" s="668"/>
      <c r="W1269" s="668"/>
      <c r="X1269" s="668"/>
      <c r="Y1269" s="668"/>
      <c r="Z1269" s="668"/>
      <c r="AA1269" s="668">
        <f t="shared" si="434"/>
        <v>1840</v>
      </c>
      <c r="AB1269" s="668"/>
      <c r="AC1269" s="668">
        <f t="shared" si="425"/>
        <v>0</v>
      </c>
      <c r="AD1269" s="668"/>
      <c r="AE1269" s="668"/>
      <c r="AF1269" s="668"/>
      <c r="AG1269" s="668"/>
      <c r="AH1269" s="668"/>
      <c r="AI1269" s="668"/>
      <c r="AJ1269" s="668"/>
      <c r="AK1269" s="668"/>
      <c r="AL1269" s="668"/>
      <c r="AM1269" s="668">
        <f t="shared" si="427"/>
        <v>0</v>
      </c>
      <c r="AN1269" s="668">
        <f t="shared" si="423"/>
        <v>0</v>
      </c>
      <c r="AO1269" s="668">
        <f t="shared" si="424"/>
        <v>0</v>
      </c>
      <c r="AP1269" s="668">
        <f t="shared" si="428"/>
        <v>0</v>
      </c>
      <c r="AQ1269" s="668">
        <f t="shared" si="421"/>
        <v>0</v>
      </c>
      <c r="AR1269" s="668">
        <f t="shared" si="422"/>
        <v>0</v>
      </c>
      <c r="AS1269" s="668"/>
      <c r="AT1269" s="668"/>
      <c r="AU1269" s="668"/>
      <c r="AV1269" s="668"/>
      <c r="AW1269" s="668"/>
      <c r="AX1269" s="668"/>
      <c r="AY1269" s="668"/>
      <c r="AZ1269" s="668"/>
      <c r="BA1269" s="668"/>
      <c r="BB1269" s="668">
        <f t="shared" si="426"/>
        <v>0</v>
      </c>
      <c r="BC1269" s="668"/>
      <c r="BD1269" s="668"/>
      <c r="BE1269" s="668"/>
      <c r="BF1269" s="668"/>
      <c r="BG1269" s="668"/>
      <c r="BH1269" s="668"/>
      <c r="BI1269" s="668"/>
    </row>
    <row r="1270" spans="1:61" x14ac:dyDescent="0.2">
      <c r="A1270" s="1021"/>
      <c r="B1270" s="1021"/>
      <c r="C1270" s="1021"/>
      <c r="D1270" s="667"/>
      <c r="E1270" s="667"/>
      <c r="F1270" s="667"/>
      <c r="G1270" s="667"/>
      <c r="H1270" s="667"/>
      <c r="I1270" s="667"/>
      <c r="J1270" s="667"/>
      <c r="K1270" s="667"/>
      <c r="L1270" s="667"/>
      <c r="M1270" s="667"/>
      <c r="N1270" s="667"/>
      <c r="O1270" s="667"/>
      <c r="P1270" s="667"/>
      <c r="Q1270" s="667"/>
      <c r="R1270" s="667"/>
      <c r="S1270" s="667"/>
      <c r="T1270" s="667"/>
      <c r="U1270" s="1021"/>
      <c r="V1270" s="668"/>
      <c r="W1270" s="668"/>
      <c r="X1270" s="668"/>
      <c r="Y1270" s="668"/>
      <c r="Z1270" s="668"/>
      <c r="AA1270" s="668"/>
      <c r="AB1270" s="668"/>
      <c r="AC1270" s="668"/>
      <c r="AD1270" s="668"/>
      <c r="AE1270" s="668"/>
      <c r="AF1270" s="668"/>
      <c r="AG1270" s="668"/>
      <c r="AH1270" s="668"/>
      <c r="AI1270" s="668"/>
      <c r="AJ1270" s="668"/>
      <c r="AK1270" s="668"/>
      <c r="AL1270" s="668"/>
      <c r="AM1270" s="668"/>
      <c r="AN1270" s="668"/>
      <c r="AO1270" s="668"/>
      <c r="AP1270" s="668"/>
      <c r="AQ1270" s="668"/>
      <c r="AR1270" s="668"/>
      <c r="AS1270" s="668"/>
      <c r="AT1270" s="668"/>
      <c r="AU1270" s="668"/>
      <c r="AV1270" s="668"/>
      <c r="AW1270" s="668"/>
      <c r="AX1270" s="668"/>
      <c r="AY1270" s="668"/>
      <c r="AZ1270" s="668"/>
      <c r="BA1270" s="668"/>
      <c r="BB1270" s="668">
        <f t="shared" si="426"/>
        <v>0</v>
      </c>
      <c r="BC1270" s="668"/>
      <c r="BD1270" s="668"/>
      <c r="BE1270" s="668"/>
      <c r="BF1270" s="668"/>
      <c r="BG1270" s="668"/>
      <c r="BH1270" s="668"/>
      <c r="BI1270" s="668"/>
    </row>
    <row r="1271" spans="1:61" x14ac:dyDescent="0.2">
      <c r="A1271" s="1021"/>
      <c r="B1271" s="1021" t="s">
        <v>1005</v>
      </c>
      <c r="C1271" s="1021"/>
      <c r="D1271" s="667"/>
      <c r="E1271" s="667"/>
      <c r="F1271" s="667"/>
      <c r="G1271" s="667"/>
      <c r="H1271" s="667"/>
      <c r="I1271" s="667"/>
      <c r="J1271" s="667"/>
      <c r="K1271" s="667"/>
      <c r="L1271" s="667"/>
      <c r="M1271" s="667"/>
      <c r="N1271" s="667"/>
      <c r="O1271" s="667"/>
      <c r="P1271" s="667"/>
      <c r="Q1271" s="667"/>
      <c r="R1271" s="667"/>
      <c r="S1271" s="667"/>
      <c r="T1271" s="667"/>
      <c r="U1271" s="1021"/>
      <c r="V1271" s="668"/>
      <c r="W1271" s="668"/>
      <c r="X1271" s="668"/>
      <c r="Y1271" s="668"/>
      <c r="Z1271" s="668"/>
      <c r="AA1271" s="668"/>
      <c r="AB1271" s="668"/>
      <c r="AC1271" s="668"/>
      <c r="AD1271" s="668"/>
      <c r="AE1271" s="668"/>
      <c r="AF1271" s="668"/>
      <c r="AG1271" s="668"/>
      <c r="AH1271" s="668"/>
      <c r="AI1271" s="668"/>
      <c r="AJ1271" s="668"/>
      <c r="AK1271" s="668"/>
      <c r="AL1271" s="668"/>
      <c r="AM1271" s="668"/>
      <c r="AN1271" s="668"/>
      <c r="AO1271" s="668"/>
      <c r="AP1271" s="668"/>
      <c r="AQ1271" s="668">
        <f>+'Misc Take Off'!D50</f>
        <v>41362</v>
      </c>
      <c r="AR1271" s="668">
        <f>+'Misc Take Off'!F50</f>
        <v>6848</v>
      </c>
      <c r="AS1271" s="668"/>
      <c r="AT1271" s="668"/>
      <c r="AU1271" s="668"/>
      <c r="AV1271" s="668"/>
      <c r="AW1271" s="668"/>
      <c r="AX1271" s="668"/>
      <c r="AY1271" s="668"/>
      <c r="AZ1271" s="668"/>
      <c r="BA1271" s="668"/>
      <c r="BB1271" s="668">
        <f t="shared" si="426"/>
        <v>0</v>
      </c>
      <c r="BC1271" s="668"/>
      <c r="BD1271" s="668"/>
      <c r="BE1271" s="668"/>
      <c r="BF1271" s="668"/>
      <c r="BG1271" s="668"/>
      <c r="BH1271" s="668"/>
      <c r="BI1271" s="668"/>
    </row>
    <row r="1272" spans="1:61" x14ac:dyDescent="0.2">
      <c r="A1272" s="1021"/>
      <c r="B1272" s="1021"/>
      <c r="C1272" s="1021"/>
      <c r="D1272" s="667"/>
      <c r="E1272" s="667"/>
      <c r="F1272" s="667"/>
      <c r="G1272" s="667"/>
      <c r="H1272" s="667"/>
      <c r="I1272" s="667"/>
      <c r="J1272" s="667"/>
      <c r="K1272" s="667"/>
      <c r="L1272" s="667"/>
      <c r="M1272" s="667"/>
      <c r="N1272" s="667"/>
      <c r="O1272" s="667"/>
      <c r="P1272" s="667"/>
      <c r="Q1272" s="667"/>
      <c r="R1272" s="667"/>
      <c r="S1272" s="667"/>
      <c r="T1272" s="667"/>
      <c r="U1272" s="1021"/>
      <c r="V1272" s="668"/>
      <c r="W1272" s="668"/>
      <c r="X1272" s="668"/>
      <c r="Y1272" s="668"/>
      <c r="Z1272" s="668"/>
      <c r="AA1272" s="668"/>
      <c r="AB1272" s="668"/>
      <c r="AC1272" s="668"/>
      <c r="AD1272" s="668"/>
      <c r="AE1272" s="668"/>
      <c r="AF1272" s="668"/>
      <c r="AG1272" s="668"/>
      <c r="AH1272" s="668"/>
      <c r="AI1272" s="668"/>
      <c r="AJ1272" s="668"/>
      <c r="AK1272" s="668"/>
      <c r="AL1272" s="668"/>
      <c r="AM1272" s="668"/>
      <c r="AN1272" s="668"/>
      <c r="AO1272" s="668"/>
      <c r="AP1272" s="668"/>
      <c r="AQ1272" s="668"/>
      <c r="AR1272" s="668"/>
      <c r="AS1272" s="668"/>
      <c r="AT1272" s="668"/>
      <c r="AU1272" s="668"/>
      <c r="AV1272" s="668"/>
      <c r="AW1272" s="668"/>
      <c r="AX1272" s="668"/>
      <c r="AY1272" s="668"/>
      <c r="AZ1272" s="668"/>
      <c r="BA1272" s="668"/>
      <c r="BB1272" s="668"/>
      <c r="BC1272" s="668"/>
      <c r="BD1272" s="668"/>
      <c r="BE1272" s="668"/>
      <c r="BF1272" s="668"/>
      <c r="BG1272" s="668"/>
      <c r="BH1272" s="668"/>
      <c r="BI1272" s="668"/>
    </row>
    <row r="1273" spans="1:61" x14ac:dyDescent="0.2">
      <c r="A1273" s="1021"/>
      <c r="B1273" s="1021"/>
      <c r="C1273" s="1021"/>
      <c r="D1273" s="667"/>
      <c r="E1273" s="667"/>
      <c r="F1273" s="667"/>
      <c r="G1273" s="667"/>
      <c r="H1273" s="667"/>
      <c r="I1273" s="667"/>
      <c r="J1273" s="667"/>
      <c r="K1273" s="667"/>
      <c r="L1273" s="667"/>
      <c r="M1273" s="667"/>
      <c r="N1273" s="667"/>
      <c r="O1273" s="667"/>
      <c r="P1273" s="667"/>
      <c r="Q1273" s="667"/>
      <c r="R1273" s="667"/>
      <c r="S1273" s="667"/>
      <c r="T1273" s="667"/>
      <c r="U1273" s="1021"/>
      <c r="V1273" s="668"/>
      <c r="W1273" s="668"/>
      <c r="X1273" s="668"/>
      <c r="Y1273" s="668"/>
      <c r="Z1273" s="668"/>
      <c r="AA1273" s="668"/>
      <c r="AB1273" s="668"/>
      <c r="AC1273" s="668"/>
      <c r="AD1273" s="668"/>
      <c r="AE1273" s="668"/>
      <c r="AF1273" s="668"/>
      <c r="AG1273" s="668"/>
      <c r="AH1273" s="668"/>
      <c r="AI1273" s="668"/>
      <c r="AJ1273" s="668"/>
      <c r="AK1273" s="668"/>
      <c r="AL1273" s="668"/>
      <c r="AM1273" s="668"/>
      <c r="AN1273" s="668"/>
      <c r="AO1273" s="668"/>
      <c r="AP1273" s="668"/>
      <c r="AQ1273" s="668"/>
      <c r="AR1273" s="668"/>
      <c r="AS1273" s="668"/>
      <c r="AT1273" s="668"/>
      <c r="AU1273" s="668"/>
      <c r="AV1273" s="668"/>
      <c r="AW1273" s="668"/>
      <c r="AX1273" s="668"/>
      <c r="AY1273" s="668"/>
      <c r="AZ1273" s="668"/>
      <c r="BA1273" s="668"/>
      <c r="BB1273" s="668"/>
      <c r="BC1273" s="668"/>
      <c r="BD1273" s="668"/>
      <c r="BE1273" s="668"/>
      <c r="BF1273" s="668"/>
      <c r="BG1273" s="668"/>
      <c r="BH1273" s="668"/>
      <c r="BI1273" s="668"/>
    </row>
    <row r="1274" spans="1:61" x14ac:dyDescent="0.2">
      <c r="A1274" s="1021"/>
      <c r="B1274" s="1021"/>
      <c r="C1274" s="1021"/>
      <c r="D1274" s="667"/>
      <c r="E1274" s="667"/>
      <c r="F1274" s="667"/>
      <c r="G1274" s="667"/>
      <c r="H1274" s="667"/>
      <c r="I1274" s="667"/>
      <c r="J1274" s="667"/>
      <c r="K1274" s="667"/>
      <c r="L1274" s="667"/>
      <c r="M1274" s="667"/>
      <c r="N1274" s="667"/>
      <c r="O1274" s="667"/>
      <c r="P1274" s="667"/>
      <c r="Q1274" s="667"/>
      <c r="R1274" s="667"/>
      <c r="S1274" s="667"/>
      <c r="T1274" s="667"/>
      <c r="U1274" s="1021"/>
      <c r="V1274" s="668"/>
      <c r="W1274" s="668"/>
      <c r="X1274" s="668"/>
      <c r="Y1274" s="668"/>
      <c r="Z1274" s="668"/>
      <c r="AA1274" s="668"/>
      <c r="AB1274" s="668"/>
      <c r="AC1274" s="668"/>
      <c r="AD1274" s="668"/>
      <c r="AE1274" s="668"/>
      <c r="AF1274" s="668"/>
      <c r="AG1274" s="668"/>
      <c r="AH1274" s="668"/>
      <c r="AI1274" s="668"/>
      <c r="AJ1274" s="668"/>
      <c r="AK1274" s="668"/>
      <c r="AL1274" s="668"/>
      <c r="AM1274" s="668"/>
      <c r="AN1274" s="668"/>
      <c r="AO1274" s="668"/>
      <c r="AP1274" s="668"/>
      <c r="AQ1274" s="668"/>
      <c r="AR1274" s="668"/>
      <c r="AS1274" s="668"/>
      <c r="AT1274" s="668"/>
      <c r="AU1274" s="668"/>
      <c r="AV1274" s="668"/>
      <c r="AW1274" s="668"/>
      <c r="AX1274" s="668"/>
      <c r="AY1274" s="668"/>
      <c r="AZ1274" s="668"/>
      <c r="BA1274" s="668"/>
      <c r="BB1274" s="668"/>
      <c r="BC1274" s="668"/>
      <c r="BD1274" s="668"/>
      <c r="BE1274" s="668"/>
      <c r="BF1274" s="668"/>
      <c r="BG1274" s="668"/>
      <c r="BH1274" s="668"/>
      <c r="BI1274" s="668"/>
    </row>
    <row r="1275" spans="1:61" x14ac:dyDescent="0.2">
      <c r="A1275" s="1021"/>
      <c r="B1275" s="1021"/>
      <c r="C1275" s="1021"/>
      <c r="D1275" s="667"/>
      <c r="E1275" s="667"/>
      <c r="F1275" s="667"/>
      <c r="G1275" s="667"/>
      <c r="H1275" s="667"/>
      <c r="I1275" s="667"/>
      <c r="J1275" s="667"/>
      <c r="K1275" s="667"/>
      <c r="L1275" s="667"/>
      <c r="M1275" s="667"/>
      <c r="N1275" s="667"/>
      <c r="O1275" s="667"/>
      <c r="P1275" s="667"/>
      <c r="Q1275" s="667"/>
      <c r="R1275" s="667"/>
      <c r="S1275" s="667"/>
      <c r="T1275" s="667"/>
      <c r="U1275" s="1021"/>
      <c r="V1275" s="668"/>
      <c r="W1275" s="668"/>
      <c r="X1275" s="668"/>
      <c r="Y1275" s="668"/>
      <c r="Z1275" s="668"/>
      <c r="AA1275" s="668"/>
      <c r="AB1275" s="668"/>
      <c r="AC1275" s="668"/>
      <c r="AD1275" s="668"/>
      <c r="AE1275" s="668"/>
      <c r="AF1275" s="668"/>
      <c r="AG1275" s="668"/>
      <c r="AH1275" s="668"/>
      <c r="AI1275" s="668"/>
      <c r="AJ1275" s="668"/>
      <c r="AK1275" s="668"/>
      <c r="AL1275" s="668"/>
      <c r="AM1275" s="668"/>
      <c r="AN1275" s="668"/>
      <c r="AO1275" s="668"/>
      <c r="AP1275" s="668"/>
      <c r="AQ1275" s="668"/>
      <c r="AR1275" s="668"/>
      <c r="AS1275" s="668"/>
      <c r="AT1275" s="668"/>
      <c r="AU1275" s="668"/>
      <c r="AV1275" s="668"/>
      <c r="AW1275" s="668"/>
      <c r="AX1275" s="668"/>
      <c r="AY1275" s="668"/>
      <c r="AZ1275" s="668"/>
      <c r="BA1275" s="668"/>
      <c r="BB1275" s="668"/>
      <c r="BC1275" s="668"/>
      <c r="BD1275" s="668"/>
      <c r="BE1275" s="668"/>
      <c r="BF1275" s="668"/>
      <c r="BG1275" s="668"/>
      <c r="BH1275" s="668"/>
      <c r="BI1275" s="668"/>
    </row>
    <row r="1276" spans="1:61" x14ac:dyDescent="0.2">
      <c r="A1276" s="1021"/>
      <c r="B1276" s="1021"/>
      <c r="C1276" s="1021"/>
      <c r="D1276" s="667"/>
      <c r="E1276" s="667"/>
      <c r="F1276" s="667"/>
      <c r="G1276" s="667"/>
      <c r="H1276" s="667"/>
      <c r="I1276" s="667"/>
      <c r="J1276" s="667"/>
      <c r="K1276" s="667"/>
      <c r="L1276" s="667"/>
      <c r="M1276" s="667"/>
      <c r="N1276" s="667"/>
      <c r="O1276" s="667"/>
      <c r="P1276" s="667"/>
      <c r="Q1276" s="667"/>
      <c r="R1276" s="667"/>
      <c r="S1276" s="667"/>
      <c r="T1276" s="667"/>
      <c r="U1276" s="1021"/>
      <c r="V1276" s="668"/>
      <c r="W1276" s="668"/>
      <c r="X1276" s="668"/>
      <c r="Y1276" s="668"/>
      <c r="Z1276" s="668"/>
      <c r="AA1276" s="668"/>
      <c r="AB1276" s="668"/>
      <c r="AC1276" s="668"/>
      <c r="AD1276" s="668"/>
      <c r="AE1276" s="668"/>
      <c r="AF1276" s="668"/>
      <c r="AG1276" s="668"/>
      <c r="AH1276" s="668"/>
      <c r="AI1276" s="668"/>
      <c r="AJ1276" s="668"/>
      <c r="AK1276" s="668"/>
      <c r="AL1276" s="668"/>
      <c r="AM1276" s="668"/>
      <c r="AN1276" s="668"/>
      <c r="AO1276" s="668"/>
      <c r="AP1276" s="668"/>
      <c r="AQ1276" s="668"/>
      <c r="AR1276" s="668"/>
      <c r="AS1276" s="668"/>
      <c r="AT1276" s="668"/>
      <c r="AU1276" s="668"/>
      <c r="AV1276" s="668"/>
      <c r="AW1276" s="668"/>
      <c r="AX1276" s="668"/>
      <c r="AY1276" s="668"/>
      <c r="AZ1276" s="668"/>
      <c r="BA1276" s="668"/>
      <c r="BB1276" s="668"/>
      <c r="BC1276" s="668"/>
      <c r="BD1276" s="668"/>
      <c r="BE1276" s="668"/>
      <c r="BF1276" s="668"/>
      <c r="BG1276" s="668"/>
      <c r="BH1276" s="668"/>
      <c r="BI1276" s="668"/>
    </row>
    <row r="1277" spans="1:61" x14ac:dyDescent="0.2">
      <c r="A1277" s="1021"/>
      <c r="B1277" s="1021"/>
      <c r="C1277" s="1021"/>
      <c r="D1277" s="667"/>
      <c r="E1277" s="667"/>
      <c r="F1277" s="667"/>
      <c r="G1277" s="667"/>
      <c r="H1277" s="667"/>
      <c r="I1277" s="667"/>
      <c r="J1277" s="667"/>
      <c r="K1277" s="667"/>
      <c r="L1277" s="667"/>
      <c r="M1277" s="667"/>
      <c r="N1277" s="667"/>
      <c r="O1277" s="667"/>
      <c r="P1277" s="667"/>
      <c r="Q1277" s="667"/>
      <c r="R1277" s="667"/>
      <c r="S1277" s="667"/>
      <c r="T1277" s="667"/>
      <c r="U1277" s="1021"/>
      <c r="V1277" s="668"/>
      <c r="W1277" s="668"/>
      <c r="X1277" s="668"/>
      <c r="Y1277" s="668"/>
      <c r="Z1277" s="668"/>
      <c r="AA1277" s="668"/>
      <c r="AB1277" s="668"/>
      <c r="AC1277" s="668"/>
      <c r="AD1277" s="668"/>
      <c r="AE1277" s="668"/>
      <c r="AF1277" s="668"/>
      <c r="AG1277" s="668"/>
      <c r="AH1277" s="668"/>
      <c r="AI1277" s="668"/>
      <c r="AJ1277" s="668"/>
      <c r="AK1277" s="668"/>
      <c r="AL1277" s="668"/>
      <c r="AM1277" s="668"/>
      <c r="AN1277" s="668"/>
      <c r="AO1277" s="668"/>
      <c r="AP1277" s="668"/>
      <c r="AQ1277" s="668"/>
      <c r="AR1277" s="668"/>
      <c r="AS1277" s="668"/>
      <c r="AT1277" s="668"/>
      <c r="AU1277" s="668"/>
      <c r="AV1277" s="668"/>
      <c r="AW1277" s="668"/>
      <c r="AX1277" s="668"/>
      <c r="AY1277" s="668"/>
      <c r="AZ1277" s="668"/>
      <c r="BA1277" s="668"/>
      <c r="BB1277" s="668"/>
      <c r="BC1277" s="668"/>
      <c r="BD1277" s="668"/>
      <c r="BE1277" s="668"/>
      <c r="BF1277" s="668"/>
      <c r="BG1277" s="668"/>
      <c r="BH1277" s="668"/>
      <c r="BI1277" s="668"/>
    </row>
    <row r="1278" spans="1:61" x14ac:dyDescent="0.2">
      <c r="A1278" s="1021"/>
      <c r="B1278" s="1021"/>
      <c r="C1278" s="1021"/>
      <c r="D1278" s="667"/>
      <c r="E1278" s="667"/>
      <c r="F1278" s="667"/>
      <c r="G1278" s="667"/>
      <c r="H1278" s="667"/>
      <c r="I1278" s="667"/>
      <c r="J1278" s="667"/>
      <c r="K1278" s="667"/>
      <c r="L1278" s="667"/>
      <c r="M1278" s="667"/>
      <c r="N1278" s="667"/>
      <c r="O1278" s="667"/>
      <c r="P1278" s="667"/>
      <c r="Q1278" s="667"/>
      <c r="R1278" s="667"/>
      <c r="S1278" s="667"/>
      <c r="T1278" s="667"/>
      <c r="U1278" s="1021"/>
      <c r="V1278" s="668"/>
      <c r="W1278" s="668"/>
      <c r="X1278" s="668"/>
      <c r="Y1278" s="668"/>
      <c r="Z1278" s="668"/>
      <c r="AA1278" s="668"/>
      <c r="AB1278" s="668"/>
      <c r="AC1278" s="668"/>
      <c r="AD1278" s="668"/>
      <c r="AE1278" s="668"/>
      <c r="AF1278" s="668"/>
      <c r="AG1278" s="668"/>
      <c r="AH1278" s="668"/>
      <c r="AI1278" s="668"/>
      <c r="AJ1278" s="668"/>
      <c r="AK1278" s="668"/>
      <c r="AL1278" s="668"/>
      <c r="AM1278" s="668"/>
      <c r="AN1278" s="668"/>
      <c r="AO1278" s="668"/>
      <c r="AP1278" s="668"/>
      <c r="AQ1278" s="668"/>
      <c r="AR1278" s="668"/>
      <c r="AS1278" s="668"/>
      <c r="AT1278" s="668"/>
      <c r="AU1278" s="668"/>
      <c r="AV1278" s="668"/>
      <c r="AW1278" s="668"/>
      <c r="AX1278" s="668"/>
      <c r="AY1278" s="668"/>
      <c r="AZ1278" s="668"/>
      <c r="BA1278" s="668"/>
      <c r="BB1278" s="668"/>
      <c r="BC1278" s="668"/>
      <c r="BD1278" s="668"/>
      <c r="BE1278" s="668"/>
      <c r="BF1278" s="668"/>
      <c r="BG1278" s="668"/>
      <c r="BH1278" s="668"/>
      <c r="BI1278" s="668"/>
    </row>
    <row r="1279" spans="1:61" x14ac:dyDescent="0.2">
      <c r="A1279" s="1021"/>
      <c r="B1279" s="1021"/>
      <c r="C1279" s="1021"/>
      <c r="D1279" s="667"/>
      <c r="E1279" s="667"/>
      <c r="F1279" s="667"/>
      <c r="G1279" s="667"/>
      <c r="H1279" s="667"/>
      <c r="I1279" s="667"/>
      <c r="J1279" s="667"/>
      <c r="K1279" s="667"/>
      <c r="L1279" s="667"/>
      <c r="M1279" s="667"/>
      <c r="N1279" s="667"/>
      <c r="O1279" s="667"/>
      <c r="P1279" s="667"/>
      <c r="Q1279" s="667"/>
      <c r="R1279" s="667"/>
      <c r="S1279" s="667"/>
      <c r="T1279" s="667"/>
      <c r="U1279" s="1021"/>
      <c r="V1279" s="668"/>
      <c r="W1279" s="668"/>
      <c r="X1279" s="668"/>
      <c r="Y1279" s="668"/>
      <c r="Z1279" s="668"/>
      <c r="AA1279" s="668"/>
      <c r="AB1279" s="668"/>
      <c r="AC1279" s="668"/>
      <c r="AD1279" s="668"/>
      <c r="AE1279" s="668"/>
      <c r="AF1279" s="668"/>
      <c r="AG1279" s="668"/>
      <c r="AH1279" s="668"/>
      <c r="AI1279" s="668"/>
      <c r="AJ1279" s="668"/>
      <c r="AK1279" s="668"/>
      <c r="AL1279" s="668"/>
      <c r="AM1279" s="668"/>
      <c r="AN1279" s="668"/>
      <c r="AO1279" s="668"/>
      <c r="AP1279" s="668"/>
      <c r="AQ1279" s="668"/>
      <c r="AR1279" s="668"/>
      <c r="AS1279" s="668"/>
      <c r="AT1279" s="668"/>
      <c r="AU1279" s="668"/>
      <c r="AV1279" s="668"/>
      <c r="AW1279" s="668"/>
      <c r="AX1279" s="668"/>
      <c r="AY1279" s="668"/>
      <c r="AZ1279" s="668"/>
      <c r="BA1279" s="668"/>
      <c r="BB1279" s="668"/>
      <c r="BC1279" s="668"/>
      <c r="BD1279" s="668"/>
      <c r="BE1279" s="668"/>
      <c r="BF1279" s="668"/>
      <c r="BG1279" s="668"/>
      <c r="BH1279" s="668"/>
      <c r="BI1279" s="668"/>
    </row>
    <row r="1280" spans="1:61" x14ac:dyDescent="0.2">
      <c r="A1280" s="1021"/>
      <c r="B1280" s="1021"/>
      <c r="C1280" s="1021"/>
      <c r="D1280" s="667"/>
      <c r="E1280" s="667"/>
      <c r="F1280" s="667"/>
      <c r="G1280" s="667"/>
      <c r="H1280" s="667"/>
      <c r="I1280" s="667"/>
      <c r="J1280" s="667"/>
      <c r="K1280" s="667"/>
      <c r="L1280" s="667"/>
      <c r="M1280" s="667"/>
      <c r="N1280" s="667"/>
      <c r="O1280" s="667"/>
      <c r="P1280" s="667"/>
      <c r="Q1280" s="667"/>
      <c r="R1280" s="667"/>
      <c r="S1280" s="667"/>
      <c r="T1280" s="667"/>
      <c r="U1280" s="1021"/>
      <c r="V1280" s="668"/>
      <c r="W1280" s="668"/>
      <c r="X1280" s="668"/>
      <c r="Y1280" s="668"/>
      <c r="Z1280" s="668"/>
      <c r="AA1280" s="668"/>
      <c r="AB1280" s="668"/>
      <c r="AC1280" s="668"/>
      <c r="AD1280" s="668"/>
      <c r="AE1280" s="668"/>
      <c r="AF1280" s="668"/>
      <c r="AG1280" s="668"/>
      <c r="AH1280" s="668"/>
      <c r="AI1280" s="668"/>
      <c r="AJ1280" s="668"/>
      <c r="AK1280" s="668"/>
      <c r="AL1280" s="668"/>
      <c r="AM1280" s="668"/>
      <c r="AN1280" s="668"/>
      <c r="AO1280" s="668"/>
      <c r="AP1280" s="668"/>
      <c r="AQ1280" s="668"/>
      <c r="AR1280" s="668"/>
      <c r="AS1280" s="668"/>
      <c r="AT1280" s="668"/>
      <c r="AU1280" s="668"/>
      <c r="AV1280" s="668"/>
      <c r="AW1280" s="668"/>
      <c r="AX1280" s="668"/>
      <c r="AY1280" s="668"/>
      <c r="AZ1280" s="668"/>
      <c r="BA1280" s="668"/>
      <c r="BB1280" s="668"/>
      <c r="BC1280" s="668"/>
      <c r="BD1280" s="668"/>
      <c r="BE1280" s="668"/>
      <c r="BF1280" s="668"/>
      <c r="BG1280" s="668"/>
      <c r="BH1280" s="668"/>
      <c r="BI1280" s="668"/>
    </row>
    <row r="1281" spans="1:61" x14ac:dyDescent="0.2">
      <c r="A1281" s="1021"/>
      <c r="B1281" s="1021"/>
      <c r="C1281" s="1021"/>
      <c r="D1281" s="667"/>
      <c r="E1281" s="667"/>
      <c r="F1281" s="667"/>
      <c r="G1281" s="667"/>
      <c r="H1281" s="667"/>
      <c r="I1281" s="667"/>
      <c r="J1281" s="667"/>
      <c r="K1281" s="667"/>
      <c r="L1281" s="667"/>
      <c r="M1281" s="667"/>
      <c r="N1281" s="667"/>
      <c r="O1281" s="667"/>
      <c r="P1281" s="667"/>
      <c r="Q1281" s="667"/>
      <c r="R1281" s="667"/>
      <c r="S1281" s="667"/>
      <c r="T1281" s="667"/>
      <c r="U1281" s="1021"/>
      <c r="V1281" s="668"/>
      <c r="W1281" s="668"/>
      <c r="X1281" s="668"/>
      <c r="Y1281" s="668"/>
      <c r="Z1281" s="668"/>
      <c r="AA1281" s="668"/>
      <c r="AB1281" s="668"/>
      <c r="AC1281" s="668"/>
      <c r="AD1281" s="668"/>
      <c r="AE1281" s="668"/>
      <c r="AF1281" s="668"/>
      <c r="AG1281" s="668"/>
      <c r="AH1281" s="668"/>
      <c r="AI1281" s="668"/>
      <c r="AJ1281" s="668"/>
      <c r="AK1281" s="668"/>
      <c r="AL1281" s="668"/>
      <c r="AM1281" s="668"/>
      <c r="AN1281" s="668"/>
      <c r="AO1281" s="668"/>
      <c r="AP1281" s="668"/>
      <c r="AQ1281" s="668"/>
      <c r="AR1281" s="668"/>
      <c r="AS1281" s="668"/>
      <c r="AT1281" s="668"/>
      <c r="AU1281" s="668"/>
      <c r="AV1281" s="668"/>
      <c r="AW1281" s="668"/>
      <c r="AX1281" s="668"/>
      <c r="AY1281" s="668"/>
      <c r="AZ1281" s="668"/>
      <c r="BA1281" s="668"/>
      <c r="BB1281" s="668"/>
      <c r="BC1281" s="668"/>
      <c r="BD1281" s="668"/>
      <c r="BE1281" s="668"/>
      <c r="BF1281" s="668"/>
      <c r="BG1281" s="668"/>
      <c r="BH1281" s="668"/>
      <c r="BI1281" s="668"/>
    </row>
    <row r="1282" spans="1:61" x14ac:dyDescent="0.2">
      <c r="A1282" s="1012"/>
      <c r="B1282" s="1012"/>
      <c r="C1282" s="1012"/>
      <c r="D1282" s="667"/>
      <c r="E1282" s="667"/>
      <c r="F1282" s="667"/>
      <c r="G1282" s="667"/>
      <c r="H1282" s="667"/>
      <c r="I1282" s="667"/>
      <c r="J1282" s="667"/>
      <c r="K1282" s="667"/>
      <c r="L1282" s="667"/>
      <c r="M1282" s="667"/>
      <c r="N1282" s="667"/>
      <c r="O1282" s="667"/>
      <c r="P1282" s="667"/>
      <c r="Q1282" s="667"/>
      <c r="R1282" s="667"/>
      <c r="S1282" s="667"/>
      <c r="T1282" s="667"/>
      <c r="U1282" s="1012"/>
      <c r="V1282" s="668"/>
      <c r="W1282" s="668"/>
      <c r="X1282" s="668"/>
      <c r="Y1282" s="668"/>
      <c r="Z1282" s="668"/>
      <c r="AA1282" s="668"/>
      <c r="AB1282" s="668"/>
      <c r="AC1282" s="668"/>
      <c r="AD1282" s="668"/>
      <c r="AE1282" s="668"/>
      <c r="AF1282" s="668"/>
      <c r="AG1282" s="668"/>
      <c r="AH1282" s="668"/>
      <c r="AI1282" s="668"/>
      <c r="AJ1282" s="668"/>
      <c r="AK1282" s="668"/>
      <c r="AL1282" s="668"/>
      <c r="AM1282" s="668"/>
      <c r="AN1282" s="668"/>
      <c r="AO1282" s="668"/>
      <c r="AP1282" s="668"/>
      <c r="AQ1282" s="668"/>
      <c r="AR1282" s="668"/>
      <c r="AS1282" s="668"/>
      <c r="AT1282" s="668"/>
      <c r="AU1282" s="668"/>
      <c r="AV1282" s="668"/>
      <c r="AW1282" s="668"/>
      <c r="AX1282" s="668"/>
      <c r="AY1282" s="668"/>
      <c r="AZ1282" s="668"/>
      <c r="BA1282" s="668"/>
      <c r="BB1282" s="668"/>
      <c r="BC1282" s="668"/>
      <c r="BD1282" s="668"/>
      <c r="BE1282" s="668"/>
      <c r="BF1282" s="668"/>
      <c r="BG1282" s="668"/>
      <c r="BH1282" s="668"/>
      <c r="BI1282" s="668"/>
    </row>
    <row r="1283" spans="1:61" x14ac:dyDescent="0.2">
      <c r="A1283" s="1012"/>
      <c r="B1283" s="1012"/>
      <c r="C1283" s="1012"/>
      <c r="D1283" s="667"/>
      <c r="E1283" s="667"/>
      <c r="F1283" s="667"/>
      <c r="G1283" s="667"/>
      <c r="H1283" s="667"/>
      <c r="I1283" s="667"/>
      <c r="J1283" s="667"/>
      <c r="K1283" s="667"/>
      <c r="L1283" s="667"/>
      <c r="M1283" s="667"/>
      <c r="N1283" s="667"/>
      <c r="O1283" s="667"/>
      <c r="P1283" s="667"/>
      <c r="Q1283" s="667"/>
      <c r="R1283" s="667"/>
      <c r="S1283" s="667"/>
      <c r="T1283" s="667"/>
      <c r="U1283" s="1012"/>
      <c r="V1283" s="668"/>
      <c r="W1283" s="668"/>
      <c r="X1283" s="668"/>
      <c r="Y1283" s="668"/>
      <c r="Z1283" s="668"/>
      <c r="AA1283" s="668"/>
      <c r="AB1283" s="668"/>
      <c r="AC1283" s="668"/>
      <c r="AD1283" s="668"/>
      <c r="AE1283" s="668"/>
      <c r="AF1283" s="668"/>
      <c r="AG1283" s="668"/>
      <c r="AH1283" s="668"/>
      <c r="AI1283" s="668"/>
      <c r="AJ1283" s="668"/>
      <c r="AK1283" s="668"/>
      <c r="AL1283" s="668"/>
      <c r="AM1283" s="668"/>
      <c r="AN1283" s="668"/>
      <c r="AO1283" s="668"/>
      <c r="AP1283" s="668"/>
      <c r="AQ1283" s="668"/>
      <c r="AR1283" s="668"/>
      <c r="AS1283" s="668"/>
      <c r="AT1283" s="668"/>
      <c r="AU1283" s="668"/>
      <c r="AV1283" s="668"/>
      <c r="AW1283" s="668"/>
      <c r="AX1283" s="668"/>
      <c r="AY1283" s="668"/>
      <c r="AZ1283" s="668"/>
      <c r="BA1283" s="668"/>
      <c r="BB1283" s="668"/>
      <c r="BC1283" s="668"/>
      <c r="BD1283" s="668"/>
      <c r="BE1283" s="668"/>
      <c r="BF1283" s="668"/>
      <c r="BG1283" s="668"/>
      <c r="BH1283" s="668"/>
      <c r="BI1283" s="668"/>
    </row>
    <row r="1284" spans="1:61" x14ac:dyDescent="0.2">
      <c r="A1284" s="1012"/>
      <c r="B1284" s="1012"/>
      <c r="C1284" s="1012"/>
      <c r="D1284" s="667"/>
      <c r="E1284" s="667"/>
      <c r="F1284" s="667"/>
      <c r="G1284" s="667"/>
      <c r="H1284" s="667"/>
      <c r="I1284" s="667"/>
      <c r="J1284" s="667"/>
      <c r="K1284" s="667"/>
      <c r="L1284" s="667"/>
      <c r="M1284" s="667"/>
      <c r="N1284" s="667"/>
      <c r="O1284" s="667"/>
      <c r="P1284" s="667"/>
      <c r="Q1284" s="667"/>
      <c r="R1284" s="667"/>
      <c r="S1284" s="667"/>
      <c r="T1284" s="667"/>
      <c r="U1284" s="1012"/>
      <c r="V1284" s="668"/>
      <c r="W1284" s="668"/>
      <c r="X1284" s="668"/>
      <c r="Y1284" s="668"/>
      <c r="Z1284" s="668"/>
      <c r="AA1284" s="668"/>
      <c r="AB1284" s="668"/>
      <c r="AC1284" s="668"/>
      <c r="AD1284" s="668"/>
      <c r="AE1284" s="668"/>
      <c r="AF1284" s="668"/>
      <c r="AG1284" s="668"/>
      <c r="AH1284" s="668"/>
      <c r="AI1284" s="668"/>
      <c r="AJ1284" s="668"/>
      <c r="AK1284" s="668"/>
      <c r="AL1284" s="668"/>
      <c r="AM1284" s="668"/>
      <c r="AN1284" s="668"/>
      <c r="AO1284" s="668"/>
      <c r="AP1284" s="668"/>
      <c r="AQ1284" s="668"/>
      <c r="AR1284" s="668"/>
      <c r="AS1284" s="668"/>
      <c r="AT1284" s="668"/>
      <c r="AU1284" s="668"/>
      <c r="AV1284" s="668"/>
      <c r="AW1284" s="668"/>
      <c r="AX1284" s="668"/>
      <c r="AY1284" s="668"/>
      <c r="AZ1284" s="668"/>
      <c r="BA1284" s="668"/>
      <c r="BB1284" s="668"/>
      <c r="BC1284" s="668"/>
      <c r="BD1284" s="668"/>
      <c r="BE1284" s="668"/>
      <c r="BF1284" s="668"/>
      <c r="BG1284" s="668"/>
      <c r="BH1284" s="668"/>
      <c r="BI1284" s="668"/>
    </row>
    <row r="1285" spans="1:61" hidden="1" x14ac:dyDescent="0.2">
      <c r="A1285" s="669"/>
      <c r="B1285" s="669"/>
      <c r="C1285" s="669"/>
      <c r="D1285" s="669"/>
      <c r="E1285" s="669"/>
      <c r="F1285" s="669"/>
      <c r="G1285" s="669"/>
      <c r="H1285" s="669"/>
      <c r="I1285" s="669"/>
      <c r="J1285" s="669"/>
      <c r="K1285" s="669"/>
      <c r="L1285" s="669"/>
      <c r="M1285" s="669"/>
      <c r="N1285" s="669"/>
      <c r="O1285" s="669"/>
      <c r="P1285" s="669"/>
      <c r="Q1285" s="669"/>
      <c r="R1285" s="669"/>
      <c r="S1285" s="669"/>
      <c r="T1285" s="669"/>
      <c r="U1285" s="669"/>
      <c r="V1285" s="668"/>
      <c r="W1285" s="668"/>
      <c r="X1285" s="668"/>
      <c r="Y1285" s="668"/>
      <c r="Z1285" s="668"/>
      <c r="AA1285" s="668"/>
      <c r="AB1285" s="668"/>
      <c r="AC1285" s="668"/>
      <c r="AD1285" s="668"/>
      <c r="AE1285" s="668"/>
      <c r="AF1285" s="668"/>
      <c r="AG1285" s="668"/>
      <c r="AH1285" s="668"/>
      <c r="AI1285" s="668"/>
      <c r="AJ1285" s="668"/>
      <c r="AK1285" s="668"/>
      <c r="AL1285" s="668"/>
      <c r="AM1285" s="668"/>
      <c r="AN1285" s="668"/>
      <c r="AO1285" s="668"/>
      <c r="AP1285" s="668"/>
      <c r="AQ1285" s="668"/>
      <c r="AR1285" s="668"/>
      <c r="AS1285" s="668"/>
      <c r="AT1285" s="668"/>
      <c r="AU1285" s="668"/>
      <c r="AV1285" s="668"/>
      <c r="AW1285" s="668"/>
      <c r="AX1285" s="668"/>
      <c r="AY1285" s="668"/>
      <c r="AZ1285" s="668"/>
      <c r="BA1285" s="668"/>
      <c r="BB1285" s="668"/>
      <c r="BC1285" s="668"/>
      <c r="BD1285" s="668"/>
      <c r="BE1285" s="668"/>
      <c r="BF1285" s="668"/>
      <c r="BG1285" s="668"/>
      <c r="BH1285" s="668"/>
      <c r="BI1285" s="668"/>
    </row>
    <row r="1286" spans="1:61" ht="33" customHeight="1" thickBot="1" x14ac:dyDescent="0.25">
      <c r="A1286" s="670" t="s">
        <v>378</v>
      </c>
      <c r="B1286" s="1079" t="s">
        <v>198</v>
      </c>
      <c r="C1286" s="1080"/>
      <c r="D1286" s="671"/>
      <c r="E1286" s="671"/>
      <c r="F1286" s="671"/>
      <c r="G1286" s="671"/>
      <c r="H1286" s="671"/>
      <c r="I1286" s="671"/>
      <c r="J1286" s="671"/>
      <c r="K1286" s="671"/>
      <c r="L1286" s="671"/>
      <c r="M1286" s="671"/>
      <c r="N1286" s="671"/>
      <c r="O1286" s="671"/>
      <c r="P1286" s="671"/>
      <c r="Q1286" s="671"/>
      <c r="R1286" s="671"/>
      <c r="S1286" s="671"/>
      <c r="T1286" s="671"/>
      <c r="U1286" s="671"/>
      <c r="V1286" s="672"/>
      <c r="W1286" s="672"/>
      <c r="X1286" s="672"/>
      <c r="Y1286" s="672"/>
      <c r="Z1286" s="672"/>
      <c r="AA1286" s="672"/>
      <c r="AB1286" s="672"/>
      <c r="AC1286" s="672"/>
      <c r="AD1286" s="672"/>
      <c r="AE1286" s="672"/>
      <c r="AF1286" s="672"/>
      <c r="AG1286" s="672"/>
      <c r="AH1286" s="672"/>
      <c r="AI1286" s="672"/>
      <c r="AJ1286" s="672"/>
      <c r="AK1286" s="672"/>
      <c r="AL1286" s="672"/>
      <c r="AM1286" s="672"/>
      <c r="AN1286" s="672"/>
      <c r="AO1286" s="672"/>
      <c r="AP1286" s="672"/>
      <c r="AQ1286" s="672"/>
      <c r="AR1286" s="672"/>
      <c r="AS1286" s="672"/>
      <c r="AT1286" s="672"/>
      <c r="AU1286" s="672"/>
      <c r="AV1286" s="672"/>
      <c r="AW1286" s="672"/>
      <c r="AX1286" s="672"/>
      <c r="AY1286" s="672"/>
      <c r="AZ1286" s="672"/>
      <c r="BA1286" s="672"/>
      <c r="BB1286" s="672"/>
      <c r="BC1286" s="672"/>
      <c r="BD1286" s="672"/>
      <c r="BE1286" s="672"/>
      <c r="BF1286" s="672"/>
      <c r="BG1286" s="672"/>
      <c r="BH1286" s="672"/>
      <c r="BI1286" s="672"/>
    </row>
    <row r="1287" spans="1:61" ht="16" thickTop="1" x14ac:dyDescent="0.2">
      <c r="A1287" s="673"/>
      <c r="B1287" s="674"/>
      <c r="C1287" s="674"/>
      <c r="D1287" s="674"/>
      <c r="E1287" s="674"/>
      <c r="F1287" s="674"/>
      <c r="G1287" s="674"/>
      <c r="H1287" s="674"/>
      <c r="I1287" s="674"/>
      <c r="J1287" s="674"/>
      <c r="K1287" s="674"/>
      <c r="L1287" s="674"/>
      <c r="M1287" s="674"/>
      <c r="N1287" s="674"/>
      <c r="O1287" s="674"/>
      <c r="P1287" s="674"/>
      <c r="Q1287" s="674"/>
      <c r="R1287" s="674"/>
      <c r="S1287" s="674"/>
      <c r="T1287" s="674"/>
      <c r="U1287" s="674"/>
      <c r="V1287" s="708">
        <f t="shared" ref="V1287:BI1287" si="440">SUM(V7:V1286)</f>
        <v>912106.5</v>
      </c>
      <c r="W1287" s="708">
        <f t="shared" si="440"/>
        <v>19514</v>
      </c>
      <c r="X1287" s="708">
        <f t="shared" si="440"/>
        <v>24548</v>
      </c>
      <c r="Y1287" s="708">
        <f t="shared" si="440"/>
        <v>67395</v>
      </c>
      <c r="Z1287" s="708">
        <f t="shared" si="440"/>
        <v>206126</v>
      </c>
      <c r="AA1287" s="708">
        <f t="shared" si="440"/>
        <v>128690</v>
      </c>
      <c r="AB1287" s="708">
        <f t="shared" si="440"/>
        <v>344094</v>
      </c>
      <c r="AC1287" s="708">
        <f t="shared" si="440"/>
        <v>28139</v>
      </c>
      <c r="AD1287" s="708">
        <f t="shared" si="440"/>
        <v>72453</v>
      </c>
      <c r="AE1287" s="708">
        <f t="shared" si="440"/>
        <v>6042</v>
      </c>
      <c r="AF1287" s="708">
        <f t="shared" si="440"/>
        <v>6919</v>
      </c>
      <c r="AG1287" s="708">
        <f t="shared" si="440"/>
        <v>2736</v>
      </c>
      <c r="AH1287" s="708">
        <f t="shared" si="440"/>
        <v>14</v>
      </c>
      <c r="AI1287" s="708">
        <f t="shared" si="440"/>
        <v>5463</v>
      </c>
      <c r="AJ1287" s="708">
        <f t="shared" si="440"/>
        <v>6866</v>
      </c>
      <c r="AK1287" s="708">
        <f t="shared" si="440"/>
        <v>13389</v>
      </c>
      <c r="AL1287" s="708">
        <f t="shared" si="440"/>
        <v>6000</v>
      </c>
      <c r="AM1287" s="708">
        <f t="shared" si="440"/>
        <v>10602</v>
      </c>
      <c r="AN1287" s="708">
        <f t="shared" si="440"/>
        <v>7449</v>
      </c>
      <c r="AO1287" s="708">
        <f>SUM(AO7:AO1286)*AO4</f>
        <v>2889</v>
      </c>
      <c r="AP1287" s="708">
        <f t="shared" si="440"/>
        <v>122476</v>
      </c>
      <c r="AQ1287" s="708">
        <f t="shared" si="440"/>
        <v>41362</v>
      </c>
      <c r="AR1287" s="708">
        <f t="shared" si="440"/>
        <v>6848</v>
      </c>
      <c r="AS1287" s="708">
        <f t="shared" si="440"/>
        <v>162</v>
      </c>
      <c r="AT1287" s="708">
        <f t="shared" si="440"/>
        <v>118</v>
      </c>
      <c r="AU1287" s="708">
        <f t="shared" si="440"/>
        <v>9</v>
      </c>
      <c r="AV1287" s="708">
        <f t="shared" si="440"/>
        <v>8499.0600000000013</v>
      </c>
      <c r="AW1287" s="708">
        <f t="shared" si="440"/>
        <v>3908.1000000000004</v>
      </c>
      <c r="AX1287" s="708">
        <f>SUM(AX7:AX1286)*AX4</f>
        <v>27250</v>
      </c>
      <c r="AY1287" s="708">
        <f>+AX1287/AY4</f>
        <v>1816.6666666666667</v>
      </c>
      <c r="AZ1287" s="708">
        <f t="shared" si="440"/>
        <v>15872</v>
      </c>
      <c r="BA1287" s="708">
        <f t="shared" si="440"/>
        <v>1049.4000000000001</v>
      </c>
      <c r="BB1287" s="708">
        <f>SUM(BB7:BB1286)*BB4</f>
        <v>5079.8</v>
      </c>
      <c r="BC1287" s="708">
        <f t="shared" si="440"/>
        <v>0</v>
      </c>
      <c r="BD1287" s="708">
        <f t="shared" si="440"/>
        <v>0</v>
      </c>
      <c r="BE1287" s="708">
        <f t="shared" si="440"/>
        <v>0</v>
      </c>
      <c r="BF1287" s="708">
        <f t="shared" si="440"/>
        <v>0</v>
      </c>
      <c r="BG1287" s="708">
        <f t="shared" si="440"/>
        <v>0</v>
      </c>
      <c r="BH1287" s="708">
        <f t="shared" si="440"/>
        <v>0</v>
      </c>
      <c r="BI1287" s="708">
        <f t="shared" si="440"/>
        <v>0</v>
      </c>
    </row>
    <row r="1288" spans="1:61" ht="29.25" customHeight="1" x14ac:dyDescent="0.2">
      <c r="A1288" s="675"/>
      <c r="B1288" s="676"/>
      <c r="C1288" s="676"/>
      <c r="D1288" s="676"/>
      <c r="E1288" s="676"/>
      <c r="F1288" s="676"/>
      <c r="G1288" s="676"/>
      <c r="H1288" s="676"/>
      <c r="I1288" s="676"/>
      <c r="J1288" s="676"/>
      <c r="K1288" s="676"/>
      <c r="L1288" s="676"/>
      <c r="M1288" s="676"/>
      <c r="N1288" s="676"/>
      <c r="O1288" s="676"/>
      <c r="P1288" s="676"/>
      <c r="Q1288" s="676"/>
      <c r="R1288" s="676"/>
      <c r="S1288" s="676"/>
      <c r="T1288" s="676"/>
      <c r="U1288" s="676"/>
      <c r="V1288" s="676"/>
      <c r="W1288" s="676"/>
      <c r="X1288" s="676"/>
      <c r="Y1288" s="676"/>
      <c r="Z1288" s="676"/>
      <c r="AA1288" s="676"/>
      <c r="AB1288" s="676"/>
      <c r="AC1288" s="676"/>
      <c r="AD1288" s="676"/>
      <c r="AE1288" s="676"/>
      <c r="AF1288" s="677"/>
      <c r="AG1288" s="677"/>
      <c r="AH1288" s="677"/>
      <c r="AI1288" s="677"/>
      <c r="AJ1288" s="677"/>
      <c r="AK1288" s="677"/>
      <c r="AL1288" s="677"/>
      <c r="AM1288" s="677"/>
      <c r="AN1288" s="677"/>
      <c r="AO1288" s="677"/>
    </row>
    <row r="1289" spans="1:61" ht="16" thickBot="1" x14ac:dyDescent="0.25">
      <c r="A1289" s="676"/>
      <c r="B1289" s="676"/>
      <c r="C1289" s="676"/>
      <c r="D1289" s="676"/>
      <c r="E1289" s="676"/>
      <c r="F1289" s="676"/>
      <c r="G1289" s="676"/>
      <c r="H1289" s="676"/>
      <c r="I1289" s="676"/>
      <c r="J1289" s="676"/>
      <c r="K1289" s="676"/>
      <c r="L1289" s="676"/>
      <c r="M1289" s="676"/>
      <c r="N1289" s="676"/>
      <c r="O1289" s="676"/>
      <c r="P1289" s="676"/>
      <c r="Q1289" s="676"/>
      <c r="R1289" s="676"/>
      <c r="S1289" s="676"/>
      <c r="T1289" s="676"/>
      <c r="U1289" s="676"/>
      <c r="V1289" s="676"/>
      <c r="W1289" s="676"/>
      <c r="X1289" s="676"/>
      <c r="Y1289" s="676"/>
      <c r="Z1289" s="676"/>
      <c r="AA1289" s="676"/>
      <c r="AB1289" s="676"/>
      <c r="AC1289" s="676"/>
      <c r="AD1289" s="676"/>
      <c r="AE1289" s="676"/>
      <c r="AF1289" s="677"/>
      <c r="AG1289" s="677"/>
      <c r="AH1289" s="677"/>
      <c r="AI1289" s="677"/>
      <c r="AJ1289" s="677"/>
      <c r="AK1289" s="677"/>
      <c r="AL1289" s="677"/>
      <c r="AM1289" s="677"/>
      <c r="AN1289" s="677"/>
      <c r="AO1289" s="677"/>
    </row>
    <row r="1290" spans="1:61" ht="79.5" customHeight="1" thickBot="1" x14ac:dyDescent="0.25">
      <c r="A1290" s="1088" t="s">
        <v>379</v>
      </c>
      <c r="B1290" s="1088"/>
      <c r="C1290" s="1088"/>
      <c r="D1290" s="1088"/>
      <c r="E1290" s="1027"/>
      <c r="F1290" s="1030"/>
      <c r="G1290" s="678"/>
      <c r="H1290" s="678"/>
      <c r="I1290" s="678"/>
      <c r="J1290" s="678"/>
      <c r="K1290" s="678"/>
      <c r="L1290" s="678"/>
      <c r="M1290" s="678"/>
      <c r="N1290" s="678"/>
      <c r="O1290" s="678"/>
      <c r="P1290" s="679"/>
      <c r="Q1290" s="1089" t="s">
        <v>205</v>
      </c>
      <c r="R1290" s="1090"/>
      <c r="S1290" s="1090"/>
      <c r="T1290" s="1090"/>
      <c r="U1290" s="1091"/>
      <c r="V1290" s="680" t="s">
        <v>1061</v>
      </c>
      <c r="W1290" s="653" t="s">
        <v>1105</v>
      </c>
      <c r="X1290" s="680" t="s">
        <v>1106</v>
      </c>
      <c r="Y1290" s="653" t="s">
        <v>1107</v>
      </c>
      <c r="Z1290" s="680" t="s">
        <v>1108</v>
      </c>
      <c r="AA1290" s="653" t="s">
        <v>407</v>
      </c>
      <c r="AB1290" s="680" t="s">
        <v>408</v>
      </c>
      <c r="AC1290" s="653" t="s">
        <v>409</v>
      </c>
      <c r="AD1290" s="680" t="s">
        <v>410</v>
      </c>
      <c r="AE1290" s="653" t="s">
        <v>411</v>
      </c>
      <c r="AF1290" s="681"/>
      <c r="AG1290" s="682"/>
      <c r="AH1290" s="682"/>
      <c r="AI1290" s="682"/>
      <c r="AJ1290" s="682"/>
      <c r="AK1290" s="682"/>
      <c r="AL1290" s="682"/>
      <c r="AM1290" s="682"/>
      <c r="AN1290" s="682"/>
      <c r="AO1290" s="682"/>
    </row>
    <row r="1291" spans="1:61" ht="16.5" hidden="1" customHeight="1" thickBot="1" x14ac:dyDescent="0.25">
      <c r="A1291" s="683"/>
      <c r="B1291" s="683"/>
      <c r="C1291" s="683"/>
      <c r="D1291" s="683"/>
      <c r="E1291" s="683"/>
      <c r="F1291" s="683"/>
      <c r="G1291" s="683"/>
      <c r="H1291" s="683"/>
      <c r="I1291" s="683"/>
      <c r="J1291" s="683"/>
      <c r="K1291" s="683"/>
      <c r="L1291" s="683"/>
      <c r="M1291" s="683"/>
      <c r="N1291" s="683"/>
      <c r="O1291" s="683"/>
      <c r="P1291" s="679"/>
      <c r="Q1291" s="684"/>
      <c r="R1291" s="685"/>
      <c r="S1291" s="685"/>
      <c r="T1291" s="685"/>
      <c r="U1291" s="686"/>
      <c r="V1291" s="1010">
        <f t="shared" ref="V1291:AE1291" si="441">+V1308</f>
        <v>123028.96</v>
      </c>
      <c r="W1291" s="1009">
        <f t="shared" si="441"/>
        <v>12870</v>
      </c>
      <c r="X1291" s="1009">
        <f t="shared" si="441"/>
        <v>5079.8</v>
      </c>
      <c r="Y1291" s="1009">
        <f t="shared" si="441"/>
        <v>0</v>
      </c>
      <c r="Z1291" s="1009">
        <f t="shared" si="441"/>
        <v>3968</v>
      </c>
      <c r="AA1291" s="1009">
        <f t="shared" si="441"/>
        <v>0</v>
      </c>
      <c r="AB1291" s="1009">
        <f t="shared" si="441"/>
        <v>0</v>
      </c>
      <c r="AC1291" s="1009">
        <f t="shared" si="441"/>
        <v>0</v>
      </c>
      <c r="AD1291" s="1009">
        <f t="shared" si="441"/>
        <v>0</v>
      </c>
      <c r="AE1291" s="1011">
        <f t="shared" si="441"/>
        <v>0</v>
      </c>
      <c r="AF1291" s="687"/>
      <c r="AG1291" s="688"/>
      <c r="AH1291" s="688"/>
      <c r="AI1291" s="688"/>
      <c r="AJ1291" s="688"/>
      <c r="AK1291" s="688"/>
      <c r="AL1291" s="688"/>
      <c r="AM1291" s="688"/>
      <c r="AN1291" s="688"/>
      <c r="AO1291" s="688"/>
    </row>
    <row r="1292" spans="1:61" ht="13.5" customHeight="1" thickBot="1" x14ac:dyDescent="0.25">
      <c r="A1292" s="683"/>
      <c r="B1292" s="683"/>
      <c r="C1292" s="683"/>
      <c r="D1292" s="683"/>
      <c r="E1292" s="683"/>
      <c r="F1292" s="683"/>
      <c r="G1292" s="683"/>
      <c r="H1292" s="683"/>
      <c r="I1292" s="683"/>
      <c r="J1292" s="683"/>
      <c r="K1292" s="683"/>
      <c r="L1292" s="683"/>
      <c r="M1292" s="683"/>
      <c r="N1292" s="683"/>
      <c r="O1292" s="683"/>
      <c r="P1292" s="679"/>
      <c r="Q1292" s="1074" t="s">
        <v>206</v>
      </c>
      <c r="R1292" s="1075"/>
      <c r="S1292" s="1075"/>
      <c r="T1292" s="1075"/>
      <c r="U1292" s="1076"/>
      <c r="V1292" s="689"/>
      <c r="W1292" s="581"/>
      <c r="X1292" s="581"/>
      <c r="Y1292" s="581"/>
      <c r="Z1292" s="581"/>
      <c r="AA1292" s="581"/>
      <c r="AB1292" s="581"/>
      <c r="AC1292" s="581"/>
      <c r="AD1292" s="581"/>
      <c r="AE1292" s="690"/>
      <c r="AF1292" s="691"/>
      <c r="AG1292" s="692"/>
      <c r="AH1292" s="692"/>
      <c r="AI1292" s="692"/>
      <c r="AJ1292" s="692"/>
      <c r="AK1292" s="692"/>
      <c r="AL1292" s="692"/>
      <c r="AM1292" s="692"/>
      <c r="AN1292" s="692"/>
      <c r="AO1292" s="692"/>
    </row>
    <row r="1293" spans="1:61" ht="69" customHeight="1" thickBot="1" x14ac:dyDescent="0.25">
      <c r="A1293" s="693" t="s">
        <v>204</v>
      </c>
      <c r="B1293" s="694" t="s">
        <v>203</v>
      </c>
      <c r="C1293" s="695" t="s">
        <v>85</v>
      </c>
      <c r="D1293" s="695" t="s">
        <v>376</v>
      </c>
      <c r="E1293" s="695"/>
      <c r="F1293" s="695"/>
      <c r="G1293" s="695" t="s">
        <v>202</v>
      </c>
      <c r="H1293" s="695"/>
      <c r="I1293" s="695"/>
      <c r="J1293" s="695"/>
      <c r="K1293" s="695"/>
      <c r="L1293" s="695"/>
      <c r="M1293" s="695"/>
      <c r="N1293" s="695"/>
      <c r="O1293" s="695"/>
      <c r="P1293" s="695" t="s">
        <v>201</v>
      </c>
      <c r="Q1293" s="693" t="s">
        <v>10</v>
      </c>
      <c r="R1293" s="693"/>
      <c r="S1293" s="693"/>
      <c r="T1293" s="693" t="s">
        <v>200</v>
      </c>
      <c r="U1293" s="693" t="s">
        <v>199</v>
      </c>
      <c r="V1293" s="696"/>
      <c r="W1293" s="697"/>
      <c r="X1293" s="697"/>
      <c r="Y1293" s="697"/>
      <c r="Z1293" s="697"/>
      <c r="AA1293" s="697"/>
      <c r="AB1293" s="697"/>
      <c r="AC1293" s="697"/>
      <c r="AD1293" s="697"/>
      <c r="AE1293" s="698"/>
      <c r="AF1293" s="699"/>
      <c r="AG1293" s="700"/>
      <c r="AH1293" s="700"/>
      <c r="AI1293" s="700"/>
      <c r="AJ1293" s="700"/>
      <c r="AK1293" s="700"/>
      <c r="AL1293" s="700"/>
      <c r="AM1293" s="700"/>
      <c r="AN1293" s="700"/>
      <c r="AO1293" s="700"/>
    </row>
    <row r="1294" spans="1:61" x14ac:dyDescent="0.2">
      <c r="A1294" s="701"/>
      <c r="B1294" s="701"/>
      <c r="C1294" s="701"/>
      <c r="D1294" s="701"/>
      <c r="E1294" s="701"/>
      <c r="F1294" s="701"/>
      <c r="G1294" s="701"/>
      <c r="H1294" s="701"/>
      <c r="I1294" s="701"/>
      <c r="J1294" s="701"/>
      <c r="K1294" s="701"/>
      <c r="L1294" s="701"/>
      <c r="M1294" s="701"/>
      <c r="N1294" s="701"/>
      <c r="O1294" s="701"/>
      <c r="P1294" s="701"/>
      <c r="Q1294" s="701"/>
      <c r="R1294" s="701"/>
      <c r="S1294" s="701"/>
      <c r="T1294" s="701"/>
      <c r="U1294" s="701"/>
      <c r="V1294" s="668">
        <f>+'Misc Take Off'!C82</f>
        <v>123028.96</v>
      </c>
      <c r="W1294" s="668">
        <f>+'Misc Take Off'!H50</f>
        <v>12870</v>
      </c>
      <c r="X1294" s="668">
        <f>+BB1287</f>
        <v>5079.8</v>
      </c>
      <c r="Y1294" s="668"/>
      <c r="Z1294" s="668">
        <f>+AZ1287*0.25</f>
        <v>3968</v>
      </c>
      <c r="AA1294" s="668"/>
      <c r="AB1294" s="668"/>
      <c r="AC1294" s="668"/>
      <c r="AD1294" s="668"/>
      <c r="AE1294" s="702"/>
      <c r="AF1294" s="703"/>
      <c r="AG1294" s="704"/>
      <c r="AH1294" s="704"/>
      <c r="AI1294" s="704"/>
      <c r="AJ1294" s="704"/>
      <c r="AK1294" s="704"/>
      <c r="AL1294" s="704"/>
      <c r="AM1294" s="704"/>
      <c r="AN1294" s="704"/>
      <c r="AO1294" s="704"/>
    </row>
    <row r="1295" spans="1:61" x14ac:dyDescent="0.2">
      <c r="A1295" s="701"/>
      <c r="B1295" s="701"/>
      <c r="C1295" s="701"/>
      <c r="D1295" s="701"/>
      <c r="E1295" s="701"/>
      <c r="F1295" s="701"/>
      <c r="G1295" s="701"/>
      <c r="H1295" s="701"/>
      <c r="I1295" s="701"/>
      <c r="J1295" s="701"/>
      <c r="K1295" s="701"/>
      <c r="L1295" s="701"/>
      <c r="M1295" s="701"/>
      <c r="N1295" s="701"/>
      <c r="O1295" s="701"/>
      <c r="P1295" s="701"/>
      <c r="Q1295" s="701"/>
      <c r="R1295" s="701"/>
      <c r="S1295" s="701"/>
      <c r="T1295" s="701"/>
      <c r="U1295" s="701"/>
      <c r="V1295" s="668"/>
      <c r="W1295" s="668"/>
      <c r="X1295" s="668"/>
      <c r="Y1295" s="668"/>
      <c r="Z1295" s="668"/>
      <c r="AA1295" s="668"/>
      <c r="AB1295" s="668"/>
      <c r="AC1295" s="668"/>
      <c r="AD1295" s="668"/>
      <c r="AE1295" s="702"/>
      <c r="AF1295" s="703"/>
      <c r="AG1295" s="704"/>
      <c r="AH1295" s="704"/>
      <c r="AI1295" s="704"/>
      <c r="AJ1295" s="704"/>
      <c r="AK1295" s="704"/>
      <c r="AL1295" s="704"/>
      <c r="AM1295" s="704"/>
      <c r="AN1295" s="704"/>
      <c r="AO1295" s="704"/>
    </row>
    <row r="1296" spans="1:61" x14ac:dyDescent="0.2">
      <c r="A1296" s="701"/>
      <c r="B1296" s="701"/>
      <c r="C1296" s="701"/>
      <c r="D1296" s="701"/>
      <c r="E1296" s="701"/>
      <c r="F1296" s="701"/>
      <c r="G1296" s="701"/>
      <c r="H1296" s="701"/>
      <c r="I1296" s="701"/>
      <c r="J1296" s="701"/>
      <c r="K1296" s="701"/>
      <c r="L1296" s="701"/>
      <c r="M1296" s="701"/>
      <c r="N1296" s="701"/>
      <c r="O1296" s="701"/>
      <c r="P1296" s="701"/>
      <c r="Q1296" s="701"/>
      <c r="R1296" s="701"/>
      <c r="S1296" s="701"/>
      <c r="T1296" s="701"/>
      <c r="U1296" s="701"/>
      <c r="V1296" s="668"/>
      <c r="W1296" s="668"/>
      <c r="X1296" s="668"/>
      <c r="Y1296" s="668"/>
      <c r="Z1296" s="668"/>
      <c r="AA1296" s="668"/>
      <c r="AB1296" s="668"/>
      <c r="AC1296" s="668"/>
      <c r="AD1296" s="668"/>
      <c r="AE1296" s="702"/>
      <c r="AF1296" s="703"/>
      <c r="AG1296" s="704"/>
      <c r="AH1296" s="704"/>
      <c r="AI1296" s="704"/>
      <c r="AJ1296" s="704"/>
      <c r="AK1296" s="704"/>
      <c r="AL1296" s="704"/>
      <c r="AM1296" s="704"/>
      <c r="AN1296" s="704"/>
      <c r="AO1296" s="704"/>
    </row>
    <row r="1297" spans="1:41" x14ac:dyDescent="0.2">
      <c r="A1297" s="701"/>
      <c r="B1297" s="701"/>
      <c r="C1297" s="701"/>
      <c r="D1297" s="701"/>
      <c r="E1297" s="701"/>
      <c r="F1297" s="701"/>
      <c r="G1297" s="701"/>
      <c r="H1297" s="701"/>
      <c r="I1297" s="701"/>
      <c r="J1297" s="701"/>
      <c r="K1297" s="701"/>
      <c r="L1297" s="701"/>
      <c r="M1297" s="701"/>
      <c r="N1297" s="701"/>
      <c r="O1297" s="701"/>
      <c r="P1297" s="701"/>
      <c r="Q1297" s="701"/>
      <c r="R1297" s="701"/>
      <c r="S1297" s="701"/>
      <c r="T1297" s="701"/>
      <c r="U1297" s="701"/>
      <c r="V1297" s="668"/>
      <c r="W1297" s="668"/>
      <c r="X1297" s="668"/>
      <c r="Y1297" s="668"/>
      <c r="Z1297" s="668"/>
      <c r="AA1297" s="668"/>
      <c r="AB1297" s="668"/>
      <c r="AC1297" s="668"/>
      <c r="AD1297" s="668"/>
      <c r="AE1297" s="702"/>
      <c r="AF1297" s="703"/>
      <c r="AG1297" s="704"/>
      <c r="AH1297" s="704"/>
      <c r="AI1297" s="704"/>
      <c r="AJ1297" s="704"/>
      <c r="AK1297" s="704"/>
      <c r="AL1297" s="704"/>
      <c r="AM1297" s="704"/>
      <c r="AN1297" s="704"/>
      <c r="AO1297" s="704"/>
    </row>
    <row r="1298" spans="1:41" x14ac:dyDescent="0.2">
      <c r="A1298" s="701"/>
      <c r="B1298" s="701"/>
      <c r="C1298" s="701"/>
      <c r="D1298" s="701"/>
      <c r="E1298" s="701"/>
      <c r="F1298" s="701"/>
      <c r="G1298" s="701"/>
      <c r="H1298" s="701"/>
      <c r="I1298" s="701"/>
      <c r="J1298" s="701"/>
      <c r="K1298" s="701"/>
      <c r="L1298" s="701"/>
      <c r="M1298" s="701"/>
      <c r="N1298" s="701"/>
      <c r="O1298" s="701"/>
      <c r="P1298" s="701"/>
      <c r="Q1298" s="701"/>
      <c r="R1298" s="701"/>
      <c r="S1298" s="701"/>
      <c r="T1298" s="701"/>
      <c r="U1298" s="701"/>
      <c r="V1298" s="668"/>
      <c r="W1298" s="668"/>
      <c r="X1298" s="668"/>
      <c r="Y1298" s="668"/>
      <c r="Z1298" s="668"/>
      <c r="AA1298" s="668"/>
      <c r="AB1298" s="668"/>
      <c r="AC1298" s="668"/>
      <c r="AD1298" s="668"/>
      <c r="AE1298" s="702"/>
      <c r="AF1298" s="703"/>
      <c r="AG1298" s="704"/>
      <c r="AH1298" s="704"/>
      <c r="AI1298" s="704"/>
      <c r="AJ1298" s="704"/>
      <c r="AK1298" s="704"/>
      <c r="AL1298" s="704"/>
      <c r="AM1298" s="704"/>
      <c r="AN1298" s="704"/>
      <c r="AO1298" s="704"/>
    </row>
    <row r="1299" spans="1:41" x14ac:dyDescent="0.2">
      <c r="A1299" s="701"/>
      <c r="B1299" s="701"/>
      <c r="C1299" s="701"/>
      <c r="D1299" s="701"/>
      <c r="E1299" s="701"/>
      <c r="F1299" s="701"/>
      <c r="G1299" s="701"/>
      <c r="H1299" s="701"/>
      <c r="I1299" s="701"/>
      <c r="J1299" s="701"/>
      <c r="K1299" s="701"/>
      <c r="L1299" s="701"/>
      <c r="M1299" s="701"/>
      <c r="N1299" s="701"/>
      <c r="O1299" s="701"/>
      <c r="P1299" s="701"/>
      <c r="Q1299" s="701"/>
      <c r="R1299" s="701"/>
      <c r="S1299" s="701"/>
      <c r="T1299" s="701"/>
      <c r="U1299" s="701"/>
      <c r="V1299" s="668"/>
      <c r="W1299" s="668"/>
      <c r="X1299" s="668"/>
      <c r="Y1299" s="668"/>
      <c r="Z1299" s="668"/>
      <c r="AA1299" s="668"/>
      <c r="AB1299" s="668"/>
      <c r="AC1299" s="668"/>
      <c r="AD1299" s="668"/>
      <c r="AE1299" s="702"/>
      <c r="AF1299" s="703"/>
      <c r="AG1299" s="704"/>
      <c r="AH1299" s="704"/>
      <c r="AI1299" s="704"/>
      <c r="AJ1299" s="704"/>
      <c r="AK1299" s="704"/>
      <c r="AL1299" s="704"/>
      <c r="AM1299" s="704"/>
      <c r="AN1299" s="704"/>
      <c r="AO1299" s="704"/>
    </row>
    <row r="1300" spans="1:41" x14ac:dyDescent="0.2">
      <c r="A1300" s="701"/>
      <c r="B1300" s="701"/>
      <c r="C1300" s="701"/>
      <c r="D1300" s="701"/>
      <c r="E1300" s="701"/>
      <c r="F1300" s="701"/>
      <c r="G1300" s="701"/>
      <c r="H1300" s="701"/>
      <c r="I1300" s="701"/>
      <c r="J1300" s="701"/>
      <c r="K1300" s="701"/>
      <c r="L1300" s="701"/>
      <c r="M1300" s="701"/>
      <c r="N1300" s="701"/>
      <c r="O1300" s="701"/>
      <c r="P1300" s="701"/>
      <c r="Q1300" s="701"/>
      <c r="R1300" s="701"/>
      <c r="S1300" s="701"/>
      <c r="T1300" s="701"/>
      <c r="U1300" s="701"/>
      <c r="V1300" s="668"/>
      <c r="W1300" s="668"/>
      <c r="X1300" s="668"/>
      <c r="Y1300" s="668"/>
      <c r="Z1300" s="668"/>
      <c r="AA1300" s="668"/>
      <c r="AB1300" s="668"/>
      <c r="AC1300" s="668"/>
      <c r="AD1300" s="668"/>
      <c r="AE1300" s="702"/>
      <c r="AF1300" s="703"/>
      <c r="AG1300" s="704"/>
      <c r="AH1300" s="704"/>
      <c r="AI1300" s="704"/>
      <c r="AJ1300" s="704"/>
      <c r="AK1300" s="704"/>
      <c r="AL1300" s="704"/>
      <c r="AM1300" s="704"/>
      <c r="AN1300" s="704"/>
      <c r="AO1300" s="704"/>
    </row>
    <row r="1301" spans="1:41" x14ac:dyDescent="0.2">
      <c r="A1301" s="701"/>
      <c r="B1301" s="701"/>
      <c r="C1301" s="701"/>
      <c r="D1301" s="701"/>
      <c r="E1301" s="701"/>
      <c r="F1301" s="701"/>
      <c r="G1301" s="701"/>
      <c r="H1301" s="701"/>
      <c r="I1301" s="701"/>
      <c r="J1301" s="701"/>
      <c r="K1301" s="701"/>
      <c r="L1301" s="701"/>
      <c r="M1301" s="701"/>
      <c r="N1301" s="701"/>
      <c r="O1301" s="701"/>
      <c r="P1301" s="701"/>
      <c r="Q1301" s="701"/>
      <c r="R1301" s="701"/>
      <c r="S1301" s="701"/>
      <c r="T1301" s="701"/>
      <c r="U1301" s="701"/>
      <c r="V1301" s="668"/>
      <c r="W1301" s="668"/>
      <c r="X1301" s="668"/>
      <c r="Y1301" s="668"/>
      <c r="Z1301" s="668"/>
      <c r="AA1301" s="668"/>
      <c r="AB1301" s="668"/>
      <c r="AC1301" s="668"/>
      <c r="AD1301" s="668"/>
      <c r="AE1301" s="702"/>
      <c r="AF1301" s="703"/>
      <c r="AG1301" s="704"/>
      <c r="AH1301" s="704"/>
      <c r="AI1301" s="704"/>
      <c r="AJ1301" s="704"/>
      <c r="AK1301" s="704"/>
      <c r="AL1301" s="704"/>
      <c r="AM1301" s="704"/>
      <c r="AN1301" s="704"/>
      <c r="AO1301" s="704"/>
    </row>
    <row r="1302" spans="1:41" x14ac:dyDescent="0.2">
      <c r="A1302" s="701"/>
      <c r="B1302" s="701"/>
      <c r="C1302" s="701"/>
      <c r="D1302" s="701"/>
      <c r="E1302" s="701"/>
      <c r="F1302" s="701"/>
      <c r="G1302" s="701"/>
      <c r="H1302" s="701"/>
      <c r="I1302" s="701"/>
      <c r="J1302" s="701"/>
      <c r="K1302" s="701"/>
      <c r="L1302" s="701"/>
      <c r="M1302" s="701"/>
      <c r="N1302" s="701"/>
      <c r="O1302" s="701"/>
      <c r="P1302" s="701"/>
      <c r="Q1302" s="701"/>
      <c r="R1302" s="701"/>
      <c r="S1302" s="701"/>
      <c r="T1302" s="701"/>
      <c r="U1302" s="701"/>
      <c r="V1302" s="668"/>
      <c r="W1302" s="668"/>
      <c r="X1302" s="668"/>
      <c r="Y1302" s="668"/>
      <c r="Z1302" s="668"/>
      <c r="AA1302" s="668"/>
      <c r="AB1302" s="668"/>
      <c r="AC1302" s="668"/>
      <c r="AD1302" s="668"/>
      <c r="AE1302" s="702"/>
      <c r="AF1302" s="703"/>
      <c r="AG1302" s="704"/>
      <c r="AH1302" s="704"/>
      <c r="AI1302" s="704"/>
      <c r="AJ1302" s="704"/>
      <c r="AK1302" s="704"/>
      <c r="AL1302" s="704"/>
      <c r="AM1302" s="704"/>
      <c r="AN1302" s="704"/>
      <c r="AO1302" s="704"/>
    </row>
    <row r="1303" spans="1:41" x14ac:dyDescent="0.2">
      <c r="A1303" s="701"/>
      <c r="B1303" s="701"/>
      <c r="C1303" s="701"/>
      <c r="D1303" s="701"/>
      <c r="E1303" s="701"/>
      <c r="F1303" s="701"/>
      <c r="G1303" s="701"/>
      <c r="H1303" s="701"/>
      <c r="I1303" s="701"/>
      <c r="J1303" s="701"/>
      <c r="K1303" s="701"/>
      <c r="L1303" s="701"/>
      <c r="M1303" s="701"/>
      <c r="N1303" s="701"/>
      <c r="O1303" s="701"/>
      <c r="P1303" s="701"/>
      <c r="Q1303" s="701"/>
      <c r="R1303" s="701"/>
      <c r="S1303" s="701"/>
      <c r="T1303" s="701"/>
      <c r="U1303" s="701"/>
      <c r="V1303" s="668"/>
      <c r="W1303" s="668"/>
      <c r="X1303" s="668"/>
      <c r="Y1303" s="668"/>
      <c r="Z1303" s="668"/>
      <c r="AA1303" s="668"/>
      <c r="AB1303" s="668"/>
      <c r="AC1303" s="668"/>
      <c r="AD1303" s="668"/>
      <c r="AE1303" s="702"/>
      <c r="AF1303" s="703"/>
      <c r="AG1303" s="704"/>
      <c r="AH1303" s="704"/>
      <c r="AI1303" s="704"/>
      <c r="AJ1303" s="704"/>
      <c r="AK1303" s="704"/>
      <c r="AL1303" s="704"/>
      <c r="AM1303" s="704"/>
      <c r="AN1303" s="704"/>
      <c r="AO1303" s="704"/>
    </row>
    <row r="1304" spans="1:41" x14ac:dyDescent="0.2">
      <c r="A1304" s="701"/>
      <c r="B1304" s="701"/>
      <c r="C1304" s="701"/>
      <c r="D1304" s="701"/>
      <c r="E1304" s="701"/>
      <c r="F1304" s="701"/>
      <c r="G1304" s="701"/>
      <c r="H1304" s="701"/>
      <c r="I1304" s="701"/>
      <c r="J1304" s="701"/>
      <c r="K1304" s="701"/>
      <c r="L1304" s="701"/>
      <c r="M1304" s="701"/>
      <c r="N1304" s="701"/>
      <c r="O1304" s="701"/>
      <c r="P1304" s="701"/>
      <c r="Q1304" s="701"/>
      <c r="R1304" s="701"/>
      <c r="S1304" s="701"/>
      <c r="T1304" s="701"/>
      <c r="U1304" s="701"/>
      <c r="V1304" s="668"/>
      <c r="W1304" s="668"/>
      <c r="X1304" s="668"/>
      <c r="Y1304" s="668"/>
      <c r="Z1304" s="668"/>
      <c r="AA1304" s="668"/>
      <c r="AB1304" s="668"/>
      <c r="AC1304" s="668"/>
      <c r="AD1304" s="668"/>
      <c r="AE1304" s="702"/>
      <c r="AF1304" s="703"/>
      <c r="AG1304" s="704"/>
      <c r="AH1304" s="704"/>
      <c r="AI1304" s="704"/>
      <c r="AJ1304" s="704"/>
      <c r="AK1304" s="704"/>
      <c r="AL1304" s="704"/>
      <c r="AM1304" s="704"/>
      <c r="AN1304" s="704"/>
      <c r="AO1304" s="704"/>
    </row>
    <row r="1305" spans="1:41" x14ac:dyDescent="0.2">
      <c r="A1305" s="701"/>
      <c r="B1305" s="701"/>
      <c r="C1305" s="701"/>
      <c r="D1305" s="701"/>
      <c r="E1305" s="701"/>
      <c r="F1305" s="701"/>
      <c r="G1305" s="701"/>
      <c r="H1305" s="701"/>
      <c r="I1305" s="701"/>
      <c r="J1305" s="701"/>
      <c r="K1305" s="701"/>
      <c r="L1305" s="701"/>
      <c r="M1305" s="701"/>
      <c r="N1305" s="701"/>
      <c r="O1305" s="701"/>
      <c r="P1305" s="701"/>
      <c r="Q1305" s="701"/>
      <c r="R1305" s="701"/>
      <c r="S1305" s="701"/>
      <c r="T1305" s="701"/>
      <c r="U1305" s="701"/>
      <c r="V1305" s="668"/>
      <c r="W1305" s="668"/>
      <c r="X1305" s="668"/>
      <c r="Y1305" s="668"/>
      <c r="Z1305" s="668"/>
      <c r="AA1305" s="668"/>
      <c r="AB1305" s="668"/>
      <c r="AC1305" s="668"/>
      <c r="AD1305" s="668"/>
      <c r="AE1305" s="702"/>
      <c r="AF1305" s="703"/>
      <c r="AG1305" s="704"/>
      <c r="AH1305" s="704"/>
      <c r="AI1305" s="704"/>
      <c r="AJ1305" s="704"/>
      <c r="AK1305" s="704"/>
      <c r="AL1305" s="704"/>
      <c r="AM1305" s="704"/>
      <c r="AN1305" s="704"/>
      <c r="AO1305" s="704"/>
    </row>
    <row r="1306" spans="1:41" hidden="1" x14ac:dyDescent="0.2">
      <c r="A1306" s="669"/>
      <c r="B1306" s="669"/>
      <c r="C1306" s="669"/>
      <c r="D1306" s="669"/>
      <c r="E1306" s="669"/>
      <c r="F1306" s="669"/>
      <c r="G1306" s="669"/>
      <c r="H1306" s="669"/>
      <c r="I1306" s="669"/>
      <c r="J1306" s="669"/>
      <c r="K1306" s="669"/>
      <c r="L1306" s="669"/>
      <c r="M1306" s="669"/>
      <c r="N1306" s="669"/>
      <c r="O1306" s="669"/>
      <c r="P1306" s="669"/>
      <c r="Q1306" s="669"/>
      <c r="R1306" s="669"/>
      <c r="S1306" s="669"/>
      <c r="T1306" s="669"/>
      <c r="U1306" s="669"/>
      <c r="V1306" s="668"/>
      <c r="W1306" s="668"/>
      <c r="X1306" s="668"/>
      <c r="Y1306" s="668"/>
      <c r="Z1306" s="668"/>
      <c r="AA1306" s="668"/>
      <c r="AB1306" s="668"/>
      <c r="AC1306" s="668"/>
      <c r="AD1306" s="668"/>
      <c r="AE1306" s="702"/>
      <c r="AF1306" s="703"/>
      <c r="AG1306" s="704"/>
      <c r="AH1306" s="704"/>
      <c r="AI1306" s="704"/>
      <c r="AJ1306" s="704"/>
      <c r="AK1306" s="704"/>
      <c r="AL1306" s="704"/>
      <c r="AM1306" s="704"/>
      <c r="AN1306" s="704"/>
      <c r="AO1306" s="704"/>
    </row>
    <row r="1307" spans="1:41" ht="30" customHeight="1" thickBot="1" x14ac:dyDescent="0.25">
      <c r="A1307" s="670" t="s">
        <v>378</v>
      </c>
      <c r="B1307" s="1077" t="s">
        <v>198</v>
      </c>
      <c r="C1307" s="1078"/>
      <c r="D1307" s="705"/>
      <c r="E1307" s="705"/>
      <c r="F1307" s="705"/>
      <c r="G1307" s="705"/>
      <c r="H1307" s="705"/>
      <c r="I1307" s="705"/>
      <c r="J1307" s="705"/>
      <c r="K1307" s="705"/>
      <c r="L1307" s="705"/>
      <c r="M1307" s="705"/>
      <c r="N1307" s="705"/>
      <c r="O1307" s="705"/>
      <c r="P1307" s="705"/>
      <c r="Q1307" s="705"/>
      <c r="R1307" s="705"/>
      <c r="S1307" s="705"/>
      <c r="T1307" s="705"/>
      <c r="U1307" s="705"/>
      <c r="V1307" s="706"/>
      <c r="W1307" s="706"/>
      <c r="X1307" s="706"/>
      <c r="Y1307" s="706"/>
      <c r="Z1307" s="706"/>
      <c r="AA1307" s="706"/>
      <c r="AB1307" s="706"/>
      <c r="AC1307" s="706"/>
      <c r="AD1307" s="706"/>
      <c r="AE1307" s="706"/>
      <c r="AF1307" s="707"/>
      <c r="AG1307" s="707"/>
      <c r="AH1307" s="707"/>
      <c r="AI1307" s="707"/>
      <c r="AJ1307" s="707"/>
      <c r="AK1307" s="707"/>
      <c r="AL1307" s="707"/>
      <c r="AM1307" s="707"/>
      <c r="AN1307" s="707"/>
      <c r="AO1307" s="707"/>
    </row>
    <row r="1308" spans="1:41" ht="16" thickTop="1" x14ac:dyDescent="0.2">
      <c r="A1308" s="673"/>
      <c r="B1308" s="674"/>
      <c r="C1308" s="674"/>
      <c r="D1308" s="674"/>
      <c r="E1308" s="674"/>
      <c r="F1308" s="674"/>
      <c r="G1308" s="674"/>
      <c r="H1308" s="674"/>
      <c r="I1308" s="674"/>
      <c r="J1308" s="674"/>
      <c r="K1308" s="674"/>
      <c r="L1308" s="674"/>
      <c r="M1308" s="674"/>
      <c r="N1308" s="674"/>
      <c r="O1308" s="674"/>
      <c r="P1308" s="674"/>
      <c r="Q1308" s="674"/>
      <c r="R1308" s="674"/>
      <c r="S1308" s="674"/>
      <c r="T1308" s="674"/>
      <c r="U1308" s="674"/>
      <c r="V1308" s="708">
        <f t="shared" ref="V1308:AE1308" si="442">SUM(V1294:V1307)</f>
        <v>123028.96</v>
      </c>
      <c r="W1308" s="708">
        <f t="shared" si="442"/>
        <v>12870</v>
      </c>
      <c r="X1308" s="708">
        <f t="shared" si="442"/>
        <v>5079.8</v>
      </c>
      <c r="Y1308" s="708">
        <f t="shared" si="442"/>
        <v>0</v>
      </c>
      <c r="Z1308" s="708">
        <f t="shared" si="442"/>
        <v>3968</v>
      </c>
      <c r="AA1308" s="708">
        <f t="shared" si="442"/>
        <v>0</v>
      </c>
      <c r="AB1308" s="708">
        <f t="shared" si="442"/>
        <v>0</v>
      </c>
      <c r="AC1308" s="708">
        <f t="shared" si="442"/>
        <v>0</v>
      </c>
      <c r="AD1308" s="708">
        <f t="shared" si="442"/>
        <v>0</v>
      </c>
      <c r="AE1308" s="708">
        <f t="shared" si="442"/>
        <v>0</v>
      </c>
      <c r="AF1308" s="704"/>
      <c r="AG1308" s="704"/>
      <c r="AH1308" s="704"/>
      <c r="AI1308" s="704"/>
      <c r="AJ1308" s="704"/>
      <c r="AK1308" s="704"/>
      <c r="AL1308" s="704"/>
      <c r="AM1308" s="704"/>
      <c r="AN1308" s="704"/>
      <c r="AO1308" s="704"/>
    </row>
  </sheetData>
  <mergeCells count="8">
    <mergeCell ref="Q1292:U1292"/>
    <mergeCell ref="B1307:C1307"/>
    <mergeCell ref="B1286:C1286"/>
    <mergeCell ref="A1:D1"/>
    <mergeCell ref="Q1:U1"/>
    <mergeCell ref="Q3:U3"/>
    <mergeCell ref="A1290:D1290"/>
    <mergeCell ref="Q1290:U1290"/>
  </mergeCells>
  <dataValidations count="1">
    <dataValidation type="list" allowBlank="1" showInputMessage="1" showErrorMessage="1" sqref="V3:BI3 V1292:AO1292">
      <formula1>uofm</formula1>
    </dataValidation>
  </dataValidations>
  <pageMargins left="0.7" right="0.7" top="0.75" bottom="0.75" header="0.3" footer="0.3"/>
  <pageSetup orientation="portrait" horizontalDpi="4294967293"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109"/>
  <sheetViews>
    <sheetView workbookViewId="0">
      <selection activeCell="C37" sqref="C37"/>
    </sheetView>
  </sheetViews>
  <sheetFormatPr baseColWidth="10" defaultColWidth="8.83203125" defaultRowHeight="15" x14ac:dyDescent="0.2"/>
  <cols>
    <col min="1" max="1" width="23.5" customWidth="1"/>
    <col min="2" max="3" width="9.5" style="10" customWidth="1"/>
    <col min="5" max="5" width="8.83203125" style="10"/>
    <col min="7" max="7" width="10.6640625" customWidth="1"/>
  </cols>
  <sheetData>
    <row r="1" spans="1:9" ht="16" thickBot="1" x14ac:dyDescent="0.25"/>
    <row r="2" spans="1:9" ht="45.75" customHeight="1" x14ac:dyDescent="0.2">
      <c r="A2" s="1034" t="s">
        <v>932</v>
      </c>
      <c r="B2" s="1035" t="s">
        <v>936</v>
      </c>
      <c r="C2" s="1035" t="s">
        <v>939</v>
      </c>
      <c r="D2" s="1035" t="s">
        <v>934</v>
      </c>
      <c r="E2" s="1035" t="s">
        <v>935</v>
      </c>
      <c r="F2" s="1035" t="s">
        <v>954</v>
      </c>
      <c r="G2" s="1035" t="s">
        <v>937</v>
      </c>
      <c r="H2" s="1035" t="s">
        <v>955</v>
      </c>
      <c r="I2" s="1036" t="s">
        <v>958</v>
      </c>
    </row>
    <row r="3" spans="1:9" x14ac:dyDescent="0.2">
      <c r="A3" s="1037" t="s">
        <v>933</v>
      </c>
      <c r="B3" s="5">
        <v>4</v>
      </c>
      <c r="C3" s="5" t="s">
        <v>940</v>
      </c>
      <c r="D3" s="5">
        <v>949</v>
      </c>
      <c r="E3" s="5"/>
      <c r="F3" s="5">
        <v>6000</v>
      </c>
      <c r="G3" s="5"/>
      <c r="H3" s="112"/>
      <c r="I3" s="1038">
        <v>3800</v>
      </c>
    </row>
    <row r="4" spans="1:9" x14ac:dyDescent="0.2">
      <c r="A4" s="1037" t="s">
        <v>933</v>
      </c>
      <c r="B4" s="5">
        <v>3</v>
      </c>
      <c r="C4" s="5" t="s">
        <v>941</v>
      </c>
      <c r="D4" s="5">
        <v>1309</v>
      </c>
      <c r="E4" s="5"/>
      <c r="F4" s="5"/>
      <c r="G4" s="5">
        <v>40</v>
      </c>
      <c r="H4" s="5">
        <f>+D4</f>
        <v>1309</v>
      </c>
      <c r="I4" s="1039"/>
    </row>
    <row r="5" spans="1:9" x14ac:dyDescent="0.2">
      <c r="A5" s="1037" t="s">
        <v>933</v>
      </c>
      <c r="B5" s="5">
        <v>2</v>
      </c>
      <c r="C5" s="5" t="s">
        <v>941</v>
      </c>
      <c r="D5" s="5">
        <v>1056</v>
      </c>
      <c r="E5" s="5"/>
      <c r="F5" s="5"/>
      <c r="G5" s="5">
        <v>40</v>
      </c>
      <c r="H5" s="5">
        <f t="shared" ref="H5:H6" si="0">+D5</f>
        <v>1056</v>
      </c>
      <c r="I5" s="1039"/>
    </row>
    <row r="6" spans="1:9" x14ac:dyDescent="0.2">
      <c r="A6" s="1037" t="s">
        <v>933</v>
      </c>
      <c r="B6" s="5">
        <v>1</v>
      </c>
      <c r="C6" s="5" t="s">
        <v>941</v>
      </c>
      <c r="D6" s="5">
        <v>1370</v>
      </c>
      <c r="E6" s="5"/>
      <c r="F6" s="5"/>
      <c r="G6" s="5">
        <v>40</v>
      </c>
      <c r="H6" s="5">
        <f t="shared" si="0"/>
        <v>1370</v>
      </c>
      <c r="I6" s="1039"/>
    </row>
    <row r="7" spans="1:9" x14ac:dyDescent="0.2">
      <c r="A7" s="1037" t="s">
        <v>938</v>
      </c>
      <c r="B7" s="5">
        <v>13</v>
      </c>
      <c r="C7" s="5" t="s">
        <v>942</v>
      </c>
      <c r="D7" s="5">
        <v>808</v>
      </c>
      <c r="E7" s="5"/>
      <c r="F7" s="5"/>
      <c r="G7" s="5"/>
      <c r="H7" s="112"/>
      <c r="I7" s="1039"/>
    </row>
    <row r="8" spans="1:9" x14ac:dyDescent="0.2">
      <c r="A8" s="1037" t="s">
        <v>938</v>
      </c>
      <c r="B8" s="5">
        <v>10</v>
      </c>
      <c r="C8" s="5" t="s">
        <v>942</v>
      </c>
      <c r="D8" s="5"/>
      <c r="E8" s="5">
        <v>223</v>
      </c>
      <c r="F8" s="5"/>
      <c r="G8" s="5"/>
      <c r="H8" s="112"/>
      <c r="I8" s="1039"/>
    </row>
    <row r="9" spans="1:9" x14ac:dyDescent="0.2">
      <c r="A9" s="1037" t="s">
        <v>938</v>
      </c>
      <c r="B9" s="1040" t="s">
        <v>943</v>
      </c>
      <c r="C9" s="5" t="s">
        <v>942</v>
      </c>
      <c r="D9" s="5">
        <v>1157</v>
      </c>
      <c r="E9" s="5"/>
      <c r="F9" s="5"/>
      <c r="G9" s="5"/>
      <c r="H9" s="112"/>
      <c r="I9" s="1039"/>
    </row>
    <row r="10" spans="1:9" x14ac:dyDescent="0.2">
      <c r="A10" s="1037" t="s">
        <v>938</v>
      </c>
      <c r="B10" s="5">
        <v>8</v>
      </c>
      <c r="C10" s="5" t="s">
        <v>942</v>
      </c>
      <c r="D10" s="5"/>
      <c r="E10" s="5">
        <v>240</v>
      </c>
      <c r="F10" s="5"/>
      <c r="G10" s="112"/>
      <c r="H10" s="112"/>
      <c r="I10" s="1039"/>
    </row>
    <row r="11" spans="1:9" x14ac:dyDescent="0.2">
      <c r="A11" s="1037" t="s">
        <v>938</v>
      </c>
      <c r="B11" s="5">
        <v>7</v>
      </c>
      <c r="C11" s="5" t="s">
        <v>941</v>
      </c>
      <c r="D11" s="5">
        <v>717</v>
      </c>
      <c r="E11" s="5"/>
      <c r="F11" s="5"/>
      <c r="G11" s="5">
        <v>30</v>
      </c>
      <c r="H11" s="5">
        <f t="shared" ref="H11" si="1">+D11</f>
        <v>717</v>
      </c>
      <c r="I11" s="1038"/>
    </row>
    <row r="12" spans="1:9" x14ac:dyDescent="0.2">
      <c r="A12" s="1037" t="s">
        <v>938</v>
      </c>
      <c r="B12" s="5" t="s">
        <v>944</v>
      </c>
      <c r="C12" s="5" t="s">
        <v>945</v>
      </c>
      <c r="D12" s="5"/>
      <c r="E12" s="5">
        <v>476</v>
      </c>
      <c r="F12" s="5"/>
      <c r="G12" s="5"/>
      <c r="H12" s="5"/>
      <c r="I12" s="1038"/>
    </row>
    <row r="13" spans="1:9" x14ac:dyDescent="0.2">
      <c r="A13" s="1037" t="s">
        <v>938</v>
      </c>
      <c r="B13" s="5">
        <v>6</v>
      </c>
      <c r="C13" s="5" t="s">
        <v>941</v>
      </c>
      <c r="D13" s="5">
        <v>1011</v>
      </c>
      <c r="E13" s="5"/>
      <c r="F13" s="5"/>
      <c r="G13" s="5">
        <v>30</v>
      </c>
      <c r="H13" s="5">
        <f t="shared" ref="H13" si="2">+D13</f>
        <v>1011</v>
      </c>
      <c r="I13" s="1038"/>
    </row>
    <row r="14" spans="1:9" x14ac:dyDescent="0.2">
      <c r="A14" s="1037" t="s">
        <v>938</v>
      </c>
      <c r="B14" s="5">
        <v>3</v>
      </c>
      <c r="C14" s="5" t="s">
        <v>946</v>
      </c>
      <c r="D14" s="5"/>
      <c r="E14" s="5">
        <v>963</v>
      </c>
      <c r="F14" s="5"/>
      <c r="G14" s="5"/>
      <c r="H14" s="5"/>
      <c r="I14" s="1038"/>
    </row>
    <row r="15" spans="1:9" x14ac:dyDescent="0.2">
      <c r="A15" s="1037" t="s">
        <v>938</v>
      </c>
      <c r="B15" s="5" t="s">
        <v>947</v>
      </c>
      <c r="C15" s="5" t="s">
        <v>945</v>
      </c>
      <c r="D15" s="5"/>
      <c r="E15" s="5">
        <v>346</v>
      </c>
      <c r="F15" s="5"/>
      <c r="G15" s="5"/>
      <c r="H15" s="5"/>
      <c r="I15" s="1038"/>
    </row>
    <row r="16" spans="1:9" x14ac:dyDescent="0.2">
      <c r="A16" s="1037" t="s">
        <v>948</v>
      </c>
      <c r="B16" s="5" t="s">
        <v>949</v>
      </c>
      <c r="C16" s="5" t="s">
        <v>950</v>
      </c>
      <c r="D16" s="5"/>
      <c r="E16" s="5">
        <v>2870</v>
      </c>
      <c r="F16" s="5"/>
      <c r="G16" s="5"/>
      <c r="H16" s="5"/>
      <c r="I16" s="1038"/>
    </row>
    <row r="17" spans="1:9" x14ac:dyDescent="0.2">
      <c r="A17" s="1037" t="s">
        <v>948</v>
      </c>
      <c r="B17" s="5" t="s">
        <v>949</v>
      </c>
      <c r="C17" s="5" t="s">
        <v>950</v>
      </c>
      <c r="D17" s="5">
        <v>708</v>
      </c>
      <c r="E17" s="5"/>
      <c r="F17" s="5"/>
      <c r="G17" s="5"/>
      <c r="H17" s="5"/>
      <c r="I17" s="1038"/>
    </row>
    <row r="18" spans="1:9" x14ac:dyDescent="0.2">
      <c r="A18" s="1037" t="s">
        <v>951</v>
      </c>
      <c r="B18" s="5" t="s">
        <v>949</v>
      </c>
      <c r="C18" s="5" t="s">
        <v>950</v>
      </c>
      <c r="D18" s="5"/>
      <c r="E18" s="5">
        <v>962</v>
      </c>
      <c r="F18" s="5"/>
      <c r="G18" s="5"/>
      <c r="H18" s="5"/>
      <c r="I18" s="1038"/>
    </row>
    <row r="19" spans="1:9" s="10" customFormat="1" x14ac:dyDescent="0.2">
      <c r="A19" s="1037" t="s">
        <v>951</v>
      </c>
      <c r="B19" s="5" t="s">
        <v>949</v>
      </c>
      <c r="C19" s="5" t="s">
        <v>956</v>
      </c>
      <c r="D19" s="5">
        <v>1244</v>
      </c>
      <c r="E19" s="5"/>
      <c r="F19" s="5"/>
      <c r="G19" s="5"/>
      <c r="H19" s="5"/>
      <c r="I19" s="1038"/>
    </row>
    <row r="20" spans="1:9" x14ac:dyDescent="0.2">
      <c r="A20" s="1037" t="s">
        <v>951</v>
      </c>
      <c r="B20" s="5" t="s">
        <v>949</v>
      </c>
      <c r="C20" s="5" t="s">
        <v>950</v>
      </c>
      <c r="D20" s="5">
        <v>2415</v>
      </c>
      <c r="E20" s="5"/>
      <c r="F20" s="5"/>
      <c r="G20" s="5"/>
      <c r="H20" s="5"/>
      <c r="I20" s="1038"/>
    </row>
    <row r="21" spans="1:9" s="10" customFormat="1" x14ac:dyDescent="0.2">
      <c r="A21" s="1037" t="s">
        <v>957</v>
      </c>
      <c r="B21" s="5" t="s">
        <v>949</v>
      </c>
      <c r="C21" s="5" t="s">
        <v>956</v>
      </c>
      <c r="D21" s="5">
        <v>2308</v>
      </c>
      <c r="E21" s="5">
        <v>786</v>
      </c>
      <c r="F21" s="5"/>
      <c r="G21" s="5"/>
      <c r="H21" s="5"/>
      <c r="I21" s="1038"/>
    </row>
    <row r="22" spans="1:9" s="10" customFormat="1" x14ac:dyDescent="0.2">
      <c r="A22" s="1037"/>
      <c r="B22" s="5"/>
      <c r="C22" s="5"/>
      <c r="D22" s="5"/>
      <c r="E22" s="5"/>
      <c r="F22" s="5"/>
      <c r="G22" s="5"/>
      <c r="H22" s="5"/>
      <c r="I22" s="1038"/>
    </row>
    <row r="23" spans="1:9" ht="16" thickBot="1" x14ac:dyDescent="0.25">
      <c r="A23" s="1041"/>
      <c r="B23" s="1042"/>
      <c r="C23" s="1042"/>
      <c r="D23" s="1042">
        <f>SUM(D3:D22)-H23</f>
        <v>9589</v>
      </c>
      <c r="E23" s="1042">
        <f>SUM(E3:E22)</f>
        <v>6866</v>
      </c>
      <c r="F23" s="1042">
        <f>SUM(F3:F22)</f>
        <v>6000</v>
      </c>
      <c r="G23" s="1042">
        <f>SUM(G3:G22)</f>
        <v>180</v>
      </c>
      <c r="H23" s="1042">
        <f>SUM(H3:H22)</f>
        <v>5463</v>
      </c>
      <c r="I23" s="1043">
        <f>SUM(I3:I22)</f>
        <v>3800</v>
      </c>
    </row>
    <row r="24" spans="1:9" ht="16" thickBot="1" x14ac:dyDescent="0.25">
      <c r="A24" s="13"/>
      <c r="B24" s="13"/>
      <c r="C24" s="13"/>
      <c r="D24" s="13"/>
      <c r="E24" s="13"/>
      <c r="F24" s="13"/>
      <c r="G24" s="13"/>
    </row>
    <row r="25" spans="1:9" ht="63" customHeight="1" x14ac:dyDescent="0.2">
      <c r="A25" s="1034" t="s">
        <v>997</v>
      </c>
      <c r="B25" s="1044" t="s">
        <v>208</v>
      </c>
      <c r="C25" s="1044" t="s">
        <v>998</v>
      </c>
      <c r="D25" s="1044" t="s">
        <v>999</v>
      </c>
      <c r="E25" s="1044" t="s">
        <v>1000</v>
      </c>
      <c r="F25" s="1044" t="s">
        <v>1001</v>
      </c>
      <c r="G25" s="1044" t="s">
        <v>1002</v>
      </c>
      <c r="H25" s="1045" t="s">
        <v>1072</v>
      </c>
      <c r="I25" s="1046"/>
    </row>
    <row r="26" spans="1:9" x14ac:dyDescent="0.2">
      <c r="A26" s="1037">
        <v>11</v>
      </c>
      <c r="B26" s="5">
        <v>31</v>
      </c>
      <c r="C26" s="5"/>
      <c r="D26" s="5">
        <f>+C26*B26</f>
        <v>0</v>
      </c>
      <c r="E26" s="5">
        <v>6</v>
      </c>
      <c r="F26" s="5">
        <f>+E26*B26</f>
        <v>186</v>
      </c>
      <c r="G26" s="5"/>
      <c r="H26" s="5">
        <v>4.5</v>
      </c>
      <c r="I26" s="1039"/>
    </row>
    <row r="27" spans="1:9" x14ac:dyDescent="0.2">
      <c r="A27" s="1037">
        <v>12</v>
      </c>
      <c r="B27" s="5">
        <v>51</v>
      </c>
      <c r="C27" s="5">
        <v>10</v>
      </c>
      <c r="D27" s="5">
        <f>+C27*B27+480</f>
        <v>990</v>
      </c>
      <c r="E27" s="5">
        <v>2</v>
      </c>
      <c r="F27" s="5">
        <f t="shared" ref="F27:F49" si="3">+E27*B27</f>
        <v>102</v>
      </c>
      <c r="G27" s="5"/>
      <c r="H27" s="112"/>
      <c r="I27" s="1039"/>
    </row>
    <row r="28" spans="1:9" s="10" customFormat="1" x14ac:dyDescent="0.2">
      <c r="A28" s="1037">
        <v>20</v>
      </c>
      <c r="B28" s="5">
        <f>+B33</f>
        <v>60</v>
      </c>
      <c r="C28" s="5">
        <f t="shared" ref="C28:F28" si="4">+C33</f>
        <v>6</v>
      </c>
      <c r="D28" s="5">
        <f t="shared" si="4"/>
        <v>360</v>
      </c>
      <c r="E28" s="5">
        <f t="shared" si="4"/>
        <v>2</v>
      </c>
      <c r="F28" s="5">
        <f t="shared" si="4"/>
        <v>120</v>
      </c>
      <c r="G28" s="5"/>
      <c r="H28" s="112"/>
      <c r="I28" s="1039"/>
    </row>
    <row r="29" spans="1:9" x14ac:dyDescent="0.2">
      <c r="A29" s="1037">
        <v>21</v>
      </c>
      <c r="B29" s="5">
        <v>105</v>
      </c>
      <c r="C29" s="5">
        <v>6</v>
      </c>
      <c r="D29" s="5">
        <f t="shared" ref="D29:D49" si="5">+C29*B29</f>
        <v>630</v>
      </c>
      <c r="E29" s="5">
        <v>2</v>
      </c>
      <c r="F29" s="5">
        <f t="shared" si="3"/>
        <v>210</v>
      </c>
      <c r="G29" s="5"/>
      <c r="H29" s="112"/>
      <c r="I29" s="1039"/>
    </row>
    <row r="30" spans="1:9" x14ac:dyDescent="0.2">
      <c r="A30" s="1037">
        <v>23</v>
      </c>
      <c r="B30" s="5">
        <v>52</v>
      </c>
      <c r="C30" s="5">
        <v>6</v>
      </c>
      <c r="D30" s="5">
        <f t="shared" si="5"/>
        <v>312</v>
      </c>
      <c r="E30" s="5">
        <v>0</v>
      </c>
      <c r="F30" s="5">
        <f t="shared" si="3"/>
        <v>0</v>
      </c>
      <c r="G30" s="5"/>
      <c r="H30" s="112"/>
      <c r="I30" s="1039"/>
    </row>
    <row r="31" spans="1:9" s="10" customFormat="1" x14ac:dyDescent="0.2">
      <c r="A31" s="1037">
        <v>24</v>
      </c>
      <c r="B31" s="5">
        <f>+B29</f>
        <v>105</v>
      </c>
      <c r="C31" s="5">
        <f t="shared" ref="C31:F31" si="6">+C29</f>
        <v>6</v>
      </c>
      <c r="D31" s="5">
        <f t="shared" si="6"/>
        <v>630</v>
      </c>
      <c r="E31" s="5">
        <f t="shared" si="6"/>
        <v>2</v>
      </c>
      <c r="F31" s="5">
        <f t="shared" si="6"/>
        <v>210</v>
      </c>
      <c r="G31" s="5"/>
      <c r="H31" s="112"/>
      <c r="I31" s="1039"/>
    </row>
    <row r="32" spans="1:9" x14ac:dyDescent="0.2">
      <c r="A32" s="1037">
        <v>26</v>
      </c>
      <c r="B32" s="5">
        <v>60</v>
      </c>
      <c r="C32" s="5">
        <v>6</v>
      </c>
      <c r="D32" s="5">
        <f t="shared" si="5"/>
        <v>360</v>
      </c>
      <c r="E32" s="5"/>
      <c r="F32" s="5">
        <f t="shared" si="3"/>
        <v>0</v>
      </c>
      <c r="G32" s="5"/>
      <c r="H32" s="112"/>
      <c r="I32" s="1039"/>
    </row>
    <row r="33" spans="1:9" s="10" customFormat="1" x14ac:dyDescent="0.2">
      <c r="A33" s="1037">
        <v>28</v>
      </c>
      <c r="B33" s="5">
        <f>+B35</f>
        <v>60</v>
      </c>
      <c r="C33" s="5">
        <f t="shared" ref="C33:F33" si="7">+C35</f>
        <v>6</v>
      </c>
      <c r="D33" s="5">
        <f t="shared" si="7"/>
        <v>360</v>
      </c>
      <c r="E33" s="5">
        <f t="shared" si="7"/>
        <v>2</v>
      </c>
      <c r="F33" s="5">
        <f t="shared" si="7"/>
        <v>120</v>
      </c>
      <c r="G33" s="5"/>
      <c r="H33" s="112"/>
      <c r="I33" s="1039"/>
    </row>
    <row r="34" spans="1:9" x14ac:dyDescent="0.2">
      <c r="A34" s="1037">
        <v>29</v>
      </c>
      <c r="B34" s="5">
        <v>30</v>
      </c>
      <c r="C34" s="5">
        <v>6</v>
      </c>
      <c r="D34" s="5">
        <f t="shared" si="5"/>
        <v>180</v>
      </c>
      <c r="E34" s="5">
        <v>2</v>
      </c>
      <c r="F34" s="5">
        <f t="shared" si="3"/>
        <v>60</v>
      </c>
      <c r="G34" s="5"/>
      <c r="H34" s="5"/>
      <c r="I34" s="1038"/>
    </row>
    <row r="35" spans="1:9" s="10" customFormat="1" x14ac:dyDescent="0.2">
      <c r="A35" s="1037">
        <v>31</v>
      </c>
      <c r="B35" s="5">
        <v>60</v>
      </c>
      <c r="C35" s="5">
        <v>6</v>
      </c>
      <c r="D35" s="5">
        <f t="shared" ref="D35:D42" si="8">+C35*B35</f>
        <v>360</v>
      </c>
      <c r="E35" s="5">
        <v>2</v>
      </c>
      <c r="F35" s="5">
        <f t="shared" ref="F35:F42" si="9">+E35*B35</f>
        <v>120</v>
      </c>
      <c r="G35" s="5"/>
      <c r="H35" s="5"/>
      <c r="I35" s="1038"/>
    </row>
    <row r="36" spans="1:9" s="10" customFormat="1" x14ac:dyDescent="0.2">
      <c r="A36" s="1037">
        <v>1</v>
      </c>
      <c r="B36" s="5">
        <v>305</v>
      </c>
      <c r="C36" s="5">
        <v>13</v>
      </c>
      <c r="D36" s="5">
        <f t="shared" si="8"/>
        <v>3965</v>
      </c>
      <c r="E36" s="5">
        <v>2</v>
      </c>
      <c r="F36" s="5">
        <f t="shared" si="9"/>
        <v>610</v>
      </c>
      <c r="G36" s="5"/>
      <c r="H36" s="5">
        <f>+B36*$H$26</f>
        <v>1372.5</v>
      </c>
      <c r="I36" s="1038"/>
    </row>
    <row r="37" spans="1:9" s="10" customFormat="1" x14ac:dyDescent="0.2">
      <c r="A37" s="1037">
        <v>2</v>
      </c>
      <c r="B37" s="5">
        <v>264</v>
      </c>
      <c r="C37" s="5">
        <v>13</v>
      </c>
      <c r="D37" s="5">
        <f t="shared" si="8"/>
        <v>3432</v>
      </c>
      <c r="E37" s="5">
        <v>2</v>
      </c>
      <c r="F37" s="5">
        <f t="shared" si="9"/>
        <v>528</v>
      </c>
      <c r="G37" s="5"/>
      <c r="H37" s="5">
        <f t="shared" ref="H37:H46" si="10">+B37*$H$26</f>
        <v>1188</v>
      </c>
      <c r="I37" s="1038"/>
    </row>
    <row r="38" spans="1:9" s="10" customFormat="1" x14ac:dyDescent="0.2">
      <c r="A38" s="1037">
        <v>3</v>
      </c>
      <c r="B38" s="5">
        <v>260</v>
      </c>
      <c r="C38" s="5">
        <v>13</v>
      </c>
      <c r="D38" s="5">
        <f t="shared" si="8"/>
        <v>3380</v>
      </c>
      <c r="E38" s="5">
        <v>2</v>
      </c>
      <c r="F38" s="5">
        <f t="shared" si="9"/>
        <v>520</v>
      </c>
      <c r="G38" s="5"/>
      <c r="H38" s="5">
        <f t="shared" si="10"/>
        <v>1170</v>
      </c>
      <c r="I38" s="1038"/>
    </row>
    <row r="39" spans="1:9" s="10" customFormat="1" x14ac:dyDescent="0.2">
      <c r="A39" s="1037">
        <v>4</v>
      </c>
      <c r="B39" s="5">
        <v>268</v>
      </c>
      <c r="C39" s="5">
        <v>13</v>
      </c>
      <c r="D39" s="5">
        <f t="shared" si="8"/>
        <v>3484</v>
      </c>
      <c r="E39" s="5">
        <v>2</v>
      </c>
      <c r="F39" s="5">
        <f t="shared" si="9"/>
        <v>536</v>
      </c>
      <c r="G39" s="5"/>
      <c r="H39" s="5">
        <f t="shared" si="10"/>
        <v>1206</v>
      </c>
      <c r="I39" s="1038"/>
    </row>
    <row r="40" spans="1:9" s="10" customFormat="1" x14ac:dyDescent="0.2">
      <c r="A40" s="1037" t="s">
        <v>1003</v>
      </c>
      <c r="B40" s="5">
        <v>78</v>
      </c>
      <c r="C40" s="5">
        <v>13</v>
      </c>
      <c r="D40" s="5">
        <f t="shared" si="8"/>
        <v>1014</v>
      </c>
      <c r="E40" s="5">
        <v>2</v>
      </c>
      <c r="F40" s="5">
        <f t="shared" si="9"/>
        <v>156</v>
      </c>
      <c r="G40" s="5"/>
      <c r="H40" s="5">
        <f t="shared" si="10"/>
        <v>351</v>
      </c>
      <c r="I40" s="1038"/>
    </row>
    <row r="41" spans="1:9" s="10" customFormat="1" x14ac:dyDescent="0.2">
      <c r="A41" s="1037" t="s">
        <v>1004</v>
      </c>
      <c r="B41" s="5">
        <v>138</v>
      </c>
      <c r="C41" s="5">
        <v>13</v>
      </c>
      <c r="D41" s="5">
        <f t="shared" si="8"/>
        <v>1794</v>
      </c>
      <c r="E41" s="5">
        <v>2</v>
      </c>
      <c r="F41" s="5">
        <f t="shared" si="9"/>
        <v>276</v>
      </c>
      <c r="G41" s="5"/>
      <c r="H41" s="5">
        <f t="shared" si="10"/>
        <v>621</v>
      </c>
      <c r="I41" s="1038"/>
    </row>
    <row r="42" spans="1:9" s="10" customFormat="1" x14ac:dyDescent="0.2">
      <c r="A42" s="1037">
        <v>6</v>
      </c>
      <c r="B42" s="5">
        <v>515</v>
      </c>
      <c r="C42" s="5">
        <v>13</v>
      </c>
      <c r="D42" s="5">
        <f t="shared" si="8"/>
        <v>6695</v>
      </c>
      <c r="E42" s="5">
        <v>2</v>
      </c>
      <c r="F42" s="5">
        <f t="shared" si="9"/>
        <v>1030</v>
      </c>
      <c r="G42" s="5"/>
      <c r="H42" s="5">
        <f t="shared" si="10"/>
        <v>2317.5</v>
      </c>
      <c r="I42" s="1038"/>
    </row>
    <row r="43" spans="1:9" ht="409.6" x14ac:dyDescent="0.2">
      <c r="A43" s="1037">
        <v>7</v>
      </c>
      <c r="B43" s="5">
        <v>498</v>
      </c>
      <c r="C43" s="5">
        <v>13</v>
      </c>
      <c r="D43" s="5">
        <f t="shared" si="5"/>
        <v>6474</v>
      </c>
      <c r="E43" s="5">
        <v>2</v>
      </c>
      <c r="F43" s="5">
        <f t="shared" si="3"/>
        <v>996</v>
      </c>
      <c r="G43" s="5"/>
      <c r="H43" s="5">
        <f t="shared" si="10"/>
        <v>2241</v>
      </c>
      <c r="I43" s="1038"/>
    </row>
    <row r="44" spans="1:9" s="10" customFormat="1" ht="409.6" x14ac:dyDescent="0.2">
      <c r="A44" s="1037">
        <v>8</v>
      </c>
      <c r="B44" s="5">
        <v>180</v>
      </c>
      <c r="C44" s="5">
        <v>13</v>
      </c>
      <c r="D44" s="5">
        <f t="shared" ref="D44:D48" si="11">+C44*B44</f>
        <v>2340</v>
      </c>
      <c r="E44" s="5">
        <v>2</v>
      </c>
      <c r="F44" s="5">
        <f t="shared" ref="F44:F48" si="12">+E44*B44</f>
        <v>360</v>
      </c>
      <c r="G44" s="5"/>
      <c r="H44" s="5">
        <f t="shared" si="10"/>
        <v>810</v>
      </c>
      <c r="I44" s="1038"/>
    </row>
    <row r="45" spans="1:9" s="10" customFormat="1" ht="409.6" x14ac:dyDescent="0.2">
      <c r="A45" s="1037">
        <v>9</v>
      </c>
      <c r="B45" s="5">
        <v>158</v>
      </c>
      <c r="C45" s="5">
        <v>13</v>
      </c>
      <c r="D45" s="5">
        <f t="shared" si="11"/>
        <v>2054</v>
      </c>
      <c r="E45" s="5">
        <v>2</v>
      </c>
      <c r="F45" s="5">
        <f t="shared" si="12"/>
        <v>316</v>
      </c>
      <c r="G45" s="5"/>
      <c r="H45" s="5">
        <f t="shared" si="10"/>
        <v>711</v>
      </c>
      <c r="I45" s="1038"/>
    </row>
    <row r="46" spans="1:9" s="10" customFormat="1" ht="409.6" x14ac:dyDescent="0.2">
      <c r="A46" s="1037">
        <v>10</v>
      </c>
      <c r="B46" s="5">
        <v>196</v>
      </c>
      <c r="C46" s="5">
        <v>13</v>
      </c>
      <c r="D46" s="5">
        <f t="shared" si="11"/>
        <v>2548</v>
      </c>
      <c r="E46" s="5">
        <v>2</v>
      </c>
      <c r="F46" s="5">
        <f t="shared" si="12"/>
        <v>392</v>
      </c>
      <c r="G46" s="5"/>
      <c r="H46" s="5">
        <f t="shared" si="10"/>
        <v>882</v>
      </c>
      <c r="I46" s="1038"/>
    </row>
    <row r="47" spans="1:9" s="10" customFormat="1" ht="409.6" x14ac:dyDescent="0.2">
      <c r="A47" s="1037"/>
      <c r="B47" s="5"/>
      <c r="C47" s="5"/>
      <c r="D47" s="5">
        <f t="shared" si="11"/>
        <v>0</v>
      </c>
      <c r="E47" s="5"/>
      <c r="F47" s="5">
        <f t="shared" si="12"/>
        <v>0</v>
      </c>
      <c r="G47" s="5"/>
      <c r="H47" s="5"/>
      <c r="I47" s="1038"/>
    </row>
    <row r="48" spans="1:9" s="10" customFormat="1" ht="409.6" x14ac:dyDescent="0.2">
      <c r="A48" s="1037"/>
      <c r="B48" s="5"/>
      <c r="C48" s="5"/>
      <c r="D48" s="5">
        <f t="shared" si="11"/>
        <v>0</v>
      </c>
      <c r="E48" s="5"/>
      <c r="F48" s="5">
        <f t="shared" si="12"/>
        <v>0</v>
      </c>
      <c r="G48" s="5"/>
      <c r="H48" s="5"/>
      <c r="I48" s="1038"/>
    </row>
    <row r="49" spans="1:16" ht="409.6" x14ac:dyDescent="0.2">
      <c r="A49" s="1037"/>
      <c r="B49" s="5"/>
      <c r="C49" s="5"/>
      <c r="D49" s="5">
        <f t="shared" si="5"/>
        <v>0</v>
      </c>
      <c r="E49" s="5"/>
      <c r="F49" s="5">
        <f t="shared" si="3"/>
        <v>0</v>
      </c>
      <c r="G49" s="5"/>
      <c r="H49" s="5"/>
      <c r="I49" s="1038"/>
    </row>
    <row r="50" spans="1:16" ht="16" thickBot="1" x14ac:dyDescent="0.25">
      <c r="A50" s="1047"/>
      <c r="B50" s="1048"/>
      <c r="C50" s="1048"/>
      <c r="D50" s="1048">
        <f>SUM(D26:D49)</f>
        <v>41362</v>
      </c>
      <c r="E50" s="1048"/>
      <c r="F50" s="1048">
        <f>SUM(F26:F49)</f>
        <v>6848</v>
      </c>
      <c r="G50" s="1048"/>
      <c r="H50" s="1048">
        <f>SUM(H36:H49)</f>
        <v>12870</v>
      </c>
      <c r="I50" s="1049"/>
    </row>
    <row r="51" spans="1:16" ht="16" thickBot="1" x14ac:dyDescent="0.25"/>
    <row r="52" spans="1:16" ht="62.25" customHeight="1" x14ac:dyDescent="0.2">
      <c r="A52" s="1051" t="s">
        <v>1027</v>
      </c>
      <c r="B52" s="1044" t="s">
        <v>1029</v>
      </c>
      <c r="C52" s="1044" t="s">
        <v>1031</v>
      </c>
      <c r="D52" s="1044" t="s">
        <v>1032</v>
      </c>
      <c r="E52" s="1044" t="s">
        <v>1033</v>
      </c>
      <c r="F52" s="1044" t="s">
        <v>1030</v>
      </c>
      <c r="G52" s="1044" t="s">
        <v>1034</v>
      </c>
      <c r="H52" s="1044" t="s">
        <v>1036</v>
      </c>
      <c r="I52" s="1044" t="s">
        <v>1037</v>
      </c>
      <c r="J52" s="1044" t="s">
        <v>1034</v>
      </c>
      <c r="K52" s="1044" t="s">
        <v>1038</v>
      </c>
      <c r="L52" s="1044" t="s">
        <v>1039</v>
      </c>
      <c r="M52" s="1044" t="s">
        <v>1040</v>
      </c>
      <c r="N52" s="1044" t="s">
        <v>1041</v>
      </c>
      <c r="O52" s="1044" t="s">
        <v>1042</v>
      </c>
      <c r="P52" s="1046"/>
    </row>
    <row r="53" spans="1:16" ht="409.6" x14ac:dyDescent="0.2">
      <c r="A53" s="1037" t="s">
        <v>1028</v>
      </c>
      <c r="B53" s="5">
        <v>204</v>
      </c>
      <c r="C53" s="5">
        <v>60</v>
      </c>
      <c r="D53" s="5">
        <v>60</v>
      </c>
      <c r="E53" s="5">
        <v>90</v>
      </c>
      <c r="F53" s="5">
        <v>158</v>
      </c>
      <c r="G53" s="112"/>
      <c r="H53" s="112"/>
      <c r="I53" s="5">
        <v>108</v>
      </c>
      <c r="J53" s="5">
        <v>108</v>
      </c>
      <c r="K53" s="5">
        <v>140</v>
      </c>
      <c r="L53" s="112"/>
      <c r="M53" s="5">
        <v>300</v>
      </c>
      <c r="N53" s="5">
        <v>108</v>
      </c>
      <c r="O53" s="112"/>
      <c r="P53" s="1039"/>
    </row>
    <row r="54" spans="1:16" ht="409.6" x14ac:dyDescent="0.2">
      <c r="A54" s="1037"/>
      <c r="B54" s="5"/>
      <c r="C54" s="5"/>
      <c r="D54" s="5"/>
      <c r="E54" s="5"/>
      <c r="F54" s="5"/>
      <c r="G54" s="5"/>
      <c r="H54" s="5"/>
      <c r="I54" s="5"/>
      <c r="J54" s="5"/>
      <c r="K54" s="5"/>
      <c r="L54" s="5"/>
      <c r="M54" s="5"/>
      <c r="N54" s="112"/>
      <c r="O54" s="112"/>
      <c r="P54" s="1039"/>
    </row>
    <row r="55" spans="1:16" ht="409.6" x14ac:dyDescent="0.2">
      <c r="A55" s="1037" t="s">
        <v>1035</v>
      </c>
      <c r="B55" s="5"/>
      <c r="C55" s="5"/>
      <c r="D55" s="5"/>
      <c r="E55" s="5"/>
      <c r="F55" s="5"/>
      <c r="G55" s="5"/>
      <c r="H55" s="5">
        <v>80</v>
      </c>
      <c r="I55" s="5">
        <v>54</v>
      </c>
      <c r="J55" s="5">
        <v>54</v>
      </c>
      <c r="K55" s="5">
        <v>54</v>
      </c>
      <c r="L55" s="5">
        <v>152</v>
      </c>
      <c r="M55" s="5"/>
      <c r="N55" s="112"/>
      <c r="O55" s="5">
        <v>108</v>
      </c>
      <c r="P55" s="1039"/>
    </row>
    <row r="56" spans="1:16" ht="409.6" x14ac:dyDescent="0.2">
      <c r="A56" s="1037"/>
      <c r="B56" s="5"/>
      <c r="C56" s="5"/>
      <c r="D56" s="5"/>
      <c r="E56" s="5"/>
      <c r="F56" s="5"/>
      <c r="G56" s="5"/>
      <c r="H56" s="5">
        <v>150</v>
      </c>
      <c r="I56" s="5"/>
      <c r="J56" s="5"/>
      <c r="K56" s="5">
        <v>76</v>
      </c>
      <c r="L56" s="5"/>
      <c r="M56" s="5"/>
      <c r="N56" s="112"/>
      <c r="O56" s="112"/>
      <c r="P56" s="1039"/>
    </row>
    <row r="57" spans="1:16" ht="409.6" x14ac:dyDescent="0.2">
      <c r="A57" s="1037"/>
      <c r="B57" s="5"/>
      <c r="C57" s="5"/>
      <c r="D57" s="5"/>
      <c r="E57" s="5"/>
      <c r="F57" s="5"/>
      <c r="G57" s="5"/>
      <c r="H57" s="5"/>
      <c r="I57" s="5"/>
      <c r="J57" s="5"/>
      <c r="K57" s="5"/>
      <c r="L57" s="5"/>
      <c r="M57" s="5"/>
      <c r="N57" s="112"/>
      <c r="O57" s="112"/>
      <c r="P57" s="1039"/>
    </row>
    <row r="58" spans="1:16" ht="409.6" x14ac:dyDescent="0.2">
      <c r="A58" s="1037"/>
      <c r="B58" s="5"/>
      <c r="C58" s="5"/>
      <c r="D58" s="5"/>
      <c r="E58" s="5"/>
      <c r="F58" s="5"/>
      <c r="G58" s="5"/>
      <c r="H58" s="5"/>
      <c r="I58" s="5"/>
      <c r="J58" s="5"/>
      <c r="K58" s="5"/>
      <c r="L58" s="5"/>
      <c r="M58" s="5"/>
      <c r="N58" s="112"/>
      <c r="O58" s="112"/>
      <c r="P58" s="1039"/>
    </row>
    <row r="59" spans="1:16" ht="409.6" x14ac:dyDescent="0.2">
      <c r="A59" s="1054"/>
      <c r="B59" s="4">
        <f>SUM(B53:B58)</f>
        <v>204</v>
      </c>
      <c r="C59" s="4">
        <f t="shared" ref="C59:P59" si="13">SUM(C53:C58)</f>
        <v>60</v>
      </c>
      <c r="D59" s="4">
        <f t="shared" si="13"/>
        <v>60</v>
      </c>
      <c r="E59" s="4">
        <f t="shared" si="13"/>
        <v>90</v>
      </c>
      <c r="F59" s="4">
        <f t="shared" si="13"/>
        <v>158</v>
      </c>
      <c r="G59" s="4">
        <f t="shared" si="13"/>
        <v>0</v>
      </c>
      <c r="H59" s="4">
        <f t="shared" si="13"/>
        <v>230</v>
      </c>
      <c r="I59" s="4">
        <f t="shared" si="13"/>
        <v>162</v>
      </c>
      <c r="J59" s="4">
        <f t="shared" si="13"/>
        <v>162</v>
      </c>
      <c r="K59" s="4">
        <f t="shared" si="13"/>
        <v>270</v>
      </c>
      <c r="L59" s="4">
        <f t="shared" si="13"/>
        <v>152</v>
      </c>
      <c r="M59" s="4">
        <f t="shared" si="13"/>
        <v>300</v>
      </c>
      <c r="N59" s="4">
        <f t="shared" si="13"/>
        <v>108</v>
      </c>
      <c r="O59" s="4">
        <f t="shared" si="13"/>
        <v>108</v>
      </c>
      <c r="P59" s="4">
        <f t="shared" si="13"/>
        <v>0</v>
      </c>
    </row>
    <row r="60" spans="1:16" ht="409.6" x14ac:dyDescent="0.2">
      <c r="A60" s="1052" t="s">
        <v>1043</v>
      </c>
      <c r="B60" s="5">
        <v>3</v>
      </c>
      <c r="C60" s="5">
        <v>3</v>
      </c>
      <c r="D60" s="5">
        <v>3.33</v>
      </c>
      <c r="E60" s="5">
        <v>4</v>
      </c>
      <c r="F60" s="5">
        <v>3.32</v>
      </c>
      <c r="G60" s="5">
        <v>4.67</v>
      </c>
      <c r="H60" s="5">
        <v>2.67</v>
      </c>
      <c r="I60" s="5">
        <v>4</v>
      </c>
      <c r="J60" s="5">
        <v>4.67</v>
      </c>
      <c r="K60" s="5">
        <v>3.33</v>
      </c>
      <c r="L60" s="5">
        <v>5.98</v>
      </c>
      <c r="M60" s="5">
        <v>6.44</v>
      </c>
      <c r="N60" s="5">
        <v>5.33</v>
      </c>
      <c r="O60" s="5">
        <v>2.67</v>
      </c>
      <c r="P60" s="1039"/>
    </row>
    <row r="61" spans="1:16" ht="16" thickBot="1" x14ac:dyDescent="0.25">
      <c r="A61" s="1053" t="s">
        <v>1044</v>
      </c>
      <c r="B61" s="1042">
        <f>+B59*B60</f>
        <v>612</v>
      </c>
      <c r="C61" s="1042">
        <f t="shared" ref="C61:P61" si="14">+C59*C60</f>
        <v>180</v>
      </c>
      <c r="D61" s="1042">
        <f t="shared" si="14"/>
        <v>199.8</v>
      </c>
      <c r="E61" s="1042">
        <f t="shared" si="14"/>
        <v>360</v>
      </c>
      <c r="F61" s="1042">
        <f t="shared" si="14"/>
        <v>524.55999999999995</v>
      </c>
      <c r="G61" s="1042">
        <f t="shared" si="14"/>
        <v>0</v>
      </c>
      <c r="H61" s="1042">
        <f t="shared" si="14"/>
        <v>614.1</v>
      </c>
      <c r="I61" s="1042">
        <f t="shared" si="14"/>
        <v>648</v>
      </c>
      <c r="J61" s="1042">
        <f t="shared" si="14"/>
        <v>756.54</v>
      </c>
      <c r="K61" s="1042">
        <f t="shared" si="14"/>
        <v>899.1</v>
      </c>
      <c r="L61" s="1042">
        <f t="shared" si="14"/>
        <v>908.96</v>
      </c>
      <c r="M61" s="1042">
        <f t="shared" si="14"/>
        <v>1932.0000000000002</v>
      </c>
      <c r="N61" s="1042">
        <f t="shared" si="14"/>
        <v>575.64</v>
      </c>
      <c r="O61" s="1042">
        <f t="shared" si="14"/>
        <v>288.36</v>
      </c>
      <c r="P61" s="1042">
        <f t="shared" si="14"/>
        <v>0</v>
      </c>
    </row>
    <row r="63" spans="1:16" ht="409.6" x14ac:dyDescent="0.2">
      <c r="A63" t="s">
        <v>1045</v>
      </c>
      <c r="C63" s="10">
        <f>SUM(B61:P61)</f>
        <v>8499.0600000000013</v>
      </c>
    </row>
    <row r="65" spans="1:13" ht="55.5" customHeight="1" x14ac:dyDescent="0.2">
      <c r="A65" s="1056" t="s">
        <v>1046</v>
      </c>
      <c r="B65" s="166" t="s">
        <v>1048</v>
      </c>
      <c r="C65" s="166" t="s">
        <v>1059</v>
      </c>
      <c r="D65" s="166" t="s">
        <v>1036</v>
      </c>
      <c r="E65" s="166" t="s">
        <v>1052</v>
      </c>
      <c r="F65" s="166"/>
      <c r="G65" s="166"/>
      <c r="H65" s="166"/>
      <c r="I65" s="166"/>
      <c r="J65" s="166"/>
      <c r="K65" s="166"/>
      <c r="L65" s="166"/>
      <c r="M65" s="166"/>
    </row>
    <row r="66" spans="1:13" ht="409.6" x14ac:dyDescent="0.2">
      <c r="A66" t="s">
        <v>1047</v>
      </c>
      <c r="B66" s="13">
        <v>1458</v>
      </c>
      <c r="C66" s="13">
        <v>54</v>
      </c>
      <c r="D66" s="13">
        <v>288</v>
      </c>
      <c r="E66" s="13">
        <v>22</v>
      </c>
    </row>
    <row r="67" spans="1:13" ht="409.6" x14ac:dyDescent="0.2">
      <c r="A67" t="s">
        <v>1049</v>
      </c>
      <c r="B67" s="13">
        <v>1390</v>
      </c>
      <c r="C67" s="13">
        <v>54</v>
      </c>
      <c r="D67" s="13">
        <v>360</v>
      </c>
      <c r="E67" s="13">
        <v>22</v>
      </c>
    </row>
    <row r="68" spans="1:13" ht="409.6" x14ac:dyDescent="0.2">
      <c r="A68" t="s">
        <v>1050</v>
      </c>
      <c r="B68" s="13">
        <v>552</v>
      </c>
      <c r="C68" s="13">
        <v>24</v>
      </c>
      <c r="D68" s="13">
        <v>144</v>
      </c>
      <c r="E68" s="13">
        <v>10</v>
      </c>
    </row>
    <row r="69" spans="1:13" ht="409.6" x14ac:dyDescent="0.2">
      <c r="A69" t="s">
        <v>1051</v>
      </c>
      <c r="B69" s="13">
        <v>552</v>
      </c>
      <c r="C69" s="13">
        <v>22</v>
      </c>
      <c r="D69" s="13">
        <v>144</v>
      </c>
      <c r="E69" s="13">
        <v>10</v>
      </c>
    </row>
    <row r="70" spans="1:13" ht="409.6" x14ac:dyDescent="0.2">
      <c r="A70" t="s">
        <v>1053</v>
      </c>
      <c r="B70" s="13">
        <v>1152</v>
      </c>
      <c r="C70" s="13">
        <v>46</v>
      </c>
      <c r="D70" s="13">
        <v>288</v>
      </c>
      <c r="E70" s="13">
        <v>16</v>
      </c>
    </row>
    <row r="71" spans="1:13" ht="409.6" x14ac:dyDescent="0.2">
      <c r="A71" t="s">
        <v>1054</v>
      </c>
      <c r="B71" s="13">
        <v>396</v>
      </c>
      <c r="C71" s="13">
        <v>16</v>
      </c>
      <c r="D71" s="13">
        <v>72</v>
      </c>
      <c r="E71" s="13">
        <v>8</v>
      </c>
    </row>
    <row r="72" spans="1:13" ht="409.6" x14ac:dyDescent="0.2">
      <c r="A72" t="s">
        <v>1055</v>
      </c>
      <c r="B72" s="13">
        <v>1020</v>
      </c>
      <c r="C72" s="13">
        <v>40</v>
      </c>
      <c r="D72" s="13">
        <v>288</v>
      </c>
      <c r="E72" s="13">
        <v>16</v>
      </c>
    </row>
    <row r="73" spans="1:13" s="10" customFormat="1" ht="409.6" x14ac:dyDescent="0.2">
      <c r="A73" s="10" t="s">
        <v>1056</v>
      </c>
      <c r="B73" s="13">
        <v>1020</v>
      </c>
      <c r="C73" s="13">
        <v>40</v>
      </c>
      <c r="D73" s="13">
        <v>288</v>
      </c>
      <c r="E73" s="13">
        <v>16</v>
      </c>
    </row>
    <row r="74" spans="1:13" s="10" customFormat="1" ht="409.6" x14ac:dyDescent="0.2">
      <c r="A74" s="10" t="s">
        <v>1057</v>
      </c>
      <c r="B74" s="13">
        <v>600</v>
      </c>
      <c r="E74" s="13">
        <v>18</v>
      </c>
    </row>
    <row r="75" spans="1:13" s="10" customFormat="1" ht="409.6" x14ac:dyDescent="0.2">
      <c r="A75" s="10" t="s">
        <v>1058</v>
      </c>
      <c r="B75" s="13">
        <v>352</v>
      </c>
      <c r="C75" s="13">
        <v>24</v>
      </c>
      <c r="D75" s="13">
        <v>144</v>
      </c>
      <c r="E75" s="13">
        <v>8</v>
      </c>
    </row>
    <row r="76" spans="1:13" s="10" customFormat="1" ht="409.6" x14ac:dyDescent="0.2">
      <c r="B76" s="13"/>
    </row>
    <row r="78" spans="1:13" ht="409.6" x14ac:dyDescent="0.2">
      <c r="A78" s="31"/>
      <c r="B78" s="17">
        <f>SUM(B66:B77)*3</f>
        <v>25476</v>
      </c>
      <c r="C78" s="17">
        <f>SUM(C66:C77)*14</f>
        <v>4480</v>
      </c>
      <c r="D78" s="17">
        <f>SUM(D66:D77)*2</f>
        <v>4032</v>
      </c>
      <c r="E78" s="17">
        <f>SUM(E66:E77)*14</f>
        <v>2044</v>
      </c>
      <c r="F78" s="17">
        <f t="shared" ref="F78" si="15">SUM(F66:F77)</f>
        <v>0</v>
      </c>
    </row>
    <row r="79" spans="1:13" ht="409.6" x14ac:dyDescent="0.2">
      <c r="B79" s="13">
        <v>4.12</v>
      </c>
      <c r="C79" s="13">
        <v>1.63</v>
      </c>
      <c r="D79" s="13">
        <v>2.67</v>
      </c>
    </row>
    <row r="80" spans="1:13" ht="409.6" x14ac:dyDescent="0.2">
      <c r="A80" s="31"/>
      <c r="B80" s="17">
        <f>+B79*B78</f>
        <v>104961.12000000001</v>
      </c>
      <c r="C80" s="17">
        <f t="shared" ref="C80:F80" si="16">+C79*C78</f>
        <v>7302.4</v>
      </c>
      <c r="D80" s="17">
        <f t="shared" si="16"/>
        <v>10765.44</v>
      </c>
      <c r="E80" s="17">
        <f t="shared" si="16"/>
        <v>0</v>
      </c>
      <c r="F80" s="17">
        <f t="shared" si="16"/>
        <v>0</v>
      </c>
    </row>
    <row r="82" spans="1:8" ht="409.6" x14ac:dyDescent="0.2">
      <c r="A82" t="s">
        <v>1060</v>
      </c>
      <c r="C82" s="13">
        <f>SUM(B80:D80)</f>
        <v>123028.96</v>
      </c>
    </row>
    <row r="85" spans="1:8" ht="58.5" customHeight="1" x14ac:dyDescent="0.2">
      <c r="A85" s="1056" t="s">
        <v>1062</v>
      </c>
      <c r="B85" s="166" t="s">
        <v>1063</v>
      </c>
      <c r="C85" s="166" t="s">
        <v>1064</v>
      </c>
      <c r="D85" s="166"/>
      <c r="E85" s="166"/>
      <c r="F85" s="166"/>
      <c r="G85" s="166"/>
    </row>
    <row r="86" spans="1:8" ht="409.6" x14ac:dyDescent="0.2">
      <c r="A86" s="13" t="s">
        <v>1065</v>
      </c>
      <c r="B86" s="13">
        <v>436</v>
      </c>
      <c r="C86" s="13">
        <v>26</v>
      </c>
      <c r="D86" s="13"/>
      <c r="E86" s="13"/>
      <c r="F86" s="13"/>
      <c r="G86" s="13"/>
      <c r="H86" s="13"/>
    </row>
    <row r="87" spans="1:8" ht="409.6" x14ac:dyDescent="0.2">
      <c r="A87" s="13" t="s">
        <v>1066</v>
      </c>
      <c r="B87" s="13">
        <v>436</v>
      </c>
      <c r="C87" s="13">
        <v>26</v>
      </c>
      <c r="D87" s="13"/>
      <c r="E87" s="13"/>
      <c r="F87" s="13"/>
      <c r="G87" s="13"/>
      <c r="H87" s="13"/>
    </row>
    <row r="88" spans="1:8" ht="409.6" x14ac:dyDescent="0.2">
      <c r="A88" s="13" t="s">
        <v>1073</v>
      </c>
      <c r="B88" s="13">
        <v>436</v>
      </c>
      <c r="C88" s="13">
        <v>26</v>
      </c>
      <c r="D88" s="13"/>
      <c r="E88" s="13"/>
      <c r="F88" s="13"/>
      <c r="G88" s="13"/>
      <c r="H88" s="13"/>
    </row>
    <row r="89" spans="1:8" ht="409.6" x14ac:dyDescent="0.2">
      <c r="A89" s="17"/>
      <c r="B89" s="17">
        <f>SUM(B86:B88)</f>
        <v>1308</v>
      </c>
      <c r="C89" s="17">
        <f>SUM(C86:C88)</f>
        <v>78</v>
      </c>
      <c r="D89" s="17">
        <f>SUM(D86:D88)</f>
        <v>0</v>
      </c>
      <c r="E89" s="13"/>
      <c r="F89" s="13"/>
      <c r="G89" s="13"/>
      <c r="H89" s="13"/>
    </row>
    <row r="90" spans="1:8" ht="409.6" x14ac:dyDescent="0.2">
      <c r="A90" s="13"/>
      <c r="B90" s="13">
        <v>2.67</v>
      </c>
      <c r="C90" s="13">
        <v>5.33</v>
      </c>
      <c r="D90" s="13"/>
      <c r="E90" s="13"/>
      <c r="F90" s="13"/>
      <c r="G90" s="13"/>
      <c r="H90" s="13"/>
    </row>
    <row r="91" spans="1:8" ht="409.6" x14ac:dyDescent="0.2">
      <c r="A91" s="17"/>
      <c r="B91" s="17">
        <f>+B89*B90</f>
        <v>3492.36</v>
      </c>
      <c r="C91" s="17">
        <f>+C89*C90</f>
        <v>415.74</v>
      </c>
      <c r="D91" s="17">
        <f>+D89*D90</f>
        <v>0</v>
      </c>
      <c r="E91" s="13"/>
      <c r="F91" s="13"/>
      <c r="G91" s="13"/>
      <c r="H91" s="13"/>
    </row>
    <row r="92" spans="1:8" ht="409.6" x14ac:dyDescent="0.2">
      <c r="A92" s="13" t="s">
        <v>1067</v>
      </c>
      <c r="B92" s="13"/>
      <c r="C92" s="13">
        <f>SUM(B91:D91)</f>
        <v>3908.1000000000004</v>
      </c>
      <c r="D92" s="13"/>
      <c r="E92" s="13"/>
      <c r="F92" s="13"/>
      <c r="G92" s="13"/>
      <c r="H92" s="13"/>
    </row>
    <row r="93" spans="1:8" ht="409.6" x14ac:dyDescent="0.2">
      <c r="A93" s="13"/>
      <c r="B93" s="13"/>
      <c r="C93" s="13"/>
      <c r="D93" s="13"/>
      <c r="E93" s="13"/>
      <c r="F93" s="13"/>
      <c r="G93" s="13"/>
      <c r="H93" s="13"/>
    </row>
    <row r="94" spans="1:8" ht="409.6" x14ac:dyDescent="0.2">
      <c r="A94" s="13"/>
      <c r="B94" s="13"/>
      <c r="C94" s="13"/>
      <c r="D94" s="13"/>
      <c r="E94" s="13"/>
      <c r="F94" s="13"/>
      <c r="G94" s="13"/>
      <c r="H94" s="13"/>
    </row>
    <row r="95" spans="1:8" ht="59.25" customHeight="1" x14ac:dyDescent="0.2">
      <c r="A95" s="13" t="s">
        <v>1077</v>
      </c>
      <c r="B95" s="166" t="s">
        <v>1052</v>
      </c>
      <c r="C95" s="166" t="s">
        <v>1079</v>
      </c>
      <c r="D95" s="166" t="s">
        <v>1080</v>
      </c>
      <c r="E95" s="166" t="s">
        <v>1082</v>
      </c>
      <c r="F95" s="166"/>
      <c r="G95" s="166"/>
      <c r="H95" s="13"/>
    </row>
    <row r="96" spans="1:8" ht="409.6" x14ac:dyDescent="0.2">
      <c r="A96" s="13" t="s">
        <v>1078</v>
      </c>
      <c r="B96" s="13">
        <v>36</v>
      </c>
      <c r="C96" s="13">
        <v>5</v>
      </c>
      <c r="D96" s="13">
        <v>3</v>
      </c>
      <c r="E96" s="13">
        <v>1.75</v>
      </c>
      <c r="F96" s="13"/>
      <c r="G96" s="13"/>
      <c r="H96" s="13"/>
    </row>
    <row r="97" spans="1:8" ht="409.6" x14ac:dyDescent="0.2">
      <c r="A97" s="13" t="s">
        <v>1081</v>
      </c>
      <c r="B97" s="13">
        <v>23</v>
      </c>
      <c r="C97" s="13">
        <v>666</v>
      </c>
      <c r="D97" s="13">
        <f>+C97</f>
        <v>666</v>
      </c>
      <c r="E97" s="13">
        <v>5552</v>
      </c>
      <c r="F97" s="13"/>
      <c r="G97" s="13"/>
      <c r="H97" s="13"/>
    </row>
    <row r="98" spans="1:8" ht="409.6" x14ac:dyDescent="0.2">
      <c r="A98" s="13"/>
      <c r="B98" s="13"/>
      <c r="C98" s="13"/>
      <c r="D98" s="13"/>
    </row>
    <row r="99" spans="1:8" ht="409.6" x14ac:dyDescent="0.2">
      <c r="A99" s="13"/>
      <c r="B99" s="13">
        <f>+B96*B97</f>
        <v>828</v>
      </c>
      <c r="C99" s="13">
        <f>+C97*C96</f>
        <v>3330</v>
      </c>
      <c r="D99" s="13">
        <f>+D96*D97</f>
        <v>1998</v>
      </c>
      <c r="E99" s="13">
        <f>+E97*E96</f>
        <v>9716</v>
      </c>
    </row>
    <row r="100" spans="1:8" ht="409.6" x14ac:dyDescent="0.2">
      <c r="A100" s="13" t="s">
        <v>1084</v>
      </c>
      <c r="B100" s="13">
        <f>SUM(B99:E99)</f>
        <v>15872</v>
      </c>
      <c r="C100" s="13"/>
      <c r="D100" s="13"/>
    </row>
    <row r="101" spans="1:8" ht="409.6" x14ac:dyDescent="0.2">
      <c r="A101" s="13"/>
      <c r="B101" s="13"/>
      <c r="C101" s="13"/>
      <c r="D101" s="13"/>
    </row>
    <row r="102" spans="1:8" ht="47.25" customHeight="1" x14ac:dyDescent="0.2">
      <c r="A102" s="13" t="s">
        <v>1091</v>
      </c>
      <c r="B102" s="166" t="s">
        <v>1052</v>
      </c>
      <c r="C102" s="166" t="s">
        <v>1079</v>
      </c>
      <c r="D102" s="166" t="s">
        <v>1093</v>
      </c>
      <c r="E102" s="166" t="s">
        <v>1094</v>
      </c>
      <c r="F102" s="166"/>
      <c r="G102" s="166"/>
    </row>
    <row r="103" spans="1:8" ht="409.6" x14ac:dyDescent="0.2">
      <c r="A103" s="13" t="s">
        <v>1089</v>
      </c>
      <c r="B103" s="13">
        <v>1.5</v>
      </c>
      <c r="C103" s="13">
        <v>3.45</v>
      </c>
      <c r="D103" s="13">
        <v>1</v>
      </c>
      <c r="E103" s="13">
        <v>0.6</v>
      </c>
    </row>
    <row r="104" spans="1:8" ht="409.6" x14ac:dyDescent="0.2">
      <c r="A104" s="13" t="s">
        <v>1090</v>
      </c>
      <c r="B104" s="13">
        <v>30</v>
      </c>
      <c r="C104" s="13">
        <v>152</v>
      </c>
      <c r="D104" s="13"/>
      <c r="E104" s="13"/>
    </row>
    <row r="105" spans="1:8" ht="409.6" x14ac:dyDescent="0.2">
      <c r="A105" s="13" t="s">
        <v>1092</v>
      </c>
      <c r="B105" s="13"/>
      <c r="C105" s="13"/>
      <c r="D105" s="13">
        <v>144</v>
      </c>
      <c r="E105" s="13">
        <v>560</v>
      </c>
    </row>
    <row r="106" spans="1:8" ht="409.6" x14ac:dyDescent="0.2">
      <c r="B106" s="13"/>
      <c r="C106" s="13"/>
      <c r="D106" s="13"/>
      <c r="E106" s="13"/>
    </row>
    <row r="107" spans="1:8" ht="409.6" x14ac:dyDescent="0.2">
      <c r="B107" s="17">
        <f>SUM(B104:B106)</f>
        <v>30</v>
      </c>
      <c r="C107" s="17">
        <f t="shared" ref="C107:E107" si="17">SUM(C104:C106)</f>
        <v>152</v>
      </c>
      <c r="D107" s="17">
        <f t="shared" si="17"/>
        <v>144</v>
      </c>
      <c r="E107" s="17">
        <f t="shared" si="17"/>
        <v>560</v>
      </c>
    </row>
    <row r="108" spans="1:8" ht="409.6" x14ac:dyDescent="0.2">
      <c r="B108" s="13">
        <f>+B103*B107</f>
        <v>45</v>
      </c>
      <c r="C108" s="13">
        <f t="shared" ref="C108:E108" si="18">+C103*C107</f>
        <v>524.4</v>
      </c>
      <c r="D108" s="13">
        <f t="shared" si="18"/>
        <v>144</v>
      </c>
      <c r="E108" s="13">
        <f t="shared" si="18"/>
        <v>336</v>
      </c>
    </row>
    <row r="109" spans="1:8" ht="409.6" x14ac:dyDescent="0.2">
      <c r="A109" t="s">
        <v>1095</v>
      </c>
      <c r="B109" s="13">
        <f>SUM(B108:F108)</f>
        <v>1049.4000000000001</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2" tint="-0.749992370372631"/>
  </sheetPr>
  <dimension ref="A1:V311"/>
  <sheetViews>
    <sheetView tabSelected="1" topLeftCell="B254" zoomScale="125" zoomScaleNormal="125" zoomScalePageLayoutView="125" workbookViewId="0">
      <selection activeCell="V261" sqref="V261"/>
    </sheetView>
  </sheetViews>
  <sheetFormatPr baseColWidth="10" defaultColWidth="11.5" defaultRowHeight="15" x14ac:dyDescent="0.2"/>
  <cols>
    <col min="1" max="1" width="11.5" style="845" hidden="1" customWidth="1"/>
    <col min="2" max="2" width="11" style="845" customWidth="1"/>
    <col min="3" max="3" width="7.1640625" style="845" customWidth="1"/>
    <col min="4" max="4" width="18" style="845" customWidth="1"/>
    <col min="5" max="5" width="6.1640625" style="845" customWidth="1"/>
    <col min="6" max="6" width="7" style="845" customWidth="1"/>
    <col min="7" max="7" width="3" style="845" customWidth="1"/>
    <col min="8" max="8" width="5.5" style="845" customWidth="1"/>
    <col min="9" max="9" width="3" style="845" customWidth="1"/>
    <col min="10" max="10" width="5.6640625" style="845" customWidth="1"/>
    <col min="11" max="14" width="6.83203125" style="845" hidden="1" customWidth="1"/>
    <col min="15" max="15" width="7.5" style="845" customWidth="1"/>
    <col min="16" max="17" width="7.6640625" style="845" customWidth="1"/>
    <col min="18" max="18" width="6.6640625" style="845" customWidth="1"/>
    <col min="19" max="19" width="9.6640625" style="845" customWidth="1"/>
    <col min="20" max="20" width="8.5" style="845" customWidth="1"/>
    <col min="21" max="16384" width="11.5" style="845"/>
  </cols>
  <sheetData>
    <row r="1" spans="1:22" ht="7.5" customHeight="1" x14ac:dyDescent="0.2"/>
    <row r="2" spans="1:22" ht="33.75" customHeight="1" x14ac:dyDescent="0.2">
      <c r="A2" s="1094" t="s">
        <v>380</v>
      </c>
      <c r="B2" s="1094"/>
      <c r="C2" s="1094"/>
      <c r="D2" s="1094"/>
      <c r="E2" s="1094"/>
      <c r="F2" s="1094"/>
      <c r="G2" s="1094"/>
      <c r="H2" s="1094"/>
      <c r="I2" s="1094"/>
      <c r="J2" s="1094"/>
      <c r="K2" s="1094"/>
      <c r="L2" s="1094"/>
      <c r="M2" s="1094"/>
      <c r="N2" s="1094"/>
      <c r="O2" s="1094"/>
      <c r="P2" s="1094"/>
      <c r="Q2" s="1094"/>
      <c r="R2" s="1094"/>
      <c r="S2" s="1094"/>
      <c r="T2" s="1094"/>
      <c r="U2" s="1094"/>
    </row>
    <row r="3" spans="1:22" ht="9" customHeight="1" x14ac:dyDescent="0.2">
      <c r="A3" s="981"/>
      <c r="B3" s="981"/>
      <c r="C3" s="981"/>
      <c r="D3" s="981"/>
      <c r="E3" s="981"/>
      <c r="F3" s="981"/>
      <c r="G3" s="981"/>
      <c r="H3" s="981"/>
      <c r="I3" s="981"/>
      <c r="J3" s="981"/>
      <c r="K3" s="981"/>
      <c r="L3" s="981"/>
      <c r="M3" s="981"/>
      <c r="N3" s="981"/>
      <c r="O3" s="981"/>
      <c r="P3" s="981"/>
      <c r="Q3" s="981"/>
      <c r="R3" s="981"/>
      <c r="S3" s="981"/>
      <c r="T3" s="981"/>
      <c r="U3" s="981"/>
    </row>
    <row r="4" spans="1:22" ht="15" customHeight="1" x14ac:dyDescent="0.2">
      <c r="A4" s="982" t="str">
        <f>+'Take Off'!V1</f>
        <v>Walls GWB</v>
      </c>
      <c r="B4" s="1093" t="str">
        <f>+A4</f>
        <v>Walls GWB</v>
      </c>
      <c r="C4" s="1093"/>
      <c r="D4" s="1093"/>
      <c r="E4" s="1093"/>
      <c r="F4" s="1093"/>
      <c r="G4" s="710">
        <f>+A5</f>
        <v>912106.5</v>
      </c>
      <c r="H4" s="711" t="str">
        <f>+A6</f>
        <v>SF</v>
      </c>
      <c r="I4" s="983"/>
      <c r="J4" s="983"/>
      <c r="K4" s="983"/>
      <c r="L4" s="983"/>
      <c r="M4" s="983"/>
      <c r="N4" s="983"/>
      <c r="O4" s="983"/>
      <c r="P4" s="983"/>
      <c r="Q4" s="983"/>
      <c r="R4" s="984"/>
      <c r="S4" s="984"/>
      <c r="T4" s="984"/>
      <c r="U4" s="984"/>
    </row>
    <row r="5" spans="1:22" ht="51.75" customHeight="1" thickBot="1" x14ac:dyDescent="0.25">
      <c r="A5" s="982">
        <f>+'Take Off'!V2</f>
        <v>912106.5</v>
      </c>
      <c r="B5" s="985" t="s">
        <v>209</v>
      </c>
      <c r="C5" s="986" t="s">
        <v>210</v>
      </c>
      <c r="D5" s="985" t="s">
        <v>211</v>
      </c>
      <c r="E5" s="986" t="s">
        <v>212</v>
      </c>
      <c r="F5" s="986" t="s">
        <v>213</v>
      </c>
      <c r="G5" s="987" t="s">
        <v>214</v>
      </c>
      <c r="H5" s="987" t="s">
        <v>215</v>
      </c>
      <c r="I5" s="987" t="s">
        <v>216</v>
      </c>
      <c r="J5" s="988" t="s">
        <v>217</v>
      </c>
      <c r="K5" s="988" t="s">
        <v>218</v>
      </c>
      <c r="L5" s="988" t="s">
        <v>219</v>
      </c>
      <c r="M5" s="988" t="s">
        <v>220</v>
      </c>
      <c r="N5" s="988" t="s">
        <v>221</v>
      </c>
      <c r="O5" s="988" t="s">
        <v>222</v>
      </c>
      <c r="P5" s="988" t="s">
        <v>223</v>
      </c>
      <c r="Q5" s="988" t="s">
        <v>213</v>
      </c>
      <c r="R5" s="988" t="s">
        <v>224</v>
      </c>
      <c r="S5" s="988" t="s">
        <v>31</v>
      </c>
      <c r="T5" s="988" t="s">
        <v>225</v>
      </c>
      <c r="U5" s="989">
        <v>1</v>
      </c>
      <c r="V5" s="990"/>
    </row>
    <row r="6" spans="1:22" ht="16" thickBot="1" x14ac:dyDescent="0.25">
      <c r="A6" s="982" t="str">
        <f>+'Take Off'!V3</f>
        <v>SF</v>
      </c>
      <c r="B6" s="712">
        <f>+A5</f>
        <v>912106.5</v>
      </c>
      <c r="C6" s="991">
        <v>700</v>
      </c>
      <c r="D6" s="992" t="s">
        <v>1011</v>
      </c>
      <c r="E6" s="993">
        <v>325</v>
      </c>
      <c r="F6" s="994">
        <v>12</v>
      </c>
      <c r="G6" s="995"/>
      <c r="H6" s="996">
        <v>40</v>
      </c>
      <c r="I6" s="995" t="s">
        <v>1013</v>
      </c>
      <c r="J6" s="712">
        <f t="shared" ref="J6:J10" si="0">IF(C6=0,0,B6/C6)</f>
        <v>1303.0092857142856</v>
      </c>
      <c r="K6" s="714">
        <f>IF($G6="x",'Labor Calc'!$E$43,'Labor Calc'!$E$31)</f>
        <v>58.06944444444445</v>
      </c>
      <c r="L6" s="714">
        <f>IF($G6="x",'Labor Calc'!$F$43,'Labor Calc'!$F$31)</f>
        <v>62.358333333333327</v>
      </c>
      <c r="M6" s="714">
        <f>IF($G6="x",'Labor Calc'!$G$43,'Labor Calc'!$G$31)</f>
        <v>65.217592592592595</v>
      </c>
      <c r="N6" s="714">
        <f t="shared" ref="N6:N10" si="1">IF(H6=40,K6,0)+IF(H6=50,L6,0)+IF(H6=60,M6,0)</f>
        <v>58.06944444444445</v>
      </c>
      <c r="O6" s="712">
        <f t="shared" ref="O6:O10" si="2">IF(E6=0,0,B6/E6)</f>
        <v>2806.4815384615385</v>
      </c>
      <c r="P6" s="715">
        <f t="shared" ref="P6:P10" si="3">+J6*N6</f>
        <v>75665.02532738095</v>
      </c>
      <c r="Q6" s="715">
        <f>(+O6*F6)/(1-'OH&amp;P'!$C$5)</f>
        <v>41577.504273504266</v>
      </c>
      <c r="R6" s="715">
        <f>IF(I6="x",(J6*'Admin Set Up'!$B$17)/(1-'OH&amp;P'!$C$5),0)</f>
        <v>3217.3068783068779</v>
      </c>
      <c r="S6" s="716">
        <f t="shared" ref="S6:S10" si="4">SUM(P6:R6)</f>
        <v>120459.83647919209</v>
      </c>
      <c r="T6" s="717">
        <f t="shared" ref="T6:T10" si="5">IF(B6=0,0,S6/B6)</f>
        <v>0.13206773165106497</v>
      </c>
      <c r="U6" s="984"/>
      <c r="V6" s="997"/>
    </row>
    <row r="7" spans="1:22" ht="16" thickBot="1" x14ac:dyDescent="0.25">
      <c r="A7" s="982"/>
      <c r="B7" s="712">
        <f>+B6</f>
        <v>912106.5</v>
      </c>
      <c r="C7" s="991">
        <v>500</v>
      </c>
      <c r="D7" s="992" t="s">
        <v>1012</v>
      </c>
      <c r="E7" s="998">
        <v>350</v>
      </c>
      <c r="F7" s="994">
        <v>15.5</v>
      </c>
      <c r="G7" s="995"/>
      <c r="H7" s="996">
        <v>40</v>
      </c>
      <c r="I7" s="995" t="s">
        <v>1013</v>
      </c>
      <c r="J7" s="712">
        <f t="shared" ref="J7" si="6">IF(C7=0,0,B7/C7)</f>
        <v>1824.213</v>
      </c>
      <c r="K7" s="714">
        <f>IF($G7="x",'Labor Calc'!$E$43,'Labor Calc'!$E$31)</f>
        <v>58.06944444444445</v>
      </c>
      <c r="L7" s="714">
        <f>IF($G7="x",'Labor Calc'!$F$43,'Labor Calc'!$F$31)</f>
        <v>62.358333333333327</v>
      </c>
      <c r="M7" s="714">
        <f>IF($G7="x",'Labor Calc'!$G$43,'Labor Calc'!$G$31)</f>
        <v>65.217592592592595</v>
      </c>
      <c r="N7" s="714">
        <f t="shared" ref="N7" si="7">IF(H7=40,K7,0)+IF(H7=50,L7,0)+IF(H7=60,M7,0)</f>
        <v>58.06944444444445</v>
      </c>
      <c r="O7" s="712">
        <f t="shared" ref="O7" si="8">IF(E7=0,0,B7/E7)</f>
        <v>2606.0185714285712</v>
      </c>
      <c r="P7" s="715">
        <f t="shared" ref="P7" si="9">+J7*N7</f>
        <v>105931.03545833334</v>
      </c>
      <c r="Q7" s="715">
        <f>(+O7*F7)/(1-'OH&amp;P'!$C$5)</f>
        <v>49868.256613756603</v>
      </c>
      <c r="R7" s="715">
        <f>IF(I7="x",(J7*'Admin Set Up'!$B$17)/(1-'OH&amp;P'!$C$5),0)</f>
        <v>4504.229629629629</v>
      </c>
      <c r="S7" s="716">
        <f t="shared" ref="S7" si="10">SUM(P7:R7)</f>
        <v>160303.52170171958</v>
      </c>
      <c r="T7" s="717">
        <f t="shared" ref="T7" si="11">IF(B7=0,0,S7/B7)</f>
        <v>0.17575088183421517</v>
      </c>
      <c r="U7" s="984"/>
      <c r="V7" s="997"/>
    </row>
    <row r="8" spans="1:22" ht="16" thickBot="1" x14ac:dyDescent="0.25">
      <c r="A8" s="982"/>
      <c r="B8" s="712">
        <f>+B7</f>
        <v>912106.5</v>
      </c>
      <c r="C8" s="991">
        <v>300</v>
      </c>
      <c r="D8" s="992" t="s">
        <v>1098</v>
      </c>
      <c r="E8" s="998">
        <v>350</v>
      </c>
      <c r="F8" s="994">
        <v>15.5</v>
      </c>
      <c r="G8" s="995"/>
      <c r="H8" s="996">
        <v>40</v>
      </c>
      <c r="I8" s="995" t="s">
        <v>1013</v>
      </c>
      <c r="J8" s="712">
        <f t="shared" ref="J8" si="12">IF(C8=0,0,B8/C8)</f>
        <v>3040.355</v>
      </c>
      <c r="K8" s="714">
        <f>IF($G8="x",'Labor Calc'!$E$43,'Labor Calc'!$E$31)</f>
        <v>58.06944444444445</v>
      </c>
      <c r="L8" s="714">
        <f>IF($G8="x",'Labor Calc'!$F$43,'Labor Calc'!$F$31)</f>
        <v>62.358333333333327</v>
      </c>
      <c r="M8" s="714">
        <f>IF($G8="x",'Labor Calc'!$G$43,'Labor Calc'!$G$31)</f>
        <v>65.217592592592595</v>
      </c>
      <c r="N8" s="714">
        <f t="shared" ref="N8" si="13">IF(H8=40,K8,0)+IF(H8=50,L8,0)+IF(H8=60,M8,0)</f>
        <v>58.06944444444445</v>
      </c>
      <c r="O8" s="712">
        <f t="shared" ref="O8" si="14">IF(E8=0,0,B8/E8)</f>
        <v>2606.0185714285712</v>
      </c>
      <c r="P8" s="715">
        <f t="shared" ref="P8" si="15">+J8*N8</f>
        <v>176551.72576388891</v>
      </c>
      <c r="Q8" s="715">
        <f>(+O8*F8)/(1-'OH&amp;P'!$C$5)</f>
        <v>49868.256613756603</v>
      </c>
      <c r="R8" s="715">
        <f>IF(I8="x",(J8*'Admin Set Up'!$B$17)/(1-'OH&amp;P'!$C$5),0)</f>
        <v>7507.049382716049</v>
      </c>
      <c r="S8" s="716">
        <f t="shared" ref="S8" si="16">SUM(P8:R8)</f>
        <v>233927.03176036154</v>
      </c>
      <c r="T8" s="717">
        <f t="shared" ref="T8" si="17">IF(B8=0,0,S8/B8)</f>
        <v>0.25646898883009994</v>
      </c>
      <c r="U8" s="984"/>
      <c r="V8" s="997"/>
    </row>
    <row r="9" spans="1:22" ht="16" thickBot="1" x14ac:dyDescent="0.25">
      <c r="A9" s="982"/>
      <c r="B9" s="712">
        <f>+B8</f>
        <v>912106.5</v>
      </c>
      <c r="C9" s="991">
        <v>1100</v>
      </c>
      <c r="D9" s="992" t="s">
        <v>1099</v>
      </c>
      <c r="E9" s="998">
        <v>600</v>
      </c>
      <c r="F9" s="994">
        <v>5</v>
      </c>
      <c r="G9" s="995"/>
      <c r="H9" s="996">
        <v>40</v>
      </c>
      <c r="I9" s="995" t="s">
        <v>1013</v>
      </c>
      <c r="J9" s="712">
        <f t="shared" ref="J9" si="18">IF(C9=0,0,B9/C9)</f>
        <v>829.18772727272733</v>
      </c>
      <c r="K9" s="714">
        <f>IF($G9="x",'Labor Calc'!$E$43,'Labor Calc'!$E$31)</f>
        <v>58.06944444444445</v>
      </c>
      <c r="L9" s="714">
        <f>IF($G9="x",'Labor Calc'!$F$43,'Labor Calc'!$F$31)</f>
        <v>62.358333333333327</v>
      </c>
      <c r="M9" s="714">
        <f>IF($G9="x",'Labor Calc'!$G$43,'Labor Calc'!$G$31)</f>
        <v>65.217592592592595</v>
      </c>
      <c r="N9" s="714">
        <f t="shared" ref="N9" si="19">IF(H9=40,K9,0)+IF(H9=50,L9,0)+IF(H9=60,M9,0)</f>
        <v>58.06944444444445</v>
      </c>
      <c r="O9" s="712">
        <f t="shared" ref="O9" si="20">IF(E9=0,0,B9/E9)</f>
        <v>1520.1775</v>
      </c>
      <c r="P9" s="715">
        <f t="shared" ref="P9" si="21">+J9*N9</f>
        <v>48150.470662878797</v>
      </c>
      <c r="Q9" s="715">
        <f>(+O9*F9)/(1-'OH&amp;P'!$C$5)</f>
        <v>9383.8117283950614</v>
      </c>
      <c r="R9" s="715">
        <f>IF(I9="x",(J9*'Admin Set Up'!$B$17)/(1-'OH&amp;P'!$C$5),0)</f>
        <v>2047.3771043771044</v>
      </c>
      <c r="S9" s="716">
        <f t="shared" ref="S9" si="22">SUM(P9:R9)</f>
        <v>59581.659495650965</v>
      </c>
      <c r="T9" s="717">
        <f t="shared" ref="T9" si="23">IF(B9=0,0,S9/B9)</f>
        <v>6.532313879536103E-2</v>
      </c>
      <c r="U9" s="984"/>
      <c r="V9" s="997"/>
    </row>
    <row r="10" spans="1:22" ht="16" hidden="1" thickBot="1" x14ac:dyDescent="0.25">
      <c r="A10" s="999"/>
      <c r="B10" s="713">
        <f>+B6</f>
        <v>912106.5</v>
      </c>
      <c r="C10" s="991"/>
      <c r="D10" s="1000"/>
      <c r="E10" s="1001"/>
      <c r="F10" s="1002"/>
      <c r="G10" s="995"/>
      <c r="H10" s="996"/>
      <c r="I10" s="995"/>
      <c r="J10" s="712">
        <f t="shared" si="0"/>
        <v>0</v>
      </c>
      <c r="K10" s="714">
        <f>IF($G10="x",'Labor Calc'!$E$43,'Labor Calc'!$E$31)</f>
        <v>58.06944444444445</v>
      </c>
      <c r="L10" s="714">
        <f>IF($G10="x",'Labor Calc'!$F$43,'Labor Calc'!$F$31)</f>
        <v>62.358333333333327</v>
      </c>
      <c r="M10" s="714">
        <f>IF($G10="x",'Labor Calc'!$G$43,'Labor Calc'!$G$31)</f>
        <v>65.217592592592595</v>
      </c>
      <c r="N10" s="714">
        <f t="shared" si="1"/>
        <v>0</v>
      </c>
      <c r="O10" s="712">
        <f t="shared" si="2"/>
        <v>0</v>
      </c>
      <c r="P10" s="715">
        <f t="shared" si="3"/>
        <v>0</v>
      </c>
      <c r="Q10" s="715">
        <f>(+O10*F10)/(1-'OH&amp;P'!$C$5)</f>
        <v>0</v>
      </c>
      <c r="R10" s="715">
        <f>IF(I10="x",(J10*'Admin Set Up'!$B$17)/(1-'OH&amp;P'!$C$5),0)</f>
        <v>0</v>
      </c>
      <c r="S10" s="716">
        <f t="shared" si="4"/>
        <v>0</v>
      </c>
      <c r="T10" s="717">
        <f t="shared" si="5"/>
        <v>0</v>
      </c>
      <c r="U10" s="984"/>
    </row>
    <row r="11" spans="1:22" ht="16" thickBot="1" x14ac:dyDescent="0.25">
      <c r="A11" s="1003"/>
      <c r="B11" s="1004" t="s">
        <v>226</v>
      </c>
      <c r="C11" s="719"/>
      <c r="D11" s="1005" t="s">
        <v>227</v>
      </c>
      <c r="E11" s="1006"/>
      <c r="F11" s="1006"/>
      <c r="G11" s="1092" t="s">
        <v>101</v>
      </c>
      <c r="H11" s="1092"/>
      <c r="I11" s="1092"/>
      <c r="J11" s="718">
        <f>SUM(J6:J10)</f>
        <v>6996.7650129870126</v>
      </c>
      <c r="K11" s="719"/>
      <c r="L11" s="719"/>
      <c r="M11" s="719"/>
      <c r="N11" s="719"/>
      <c r="O11" s="720">
        <f t="shared" ref="O11:T11" si="24">SUM(O6:O10)</f>
        <v>9538.6961813186808</v>
      </c>
      <c r="P11" s="721">
        <f t="shared" si="24"/>
        <v>406298.25721248204</v>
      </c>
      <c r="Q11" s="721">
        <f t="shared" si="24"/>
        <v>150697.82922941254</v>
      </c>
      <c r="R11" s="721">
        <f t="shared" si="24"/>
        <v>17275.962995029662</v>
      </c>
      <c r="S11" s="722">
        <f t="shared" si="24"/>
        <v>574272.04943692428</v>
      </c>
      <c r="T11" s="723">
        <f t="shared" si="24"/>
        <v>0.62961074111074111</v>
      </c>
      <c r="U11" s="1007"/>
    </row>
    <row r="13" spans="1:22" x14ac:dyDescent="0.2">
      <c r="A13" s="982" t="str">
        <f>+'Take Off'!W1</f>
        <v>Walls Conc</v>
      </c>
      <c r="B13" s="1093" t="str">
        <f>+A13</f>
        <v>Walls Conc</v>
      </c>
      <c r="C13" s="1093"/>
      <c r="D13" s="1093"/>
      <c r="E13" s="1093"/>
      <c r="F13" s="1093"/>
      <c r="G13" s="710">
        <f>+A14</f>
        <v>19514</v>
      </c>
      <c r="H13" s="711" t="str">
        <f>+A15</f>
        <v>SF</v>
      </c>
      <c r="I13" s="983"/>
      <c r="J13" s="983"/>
      <c r="K13" s="983"/>
      <c r="L13" s="983"/>
      <c r="M13" s="983"/>
      <c r="N13" s="983"/>
      <c r="O13" s="983"/>
      <c r="P13" s="983"/>
      <c r="Q13" s="983"/>
      <c r="R13" s="984"/>
      <c r="S13" s="984"/>
      <c r="T13" s="984"/>
      <c r="U13" s="984"/>
    </row>
    <row r="14" spans="1:22" ht="53" thickBot="1" x14ac:dyDescent="0.25">
      <c r="A14" s="982">
        <f>+'Take Off'!W2</f>
        <v>19514</v>
      </c>
      <c r="B14" s="985" t="s">
        <v>209</v>
      </c>
      <c r="C14" s="986" t="s">
        <v>210</v>
      </c>
      <c r="D14" s="985" t="s">
        <v>211</v>
      </c>
      <c r="E14" s="986" t="s">
        <v>212</v>
      </c>
      <c r="F14" s="986" t="s">
        <v>213</v>
      </c>
      <c r="G14" s="987" t="s">
        <v>214</v>
      </c>
      <c r="H14" s="987" t="s">
        <v>215</v>
      </c>
      <c r="I14" s="987" t="s">
        <v>216</v>
      </c>
      <c r="J14" s="988" t="s">
        <v>217</v>
      </c>
      <c r="K14" s="988" t="s">
        <v>218</v>
      </c>
      <c r="L14" s="988" t="s">
        <v>219</v>
      </c>
      <c r="M14" s="988" t="s">
        <v>220</v>
      </c>
      <c r="N14" s="988" t="s">
        <v>221</v>
      </c>
      <c r="O14" s="988" t="s">
        <v>222</v>
      </c>
      <c r="P14" s="988" t="s">
        <v>223</v>
      </c>
      <c r="Q14" s="988" t="s">
        <v>213</v>
      </c>
      <c r="R14" s="988" t="s">
        <v>224</v>
      </c>
      <c r="S14" s="988" t="s">
        <v>31</v>
      </c>
      <c r="T14" s="988" t="s">
        <v>225</v>
      </c>
      <c r="U14" s="989">
        <v>2</v>
      </c>
    </row>
    <row r="15" spans="1:22" ht="16" thickBot="1" x14ac:dyDescent="0.25">
      <c r="A15" s="982" t="str">
        <f>+'Take Off'!W3</f>
        <v>SF</v>
      </c>
      <c r="B15" s="712">
        <f>+A14</f>
        <v>19514</v>
      </c>
      <c r="C15" s="991">
        <v>500</v>
      </c>
      <c r="D15" s="992" t="s">
        <v>1011</v>
      </c>
      <c r="E15" s="993">
        <v>300</v>
      </c>
      <c r="F15" s="994">
        <v>40</v>
      </c>
      <c r="G15" s="995"/>
      <c r="H15" s="996">
        <v>40</v>
      </c>
      <c r="I15" s="995" t="s">
        <v>1013</v>
      </c>
      <c r="J15" s="712">
        <f t="shared" ref="J15:J18" si="25">IF(C15=0,0,B15/C15)</f>
        <v>39.027999999999999</v>
      </c>
      <c r="K15" s="714">
        <f>IF($G15="x",'Labor Calc'!$E$43,'Labor Calc'!$E$31)</f>
        <v>58.06944444444445</v>
      </c>
      <c r="L15" s="714">
        <f>IF($G15="x",'Labor Calc'!$F$43,'Labor Calc'!$F$31)</f>
        <v>62.358333333333327</v>
      </c>
      <c r="M15" s="714">
        <f>IF($G15="x",'Labor Calc'!$G$43,'Labor Calc'!$G$31)</f>
        <v>65.217592592592595</v>
      </c>
      <c r="N15" s="714">
        <f t="shared" ref="N15:N18" si="26">IF(H15=40,K15,0)+IF(H15=50,L15,0)+IF(H15=60,M15,0)</f>
        <v>58.06944444444445</v>
      </c>
      <c r="O15" s="712">
        <f t="shared" ref="O15:O18" si="27">IF(E15=0,0,B15/E15)</f>
        <v>65.046666666666667</v>
      </c>
      <c r="P15" s="715">
        <f t="shared" ref="P15:P18" si="28">+J15*N15</f>
        <v>2266.334277777778</v>
      </c>
      <c r="Q15" s="715">
        <f>(+O15*F15)/(1-'OH&amp;P'!$C$5)</f>
        <v>3212.1810699588477</v>
      </c>
      <c r="R15" s="715">
        <f>IF(I15="x",(J15*'Admin Set Up'!$B$17)/(1-'OH&amp;P'!$C$5),0)</f>
        <v>96.365432098765424</v>
      </c>
      <c r="S15" s="716">
        <f t="shared" ref="S15:S18" si="29">SUM(P15:R15)</f>
        <v>5574.880779835391</v>
      </c>
      <c r="T15" s="717">
        <f t="shared" ref="T15:T18" si="30">IF(B15=0,0,S15/B15)</f>
        <v>0.28568621399176952</v>
      </c>
      <c r="U15" s="984"/>
      <c r="V15" s="997"/>
    </row>
    <row r="16" spans="1:22" ht="16" thickBot="1" x14ac:dyDescent="0.25">
      <c r="A16" s="982"/>
      <c r="B16" s="712">
        <f>+B15</f>
        <v>19514</v>
      </c>
      <c r="C16" s="991">
        <v>400</v>
      </c>
      <c r="D16" s="992" t="s">
        <v>1014</v>
      </c>
      <c r="E16" s="998">
        <v>275</v>
      </c>
      <c r="F16" s="994">
        <v>40</v>
      </c>
      <c r="G16" s="995"/>
      <c r="H16" s="996">
        <v>40</v>
      </c>
      <c r="I16" s="995" t="s">
        <v>1013</v>
      </c>
      <c r="J16" s="712">
        <f t="shared" ref="J16" si="31">IF(C16=0,0,B16/C16)</f>
        <v>48.784999999999997</v>
      </c>
      <c r="K16" s="714">
        <f>IF($G16="x",'Labor Calc'!$E$43,'Labor Calc'!$E$31)</f>
        <v>58.06944444444445</v>
      </c>
      <c r="L16" s="714">
        <f>IF($G16="x",'Labor Calc'!$F$43,'Labor Calc'!$F$31)</f>
        <v>62.358333333333327</v>
      </c>
      <c r="M16" s="714">
        <f>IF($G16="x",'Labor Calc'!$G$43,'Labor Calc'!$G$31)</f>
        <v>65.217592592592595</v>
      </c>
      <c r="N16" s="714">
        <f t="shared" ref="N16" si="32">IF(H16=40,K16,0)+IF(H16=50,L16,0)+IF(H16=60,M16,0)</f>
        <v>58.06944444444445</v>
      </c>
      <c r="O16" s="712">
        <f t="shared" ref="O16" si="33">IF(E16=0,0,B16/E16)</f>
        <v>70.959999999999994</v>
      </c>
      <c r="P16" s="715">
        <f t="shared" ref="P16" si="34">+J16*N16</f>
        <v>2832.9178472222225</v>
      </c>
      <c r="Q16" s="715">
        <f>(+O16*F16)/(1-'OH&amp;P'!$C$5)</f>
        <v>3504.1975308641968</v>
      </c>
      <c r="R16" s="715">
        <f>IF(I16="x",(J16*'Admin Set Up'!$B$17)/(1-'OH&amp;P'!$C$5),0)</f>
        <v>120.45679012345677</v>
      </c>
      <c r="S16" s="716">
        <f t="shared" ref="S16" si="35">SUM(P16:R16)</f>
        <v>6457.5721682098756</v>
      </c>
      <c r="T16" s="717">
        <f t="shared" ref="T16" si="36">IF(B16=0,0,S16/B16)</f>
        <v>0.33091996352413017</v>
      </c>
      <c r="U16" s="984"/>
      <c r="V16" s="997"/>
    </row>
    <row r="17" spans="1:22" ht="16" thickBot="1" x14ac:dyDescent="0.25">
      <c r="A17" s="982"/>
      <c r="B17" s="712">
        <f>+B16</f>
        <v>19514</v>
      </c>
      <c r="C17" s="991">
        <v>300</v>
      </c>
      <c r="D17" s="992" t="s">
        <v>1014</v>
      </c>
      <c r="E17" s="998">
        <v>275</v>
      </c>
      <c r="F17" s="994">
        <v>40</v>
      </c>
      <c r="G17" s="995"/>
      <c r="H17" s="996">
        <v>40</v>
      </c>
      <c r="I17" s="995" t="s">
        <v>1013</v>
      </c>
      <c r="J17" s="712">
        <f t="shared" ref="J17" si="37">IF(C17=0,0,B17/C17)</f>
        <v>65.046666666666667</v>
      </c>
      <c r="K17" s="714">
        <f>IF($G17="x",'Labor Calc'!$E$43,'Labor Calc'!$E$31)</f>
        <v>58.06944444444445</v>
      </c>
      <c r="L17" s="714">
        <f>IF($G17="x",'Labor Calc'!$F$43,'Labor Calc'!$F$31)</f>
        <v>62.358333333333327</v>
      </c>
      <c r="M17" s="714">
        <f>IF($G17="x",'Labor Calc'!$G$43,'Labor Calc'!$G$31)</f>
        <v>65.217592592592595</v>
      </c>
      <c r="N17" s="714">
        <f t="shared" ref="N17" si="38">IF(H17=40,K17,0)+IF(H17=50,L17,0)+IF(H17=60,M17,0)</f>
        <v>58.06944444444445</v>
      </c>
      <c r="O17" s="712">
        <f t="shared" ref="O17" si="39">IF(E17=0,0,B17/E17)</f>
        <v>70.959999999999994</v>
      </c>
      <c r="P17" s="715">
        <f t="shared" ref="P17" si="40">+J17*N17</f>
        <v>3777.2237962962968</v>
      </c>
      <c r="Q17" s="715">
        <f>(+O17*F17)/(1-'OH&amp;P'!$C$5)</f>
        <v>3504.1975308641968</v>
      </c>
      <c r="R17" s="715">
        <f>IF(I17="x",(J17*'Admin Set Up'!$B$17)/(1-'OH&amp;P'!$C$5),0)</f>
        <v>160.60905349794237</v>
      </c>
      <c r="S17" s="716">
        <f t="shared" ref="S17" si="41">SUM(P17:R17)</f>
        <v>7442.0303806584352</v>
      </c>
      <c r="T17" s="717">
        <f t="shared" ref="T17" si="42">IF(B17=0,0,S17/B17)</f>
        <v>0.38136878039655814</v>
      </c>
      <c r="U17" s="984"/>
      <c r="V17" s="997"/>
    </row>
    <row r="18" spans="1:22" ht="16" hidden="1" thickBot="1" x14ac:dyDescent="0.25">
      <c r="A18" s="982">
        <f>+'Take Off'!W4</f>
        <v>0</v>
      </c>
      <c r="B18" s="713">
        <f>+B15</f>
        <v>19514</v>
      </c>
      <c r="C18" s="991"/>
      <c r="D18" s="1000"/>
      <c r="E18" s="1001"/>
      <c r="F18" s="1002"/>
      <c r="G18" s="995"/>
      <c r="H18" s="996"/>
      <c r="I18" s="995"/>
      <c r="J18" s="712">
        <f t="shared" si="25"/>
        <v>0</v>
      </c>
      <c r="K18" s="714">
        <f>IF($G18="x",'Labor Calc'!$E$43,'Labor Calc'!$E$31)</f>
        <v>58.06944444444445</v>
      </c>
      <c r="L18" s="714">
        <f>IF($G18="x",'Labor Calc'!$F$43,'Labor Calc'!$F$31)</f>
        <v>62.358333333333327</v>
      </c>
      <c r="M18" s="714">
        <f>IF($G18="x",'Labor Calc'!$G$43,'Labor Calc'!$G$31)</f>
        <v>65.217592592592595</v>
      </c>
      <c r="N18" s="714">
        <f t="shared" si="26"/>
        <v>0</v>
      </c>
      <c r="O18" s="712">
        <f t="shared" si="27"/>
        <v>0</v>
      </c>
      <c r="P18" s="715">
        <f t="shared" si="28"/>
        <v>0</v>
      </c>
      <c r="Q18" s="715">
        <f>(+O18*F18)/(1-'OH&amp;P'!$C$5)</f>
        <v>0</v>
      </c>
      <c r="R18" s="715">
        <f>IF(I18="x",(J18*'Admin Set Up'!$B$17)/(1-'OH&amp;P'!$C$5),0)</f>
        <v>0</v>
      </c>
      <c r="S18" s="716">
        <f t="shared" si="29"/>
        <v>0</v>
      </c>
      <c r="T18" s="717">
        <f t="shared" si="30"/>
        <v>0</v>
      </c>
      <c r="U18" s="984"/>
    </row>
    <row r="19" spans="1:22" ht="16" thickBot="1" x14ac:dyDescent="0.25">
      <c r="A19" s="1003"/>
      <c r="B19" s="1004" t="s">
        <v>226</v>
      </c>
      <c r="C19" s="719"/>
      <c r="D19" s="1005" t="s">
        <v>227</v>
      </c>
      <c r="E19" s="1006"/>
      <c r="F19" s="1006"/>
      <c r="G19" s="1092" t="s">
        <v>101</v>
      </c>
      <c r="H19" s="1092"/>
      <c r="I19" s="1092"/>
      <c r="J19" s="718">
        <f>SUM(J15:J18)</f>
        <v>152.85966666666667</v>
      </c>
      <c r="K19" s="719"/>
      <c r="L19" s="719"/>
      <c r="M19" s="719"/>
      <c r="N19" s="719"/>
      <c r="O19" s="720">
        <f t="shared" ref="O19:T19" si="43">SUM(O15:O18)</f>
        <v>206.96666666666664</v>
      </c>
      <c r="P19" s="721">
        <f t="shared" si="43"/>
        <v>8876.4759212962981</v>
      </c>
      <c r="Q19" s="721">
        <f t="shared" si="43"/>
        <v>10220.576131687241</v>
      </c>
      <c r="R19" s="721">
        <f t="shared" si="43"/>
        <v>377.43127572016454</v>
      </c>
      <c r="S19" s="722">
        <f t="shared" si="43"/>
        <v>19474.4833287037</v>
      </c>
      <c r="T19" s="723">
        <f t="shared" si="43"/>
        <v>0.99797495791245794</v>
      </c>
      <c r="U19" s="1007"/>
    </row>
    <row r="21" spans="1:22" x14ac:dyDescent="0.2">
      <c r="A21" s="982" t="str">
        <f>+'Take Off'!X1</f>
        <v>Walls CMU</v>
      </c>
      <c r="B21" s="1093" t="str">
        <f>+A21</f>
        <v>Walls CMU</v>
      </c>
      <c r="C21" s="1093"/>
      <c r="D21" s="1093"/>
      <c r="E21" s="1093"/>
      <c r="F21" s="1093"/>
      <c r="G21" s="710">
        <f>+A22</f>
        <v>24548</v>
      </c>
      <c r="H21" s="711" t="str">
        <f>+A23</f>
        <v>SF</v>
      </c>
      <c r="I21" s="983"/>
      <c r="J21" s="983"/>
      <c r="K21" s="983"/>
      <c r="L21" s="983"/>
      <c r="M21" s="983"/>
      <c r="N21" s="983"/>
      <c r="O21" s="983"/>
      <c r="P21" s="983"/>
      <c r="Q21" s="983"/>
      <c r="R21" s="984"/>
      <c r="S21" s="984"/>
      <c r="T21" s="984"/>
      <c r="U21" s="984"/>
    </row>
    <row r="22" spans="1:22" ht="53" thickBot="1" x14ac:dyDescent="0.25">
      <c r="A22" s="982">
        <f>+'Take Off'!X2</f>
        <v>24548</v>
      </c>
      <c r="B22" s="985" t="s">
        <v>209</v>
      </c>
      <c r="C22" s="986" t="s">
        <v>210</v>
      </c>
      <c r="D22" s="985" t="s">
        <v>211</v>
      </c>
      <c r="E22" s="986" t="s">
        <v>212</v>
      </c>
      <c r="F22" s="986" t="s">
        <v>213</v>
      </c>
      <c r="G22" s="987" t="s">
        <v>214</v>
      </c>
      <c r="H22" s="987" t="s">
        <v>215</v>
      </c>
      <c r="I22" s="987" t="s">
        <v>216</v>
      </c>
      <c r="J22" s="988" t="s">
        <v>217</v>
      </c>
      <c r="K22" s="988" t="s">
        <v>218</v>
      </c>
      <c r="L22" s="988" t="s">
        <v>219</v>
      </c>
      <c r="M22" s="988" t="s">
        <v>220</v>
      </c>
      <c r="N22" s="988" t="s">
        <v>221</v>
      </c>
      <c r="O22" s="988" t="s">
        <v>222</v>
      </c>
      <c r="P22" s="988" t="s">
        <v>223</v>
      </c>
      <c r="Q22" s="988" t="s">
        <v>213</v>
      </c>
      <c r="R22" s="988" t="s">
        <v>224</v>
      </c>
      <c r="S22" s="988" t="s">
        <v>31</v>
      </c>
      <c r="T22" s="988" t="s">
        <v>225</v>
      </c>
      <c r="U22" s="989">
        <v>3</v>
      </c>
    </row>
    <row r="23" spans="1:22" ht="16" thickBot="1" x14ac:dyDescent="0.25">
      <c r="A23" s="982" t="str">
        <f>+'Take Off'!X3</f>
        <v>SF</v>
      </c>
      <c r="B23" s="712">
        <f>+A22</f>
        <v>24548</v>
      </c>
      <c r="C23" s="991">
        <v>200</v>
      </c>
      <c r="D23" s="992" t="s">
        <v>1015</v>
      </c>
      <c r="E23" s="993">
        <v>100</v>
      </c>
      <c r="F23" s="1055">
        <v>10.5</v>
      </c>
      <c r="G23" s="995"/>
      <c r="H23" s="996">
        <v>40</v>
      </c>
      <c r="I23" s="995" t="s">
        <v>1013</v>
      </c>
      <c r="J23" s="712">
        <f>IF(C23=0,0,B23/C23)</f>
        <v>122.74</v>
      </c>
      <c r="K23" s="714">
        <f>IF($G23="x",'Labor Calc'!$E$43,'Labor Calc'!$E$31)</f>
        <v>58.06944444444445</v>
      </c>
      <c r="L23" s="714">
        <f>IF($G23="x",'Labor Calc'!$F$43,'Labor Calc'!$F$31)</f>
        <v>62.358333333333327</v>
      </c>
      <c r="M23" s="714">
        <f>IF($G23="x",'Labor Calc'!$G$43,'Labor Calc'!$G$31)</f>
        <v>65.217592592592595</v>
      </c>
      <c r="N23" s="714">
        <f>IF(H23=40,K23,0)+IF(H23=50,L23,0)+IF(H23=60,M23,0)</f>
        <v>58.06944444444445</v>
      </c>
      <c r="O23" s="712">
        <f>IF(E23=0,0,B23/E23)</f>
        <v>245.48</v>
      </c>
      <c r="P23" s="715">
        <f>+J23*N23</f>
        <v>7127.4436111111117</v>
      </c>
      <c r="Q23" s="715">
        <f>(+O23*F23)/(1-'OH&amp;P'!$C$5)</f>
        <v>3182.1481481481478</v>
      </c>
      <c r="R23" s="715">
        <f>IF(I23="x",(J23*'Admin Set Up'!$B$17)/(1-'OH&amp;P'!$C$5),0)</f>
        <v>303.06172839506172</v>
      </c>
      <c r="S23" s="716">
        <f>SUM(P23:R23)</f>
        <v>10612.653487654321</v>
      </c>
      <c r="T23" s="717">
        <f>IF(B23=0,0,S23/B23)</f>
        <v>0.43232253086419753</v>
      </c>
      <c r="U23" s="984"/>
    </row>
    <row r="24" spans="1:22" ht="16" thickBot="1" x14ac:dyDescent="0.25">
      <c r="A24" s="982"/>
      <c r="B24" s="712">
        <f>+B23</f>
        <v>24548</v>
      </c>
      <c r="C24" s="991">
        <v>350</v>
      </c>
      <c r="D24" s="992" t="s">
        <v>1014</v>
      </c>
      <c r="E24" s="998">
        <v>200</v>
      </c>
      <c r="F24" s="994">
        <v>40</v>
      </c>
      <c r="G24" s="995"/>
      <c r="H24" s="996">
        <v>40</v>
      </c>
      <c r="I24" s="995" t="s">
        <v>1013</v>
      </c>
      <c r="J24" s="712">
        <f>IF(C24=0,0,B24/C24)</f>
        <v>70.137142857142862</v>
      </c>
      <c r="K24" s="714">
        <f>IF($G24="x",'Labor Calc'!$E$43,'Labor Calc'!$E$31)</f>
        <v>58.06944444444445</v>
      </c>
      <c r="L24" s="714">
        <f>IF($G24="x",'Labor Calc'!$F$43,'Labor Calc'!$F$31)</f>
        <v>62.358333333333327</v>
      </c>
      <c r="M24" s="714">
        <f>IF($G24="x",'Labor Calc'!$G$43,'Labor Calc'!$G$31)</f>
        <v>65.217592592592595</v>
      </c>
      <c r="N24" s="714">
        <f>IF(H24=40,K24,0)+IF(H24=50,L24,0)+IF(H24=60,M24,0)</f>
        <v>58.06944444444445</v>
      </c>
      <c r="O24" s="712">
        <f>IF(E24=0,0,B24/E24)</f>
        <v>122.74</v>
      </c>
      <c r="P24" s="715">
        <f>+J24*N24</f>
        <v>4072.8249206349215</v>
      </c>
      <c r="Q24" s="715">
        <f>(+O24*F24)/(1-'OH&amp;P'!$C$5)</f>
        <v>6061.2345679012333</v>
      </c>
      <c r="R24" s="715">
        <f>IF(I24="x",(J24*'Admin Set Up'!$B$17)/(1-'OH&amp;P'!$C$5),0)</f>
        <v>173.17813051146385</v>
      </c>
      <c r="S24" s="716">
        <f>SUM(P24:R24)</f>
        <v>10307.237619047619</v>
      </c>
      <c r="T24" s="717">
        <f>IF(B24=0,0,S24/B24)</f>
        <v>0.41988095238095235</v>
      </c>
      <c r="U24" s="984"/>
    </row>
    <row r="25" spans="1:22" ht="16" thickBot="1" x14ac:dyDescent="0.25">
      <c r="A25" s="982"/>
      <c r="B25" s="712">
        <f>+B24</f>
        <v>24548</v>
      </c>
      <c r="C25" s="991">
        <v>350</v>
      </c>
      <c r="D25" s="992" t="s">
        <v>1014</v>
      </c>
      <c r="E25" s="998">
        <v>200</v>
      </c>
      <c r="F25" s="994">
        <v>40</v>
      </c>
      <c r="G25" s="995"/>
      <c r="H25" s="996">
        <v>40</v>
      </c>
      <c r="I25" s="995" t="s">
        <v>1013</v>
      </c>
      <c r="J25" s="712">
        <f>IF(C25=0,0,B25/C25)</f>
        <v>70.137142857142862</v>
      </c>
      <c r="K25" s="714">
        <f>IF($G25="x",'Labor Calc'!$E$43,'Labor Calc'!$E$31)</f>
        <v>58.06944444444445</v>
      </c>
      <c r="L25" s="714">
        <f>IF($G25="x",'Labor Calc'!$F$43,'Labor Calc'!$F$31)</f>
        <v>62.358333333333327</v>
      </c>
      <c r="M25" s="714">
        <f>IF($G25="x",'Labor Calc'!$G$43,'Labor Calc'!$G$31)</f>
        <v>65.217592592592595</v>
      </c>
      <c r="N25" s="714">
        <f>IF(H25=40,K25,0)+IF(H25=50,L25,0)+IF(H25=60,M25,0)</f>
        <v>58.06944444444445</v>
      </c>
      <c r="O25" s="712">
        <f>IF(E25=0,0,B25/E25)</f>
        <v>122.74</v>
      </c>
      <c r="P25" s="715">
        <f>+J25*N25</f>
        <v>4072.8249206349215</v>
      </c>
      <c r="Q25" s="715">
        <f>(+O25*F25)/(1-'OH&amp;P'!$C$5)</f>
        <v>6061.2345679012333</v>
      </c>
      <c r="R25" s="715">
        <f>IF(I25="x",(J25*'Admin Set Up'!$B$17)/(1-'OH&amp;P'!$C$5),0)</f>
        <v>173.17813051146385</v>
      </c>
      <c r="S25" s="716">
        <f>SUM(P25:R25)</f>
        <v>10307.237619047619</v>
      </c>
      <c r="T25" s="717">
        <f>IF(B25=0,0,S25/B25)</f>
        <v>0.41988095238095235</v>
      </c>
      <c r="U25" s="984"/>
    </row>
    <row r="26" spans="1:22" ht="16" hidden="1" thickBot="1" x14ac:dyDescent="0.25">
      <c r="A26" s="999"/>
      <c r="B26" s="713">
        <f>+B23</f>
        <v>24548</v>
      </c>
      <c r="C26" s="991"/>
      <c r="D26" s="1000"/>
      <c r="E26" s="1001"/>
      <c r="F26" s="1002"/>
      <c r="G26" s="995"/>
      <c r="H26" s="996"/>
      <c r="I26" s="995"/>
      <c r="J26" s="712">
        <f>IF(C26=0,0,B26/C26)</f>
        <v>0</v>
      </c>
      <c r="K26" s="714">
        <f>IF($G26="x",'Labor Calc'!$E$43,'Labor Calc'!$E$31)</f>
        <v>58.06944444444445</v>
      </c>
      <c r="L26" s="714">
        <f>IF($G26="x",'Labor Calc'!$F$43,'Labor Calc'!$F$31)</f>
        <v>62.358333333333327</v>
      </c>
      <c r="M26" s="714">
        <f>IF($G26="x",'Labor Calc'!$G$43,'Labor Calc'!$G$31)</f>
        <v>65.217592592592595</v>
      </c>
      <c r="N26" s="714">
        <f>IF(H26=40,K26,0)+IF(H26=50,L26,0)+IF(H26=60,M26,0)</f>
        <v>0</v>
      </c>
      <c r="O26" s="712">
        <f>IF(E26=0,0,B26/E26)</f>
        <v>0</v>
      </c>
      <c r="P26" s="715">
        <f>+J26*N26</f>
        <v>0</v>
      </c>
      <c r="Q26" s="715">
        <f>(+O26*F26)/(1-'OH&amp;P'!$C$5)</f>
        <v>0</v>
      </c>
      <c r="R26" s="715">
        <f>IF(I26="x",(J26*'Admin Set Up'!$B$17)/(1-'OH&amp;P'!$C$5),0)</f>
        <v>0</v>
      </c>
      <c r="S26" s="716">
        <f>SUM(P26:R26)</f>
        <v>0</v>
      </c>
      <c r="T26" s="717">
        <f>IF(B26=0,0,S26/B26)</f>
        <v>0</v>
      </c>
      <c r="U26" s="984"/>
    </row>
    <row r="27" spans="1:22" ht="16" thickBot="1" x14ac:dyDescent="0.25">
      <c r="A27" s="1003"/>
      <c r="B27" s="1004" t="s">
        <v>226</v>
      </c>
      <c r="C27" s="719"/>
      <c r="D27" s="1005" t="s">
        <v>227</v>
      </c>
      <c r="E27" s="1006"/>
      <c r="F27" s="1006"/>
      <c r="G27" s="1092" t="s">
        <v>101</v>
      </c>
      <c r="H27" s="1092"/>
      <c r="I27" s="1092"/>
      <c r="J27" s="718">
        <f>SUM(J23:J26)</f>
        <v>263.01428571428573</v>
      </c>
      <c r="K27" s="719"/>
      <c r="L27" s="719"/>
      <c r="M27" s="719"/>
      <c r="N27" s="719"/>
      <c r="O27" s="720">
        <f t="shared" ref="O27:T27" si="44">SUM(O23:O26)</f>
        <v>490.96</v>
      </c>
      <c r="P27" s="721">
        <f t="shared" si="44"/>
        <v>15273.093452380954</v>
      </c>
      <c r="Q27" s="721">
        <f t="shared" si="44"/>
        <v>15304.617283950614</v>
      </c>
      <c r="R27" s="721">
        <f t="shared" si="44"/>
        <v>649.41798941798947</v>
      </c>
      <c r="S27" s="722">
        <f t="shared" si="44"/>
        <v>31227.128725749557</v>
      </c>
      <c r="T27" s="723">
        <f t="shared" si="44"/>
        <v>1.2720844356261023</v>
      </c>
      <c r="U27" s="1007"/>
    </row>
    <row r="29" spans="1:22" x14ac:dyDescent="0.2">
      <c r="A29" s="982" t="str">
        <f>+'Take Off'!Y1</f>
        <v>Walls-Stairs</v>
      </c>
      <c r="B29" s="1093" t="str">
        <f>+A29</f>
        <v>Walls-Stairs</v>
      </c>
      <c r="C29" s="1093"/>
      <c r="D29" s="1093"/>
      <c r="E29" s="1093"/>
      <c r="F29" s="1093"/>
      <c r="G29" s="710">
        <f>+A30</f>
        <v>67395</v>
      </c>
      <c r="H29" s="711" t="str">
        <f>+A31</f>
        <v>SF</v>
      </c>
      <c r="I29" s="983"/>
      <c r="J29" s="983"/>
      <c r="K29" s="983"/>
      <c r="L29" s="983"/>
      <c r="M29" s="983"/>
      <c r="N29" s="983"/>
      <c r="O29" s="983"/>
      <c r="P29" s="983"/>
      <c r="Q29" s="983"/>
      <c r="R29" s="984"/>
      <c r="S29" s="984"/>
      <c r="T29" s="984"/>
      <c r="U29" s="984"/>
    </row>
    <row r="30" spans="1:22" ht="53" thickBot="1" x14ac:dyDescent="0.25">
      <c r="A30" s="982">
        <f>+'Take Off'!Y2</f>
        <v>67395</v>
      </c>
      <c r="B30" s="985" t="s">
        <v>209</v>
      </c>
      <c r="C30" s="986" t="s">
        <v>210</v>
      </c>
      <c r="D30" s="985" t="s">
        <v>211</v>
      </c>
      <c r="E30" s="986" t="s">
        <v>212</v>
      </c>
      <c r="F30" s="986" t="s">
        <v>213</v>
      </c>
      <c r="G30" s="987" t="s">
        <v>214</v>
      </c>
      <c r="H30" s="987" t="s">
        <v>215</v>
      </c>
      <c r="I30" s="987" t="s">
        <v>216</v>
      </c>
      <c r="J30" s="988" t="s">
        <v>217</v>
      </c>
      <c r="K30" s="988" t="s">
        <v>218</v>
      </c>
      <c r="L30" s="988" t="s">
        <v>219</v>
      </c>
      <c r="M30" s="988" t="s">
        <v>220</v>
      </c>
      <c r="N30" s="988" t="s">
        <v>221</v>
      </c>
      <c r="O30" s="988" t="s">
        <v>222</v>
      </c>
      <c r="P30" s="988" t="s">
        <v>223</v>
      </c>
      <c r="Q30" s="988" t="s">
        <v>213</v>
      </c>
      <c r="R30" s="988" t="s">
        <v>224</v>
      </c>
      <c r="S30" s="988" t="s">
        <v>31</v>
      </c>
      <c r="T30" s="988" t="s">
        <v>225</v>
      </c>
      <c r="U30" s="989">
        <v>4</v>
      </c>
    </row>
    <row r="31" spans="1:22" ht="16" thickBot="1" x14ac:dyDescent="0.25">
      <c r="A31" s="982" t="str">
        <f>+'Take Off'!Y3</f>
        <v>SF</v>
      </c>
      <c r="B31" s="712">
        <f>+A30</f>
        <v>67395</v>
      </c>
      <c r="C31" s="991">
        <v>500</v>
      </c>
      <c r="D31" s="992" t="s">
        <v>1011</v>
      </c>
      <c r="E31" s="993">
        <v>325</v>
      </c>
      <c r="F31" s="994">
        <v>12</v>
      </c>
      <c r="G31" s="995"/>
      <c r="H31" s="996">
        <v>40</v>
      </c>
      <c r="I31" s="995" t="s">
        <v>1013</v>
      </c>
      <c r="J31" s="712">
        <f>IF(C31=0,0,B31/C31)</f>
        <v>134.79</v>
      </c>
      <c r="K31" s="714">
        <f>IF($G31="x",'Labor Calc'!$E$43,'Labor Calc'!$E$31)</f>
        <v>58.06944444444445</v>
      </c>
      <c r="L31" s="714">
        <f>IF($G31="x",'Labor Calc'!$F$43,'Labor Calc'!$F$31)</f>
        <v>62.358333333333327</v>
      </c>
      <c r="M31" s="714">
        <f>IF($G31="x",'Labor Calc'!$G$43,'Labor Calc'!$G$31)</f>
        <v>65.217592592592595</v>
      </c>
      <c r="N31" s="714">
        <f>IF(H31=40,K31,0)+IF(H31=50,L31,0)+IF(H31=60,M31,0)</f>
        <v>58.06944444444445</v>
      </c>
      <c r="O31" s="712">
        <f>IF(E31=0,0,B31/E31)</f>
        <v>207.36923076923077</v>
      </c>
      <c r="P31" s="715">
        <f>+J31*N31</f>
        <v>7827.180416666667</v>
      </c>
      <c r="Q31" s="715">
        <f>(+O31*F31)/(1-'OH&amp;P'!$C$5)</f>
        <v>3072.136752136752</v>
      </c>
      <c r="R31" s="715">
        <f>IF(I31="x",(J31*'Admin Set Up'!$B$17)/(1-'OH&amp;P'!$C$5),0)</f>
        <v>332.81481481481478</v>
      </c>
      <c r="S31" s="716">
        <f>SUM(P31:R31)</f>
        <v>11232.131983618234</v>
      </c>
      <c r="T31" s="717">
        <f>IF(B31=0,0,S31/B31)</f>
        <v>0.16666120607787274</v>
      </c>
      <c r="U31" s="984"/>
    </row>
    <row r="32" spans="1:22" ht="16" thickBot="1" x14ac:dyDescent="0.25">
      <c r="A32" s="982"/>
      <c r="B32" s="712">
        <f>+B31</f>
        <v>67395</v>
      </c>
      <c r="C32" s="991">
        <v>400</v>
      </c>
      <c r="D32" s="992" t="s">
        <v>1012</v>
      </c>
      <c r="E32" s="998">
        <v>325</v>
      </c>
      <c r="F32" s="994">
        <v>15.5</v>
      </c>
      <c r="G32" s="995"/>
      <c r="H32" s="996">
        <v>40</v>
      </c>
      <c r="I32" s="995" t="s">
        <v>1013</v>
      </c>
      <c r="J32" s="712">
        <f>IF(C32=0,0,B32/C32)</f>
        <v>168.48750000000001</v>
      </c>
      <c r="K32" s="714">
        <f>IF($G32="x",'Labor Calc'!$E$43,'Labor Calc'!$E$31)</f>
        <v>58.06944444444445</v>
      </c>
      <c r="L32" s="714">
        <f>IF($G32="x",'Labor Calc'!$F$43,'Labor Calc'!$F$31)</f>
        <v>62.358333333333327</v>
      </c>
      <c r="M32" s="714">
        <f>IF($G32="x",'Labor Calc'!$G$43,'Labor Calc'!$G$31)</f>
        <v>65.217592592592595</v>
      </c>
      <c r="N32" s="714">
        <f>IF(H32=40,K32,0)+IF(H32=50,L32,0)+IF(H32=60,M32,0)</f>
        <v>58.06944444444445</v>
      </c>
      <c r="O32" s="712">
        <f>IF(E32=0,0,B32/E32)</f>
        <v>207.36923076923077</v>
      </c>
      <c r="P32" s="715">
        <f>+J32*N32</f>
        <v>9783.9755208333354</v>
      </c>
      <c r="Q32" s="715">
        <f>(+O32*F32)/(1-'OH&amp;P'!$C$5)</f>
        <v>3968.1766381766379</v>
      </c>
      <c r="R32" s="715">
        <f>IF(I32="x",(J32*'Admin Set Up'!$B$17)/(1-'OH&amp;P'!$C$5),0)</f>
        <v>416.01851851851853</v>
      </c>
      <c r="S32" s="716">
        <f>SUM(P32:R32)</f>
        <v>14168.170677528491</v>
      </c>
      <c r="T32" s="717">
        <f>IF(B32=0,0,S32/B32)</f>
        <v>0.2102258428300095</v>
      </c>
      <c r="U32" s="984"/>
    </row>
    <row r="33" spans="1:21" ht="16" thickBot="1" x14ac:dyDescent="0.25">
      <c r="A33" s="982"/>
      <c r="B33" s="712">
        <f>+B32</f>
        <v>67395</v>
      </c>
      <c r="C33" s="991">
        <v>200</v>
      </c>
      <c r="D33" s="992" t="s">
        <v>1100</v>
      </c>
      <c r="E33" s="998">
        <v>350</v>
      </c>
      <c r="F33" s="994">
        <v>15.5</v>
      </c>
      <c r="G33" s="995"/>
      <c r="H33" s="996">
        <v>40</v>
      </c>
      <c r="I33" s="995" t="s">
        <v>1013</v>
      </c>
      <c r="J33" s="712">
        <f>IF(C33=0,0,B33/C33)</f>
        <v>336.97500000000002</v>
      </c>
      <c r="K33" s="714">
        <f>IF($G33="x",'Labor Calc'!$E$43,'Labor Calc'!$E$31)</f>
        <v>58.06944444444445</v>
      </c>
      <c r="L33" s="714">
        <f>IF($G33="x",'Labor Calc'!$F$43,'Labor Calc'!$F$31)</f>
        <v>62.358333333333327</v>
      </c>
      <c r="M33" s="714">
        <f>IF($G33="x",'Labor Calc'!$G$43,'Labor Calc'!$G$31)</f>
        <v>65.217592592592595</v>
      </c>
      <c r="N33" s="714">
        <f>IF(H33=40,K33,0)+IF(H33=50,L33,0)+IF(H33=60,M33,0)</f>
        <v>58.06944444444445</v>
      </c>
      <c r="O33" s="712">
        <f>IF(E33=0,0,B33/E33)</f>
        <v>192.55714285714285</v>
      </c>
      <c r="P33" s="715">
        <f>+J33*N33</f>
        <v>19567.951041666671</v>
      </c>
      <c r="Q33" s="715">
        <f>(+O33*F33)/(1-'OH&amp;P'!$C$5)</f>
        <v>3684.7354497354495</v>
      </c>
      <c r="R33" s="715">
        <f>IF(I33="x",(J33*'Admin Set Up'!$B$17)/(1-'OH&amp;P'!$C$5),0)</f>
        <v>832.03703703703707</v>
      </c>
      <c r="S33" s="716">
        <f>SUM(P33:R33)</f>
        <v>24084.723528439157</v>
      </c>
      <c r="T33" s="717">
        <f>IF(B33=0,0,S33/B33)</f>
        <v>0.35736662257495594</v>
      </c>
      <c r="U33" s="984"/>
    </row>
    <row r="34" spans="1:21" ht="16" thickBot="1" x14ac:dyDescent="0.25">
      <c r="A34" s="982"/>
      <c r="B34" s="712">
        <f>+B33</f>
        <v>67395</v>
      </c>
      <c r="C34" s="991">
        <v>750</v>
      </c>
      <c r="D34" s="992" t="s">
        <v>1099</v>
      </c>
      <c r="E34" s="998">
        <v>600</v>
      </c>
      <c r="F34" s="994">
        <v>5</v>
      </c>
      <c r="G34" s="995"/>
      <c r="H34" s="996">
        <v>40</v>
      </c>
      <c r="I34" s="995" t="s">
        <v>1013</v>
      </c>
      <c r="J34" s="712">
        <f>IF(C34=0,0,B34/C34)</f>
        <v>89.86</v>
      </c>
      <c r="K34" s="714">
        <f>IF($G34="x",'Labor Calc'!$E$43,'Labor Calc'!$E$31)</f>
        <v>58.06944444444445</v>
      </c>
      <c r="L34" s="714">
        <f>IF($G34="x",'Labor Calc'!$F$43,'Labor Calc'!$F$31)</f>
        <v>62.358333333333327</v>
      </c>
      <c r="M34" s="714">
        <f>IF($G34="x",'Labor Calc'!$G$43,'Labor Calc'!$G$31)</f>
        <v>65.217592592592595</v>
      </c>
      <c r="N34" s="714">
        <f>IF(H34=40,K34,0)+IF(H34=50,L34,0)+IF(H34=60,M34,0)</f>
        <v>58.06944444444445</v>
      </c>
      <c r="O34" s="712">
        <f>IF(E34=0,0,B34/E34)</f>
        <v>112.325</v>
      </c>
      <c r="P34" s="715">
        <f>+J34*N34</f>
        <v>5218.120277777778</v>
      </c>
      <c r="Q34" s="715">
        <f>(+O34*F34)/(1-'OH&amp;P'!$C$5)</f>
        <v>693.3641975308642</v>
      </c>
      <c r="R34" s="715">
        <f>IF(I34="x",(J34*'Admin Set Up'!$B$17)/(1-'OH&amp;P'!$C$5),0)</f>
        <v>221.87654320987653</v>
      </c>
      <c r="S34" s="716">
        <f>SUM(P34:R34)</f>
        <v>6133.361018518518</v>
      </c>
      <c r="T34" s="717">
        <f>IF(B34=0,0,S34/B34)</f>
        <v>9.1006172839506169E-2</v>
      </c>
      <c r="U34" s="984"/>
    </row>
    <row r="35" spans="1:21" ht="16" hidden="1" thickBot="1" x14ac:dyDescent="0.25">
      <c r="A35" s="999"/>
      <c r="B35" s="713">
        <f>+B31</f>
        <v>67395</v>
      </c>
      <c r="C35" s="991"/>
      <c r="D35" s="1000"/>
      <c r="E35" s="1001"/>
      <c r="F35" s="1002"/>
      <c r="G35" s="995"/>
      <c r="H35" s="996"/>
      <c r="I35" s="995"/>
      <c r="J35" s="712">
        <f>IF(C35=0,0,B35/C35)</f>
        <v>0</v>
      </c>
      <c r="K35" s="714">
        <f>IF($G35="x",'Labor Calc'!$E$43,'Labor Calc'!$E$31)</f>
        <v>58.06944444444445</v>
      </c>
      <c r="L35" s="714">
        <f>IF($G35="x",'Labor Calc'!$F$43,'Labor Calc'!$F$31)</f>
        <v>62.358333333333327</v>
      </c>
      <c r="M35" s="714">
        <f>IF($G35="x",'Labor Calc'!$G$43,'Labor Calc'!$G$31)</f>
        <v>65.217592592592595</v>
      </c>
      <c r="N35" s="714">
        <f>IF(H35=40,K35,0)+IF(H35=50,L35,0)+IF(H35=60,M35,0)</f>
        <v>0</v>
      </c>
      <c r="O35" s="712">
        <f>IF(E35=0,0,B35/E35)</f>
        <v>0</v>
      </c>
      <c r="P35" s="715">
        <f>+J35*N35</f>
        <v>0</v>
      </c>
      <c r="Q35" s="715">
        <f>(+O35*F35)/(1-'OH&amp;P'!$C$5)</f>
        <v>0</v>
      </c>
      <c r="R35" s="715">
        <f>IF(I35="x",(J35*'Admin Set Up'!$B$17)/(1-'OH&amp;P'!$C$5),0)</f>
        <v>0</v>
      </c>
      <c r="S35" s="716">
        <f>SUM(P35:R35)</f>
        <v>0</v>
      </c>
      <c r="T35" s="717">
        <f>IF(B35=0,0,S35/B35)</f>
        <v>0</v>
      </c>
      <c r="U35" s="984"/>
    </row>
    <row r="36" spans="1:21" ht="16" thickBot="1" x14ac:dyDescent="0.25">
      <c r="A36" s="1003"/>
      <c r="B36" s="1004" t="s">
        <v>226</v>
      </c>
      <c r="C36" s="719"/>
      <c r="D36" s="1005" t="s">
        <v>227</v>
      </c>
      <c r="E36" s="1006"/>
      <c r="F36" s="1006"/>
      <c r="G36" s="1092" t="s">
        <v>101</v>
      </c>
      <c r="H36" s="1092"/>
      <c r="I36" s="1092"/>
      <c r="J36" s="718">
        <f>SUM(J31:J35)</f>
        <v>730.11250000000007</v>
      </c>
      <c r="K36" s="719"/>
      <c r="L36" s="719"/>
      <c r="M36" s="719"/>
      <c r="N36" s="719"/>
      <c r="O36" s="720">
        <f t="shared" ref="O36:T36" si="45">SUM(O31:O35)</f>
        <v>719.62060439560446</v>
      </c>
      <c r="P36" s="721">
        <f t="shared" si="45"/>
        <v>42397.227256944454</v>
      </c>
      <c r="Q36" s="721">
        <f t="shared" si="45"/>
        <v>11418.413037579703</v>
      </c>
      <c r="R36" s="721">
        <f t="shared" si="45"/>
        <v>1802.7469135802469</v>
      </c>
      <c r="S36" s="722">
        <f t="shared" si="45"/>
        <v>55618.387208104403</v>
      </c>
      <c r="T36" s="723">
        <f t="shared" si="45"/>
        <v>0.82525984432234445</v>
      </c>
      <c r="U36" s="1007"/>
    </row>
    <row r="38" spans="1:21" x14ac:dyDescent="0.2">
      <c r="A38" s="982" t="str">
        <f>+'Take Off'!Z1</f>
        <v>Pre-Punch Final</v>
      </c>
      <c r="B38" s="1093" t="str">
        <f>+A38</f>
        <v>Pre-Punch Final</v>
      </c>
      <c r="C38" s="1093"/>
      <c r="D38" s="1093"/>
      <c r="E38" s="1093"/>
      <c r="F38" s="1093"/>
      <c r="G38" s="710">
        <f>+A39</f>
        <v>206126</v>
      </c>
      <c r="H38" s="711" t="str">
        <f>+A40</f>
        <v>SF</v>
      </c>
      <c r="I38" s="983"/>
      <c r="J38" s="983"/>
      <c r="K38" s="983"/>
      <c r="L38" s="983"/>
      <c r="M38" s="983"/>
      <c r="N38" s="983"/>
      <c r="O38" s="983"/>
      <c r="P38" s="983"/>
      <c r="Q38" s="983"/>
      <c r="R38" s="984"/>
      <c r="S38" s="984"/>
      <c r="T38" s="984"/>
      <c r="U38" s="984"/>
    </row>
    <row r="39" spans="1:21" ht="53" thickBot="1" x14ac:dyDescent="0.25">
      <c r="A39" s="982">
        <f>+'Take Off'!Z2</f>
        <v>206126</v>
      </c>
      <c r="B39" s="985" t="s">
        <v>209</v>
      </c>
      <c r="C39" s="986" t="s">
        <v>210</v>
      </c>
      <c r="D39" s="985" t="s">
        <v>211</v>
      </c>
      <c r="E39" s="986" t="s">
        <v>212</v>
      </c>
      <c r="F39" s="986" t="s">
        <v>213</v>
      </c>
      <c r="G39" s="987" t="s">
        <v>214</v>
      </c>
      <c r="H39" s="987" t="s">
        <v>215</v>
      </c>
      <c r="I39" s="987" t="s">
        <v>216</v>
      </c>
      <c r="J39" s="988" t="s">
        <v>217</v>
      </c>
      <c r="K39" s="988" t="s">
        <v>218</v>
      </c>
      <c r="L39" s="988" t="s">
        <v>219</v>
      </c>
      <c r="M39" s="988" t="s">
        <v>220</v>
      </c>
      <c r="N39" s="988" t="s">
        <v>221</v>
      </c>
      <c r="O39" s="988" t="s">
        <v>222</v>
      </c>
      <c r="P39" s="988" t="s">
        <v>223</v>
      </c>
      <c r="Q39" s="988" t="s">
        <v>213</v>
      </c>
      <c r="R39" s="988" t="s">
        <v>224</v>
      </c>
      <c r="S39" s="988" t="s">
        <v>31</v>
      </c>
      <c r="T39" s="988" t="s">
        <v>225</v>
      </c>
      <c r="U39" s="989">
        <v>5</v>
      </c>
    </row>
    <row r="40" spans="1:21" ht="16" thickBot="1" x14ac:dyDescent="0.25">
      <c r="A40" s="982" t="str">
        <f>+'Take Off'!Z3</f>
        <v>SF</v>
      </c>
      <c r="B40" s="712">
        <f>+A39</f>
        <v>206126</v>
      </c>
      <c r="C40" s="991"/>
      <c r="D40" s="1008"/>
      <c r="E40" s="993"/>
      <c r="F40" s="994"/>
      <c r="G40" s="995"/>
      <c r="H40" s="996"/>
      <c r="I40" s="995"/>
      <c r="J40" s="712">
        <f>IF(C40=0,0,B40/C40)</f>
        <v>0</v>
      </c>
      <c r="K40" s="714">
        <f>IF($G40="x",'Labor Calc'!$E$43,'Labor Calc'!$E$31)</f>
        <v>58.06944444444445</v>
      </c>
      <c r="L40" s="714">
        <f>IF($G40="x",'Labor Calc'!$F$43,'Labor Calc'!$F$31)</f>
        <v>62.358333333333327</v>
      </c>
      <c r="M40" s="714">
        <f>IF($G40="x",'Labor Calc'!$G$43,'Labor Calc'!$G$31)</f>
        <v>65.217592592592595</v>
      </c>
      <c r="N40" s="714">
        <f>IF(H40=40,K40,0)+IF(H40=50,L40,0)+IF(H40=60,M40,0)</f>
        <v>0</v>
      </c>
      <c r="O40" s="712">
        <f>IF(E40=0,0,B40/E40)</f>
        <v>0</v>
      </c>
      <c r="P40" s="715">
        <f>+J40*N40</f>
        <v>0</v>
      </c>
      <c r="Q40" s="715">
        <f>(+O40*F40)/(1-'OH&amp;P'!$C$5)</f>
        <v>0</v>
      </c>
      <c r="R40" s="715">
        <f>IF(I40="x",(J40*'Admin Set Up'!$B$17)/(1-'OH&amp;P'!$C$5),0)</f>
        <v>0</v>
      </c>
      <c r="S40" s="716">
        <f>SUM(P40:R40)</f>
        <v>0</v>
      </c>
      <c r="T40" s="717">
        <f>IF(B40=0,0,S40/B40)</f>
        <v>0</v>
      </c>
      <c r="U40" s="984"/>
    </row>
    <row r="41" spans="1:21" ht="16" thickBot="1" x14ac:dyDescent="0.25">
      <c r="A41" s="982"/>
      <c r="B41" s="712">
        <f>+B40</f>
        <v>206126</v>
      </c>
      <c r="C41" s="991"/>
      <c r="D41" s="1008"/>
      <c r="E41" s="998"/>
      <c r="F41" s="994"/>
      <c r="G41" s="995"/>
      <c r="H41" s="996"/>
      <c r="I41" s="995"/>
      <c r="J41" s="712">
        <f>IF(C41=0,0,B41/C41)</f>
        <v>0</v>
      </c>
      <c r="K41" s="714">
        <f>IF($G41="x",'Labor Calc'!$E$43,'Labor Calc'!$E$31)</f>
        <v>58.06944444444445</v>
      </c>
      <c r="L41" s="714">
        <f>IF($G41="x",'Labor Calc'!$F$43,'Labor Calc'!$F$31)</f>
        <v>62.358333333333327</v>
      </c>
      <c r="M41" s="714">
        <f>IF($G41="x",'Labor Calc'!$G$43,'Labor Calc'!$G$31)</f>
        <v>65.217592592592595</v>
      </c>
      <c r="N41" s="714">
        <f>IF(H41=40,K41,0)+IF(H41=50,L41,0)+IF(H41=60,M41,0)</f>
        <v>0</v>
      </c>
      <c r="O41" s="712">
        <f>IF(E41=0,0,B41/E41)</f>
        <v>0</v>
      </c>
      <c r="P41" s="715">
        <f>+J41*N41</f>
        <v>0</v>
      </c>
      <c r="Q41" s="715">
        <f>(+O41*F41)/(1-'OH&amp;P'!$C$5)</f>
        <v>0</v>
      </c>
      <c r="R41" s="715">
        <f>IF(I41="x",(J41*'Admin Set Up'!$B$17)/(1-'OH&amp;P'!$C$5),0)</f>
        <v>0</v>
      </c>
      <c r="S41" s="716">
        <f>SUM(P41:R41)</f>
        <v>0</v>
      </c>
      <c r="T41" s="717">
        <f>IF(B41=0,0,S41/B41)</f>
        <v>0</v>
      </c>
      <c r="U41" s="984"/>
    </row>
    <row r="42" spans="1:21" ht="16" thickBot="1" x14ac:dyDescent="0.25">
      <c r="A42" s="982"/>
      <c r="B42" s="712">
        <f>+B41</f>
        <v>206126</v>
      </c>
      <c r="C42" s="991"/>
      <c r="D42" s="1008"/>
      <c r="E42" s="998"/>
      <c r="F42" s="994"/>
      <c r="G42" s="995"/>
      <c r="H42" s="996"/>
      <c r="I42" s="995"/>
      <c r="J42" s="712">
        <f>IF(C42=0,0,B42/C42)</f>
        <v>0</v>
      </c>
      <c r="K42" s="714">
        <f>IF($G42="x",'Labor Calc'!$E$43,'Labor Calc'!$E$31)</f>
        <v>58.06944444444445</v>
      </c>
      <c r="L42" s="714">
        <f>IF($G42="x",'Labor Calc'!$F$43,'Labor Calc'!$F$31)</f>
        <v>62.358333333333327</v>
      </c>
      <c r="M42" s="714">
        <f>IF($G42="x",'Labor Calc'!$G$43,'Labor Calc'!$G$31)</f>
        <v>65.217592592592595</v>
      </c>
      <c r="N42" s="714">
        <f>IF(H42=40,K42,0)+IF(H42=50,L42,0)+IF(H42=60,M42,0)</f>
        <v>0</v>
      </c>
      <c r="O42" s="712">
        <f>IF(E42=0,0,B42/E42)</f>
        <v>0</v>
      </c>
      <c r="P42" s="715">
        <f>+J42*N42</f>
        <v>0</v>
      </c>
      <c r="Q42" s="715">
        <f>(+O42*F42)/(1-'OH&amp;P'!$C$5)</f>
        <v>0</v>
      </c>
      <c r="R42" s="715">
        <f>IF(I42="x",(J42*'Admin Set Up'!$B$17)/(1-'OH&amp;P'!$C$5),0)</f>
        <v>0</v>
      </c>
      <c r="S42" s="716">
        <f>SUM(P42:R42)</f>
        <v>0</v>
      </c>
      <c r="T42" s="717">
        <f>IF(B42=0,0,S42/B42)</f>
        <v>0</v>
      </c>
      <c r="U42" s="984"/>
    </row>
    <row r="43" spans="1:21" ht="16" hidden="1" thickBot="1" x14ac:dyDescent="0.25">
      <c r="A43" s="999"/>
      <c r="B43" s="713">
        <f>+B40</f>
        <v>206126</v>
      </c>
      <c r="C43" s="991"/>
      <c r="D43" s="1000"/>
      <c r="E43" s="1001"/>
      <c r="F43" s="1002"/>
      <c r="G43" s="995"/>
      <c r="H43" s="996"/>
      <c r="I43" s="995"/>
      <c r="J43" s="712">
        <f>IF(C43=0,0,B43/C43)</f>
        <v>0</v>
      </c>
      <c r="K43" s="714">
        <f>IF($G43="x",'Labor Calc'!$E$43,'Labor Calc'!$E$31)</f>
        <v>58.06944444444445</v>
      </c>
      <c r="L43" s="714">
        <f>IF($G43="x",'Labor Calc'!$F$43,'Labor Calc'!$F$31)</f>
        <v>62.358333333333327</v>
      </c>
      <c r="M43" s="714">
        <f>IF($G43="x",'Labor Calc'!$G$43,'Labor Calc'!$G$31)</f>
        <v>65.217592592592595</v>
      </c>
      <c r="N43" s="714">
        <f>IF(H43=40,K43,0)+IF(H43=50,L43,0)+IF(H43=60,M43,0)</f>
        <v>0</v>
      </c>
      <c r="O43" s="712">
        <f>IF(E43=0,0,B43/E43)</f>
        <v>0</v>
      </c>
      <c r="P43" s="715">
        <f>+J43*N43</f>
        <v>0</v>
      </c>
      <c r="Q43" s="715">
        <f>(+O43*F43)/(1-'OH&amp;P'!$C$5)</f>
        <v>0</v>
      </c>
      <c r="R43" s="715">
        <f>IF(I43="x",(J43*'Admin Set Up'!$B$17)/(1-'OH&amp;P'!$C$5),0)</f>
        <v>0</v>
      </c>
      <c r="S43" s="716">
        <f>SUM(P43:R43)</f>
        <v>0</v>
      </c>
      <c r="T43" s="717">
        <f>IF(B43=0,0,S43/B43)</f>
        <v>0</v>
      </c>
      <c r="U43" s="984"/>
    </row>
    <row r="44" spans="1:21" ht="16" thickBot="1" x14ac:dyDescent="0.25">
      <c r="A44" s="1003"/>
      <c r="B44" s="1004" t="s">
        <v>226</v>
      </c>
      <c r="C44" s="719"/>
      <c r="D44" s="1005" t="s">
        <v>227</v>
      </c>
      <c r="E44" s="1006"/>
      <c r="F44" s="1006"/>
      <c r="G44" s="1092" t="s">
        <v>101</v>
      </c>
      <c r="H44" s="1092"/>
      <c r="I44" s="1092"/>
      <c r="J44" s="718">
        <f>SUM(J40:J43)</f>
        <v>0</v>
      </c>
      <c r="K44" s="719"/>
      <c r="L44" s="719"/>
      <c r="M44" s="719"/>
      <c r="N44" s="719"/>
      <c r="O44" s="720">
        <f t="shared" ref="O44:T44" si="46">SUM(O40:O43)</f>
        <v>0</v>
      </c>
      <c r="P44" s="721">
        <f t="shared" si="46"/>
        <v>0</v>
      </c>
      <c r="Q44" s="721">
        <f t="shared" si="46"/>
        <v>0</v>
      </c>
      <c r="R44" s="721">
        <f t="shared" si="46"/>
        <v>0</v>
      </c>
      <c r="S44" s="722">
        <f t="shared" si="46"/>
        <v>0</v>
      </c>
      <c r="T44" s="723">
        <f t="shared" si="46"/>
        <v>0</v>
      </c>
      <c r="U44" s="1007"/>
    </row>
    <row r="46" spans="1:21" x14ac:dyDescent="0.2">
      <c r="A46" s="982" t="str">
        <f>+'Take Off'!AA1</f>
        <v>GWB Ceiling</v>
      </c>
      <c r="B46" s="1093" t="str">
        <f>+A46</f>
        <v>GWB Ceiling</v>
      </c>
      <c r="C46" s="1093"/>
      <c r="D46" s="1093"/>
      <c r="E46" s="1093"/>
      <c r="F46" s="1093"/>
      <c r="G46" s="710">
        <f>+A47</f>
        <v>128690</v>
      </c>
      <c r="H46" s="711" t="str">
        <f>+A48</f>
        <v>SF</v>
      </c>
      <c r="I46" s="983"/>
      <c r="J46" s="983"/>
      <c r="K46" s="983"/>
      <c r="L46" s="983"/>
      <c r="M46" s="983"/>
      <c r="N46" s="983"/>
      <c r="O46" s="983"/>
      <c r="P46" s="983"/>
      <c r="Q46" s="983"/>
      <c r="R46" s="984"/>
      <c r="S46" s="984"/>
      <c r="T46" s="984"/>
      <c r="U46" s="984"/>
    </row>
    <row r="47" spans="1:21" ht="53" thickBot="1" x14ac:dyDescent="0.25">
      <c r="A47" s="982">
        <f>+'Take Off'!AA2</f>
        <v>128690</v>
      </c>
      <c r="B47" s="985" t="s">
        <v>209</v>
      </c>
      <c r="C47" s="986" t="s">
        <v>210</v>
      </c>
      <c r="D47" s="985" t="s">
        <v>211</v>
      </c>
      <c r="E47" s="986" t="s">
        <v>212</v>
      </c>
      <c r="F47" s="986" t="s">
        <v>213</v>
      </c>
      <c r="G47" s="987" t="s">
        <v>214</v>
      </c>
      <c r="H47" s="987" t="s">
        <v>215</v>
      </c>
      <c r="I47" s="987" t="s">
        <v>216</v>
      </c>
      <c r="J47" s="988" t="s">
        <v>217</v>
      </c>
      <c r="K47" s="988" t="s">
        <v>218</v>
      </c>
      <c r="L47" s="988" t="s">
        <v>219</v>
      </c>
      <c r="M47" s="988" t="s">
        <v>220</v>
      </c>
      <c r="N47" s="988" t="s">
        <v>221</v>
      </c>
      <c r="O47" s="988" t="s">
        <v>222</v>
      </c>
      <c r="P47" s="988" t="s">
        <v>223</v>
      </c>
      <c r="Q47" s="988" t="s">
        <v>213</v>
      </c>
      <c r="R47" s="988" t="s">
        <v>224</v>
      </c>
      <c r="S47" s="988" t="s">
        <v>31</v>
      </c>
      <c r="T47" s="988" t="s">
        <v>225</v>
      </c>
      <c r="U47" s="989">
        <v>6</v>
      </c>
    </row>
    <row r="48" spans="1:21" ht="16" thickBot="1" x14ac:dyDescent="0.25">
      <c r="A48" s="982" t="str">
        <f>+'Take Off'!AA3</f>
        <v>SF</v>
      </c>
      <c r="B48" s="712">
        <f>+A47</f>
        <v>128690</v>
      </c>
      <c r="C48" s="991">
        <v>600</v>
      </c>
      <c r="D48" s="992" t="s">
        <v>1011</v>
      </c>
      <c r="E48" s="993">
        <v>325</v>
      </c>
      <c r="F48" s="994">
        <v>12</v>
      </c>
      <c r="G48" s="995"/>
      <c r="H48" s="996">
        <v>40</v>
      </c>
      <c r="I48" s="995" t="s">
        <v>1013</v>
      </c>
      <c r="J48" s="712">
        <f>IF(C48=0,0,B48/C48)</f>
        <v>214.48333333333332</v>
      </c>
      <c r="K48" s="714">
        <f>IF($G48="x",'Labor Calc'!$E$43,'Labor Calc'!$E$31)</f>
        <v>58.06944444444445</v>
      </c>
      <c r="L48" s="714">
        <f>IF($G48="x",'Labor Calc'!$F$43,'Labor Calc'!$F$31)</f>
        <v>62.358333333333327</v>
      </c>
      <c r="M48" s="714">
        <f>IF($G48="x",'Labor Calc'!$G$43,'Labor Calc'!$G$31)</f>
        <v>65.217592592592595</v>
      </c>
      <c r="N48" s="714">
        <f>IF(H48=40,K48,0)+IF(H48=50,L48,0)+IF(H48=60,M48,0)</f>
        <v>58.06944444444445</v>
      </c>
      <c r="O48" s="712">
        <f>IF(E48=0,0,B48/E48)</f>
        <v>395.96923076923076</v>
      </c>
      <c r="P48" s="715">
        <f>+J48*N48</f>
        <v>12454.92800925926</v>
      </c>
      <c r="Q48" s="715">
        <f>(+O48*F48)/(1-'OH&amp;P'!$C$5)</f>
        <v>5866.2108262108259</v>
      </c>
      <c r="R48" s="715">
        <f>IF(I48="x",(J48*'Admin Set Up'!$B$17)/(1-'OH&amp;P'!$C$5),0)</f>
        <v>529.58847736625512</v>
      </c>
      <c r="S48" s="716">
        <f>SUM(P48:R48)</f>
        <v>18850.727312836341</v>
      </c>
      <c r="T48" s="717">
        <f>IF(B48=0,0,S48/B48)</f>
        <v>0.14648167932890155</v>
      </c>
      <c r="U48" s="984"/>
    </row>
    <row r="49" spans="1:21" ht="16" thickBot="1" x14ac:dyDescent="0.25">
      <c r="A49" s="982"/>
      <c r="B49" s="712">
        <f>+B48</f>
        <v>128690</v>
      </c>
      <c r="C49" s="991">
        <v>500</v>
      </c>
      <c r="D49" s="992" t="s">
        <v>1070</v>
      </c>
      <c r="E49" s="998">
        <v>325</v>
      </c>
      <c r="F49" s="994">
        <v>14.5</v>
      </c>
      <c r="G49" s="995"/>
      <c r="H49" s="996">
        <v>40</v>
      </c>
      <c r="I49" s="995" t="s">
        <v>1013</v>
      </c>
      <c r="J49" s="712">
        <f>IF(C49=0,0,B49/C49)</f>
        <v>257.38</v>
      </c>
      <c r="K49" s="714">
        <f>IF($G49="x",'Labor Calc'!$E$43,'Labor Calc'!$E$31)</f>
        <v>58.06944444444445</v>
      </c>
      <c r="L49" s="714">
        <f>IF($G49="x",'Labor Calc'!$F$43,'Labor Calc'!$F$31)</f>
        <v>62.358333333333327</v>
      </c>
      <c r="M49" s="714">
        <f>IF($G49="x",'Labor Calc'!$G$43,'Labor Calc'!$G$31)</f>
        <v>65.217592592592595</v>
      </c>
      <c r="N49" s="714">
        <f>IF(H49=40,K49,0)+IF(H49=50,L49,0)+IF(H49=60,M49,0)</f>
        <v>58.06944444444445</v>
      </c>
      <c r="O49" s="712">
        <f>IF(E49=0,0,B49/E49)</f>
        <v>395.96923076923076</v>
      </c>
      <c r="P49" s="715">
        <f>+J49*N49</f>
        <v>14945.913611111113</v>
      </c>
      <c r="Q49" s="715">
        <f>(+O49*F49)/(1-'OH&amp;P'!$C$5)</f>
        <v>7088.3380816714143</v>
      </c>
      <c r="R49" s="715">
        <f>IF(I49="x",(J49*'Admin Set Up'!$B$17)/(1-'OH&amp;P'!$C$5),0)</f>
        <v>635.50617283950612</v>
      </c>
      <c r="S49" s="716">
        <f>SUM(P49:R49)</f>
        <v>22669.757865622032</v>
      </c>
      <c r="T49" s="717">
        <f>IF(B49=0,0,S49/B49)</f>
        <v>0.17615788224121556</v>
      </c>
      <c r="U49" s="984"/>
    </row>
    <row r="50" spans="1:21" ht="16" thickBot="1" x14ac:dyDescent="0.25">
      <c r="A50" s="982"/>
      <c r="B50" s="712">
        <f>+B49</f>
        <v>128690</v>
      </c>
      <c r="C50" s="991">
        <v>400</v>
      </c>
      <c r="D50" s="992" t="s">
        <v>1070</v>
      </c>
      <c r="E50" s="998">
        <v>350</v>
      </c>
      <c r="F50" s="994">
        <v>14.5</v>
      </c>
      <c r="G50" s="995"/>
      <c r="H50" s="996">
        <v>40</v>
      </c>
      <c r="I50" s="995" t="s">
        <v>1013</v>
      </c>
      <c r="J50" s="712">
        <f>IF(C50=0,0,B50/C50)</f>
        <v>321.72500000000002</v>
      </c>
      <c r="K50" s="714">
        <f>IF($G50="x",'Labor Calc'!$E$43,'Labor Calc'!$E$31)</f>
        <v>58.06944444444445</v>
      </c>
      <c r="L50" s="714">
        <f>IF($G50="x",'Labor Calc'!$F$43,'Labor Calc'!$F$31)</f>
        <v>62.358333333333327</v>
      </c>
      <c r="M50" s="714">
        <f>IF($G50="x",'Labor Calc'!$G$43,'Labor Calc'!$G$31)</f>
        <v>65.217592592592595</v>
      </c>
      <c r="N50" s="714">
        <f>IF(H50=40,K50,0)+IF(H50=50,L50,0)+IF(H50=60,M50,0)</f>
        <v>58.06944444444445</v>
      </c>
      <c r="O50" s="712">
        <f>IF(E50=0,0,B50/E50)</f>
        <v>367.68571428571431</v>
      </c>
      <c r="P50" s="715">
        <f>+J50*N50</f>
        <v>18682.392013888893</v>
      </c>
      <c r="Q50" s="715">
        <f>(+O50*F50)/(1-'OH&amp;P'!$C$5)</f>
        <v>6582.0282186948862</v>
      </c>
      <c r="R50" s="715">
        <f>IF(I50="x",(J50*'Admin Set Up'!$B$17)/(1-'OH&amp;P'!$C$5),0)</f>
        <v>794.38271604938268</v>
      </c>
      <c r="S50" s="716">
        <f>SUM(P50:R50)</f>
        <v>26058.802948633162</v>
      </c>
      <c r="T50" s="717">
        <f>IF(B50=0,0,S50/B50)</f>
        <v>0.20249283509700181</v>
      </c>
      <c r="U50" s="984"/>
    </row>
    <row r="51" spans="1:21" ht="16" hidden="1" thickBot="1" x14ac:dyDescent="0.25">
      <c r="A51" s="999"/>
      <c r="B51" s="713">
        <f>+B48</f>
        <v>128690</v>
      </c>
      <c r="C51" s="991"/>
      <c r="D51" s="1000"/>
      <c r="E51" s="1001"/>
      <c r="F51" s="1002"/>
      <c r="G51" s="995"/>
      <c r="H51" s="996"/>
      <c r="I51" s="995"/>
      <c r="J51" s="712">
        <f>IF(C51=0,0,B51/C51)</f>
        <v>0</v>
      </c>
      <c r="K51" s="714">
        <f>IF($G51="x",'Labor Calc'!$E$43,'Labor Calc'!$E$31)</f>
        <v>58.06944444444445</v>
      </c>
      <c r="L51" s="714">
        <f>IF($G51="x",'Labor Calc'!$F$43,'Labor Calc'!$F$31)</f>
        <v>62.358333333333327</v>
      </c>
      <c r="M51" s="714">
        <f>IF($G51="x",'Labor Calc'!$G$43,'Labor Calc'!$G$31)</f>
        <v>65.217592592592595</v>
      </c>
      <c r="N51" s="714">
        <f>IF(H51=40,K51,0)+IF(H51=50,L51,0)+IF(H51=60,M51,0)</f>
        <v>0</v>
      </c>
      <c r="O51" s="712">
        <f>IF(E51=0,0,B51/E51)</f>
        <v>0</v>
      </c>
      <c r="P51" s="715">
        <f>+J51*N51</f>
        <v>0</v>
      </c>
      <c r="Q51" s="715">
        <f>(+O51*F51)/(1-'OH&amp;P'!$C$5)</f>
        <v>0</v>
      </c>
      <c r="R51" s="715">
        <f>IF(I51="x",(J51*'Admin Set Up'!$B$17)/(1-'OH&amp;P'!$C$5),0)</f>
        <v>0</v>
      </c>
      <c r="S51" s="716">
        <f>SUM(P51:R51)</f>
        <v>0</v>
      </c>
      <c r="T51" s="717">
        <f>IF(B51=0,0,S51/B51)</f>
        <v>0</v>
      </c>
      <c r="U51" s="984"/>
    </row>
    <row r="52" spans="1:21" ht="16" thickBot="1" x14ac:dyDescent="0.25">
      <c r="A52" s="1003"/>
      <c r="B52" s="1004" t="s">
        <v>226</v>
      </c>
      <c r="C52" s="719"/>
      <c r="D52" s="1005" t="s">
        <v>227</v>
      </c>
      <c r="E52" s="1006"/>
      <c r="F52" s="1006"/>
      <c r="G52" s="1092" t="s">
        <v>101</v>
      </c>
      <c r="H52" s="1092"/>
      <c r="I52" s="1092"/>
      <c r="J52" s="718">
        <f>SUM(J48:J51)</f>
        <v>793.58833333333337</v>
      </c>
      <c r="K52" s="719"/>
      <c r="L52" s="719"/>
      <c r="M52" s="719"/>
      <c r="N52" s="719"/>
      <c r="O52" s="720">
        <f t="shared" ref="O52:T52" si="47">SUM(O48:O51)</f>
        <v>1159.6241758241758</v>
      </c>
      <c r="P52" s="721">
        <f t="shared" si="47"/>
        <v>46083.233634259268</v>
      </c>
      <c r="Q52" s="721">
        <f t="shared" si="47"/>
        <v>19536.577126577125</v>
      </c>
      <c r="R52" s="721">
        <f t="shared" si="47"/>
        <v>1959.477366255144</v>
      </c>
      <c r="S52" s="722">
        <f t="shared" si="47"/>
        <v>67579.288127091539</v>
      </c>
      <c r="T52" s="723">
        <f t="shared" si="47"/>
        <v>0.52513239666711886</v>
      </c>
      <c r="U52" s="1007"/>
    </row>
    <row r="54" spans="1:21" x14ac:dyDescent="0.2">
      <c r="A54" s="982" t="str">
        <f>+'Take Off'!AB1</f>
        <v>Conc Ceiling</v>
      </c>
      <c r="B54" s="1093" t="str">
        <f>+A54</f>
        <v>Conc Ceiling</v>
      </c>
      <c r="C54" s="1093"/>
      <c r="D54" s="1093"/>
      <c r="E54" s="1093"/>
      <c r="F54" s="1093"/>
      <c r="G54" s="710">
        <f>+A55</f>
        <v>344094</v>
      </c>
      <c r="H54" s="711" t="str">
        <f>+A56</f>
        <v>SF</v>
      </c>
      <c r="I54" s="983"/>
      <c r="J54" s="983"/>
      <c r="K54" s="983"/>
      <c r="L54" s="983"/>
      <c r="M54" s="983"/>
      <c r="N54" s="983"/>
      <c r="O54" s="983"/>
      <c r="P54" s="983"/>
      <c r="Q54" s="983"/>
      <c r="R54" s="984"/>
      <c r="S54" s="984"/>
      <c r="T54" s="984"/>
      <c r="U54" s="984"/>
    </row>
    <row r="55" spans="1:21" ht="53" thickBot="1" x14ac:dyDescent="0.25">
      <c r="A55" s="982">
        <f>+'Take Off'!AB2</f>
        <v>344094</v>
      </c>
      <c r="B55" s="985" t="s">
        <v>209</v>
      </c>
      <c r="C55" s="986" t="s">
        <v>210</v>
      </c>
      <c r="D55" s="985" t="s">
        <v>211</v>
      </c>
      <c r="E55" s="986" t="s">
        <v>212</v>
      </c>
      <c r="F55" s="986" t="s">
        <v>213</v>
      </c>
      <c r="G55" s="987" t="s">
        <v>214</v>
      </c>
      <c r="H55" s="987" t="s">
        <v>215</v>
      </c>
      <c r="I55" s="987" t="s">
        <v>216</v>
      </c>
      <c r="J55" s="988" t="s">
        <v>217</v>
      </c>
      <c r="K55" s="988" t="s">
        <v>218</v>
      </c>
      <c r="L55" s="988" t="s">
        <v>219</v>
      </c>
      <c r="M55" s="988" t="s">
        <v>220</v>
      </c>
      <c r="N55" s="988" t="s">
        <v>221</v>
      </c>
      <c r="O55" s="988" t="s">
        <v>222</v>
      </c>
      <c r="P55" s="988" t="s">
        <v>223</v>
      </c>
      <c r="Q55" s="988" t="s">
        <v>213</v>
      </c>
      <c r="R55" s="988" t="s">
        <v>224</v>
      </c>
      <c r="S55" s="988" t="s">
        <v>31</v>
      </c>
      <c r="T55" s="988" t="s">
        <v>225</v>
      </c>
      <c r="U55" s="989">
        <v>7</v>
      </c>
    </row>
    <row r="56" spans="1:21" ht="16" thickBot="1" x14ac:dyDescent="0.25">
      <c r="A56" s="982" t="str">
        <f>+'Take Off'!AB3</f>
        <v>SF</v>
      </c>
      <c r="B56" s="712">
        <f>+A55</f>
        <v>344094</v>
      </c>
      <c r="C56" s="991"/>
      <c r="D56" s="1008"/>
      <c r="E56" s="993"/>
      <c r="F56" s="994"/>
      <c r="G56" s="995"/>
      <c r="H56" s="996"/>
      <c r="I56" s="995"/>
      <c r="J56" s="712">
        <f>IF(C56=0,0,B56/C56)</f>
        <v>0</v>
      </c>
      <c r="K56" s="714">
        <f>IF($G56="x",'Labor Calc'!$E$43,'Labor Calc'!$E$31)</f>
        <v>58.06944444444445</v>
      </c>
      <c r="L56" s="714">
        <f>IF($G56="x",'Labor Calc'!$F$43,'Labor Calc'!$F$31)</f>
        <v>62.358333333333327</v>
      </c>
      <c r="M56" s="714">
        <f>IF($G56="x",'Labor Calc'!$G$43,'Labor Calc'!$G$31)</f>
        <v>65.217592592592595</v>
      </c>
      <c r="N56" s="714">
        <f>IF(H56=40,K56,0)+IF(H56=50,L56,0)+IF(H56=60,M56,0)</f>
        <v>0</v>
      </c>
      <c r="O56" s="712">
        <f>IF(E56=0,0,B56/E56)</f>
        <v>0</v>
      </c>
      <c r="P56" s="715">
        <f>+J56*N56</f>
        <v>0</v>
      </c>
      <c r="Q56" s="715">
        <f>(+O56*F56)/(1-'OH&amp;P'!$C$5)</f>
        <v>0</v>
      </c>
      <c r="R56" s="715">
        <f>IF(I56="x",(J56*'Admin Set Up'!$B$17)/(1-'OH&amp;P'!$C$5),0)</f>
        <v>0</v>
      </c>
      <c r="S56" s="716">
        <f>SUM(P56:R56)</f>
        <v>0</v>
      </c>
      <c r="T56" s="717">
        <f>IF(B56=0,0,S56/B56)</f>
        <v>0</v>
      </c>
      <c r="U56" s="984"/>
    </row>
    <row r="57" spans="1:21" ht="16" hidden="1" thickBot="1" x14ac:dyDescent="0.25">
      <c r="A57" s="999"/>
      <c r="B57" s="713">
        <f>+B56</f>
        <v>344094</v>
      </c>
      <c r="C57" s="991"/>
      <c r="D57" s="1000"/>
      <c r="E57" s="1001"/>
      <c r="F57" s="1002"/>
      <c r="G57" s="995"/>
      <c r="H57" s="996"/>
      <c r="I57" s="995"/>
      <c r="J57" s="712">
        <f>IF(C57=0,0,B57/C57)</f>
        <v>0</v>
      </c>
      <c r="K57" s="714">
        <f>IF($G57="x",'Labor Calc'!$E$43,'Labor Calc'!$E$31)</f>
        <v>58.06944444444445</v>
      </c>
      <c r="L57" s="714">
        <f>IF($G57="x",'Labor Calc'!$F$43,'Labor Calc'!$F$31)</f>
        <v>62.358333333333327</v>
      </c>
      <c r="M57" s="714">
        <f>IF($G57="x",'Labor Calc'!$G$43,'Labor Calc'!$G$31)</f>
        <v>65.217592592592595</v>
      </c>
      <c r="N57" s="714">
        <f>IF(H57=40,K57,0)+IF(H57=50,L57,0)+IF(H57=60,M57,0)</f>
        <v>0</v>
      </c>
      <c r="O57" s="712">
        <f>IF(E57=0,0,B57/E57)</f>
        <v>0</v>
      </c>
      <c r="P57" s="715">
        <f>+J57*N57</f>
        <v>0</v>
      </c>
      <c r="Q57" s="715">
        <f>(+O57*F57)/(1-'OH&amp;P'!$C$5)</f>
        <v>0</v>
      </c>
      <c r="R57" s="715">
        <f>IF(I57="x",(J57*'Admin Set Up'!$B$17)/(1-'OH&amp;P'!$C$5),0)</f>
        <v>0</v>
      </c>
      <c r="S57" s="716">
        <f>SUM(P57:R57)</f>
        <v>0</v>
      </c>
      <c r="T57" s="717">
        <f>IF(B57=0,0,S57/B57)</f>
        <v>0</v>
      </c>
      <c r="U57" s="984"/>
    </row>
    <row r="58" spans="1:21" ht="16" thickBot="1" x14ac:dyDescent="0.25">
      <c r="A58" s="1003"/>
      <c r="B58" s="1004" t="s">
        <v>226</v>
      </c>
      <c r="C58" s="719"/>
      <c r="D58" s="1005" t="s">
        <v>227</v>
      </c>
      <c r="E58" s="1006"/>
      <c r="F58" s="1006"/>
      <c r="G58" s="1092" t="s">
        <v>101</v>
      </c>
      <c r="H58" s="1092"/>
      <c r="I58" s="1092"/>
      <c r="J58" s="718">
        <f>SUM(J56:J57)</f>
        <v>0</v>
      </c>
      <c r="K58" s="719"/>
      <c r="L58" s="719"/>
      <c r="M58" s="719"/>
      <c r="N58" s="719"/>
      <c r="O58" s="720">
        <f t="shared" ref="O58:T58" si="48">SUM(O56:O57)</f>
        <v>0</v>
      </c>
      <c r="P58" s="721">
        <f t="shared" si="48"/>
        <v>0</v>
      </c>
      <c r="Q58" s="721">
        <f t="shared" si="48"/>
        <v>0</v>
      </c>
      <c r="R58" s="721">
        <f t="shared" si="48"/>
        <v>0</v>
      </c>
      <c r="S58" s="722">
        <f t="shared" si="48"/>
        <v>0</v>
      </c>
      <c r="T58" s="723">
        <f t="shared" si="48"/>
        <v>0</v>
      </c>
      <c r="U58" s="1007"/>
    </row>
    <row r="60" spans="1:21" x14ac:dyDescent="0.2">
      <c r="A60" s="982" t="str">
        <f>+'Take Off'!AC1</f>
        <v>Walls Sealed</v>
      </c>
      <c r="B60" s="1093" t="str">
        <f>+A60</f>
        <v>Walls Sealed</v>
      </c>
      <c r="C60" s="1093"/>
      <c r="D60" s="1093"/>
      <c r="E60" s="1093"/>
      <c r="F60" s="1093"/>
      <c r="G60" s="710">
        <f>+A61</f>
        <v>28139</v>
      </c>
      <c r="H60" s="711" t="str">
        <f>+A62</f>
        <v>SF</v>
      </c>
      <c r="I60" s="983"/>
      <c r="J60" s="983"/>
      <c r="K60" s="983"/>
      <c r="L60" s="983"/>
      <c r="M60" s="983"/>
      <c r="N60" s="983"/>
      <c r="O60" s="983"/>
      <c r="P60" s="983"/>
      <c r="Q60" s="983"/>
      <c r="R60" s="984"/>
      <c r="S60" s="984"/>
      <c r="T60" s="984"/>
      <c r="U60" s="984"/>
    </row>
    <row r="61" spans="1:21" ht="53" thickBot="1" x14ac:dyDescent="0.25">
      <c r="A61" s="982">
        <f>+'Take Off'!AC2</f>
        <v>28139</v>
      </c>
      <c r="B61" s="985" t="s">
        <v>209</v>
      </c>
      <c r="C61" s="986" t="s">
        <v>210</v>
      </c>
      <c r="D61" s="985" t="s">
        <v>211</v>
      </c>
      <c r="E61" s="986" t="s">
        <v>212</v>
      </c>
      <c r="F61" s="986" t="s">
        <v>213</v>
      </c>
      <c r="G61" s="987" t="s">
        <v>214</v>
      </c>
      <c r="H61" s="987" t="s">
        <v>215</v>
      </c>
      <c r="I61" s="987" t="s">
        <v>216</v>
      </c>
      <c r="J61" s="988" t="s">
        <v>217</v>
      </c>
      <c r="K61" s="988" t="s">
        <v>218</v>
      </c>
      <c r="L61" s="988" t="s">
        <v>219</v>
      </c>
      <c r="M61" s="988" t="s">
        <v>220</v>
      </c>
      <c r="N61" s="988" t="s">
        <v>221</v>
      </c>
      <c r="O61" s="988" t="s">
        <v>222</v>
      </c>
      <c r="P61" s="988" t="s">
        <v>223</v>
      </c>
      <c r="Q61" s="988" t="s">
        <v>213</v>
      </c>
      <c r="R61" s="988" t="s">
        <v>224</v>
      </c>
      <c r="S61" s="988" t="s">
        <v>31</v>
      </c>
      <c r="T61" s="988" t="s">
        <v>225</v>
      </c>
      <c r="U61" s="989">
        <v>8</v>
      </c>
    </row>
    <row r="62" spans="1:21" ht="16" thickBot="1" x14ac:dyDescent="0.25">
      <c r="A62" s="982" t="str">
        <f>+'Take Off'!AC3</f>
        <v>SF</v>
      </c>
      <c r="B62" s="712">
        <f>+A61</f>
        <v>28139</v>
      </c>
      <c r="C62" s="991">
        <v>500</v>
      </c>
      <c r="D62" s="1008" t="s">
        <v>1016</v>
      </c>
      <c r="E62" s="993">
        <v>500</v>
      </c>
      <c r="F62" s="994">
        <v>15</v>
      </c>
      <c r="G62" s="995"/>
      <c r="H62" s="996">
        <v>40</v>
      </c>
      <c r="I62" s="995" t="s">
        <v>1013</v>
      </c>
      <c r="J62" s="712">
        <f>IF(C62=0,0,B62/C62)</f>
        <v>56.277999999999999</v>
      </c>
      <c r="K62" s="714">
        <f>IF($G62="x",'Labor Calc'!$E$43,'Labor Calc'!$E$31)</f>
        <v>58.06944444444445</v>
      </c>
      <c r="L62" s="714">
        <f>IF($G62="x",'Labor Calc'!$F$43,'Labor Calc'!$F$31)</f>
        <v>62.358333333333327</v>
      </c>
      <c r="M62" s="714">
        <f>IF($G62="x",'Labor Calc'!$G$43,'Labor Calc'!$G$31)</f>
        <v>65.217592592592595</v>
      </c>
      <c r="N62" s="714">
        <f>IF(H62=40,K62,0)+IF(H62=50,L62,0)+IF(H62=60,M62,0)</f>
        <v>58.06944444444445</v>
      </c>
      <c r="O62" s="712">
        <f>IF(E62=0,0,B62/E62)</f>
        <v>56.277999999999999</v>
      </c>
      <c r="P62" s="715">
        <f>+J62*N62</f>
        <v>3268.0321944444445</v>
      </c>
      <c r="Q62" s="715">
        <f>(+O62*F62)/(1-'OH&amp;P'!$C$5)</f>
        <v>1042.185185185185</v>
      </c>
      <c r="R62" s="715">
        <f>IF(I62="x",(J62*'Admin Set Up'!$B$17)/(1-'OH&amp;P'!$C$5),0)</f>
        <v>138.95802469135802</v>
      </c>
      <c r="S62" s="716">
        <f>SUM(P62:R62)</f>
        <v>4449.1754043209876</v>
      </c>
      <c r="T62" s="717">
        <f>IF(B62=0,0,S62/B62)</f>
        <v>0.1581141975308642</v>
      </c>
      <c r="U62" s="984"/>
    </row>
    <row r="63" spans="1:21" ht="16" thickBot="1" x14ac:dyDescent="0.25">
      <c r="A63" s="982"/>
      <c r="B63" s="712">
        <f>+B62</f>
        <v>28139</v>
      </c>
      <c r="C63" s="991">
        <v>300</v>
      </c>
      <c r="D63" s="1008" t="s">
        <v>1017</v>
      </c>
      <c r="E63" s="998">
        <v>300</v>
      </c>
      <c r="F63" s="994">
        <v>25</v>
      </c>
      <c r="G63" s="995"/>
      <c r="H63" s="996">
        <v>40</v>
      </c>
      <c r="I63" s="995" t="s">
        <v>1013</v>
      </c>
      <c r="J63" s="712">
        <f>IF(C63=0,0,B63/C63)</f>
        <v>93.796666666666667</v>
      </c>
      <c r="K63" s="714">
        <f>IF($G63="x",'Labor Calc'!$E$43,'Labor Calc'!$E$31)</f>
        <v>58.06944444444445</v>
      </c>
      <c r="L63" s="714">
        <f>IF($G63="x",'Labor Calc'!$F$43,'Labor Calc'!$F$31)</f>
        <v>62.358333333333327</v>
      </c>
      <c r="M63" s="714">
        <f>IF($G63="x",'Labor Calc'!$G$43,'Labor Calc'!$G$31)</f>
        <v>65.217592592592595</v>
      </c>
      <c r="N63" s="714">
        <f>IF(H63=40,K63,0)+IF(H63=50,L63,0)+IF(H63=60,M63,0)</f>
        <v>58.06944444444445</v>
      </c>
      <c r="O63" s="712">
        <f>IF(E63=0,0,B63/E63)</f>
        <v>93.796666666666667</v>
      </c>
      <c r="P63" s="715">
        <f>+J63*N63</f>
        <v>5446.7203240740746</v>
      </c>
      <c r="Q63" s="715">
        <f>(+O63*F63)/(1-'OH&amp;P'!$C$5)</f>
        <v>2894.9588477366251</v>
      </c>
      <c r="R63" s="715">
        <f>IF(I63="x",(J63*'Admin Set Up'!$B$17)/(1-'OH&amp;P'!$C$5),0)</f>
        <v>231.59670781893001</v>
      </c>
      <c r="S63" s="716">
        <f>SUM(P63:R63)</f>
        <v>8573.2758796296293</v>
      </c>
      <c r="T63" s="717">
        <f>IF(B63=0,0,S63/B63)</f>
        <v>0.30467592592592591</v>
      </c>
      <c r="U63" s="984"/>
    </row>
    <row r="64" spans="1:21" ht="16" thickBot="1" x14ac:dyDescent="0.25">
      <c r="A64" s="982"/>
      <c r="B64" s="712">
        <f>+B63</f>
        <v>28139</v>
      </c>
      <c r="C64" s="991">
        <v>300</v>
      </c>
      <c r="D64" s="1008" t="s">
        <v>1017</v>
      </c>
      <c r="E64" s="998">
        <v>300</v>
      </c>
      <c r="F64" s="994">
        <v>25</v>
      </c>
      <c r="G64" s="995"/>
      <c r="H64" s="996">
        <v>40</v>
      </c>
      <c r="I64" s="995" t="s">
        <v>1013</v>
      </c>
      <c r="J64" s="712">
        <f>IF(C64=0,0,B64/C64)</f>
        <v>93.796666666666667</v>
      </c>
      <c r="K64" s="714">
        <f>IF($G64="x",'Labor Calc'!$E$43,'Labor Calc'!$E$31)</f>
        <v>58.06944444444445</v>
      </c>
      <c r="L64" s="714">
        <f>IF($G64="x",'Labor Calc'!$F$43,'Labor Calc'!$F$31)</f>
        <v>62.358333333333327</v>
      </c>
      <c r="M64" s="714">
        <f>IF($G64="x",'Labor Calc'!$G$43,'Labor Calc'!$G$31)</f>
        <v>65.217592592592595</v>
      </c>
      <c r="N64" s="714">
        <f>IF(H64=40,K64,0)+IF(H64=50,L64,0)+IF(H64=60,M64,0)</f>
        <v>58.06944444444445</v>
      </c>
      <c r="O64" s="712">
        <f>IF(E64=0,0,B64/E64)</f>
        <v>93.796666666666667</v>
      </c>
      <c r="P64" s="715">
        <f>+J64*N64</f>
        <v>5446.7203240740746</v>
      </c>
      <c r="Q64" s="715">
        <f>(+O64*F64)/(1-'OH&amp;P'!$C$5)</f>
        <v>2894.9588477366251</v>
      </c>
      <c r="R64" s="715">
        <f>IF(I64="x",(J64*'Admin Set Up'!$B$17)/(1-'OH&amp;P'!$C$5),0)</f>
        <v>231.59670781893001</v>
      </c>
      <c r="S64" s="716">
        <f>SUM(P64:R64)</f>
        <v>8573.2758796296293</v>
      </c>
      <c r="T64" s="717">
        <f>IF(B64=0,0,S64/B64)</f>
        <v>0.30467592592592591</v>
      </c>
      <c r="U64" s="984"/>
    </row>
    <row r="65" spans="1:21" ht="16" hidden="1" thickBot="1" x14ac:dyDescent="0.25">
      <c r="A65" s="999"/>
      <c r="B65" s="713">
        <f>+B62</f>
        <v>28139</v>
      </c>
      <c r="C65" s="991"/>
      <c r="D65" s="1000"/>
      <c r="E65" s="1001"/>
      <c r="F65" s="1002"/>
      <c r="G65" s="995"/>
      <c r="H65" s="996"/>
      <c r="I65" s="995"/>
      <c r="J65" s="712">
        <f>IF(C65=0,0,B65/C65)</f>
        <v>0</v>
      </c>
      <c r="K65" s="714">
        <f>IF($G65="x",'Labor Calc'!$E$43,'Labor Calc'!$E$31)</f>
        <v>58.06944444444445</v>
      </c>
      <c r="L65" s="714">
        <f>IF($G65="x",'Labor Calc'!$F$43,'Labor Calc'!$F$31)</f>
        <v>62.358333333333327</v>
      </c>
      <c r="M65" s="714">
        <f>IF($G65="x",'Labor Calc'!$G$43,'Labor Calc'!$G$31)</f>
        <v>65.217592592592595</v>
      </c>
      <c r="N65" s="714">
        <f>IF(H65=40,K65,0)+IF(H65=50,L65,0)+IF(H65=60,M65,0)</f>
        <v>0</v>
      </c>
      <c r="O65" s="712">
        <f>IF(E65=0,0,B65/E65)</f>
        <v>0</v>
      </c>
      <c r="P65" s="715">
        <f>+J65*N65</f>
        <v>0</v>
      </c>
      <c r="Q65" s="715">
        <f>(+O65*F65)/(1-'OH&amp;P'!$C$5)</f>
        <v>0</v>
      </c>
      <c r="R65" s="715">
        <f>IF(I65="x",(J65*'Admin Set Up'!$B$17)/(1-'OH&amp;P'!$C$5),0)</f>
        <v>0</v>
      </c>
      <c r="S65" s="716">
        <f>SUM(P65:R65)</f>
        <v>0</v>
      </c>
      <c r="T65" s="717">
        <f>IF(B65=0,0,S65/B65)</f>
        <v>0</v>
      </c>
      <c r="U65" s="984"/>
    </row>
    <row r="66" spans="1:21" ht="16" thickBot="1" x14ac:dyDescent="0.25">
      <c r="A66" s="1003"/>
      <c r="B66" s="1004" t="s">
        <v>226</v>
      </c>
      <c r="C66" s="719"/>
      <c r="D66" s="1005" t="s">
        <v>227</v>
      </c>
      <c r="E66" s="1006"/>
      <c r="F66" s="1006"/>
      <c r="G66" s="1092" t="s">
        <v>101</v>
      </c>
      <c r="H66" s="1092"/>
      <c r="I66" s="1092"/>
      <c r="J66" s="718">
        <f>SUM(J62:J65)</f>
        <v>243.87133333333333</v>
      </c>
      <c r="K66" s="719"/>
      <c r="L66" s="719"/>
      <c r="M66" s="719"/>
      <c r="N66" s="719"/>
      <c r="O66" s="720">
        <f t="shared" ref="O66:T66" si="49">SUM(O62:O65)</f>
        <v>243.87133333333333</v>
      </c>
      <c r="P66" s="721">
        <f t="shared" si="49"/>
        <v>14161.472842592593</v>
      </c>
      <c r="Q66" s="721">
        <f t="shared" si="49"/>
        <v>6832.1028806584354</v>
      </c>
      <c r="R66" s="721">
        <f t="shared" si="49"/>
        <v>602.15144032921808</v>
      </c>
      <c r="S66" s="722">
        <f t="shared" si="49"/>
        <v>21595.727163580246</v>
      </c>
      <c r="T66" s="723">
        <f t="shared" si="49"/>
        <v>0.76746604938271601</v>
      </c>
      <c r="U66" s="1007"/>
    </row>
    <row r="68" spans="1:21" x14ac:dyDescent="0.2">
      <c r="A68" s="982" t="str">
        <f>+'Take Off'!AD1</f>
        <v>Floor Sealer</v>
      </c>
      <c r="B68" s="1093" t="str">
        <f>+A68</f>
        <v>Floor Sealer</v>
      </c>
      <c r="C68" s="1093"/>
      <c r="D68" s="1093"/>
      <c r="E68" s="1093"/>
      <c r="F68" s="1093"/>
      <c r="G68" s="710">
        <f>+A69</f>
        <v>72453</v>
      </c>
      <c r="H68" s="711" t="str">
        <f>+A70</f>
        <v>SF</v>
      </c>
      <c r="I68" s="983"/>
      <c r="J68" s="983"/>
      <c r="K68" s="983"/>
      <c r="L68" s="983"/>
      <c r="M68" s="983"/>
      <c r="N68" s="983"/>
      <c r="O68" s="983"/>
      <c r="P68" s="983"/>
      <c r="Q68" s="983"/>
      <c r="R68" s="984"/>
      <c r="S68" s="984"/>
      <c r="T68" s="984"/>
      <c r="U68" s="984"/>
    </row>
    <row r="69" spans="1:21" ht="53" thickBot="1" x14ac:dyDescent="0.25">
      <c r="A69" s="982">
        <f>+'Take Off'!AD2</f>
        <v>72453</v>
      </c>
      <c r="B69" s="985" t="s">
        <v>209</v>
      </c>
      <c r="C69" s="986" t="s">
        <v>210</v>
      </c>
      <c r="D69" s="985" t="s">
        <v>211</v>
      </c>
      <c r="E69" s="986" t="s">
        <v>212</v>
      </c>
      <c r="F69" s="986" t="s">
        <v>213</v>
      </c>
      <c r="G69" s="987" t="s">
        <v>214</v>
      </c>
      <c r="H69" s="987" t="s">
        <v>215</v>
      </c>
      <c r="I69" s="987" t="s">
        <v>216</v>
      </c>
      <c r="J69" s="988" t="s">
        <v>217</v>
      </c>
      <c r="K69" s="988" t="s">
        <v>218</v>
      </c>
      <c r="L69" s="988" t="s">
        <v>219</v>
      </c>
      <c r="M69" s="988" t="s">
        <v>220</v>
      </c>
      <c r="N69" s="988" t="s">
        <v>221</v>
      </c>
      <c r="O69" s="988" t="s">
        <v>222</v>
      </c>
      <c r="P69" s="988" t="s">
        <v>223</v>
      </c>
      <c r="Q69" s="988" t="s">
        <v>213</v>
      </c>
      <c r="R69" s="988" t="s">
        <v>224</v>
      </c>
      <c r="S69" s="988" t="s">
        <v>31</v>
      </c>
      <c r="T69" s="988" t="s">
        <v>225</v>
      </c>
      <c r="U69" s="989">
        <v>9</v>
      </c>
    </row>
    <row r="70" spans="1:21" ht="16" thickBot="1" x14ac:dyDescent="0.25">
      <c r="A70" s="982" t="str">
        <f>+'Take Off'!AD3</f>
        <v>SF</v>
      </c>
      <c r="B70" s="712">
        <f>+A69</f>
        <v>72453</v>
      </c>
      <c r="C70" s="991">
        <v>500</v>
      </c>
      <c r="D70" s="1008" t="s">
        <v>1097</v>
      </c>
      <c r="E70" s="993">
        <v>500</v>
      </c>
      <c r="F70" s="994">
        <v>15</v>
      </c>
      <c r="G70" s="995"/>
      <c r="H70" s="996">
        <v>40</v>
      </c>
      <c r="I70" s="995" t="s">
        <v>1013</v>
      </c>
      <c r="J70" s="712">
        <f>IF(C70=0,0,B70/C70)</f>
        <v>144.90600000000001</v>
      </c>
      <c r="K70" s="714">
        <f>IF($G70="x",'Labor Calc'!$E$43,'Labor Calc'!$E$31)</f>
        <v>58.06944444444445</v>
      </c>
      <c r="L70" s="714">
        <f>IF($G70="x",'Labor Calc'!$F$43,'Labor Calc'!$F$31)</f>
        <v>62.358333333333327</v>
      </c>
      <c r="M70" s="714">
        <f>IF($G70="x",'Labor Calc'!$G$43,'Labor Calc'!$G$31)</f>
        <v>65.217592592592595</v>
      </c>
      <c r="N70" s="714">
        <f>IF(H70=40,K70,0)+IF(H70=50,L70,0)+IF(H70=60,M70,0)</f>
        <v>58.06944444444445</v>
      </c>
      <c r="O70" s="712">
        <f>IF(E70=0,0,B70/E70)</f>
        <v>144.90600000000001</v>
      </c>
      <c r="P70" s="715">
        <f>+J70*N70</f>
        <v>8414.6109166666683</v>
      </c>
      <c r="Q70" s="715">
        <f>(+O70*F70)/(1-'OH&amp;P'!$C$5)</f>
        <v>2683.4444444444443</v>
      </c>
      <c r="R70" s="715">
        <f>IF(I70="x",(J70*'Admin Set Up'!$B$17)/(1-'OH&amp;P'!$C$5),0)</f>
        <v>357.7925925925926</v>
      </c>
      <c r="S70" s="716">
        <f>SUM(P70:R70)</f>
        <v>11455.847953703706</v>
      </c>
      <c r="T70" s="717">
        <f>IF(B70=0,0,S70/B70)</f>
        <v>0.15811419753086423</v>
      </c>
      <c r="U70" s="984"/>
    </row>
    <row r="71" spans="1:21" ht="16" thickBot="1" x14ac:dyDescent="0.25">
      <c r="A71" s="982"/>
      <c r="B71" s="712">
        <f>+B70</f>
        <v>72453</v>
      </c>
      <c r="C71" s="991">
        <v>500</v>
      </c>
      <c r="D71" s="1008" t="s">
        <v>1109</v>
      </c>
      <c r="E71" s="998">
        <v>300</v>
      </c>
      <c r="F71" s="994">
        <v>25</v>
      </c>
      <c r="G71" s="995"/>
      <c r="H71" s="996">
        <v>40</v>
      </c>
      <c r="I71" s="995" t="s">
        <v>1013</v>
      </c>
      <c r="J71" s="712">
        <f>IF(C71=0,0,B71/C71)</f>
        <v>144.90600000000001</v>
      </c>
      <c r="K71" s="714">
        <f>IF($G71="x",'Labor Calc'!$E$43,'Labor Calc'!$E$31)</f>
        <v>58.06944444444445</v>
      </c>
      <c r="L71" s="714">
        <f>IF($G71="x",'Labor Calc'!$F$43,'Labor Calc'!$F$31)</f>
        <v>62.358333333333327</v>
      </c>
      <c r="M71" s="714">
        <f>IF($G71="x",'Labor Calc'!$G$43,'Labor Calc'!$G$31)</f>
        <v>65.217592592592595</v>
      </c>
      <c r="N71" s="714">
        <f>IF(H71=40,K71,0)+IF(H71=50,L71,0)+IF(H71=60,M71,0)</f>
        <v>58.06944444444445</v>
      </c>
      <c r="O71" s="712">
        <f>IF(E71=0,0,B71/E71)</f>
        <v>241.51</v>
      </c>
      <c r="P71" s="715">
        <f>+J71*N71</f>
        <v>8414.6109166666683</v>
      </c>
      <c r="Q71" s="715">
        <f>(+O71*F71)/(1-'OH&amp;P'!$C$5)</f>
        <v>7454.0123456790116</v>
      </c>
      <c r="R71" s="715">
        <f>IF(I71="x",(J71*'Admin Set Up'!$B$17)/(1-'OH&amp;P'!$C$5),0)</f>
        <v>357.7925925925926</v>
      </c>
      <c r="S71" s="716">
        <f>SUM(P71:R71)</f>
        <v>16226.415854938272</v>
      </c>
      <c r="T71" s="717">
        <f>IF(B71=0,0,S71/B71)</f>
        <v>0.22395781893004116</v>
      </c>
      <c r="U71" s="984"/>
    </row>
    <row r="72" spans="1:21" ht="16" thickBot="1" x14ac:dyDescent="0.25">
      <c r="A72" s="982"/>
      <c r="B72" s="712">
        <f>+B71</f>
        <v>72453</v>
      </c>
      <c r="C72" s="991">
        <v>600</v>
      </c>
      <c r="D72" s="1008" t="s">
        <v>1109</v>
      </c>
      <c r="E72" s="998">
        <v>300</v>
      </c>
      <c r="F72" s="994">
        <v>25</v>
      </c>
      <c r="G72" s="995"/>
      <c r="H72" s="996">
        <v>40</v>
      </c>
      <c r="I72" s="995" t="s">
        <v>1013</v>
      </c>
      <c r="J72" s="712">
        <f>IF(C72=0,0,B72/C72)</f>
        <v>120.755</v>
      </c>
      <c r="K72" s="714">
        <f>IF($G72="x",'Labor Calc'!$E$43,'Labor Calc'!$E$31)</f>
        <v>58.06944444444445</v>
      </c>
      <c r="L72" s="714">
        <f>IF($G72="x",'Labor Calc'!$F$43,'Labor Calc'!$F$31)</f>
        <v>62.358333333333327</v>
      </c>
      <c r="M72" s="714">
        <f>IF($G72="x",'Labor Calc'!$G$43,'Labor Calc'!$G$31)</f>
        <v>65.217592592592595</v>
      </c>
      <c r="N72" s="714">
        <f>IF(H72=40,K72,0)+IF(H72=50,L72,0)+IF(H72=60,M72,0)</f>
        <v>58.06944444444445</v>
      </c>
      <c r="O72" s="712">
        <f>IF(E72=0,0,B72/E72)</f>
        <v>241.51</v>
      </c>
      <c r="P72" s="715">
        <f>+J72*N72</f>
        <v>7012.1757638888894</v>
      </c>
      <c r="Q72" s="715">
        <f>(+O72*F72)/(1-'OH&amp;P'!$C$5)</f>
        <v>7454.0123456790116</v>
      </c>
      <c r="R72" s="715">
        <f>IF(I72="x",(J72*'Admin Set Up'!$B$17)/(1-'OH&amp;P'!$C$5),0)</f>
        <v>298.16049382716045</v>
      </c>
      <c r="S72" s="716">
        <f>SUM(P72:R72)</f>
        <v>14764.348603395063</v>
      </c>
      <c r="T72" s="717">
        <f>IF(B72=0,0,S72/B72)</f>
        <v>0.20377829218106996</v>
      </c>
      <c r="U72" s="984"/>
    </row>
    <row r="73" spans="1:21" ht="16" hidden="1" thickBot="1" x14ac:dyDescent="0.25">
      <c r="A73" s="999"/>
      <c r="B73" s="713">
        <f>+B70</f>
        <v>72453</v>
      </c>
      <c r="C73" s="991"/>
      <c r="D73" s="1000"/>
      <c r="E73" s="1001"/>
      <c r="F73" s="1002"/>
      <c r="G73" s="995"/>
      <c r="H73" s="996"/>
      <c r="I73" s="995"/>
      <c r="J73" s="712">
        <f>IF(C73=0,0,B73/C73)</f>
        <v>0</v>
      </c>
      <c r="K73" s="714">
        <f>IF($G73="x",'Labor Calc'!$E$43,'Labor Calc'!$E$31)</f>
        <v>58.06944444444445</v>
      </c>
      <c r="L73" s="714">
        <f>IF($G73="x",'Labor Calc'!$F$43,'Labor Calc'!$F$31)</f>
        <v>62.358333333333327</v>
      </c>
      <c r="M73" s="714">
        <f>IF($G73="x",'Labor Calc'!$G$43,'Labor Calc'!$G$31)</f>
        <v>65.217592592592595</v>
      </c>
      <c r="N73" s="714">
        <f>IF(H73=40,K73,0)+IF(H73=50,L73,0)+IF(H73=60,M73,0)</f>
        <v>0</v>
      </c>
      <c r="O73" s="712">
        <f>IF(E73=0,0,B73/E73)</f>
        <v>0</v>
      </c>
      <c r="P73" s="715">
        <f>+J73*N73</f>
        <v>0</v>
      </c>
      <c r="Q73" s="715">
        <f>(+O73*F73)/(1-'OH&amp;P'!$C$5)</f>
        <v>0</v>
      </c>
      <c r="R73" s="715">
        <f>IF(I73="x",(J73*'Admin Set Up'!$B$17)/(1-'OH&amp;P'!$C$5),0)</f>
        <v>0</v>
      </c>
      <c r="S73" s="716">
        <f>SUM(P73:R73)</f>
        <v>0</v>
      </c>
      <c r="T73" s="717">
        <f>IF(B73=0,0,S73/B73)</f>
        <v>0</v>
      </c>
      <c r="U73" s="984"/>
    </row>
    <row r="74" spans="1:21" ht="16" thickBot="1" x14ac:dyDescent="0.25">
      <c r="A74" s="1003"/>
      <c r="B74" s="1004" t="s">
        <v>226</v>
      </c>
      <c r="C74" s="719"/>
      <c r="D74" s="1005" t="s">
        <v>227</v>
      </c>
      <c r="E74" s="1006"/>
      <c r="F74" s="1006"/>
      <c r="G74" s="1092" t="s">
        <v>101</v>
      </c>
      <c r="H74" s="1092"/>
      <c r="I74" s="1092"/>
      <c r="J74" s="718">
        <f>SUM(J70:J73)</f>
        <v>410.56700000000001</v>
      </c>
      <c r="K74" s="719"/>
      <c r="L74" s="719"/>
      <c r="M74" s="719"/>
      <c r="N74" s="719"/>
      <c r="O74" s="720">
        <f t="shared" ref="O74:T74" si="50">SUM(O70:O73)</f>
        <v>627.92599999999993</v>
      </c>
      <c r="P74" s="721">
        <f t="shared" si="50"/>
        <v>23841.397597222225</v>
      </c>
      <c r="Q74" s="721">
        <f t="shared" si="50"/>
        <v>17591.469135802465</v>
      </c>
      <c r="R74" s="721">
        <f t="shared" si="50"/>
        <v>1013.7456790123456</v>
      </c>
      <c r="S74" s="722">
        <f t="shared" si="50"/>
        <v>42446.612412037037</v>
      </c>
      <c r="T74" s="723">
        <f t="shared" si="50"/>
        <v>0.58585030864197529</v>
      </c>
      <c r="U74" s="1007"/>
    </row>
    <row r="76" spans="1:21" x14ac:dyDescent="0.2">
      <c r="A76" s="982" t="str">
        <f>+'Take Off'!AE1</f>
        <v>Walls Prime/FRP</v>
      </c>
      <c r="B76" s="1093" t="str">
        <f>+A76</f>
        <v>Walls Prime/FRP</v>
      </c>
      <c r="C76" s="1093"/>
      <c r="D76" s="1093"/>
      <c r="E76" s="1093"/>
      <c r="F76" s="1093"/>
      <c r="G76" s="710">
        <f>+A77</f>
        <v>6042</v>
      </c>
      <c r="H76" s="711" t="str">
        <f>+A78</f>
        <v>SF</v>
      </c>
      <c r="I76" s="983"/>
      <c r="J76" s="983"/>
      <c r="K76" s="983"/>
      <c r="L76" s="983"/>
      <c r="M76" s="983"/>
      <c r="N76" s="983"/>
      <c r="O76" s="983"/>
      <c r="P76" s="983"/>
      <c r="Q76" s="983"/>
      <c r="R76" s="984"/>
      <c r="S76" s="984"/>
      <c r="T76" s="984"/>
      <c r="U76" s="984"/>
    </row>
    <row r="77" spans="1:21" ht="53" thickBot="1" x14ac:dyDescent="0.25">
      <c r="A77" s="982">
        <f>+'Take Off'!AE2</f>
        <v>6042</v>
      </c>
      <c r="B77" s="985" t="s">
        <v>209</v>
      </c>
      <c r="C77" s="986" t="s">
        <v>210</v>
      </c>
      <c r="D77" s="985" t="s">
        <v>211</v>
      </c>
      <c r="E77" s="986" t="s">
        <v>212</v>
      </c>
      <c r="F77" s="986" t="s">
        <v>213</v>
      </c>
      <c r="G77" s="987" t="s">
        <v>214</v>
      </c>
      <c r="H77" s="987" t="s">
        <v>215</v>
      </c>
      <c r="I77" s="987" t="s">
        <v>216</v>
      </c>
      <c r="J77" s="988" t="s">
        <v>217</v>
      </c>
      <c r="K77" s="988" t="s">
        <v>218</v>
      </c>
      <c r="L77" s="988" t="s">
        <v>219</v>
      </c>
      <c r="M77" s="988" t="s">
        <v>220</v>
      </c>
      <c r="N77" s="988" t="s">
        <v>221</v>
      </c>
      <c r="O77" s="988" t="s">
        <v>222</v>
      </c>
      <c r="P77" s="988" t="s">
        <v>223</v>
      </c>
      <c r="Q77" s="988" t="s">
        <v>213</v>
      </c>
      <c r="R77" s="988" t="s">
        <v>224</v>
      </c>
      <c r="S77" s="988" t="s">
        <v>31</v>
      </c>
      <c r="T77" s="988" t="s">
        <v>225</v>
      </c>
      <c r="U77" s="989">
        <v>10</v>
      </c>
    </row>
    <row r="78" spans="1:21" ht="16" thickBot="1" x14ac:dyDescent="0.25">
      <c r="A78" s="982" t="str">
        <f>+'Take Off'!AE3</f>
        <v>SF</v>
      </c>
      <c r="B78" s="712">
        <f>+A77</f>
        <v>6042</v>
      </c>
      <c r="C78" s="991"/>
      <c r="D78" s="1008"/>
      <c r="E78" s="993"/>
      <c r="F78" s="994"/>
      <c r="G78" s="995"/>
      <c r="H78" s="996"/>
      <c r="I78" s="995"/>
      <c r="J78" s="712">
        <f>IF(C78=0,0,B78/C78)</f>
        <v>0</v>
      </c>
      <c r="K78" s="714">
        <f>IF($G78="x",'Labor Calc'!$E$43,'Labor Calc'!$E$31)</f>
        <v>58.06944444444445</v>
      </c>
      <c r="L78" s="714">
        <f>IF($G78="x",'Labor Calc'!$F$43,'Labor Calc'!$F$31)</f>
        <v>62.358333333333327</v>
      </c>
      <c r="M78" s="714">
        <f>IF($G78="x",'Labor Calc'!$G$43,'Labor Calc'!$G$31)</f>
        <v>65.217592592592595</v>
      </c>
      <c r="N78" s="714">
        <f>IF(H78=40,K78,0)+IF(H78=50,L78,0)+IF(H78=60,M78,0)</f>
        <v>0</v>
      </c>
      <c r="O78" s="712">
        <f>IF(E78=0,0,B78/E78)</f>
        <v>0</v>
      </c>
      <c r="P78" s="715">
        <f>+J78*N78</f>
        <v>0</v>
      </c>
      <c r="Q78" s="715">
        <f>(+O78*F78)/(1-'OH&amp;P'!$C$5)</f>
        <v>0</v>
      </c>
      <c r="R78" s="715">
        <f>IF(I78="x",(J78*'Admin Set Up'!$B$17)/(1-'OH&amp;P'!$C$5),0)</f>
        <v>0</v>
      </c>
      <c r="S78" s="716">
        <f>SUM(P78:R78)</f>
        <v>0</v>
      </c>
      <c r="T78" s="717">
        <f>IF(B78=0,0,S78/B78)</f>
        <v>0</v>
      </c>
      <c r="U78" s="984"/>
    </row>
    <row r="79" spans="1:21" ht="16" hidden="1" thickBot="1" x14ac:dyDescent="0.25">
      <c r="A79" s="999"/>
      <c r="B79" s="713">
        <f>+B78</f>
        <v>6042</v>
      </c>
      <c r="C79" s="991"/>
      <c r="D79" s="1000"/>
      <c r="E79" s="1001"/>
      <c r="F79" s="1002"/>
      <c r="G79" s="995"/>
      <c r="H79" s="996"/>
      <c r="I79" s="995"/>
      <c r="J79" s="712">
        <f>IF(C79=0,0,B79/C79)</f>
        <v>0</v>
      </c>
      <c r="K79" s="714">
        <f>IF($G79="x",'Labor Calc'!$E$43,'Labor Calc'!$E$31)</f>
        <v>58.06944444444445</v>
      </c>
      <c r="L79" s="714">
        <f>IF($G79="x",'Labor Calc'!$F$43,'Labor Calc'!$F$31)</f>
        <v>62.358333333333327</v>
      </c>
      <c r="M79" s="714">
        <f>IF($G79="x",'Labor Calc'!$G$43,'Labor Calc'!$G$31)</f>
        <v>65.217592592592595</v>
      </c>
      <c r="N79" s="714">
        <f>IF(H79=40,K79,0)+IF(H79=50,L79,0)+IF(H79=60,M79,0)</f>
        <v>0</v>
      </c>
      <c r="O79" s="712">
        <f>IF(E79=0,0,B79/E79)</f>
        <v>0</v>
      </c>
      <c r="P79" s="715">
        <f>+J79*N79</f>
        <v>0</v>
      </c>
      <c r="Q79" s="715">
        <f>(+O79*F79)/(1-'OH&amp;P'!$C$5)</f>
        <v>0</v>
      </c>
      <c r="R79" s="715">
        <f>IF(I79="x",(J79*'Admin Set Up'!$B$17)/(1-'OH&amp;P'!$C$5),0)</f>
        <v>0</v>
      </c>
      <c r="S79" s="716">
        <f>SUM(P79:R79)</f>
        <v>0</v>
      </c>
      <c r="T79" s="717">
        <f>IF(B79=0,0,S79/B79)</f>
        <v>0</v>
      </c>
      <c r="U79" s="984"/>
    </row>
    <row r="80" spans="1:21" ht="16" thickBot="1" x14ac:dyDescent="0.25">
      <c r="A80" s="1003"/>
      <c r="B80" s="1004" t="s">
        <v>226</v>
      </c>
      <c r="C80" s="719"/>
      <c r="D80" s="1005" t="s">
        <v>227</v>
      </c>
      <c r="E80" s="1006"/>
      <c r="F80" s="1006"/>
      <c r="G80" s="1092" t="s">
        <v>101</v>
      </c>
      <c r="H80" s="1092"/>
      <c r="I80" s="1092"/>
      <c r="J80" s="718">
        <f>SUM(J78:J79)</f>
        <v>0</v>
      </c>
      <c r="K80" s="719"/>
      <c r="L80" s="719"/>
      <c r="M80" s="719"/>
      <c r="N80" s="719"/>
      <c r="O80" s="720">
        <f t="shared" ref="O80:T80" si="51">SUM(O78:O79)</f>
        <v>0</v>
      </c>
      <c r="P80" s="721">
        <f t="shared" si="51"/>
        <v>0</v>
      </c>
      <c r="Q80" s="721">
        <f t="shared" si="51"/>
        <v>0</v>
      </c>
      <c r="R80" s="721">
        <f t="shared" si="51"/>
        <v>0</v>
      </c>
      <c r="S80" s="722">
        <f t="shared" si="51"/>
        <v>0</v>
      </c>
      <c r="T80" s="723">
        <f t="shared" si="51"/>
        <v>0</v>
      </c>
      <c r="U80" s="1007"/>
    </row>
    <row r="82" spans="1:21" x14ac:dyDescent="0.2">
      <c r="A82" s="982" t="str">
        <f>+'Take Off'!AF1</f>
        <v>Caulk Transitions</v>
      </c>
      <c r="B82" s="1093" t="str">
        <f>+A82</f>
        <v>Caulk Transitions</v>
      </c>
      <c r="C82" s="1093"/>
      <c r="D82" s="1093"/>
      <c r="E82" s="1093"/>
      <c r="F82" s="1093"/>
      <c r="G82" s="710">
        <f>+A83</f>
        <v>6919</v>
      </c>
      <c r="H82" s="711" t="str">
        <f>+A84</f>
        <v>LF</v>
      </c>
      <c r="I82" s="983"/>
      <c r="J82" s="983"/>
      <c r="K82" s="983"/>
      <c r="L82" s="983"/>
      <c r="M82" s="983"/>
      <c r="N82" s="983"/>
      <c r="O82" s="983"/>
      <c r="P82" s="983"/>
      <c r="Q82" s="983"/>
      <c r="R82" s="984"/>
      <c r="S82" s="984"/>
      <c r="T82" s="984"/>
      <c r="U82" s="984"/>
    </row>
    <row r="83" spans="1:21" ht="53" thickBot="1" x14ac:dyDescent="0.25">
      <c r="A83" s="982">
        <f>+'Take Off'!AF2</f>
        <v>6919</v>
      </c>
      <c r="B83" s="985" t="s">
        <v>209</v>
      </c>
      <c r="C83" s="986" t="s">
        <v>210</v>
      </c>
      <c r="D83" s="985" t="s">
        <v>211</v>
      </c>
      <c r="E83" s="986" t="s">
        <v>212</v>
      </c>
      <c r="F83" s="986" t="s">
        <v>213</v>
      </c>
      <c r="G83" s="987" t="s">
        <v>214</v>
      </c>
      <c r="H83" s="987" t="s">
        <v>215</v>
      </c>
      <c r="I83" s="987" t="s">
        <v>216</v>
      </c>
      <c r="J83" s="988" t="s">
        <v>217</v>
      </c>
      <c r="K83" s="988" t="s">
        <v>218</v>
      </c>
      <c r="L83" s="988" t="s">
        <v>219</v>
      </c>
      <c r="M83" s="988" t="s">
        <v>220</v>
      </c>
      <c r="N83" s="988" t="s">
        <v>221</v>
      </c>
      <c r="O83" s="988" t="s">
        <v>222</v>
      </c>
      <c r="P83" s="988" t="s">
        <v>223</v>
      </c>
      <c r="Q83" s="988" t="s">
        <v>213</v>
      </c>
      <c r="R83" s="988" t="s">
        <v>224</v>
      </c>
      <c r="S83" s="988" t="s">
        <v>31</v>
      </c>
      <c r="T83" s="988" t="s">
        <v>225</v>
      </c>
      <c r="U83" s="989">
        <v>11</v>
      </c>
    </row>
    <row r="84" spans="1:21" ht="16" thickBot="1" x14ac:dyDescent="0.25">
      <c r="A84" s="982" t="str">
        <f>+'Take Off'!AF3</f>
        <v>LF</v>
      </c>
      <c r="B84" s="712">
        <f>+A83</f>
        <v>6919</v>
      </c>
      <c r="C84" s="991">
        <v>100</v>
      </c>
      <c r="D84" s="1008" t="s">
        <v>1018</v>
      </c>
      <c r="E84" s="993">
        <v>90</v>
      </c>
      <c r="F84" s="994">
        <v>4</v>
      </c>
      <c r="G84" s="995"/>
      <c r="H84" s="996">
        <v>40</v>
      </c>
      <c r="I84" s="995" t="s">
        <v>1013</v>
      </c>
      <c r="J84" s="712">
        <f>IF(C84=0,0,B84/C84)</f>
        <v>69.19</v>
      </c>
      <c r="K84" s="714">
        <f>IF($G84="x",'Labor Calc'!$E$43,'Labor Calc'!$E$31)</f>
        <v>58.06944444444445</v>
      </c>
      <c r="L84" s="714">
        <f>IF($G84="x",'Labor Calc'!$F$43,'Labor Calc'!$F$31)</f>
        <v>62.358333333333327</v>
      </c>
      <c r="M84" s="714">
        <f>IF($G84="x",'Labor Calc'!$G$43,'Labor Calc'!$G$31)</f>
        <v>65.217592592592595</v>
      </c>
      <c r="N84" s="714">
        <f>IF(H84=40,K84,0)+IF(H84=50,L84,0)+IF(H84=60,M84,0)</f>
        <v>58.06944444444445</v>
      </c>
      <c r="O84" s="712">
        <f>IF(E84=0,0,B84/E84)</f>
        <v>76.87777777777778</v>
      </c>
      <c r="P84" s="715">
        <f>+J84*N84</f>
        <v>4017.8248611111112</v>
      </c>
      <c r="Q84" s="715">
        <f>(+O84*F84)/(1-'OH&amp;P'!$C$5)</f>
        <v>379.64334705075447</v>
      </c>
      <c r="R84" s="715">
        <f>IF(I84="x",(J84*'Admin Set Up'!$B$17)/(1-'OH&amp;P'!$C$5),0)</f>
        <v>170.83950617283949</v>
      </c>
      <c r="S84" s="716">
        <f>SUM(P84:R84)</f>
        <v>4568.3077143347055</v>
      </c>
      <c r="T84" s="717">
        <f>IF(B84=0,0,S84/B84)</f>
        <v>0.66025548696844993</v>
      </c>
      <c r="U84" s="984"/>
    </row>
    <row r="85" spans="1:21" ht="16" thickBot="1" x14ac:dyDescent="0.25">
      <c r="A85" s="982"/>
      <c r="B85" s="712">
        <f>+B84</f>
        <v>6919</v>
      </c>
      <c r="C85" s="991">
        <v>50</v>
      </c>
      <c r="D85" s="1008" t="s">
        <v>369</v>
      </c>
      <c r="E85" s="998">
        <v>75</v>
      </c>
      <c r="F85" s="994">
        <v>5</v>
      </c>
      <c r="G85" s="995"/>
      <c r="H85" s="996">
        <v>40</v>
      </c>
      <c r="I85" s="995" t="s">
        <v>1013</v>
      </c>
      <c r="J85" s="712">
        <f>IF(C85=0,0,B85/C85)</f>
        <v>138.38</v>
      </c>
      <c r="K85" s="714">
        <f>IF($G85="x",'Labor Calc'!$E$43,'Labor Calc'!$E$31)</f>
        <v>58.06944444444445</v>
      </c>
      <c r="L85" s="714">
        <f>IF($G85="x",'Labor Calc'!$F$43,'Labor Calc'!$F$31)</f>
        <v>62.358333333333327</v>
      </c>
      <c r="M85" s="714">
        <f>IF($G85="x",'Labor Calc'!$G$43,'Labor Calc'!$G$31)</f>
        <v>65.217592592592595</v>
      </c>
      <c r="N85" s="714">
        <f>IF(H85=40,K85,0)+IF(H85=50,L85,0)+IF(H85=60,M85,0)</f>
        <v>58.06944444444445</v>
      </c>
      <c r="O85" s="712">
        <f>IF(E85=0,0,B85/E85)</f>
        <v>92.25333333333333</v>
      </c>
      <c r="P85" s="715">
        <f>+J85*N85</f>
        <v>8035.6497222222224</v>
      </c>
      <c r="Q85" s="715">
        <f>(+O85*F85)/(1-'OH&amp;P'!$C$5)</f>
        <v>569.46502057613168</v>
      </c>
      <c r="R85" s="715">
        <f>IF(I85="x",(J85*'Admin Set Up'!$B$17)/(1-'OH&amp;P'!$C$5),0)</f>
        <v>341.67901234567898</v>
      </c>
      <c r="S85" s="716">
        <f>SUM(P85:R85)</f>
        <v>8946.7937551440336</v>
      </c>
      <c r="T85" s="717">
        <f>IF(B85=0,0,S85/B85)</f>
        <v>1.293076131687243</v>
      </c>
      <c r="U85" s="984"/>
    </row>
    <row r="86" spans="1:21" ht="16" hidden="1" thickBot="1" x14ac:dyDescent="0.25">
      <c r="A86" s="999"/>
      <c r="B86" s="713">
        <f>+B84</f>
        <v>6919</v>
      </c>
      <c r="C86" s="991"/>
      <c r="D86" s="1000"/>
      <c r="E86" s="1001"/>
      <c r="F86" s="1002"/>
      <c r="G86" s="995"/>
      <c r="H86" s="996"/>
      <c r="I86" s="995"/>
      <c r="J86" s="712">
        <f>IF(C86=0,0,B86/C86)</f>
        <v>0</v>
      </c>
      <c r="K86" s="714">
        <f>IF($G86="x",'Labor Calc'!$E$43,'Labor Calc'!$E$31)</f>
        <v>58.06944444444445</v>
      </c>
      <c r="L86" s="714">
        <f>IF($G86="x",'Labor Calc'!$F$43,'Labor Calc'!$F$31)</f>
        <v>62.358333333333327</v>
      </c>
      <c r="M86" s="714">
        <f>IF($G86="x",'Labor Calc'!$G$43,'Labor Calc'!$G$31)</f>
        <v>65.217592592592595</v>
      </c>
      <c r="N86" s="714">
        <f>IF(H86=40,K86,0)+IF(H86=50,L86,0)+IF(H86=60,M86,0)</f>
        <v>0</v>
      </c>
      <c r="O86" s="712">
        <f>IF(E86=0,0,B86/E86)</f>
        <v>0</v>
      </c>
      <c r="P86" s="715">
        <f>+J86*N86</f>
        <v>0</v>
      </c>
      <c r="Q86" s="715">
        <f>(+O86*F86)/(1-'OH&amp;P'!$C$5)</f>
        <v>0</v>
      </c>
      <c r="R86" s="715">
        <f>IF(I86="x",(J86*'Admin Set Up'!$B$17)/(1-'OH&amp;P'!$C$5),0)</f>
        <v>0</v>
      </c>
      <c r="S86" s="716">
        <f>SUM(P86:R86)</f>
        <v>0</v>
      </c>
      <c r="T86" s="717">
        <f>IF(B86=0,0,S86/B86)</f>
        <v>0</v>
      </c>
      <c r="U86" s="984"/>
    </row>
    <row r="87" spans="1:21" ht="16" thickBot="1" x14ac:dyDescent="0.25">
      <c r="A87" s="1003"/>
      <c r="B87" s="1004" t="s">
        <v>226</v>
      </c>
      <c r="C87" s="719"/>
      <c r="D87" s="1005" t="s">
        <v>227</v>
      </c>
      <c r="E87" s="1006"/>
      <c r="F87" s="1006"/>
      <c r="G87" s="1092" t="s">
        <v>101</v>
      </c>
      <c r="H87" s="1092"/>
      <c r="I87" s="1092"/>
      <c r="J87" s="718">
        <f>SUM(J84:J86)</f>
        <v>207.57</v>
      </c>
      <c r="K87" s="719"/>
      <c r="L87" s="719"/>
      <c r="M87" s="719"/>
      <c r="N87" s="719"/>
      <c r="O87" s="720">
        <f t="shared" ref="O87:T87" si="52">SUM(O84:O86)</f>
        <v>169.13111111111112</v>
      </c>
      <c r="P87" s="721">
        <f t="shared" si="52"/>
        <v>12053.474583333333</v>
      </c>
      <c r="Q87" s="721">
        <f t="shared" si="52"/>
        <v>949.10836762688609</v>
      </c>
      <c r="R87" s="721">
        <f t="shared" si="52"/>
        <v>512.51851851851848</v>
      </c>
      <c r="S87" s="722">
        <f t="shared" si="52"/>
        <v>13515.101469478739</v>
      </c>
      <c r="T87" s="723">
        <f t="shared" si="52"/>
        <v>1.9533316186556928</v>
      </c>
      <c r="U87" s="1007"/>
    </row>
    <row r="89" spans="1:21" x14ac:dyDescent="0.2">
      <c r="A89" s="982" t="str">
        <f>+'Take Off'!AG1</f>
        <v>G/R Systems</v>
      </c>
      <c r="B89" s="1093" t="str">
        <f>+A89</f>
        <v>G/R Systems</v>
      </c>
      <c r="C89" s="1093"/>
      <c r="D89" s="1093"/>
      <c r="E89" s="1093"/>
      <c r="F89" s="1093"/>
      <c r="G89" s="710">
        <f>+A90</f>
        <v>2736</v>
      </c>
      <c r="H89" s="711" t="str">
        <f>+A91</f>
        <v>LF</v>
      </c>
      <c r="I89" s="983"/>
      <c r="J89" s="983"/>
      <c r="K89" s="983"/>
      <c r="L89" s="983"/>
      <c r="M89" s="983"/>
      <c r="N89" s="983"/>
      <c r="O89" s="983"/>
      <c r="P89" s="983"/>
      <c r="Q89" s="983"/>
      <c r="R89" s="984"/>
      <c r="S89" s="984"/>
      <c r="T89" s="984"/>
      <c r="U89" s="984"/>
    </row>
    <row r="90" spans="1:21" ht="53" thickBot="1" x14ac:dyDescent="0.25">
      <c r="A90" s="982">
        <f>+'Take Off'!AG2</f>
        <v>2736</v>
      </c>
      <c r="B90" s="985" t="s">
        <v>209</v>
      </c>
      <c r="C90" s="986" t="s">
        <v>210</v>
      </c>
      <c r="D90" s="985" t="s">
        <v>211</v>
      </c>
      <c r="E90" s="986" t="s">
        <v>212</v>
      </c>
      <c r="F90" s="986" t="s">
        <v>213</v>
      </c>
      <c r="G90" s="987" t="s">
        <v>214</v>
      </c>
      <c r="H90" s="987" t="s">
        <v>215</v>
      </c>
      <c r="I90" s="987" t="s">
        <v>216</v>
      </c>
      <c r="J90" s="988" t="s">
        <v>217</v>
      </c>
      <c r="K90" s="988" t="s">
        <v>218</v>
      </c>
      <c r="L90" s="988" t="s">
        <v>219</v>
      </c>
      <c r="M90" s="988" t="s">
        <v>220</v>
      </c>
      <c r="N90" s="988" t="s">
        <v>221</v>
      </c>
      <c r="O90" s="988" t="s">
        <v>222</v>
      </c>
      <c r="P90" s="988" t="s">
        <v>223</v>
      </c>
      <c r="Q90" s="988" t="s">
        <v>213</v>
      </c>
      <c r="R90" s="988" t="s">
        <v>224</v>
      </c>
      <c r="S90" s="988" t="s">
        <v>31</v>
      </c>
      <c r="T90" s="988" t="s">
        <v>225</v>
      </c>
      <c r="U90" s="989">
        <v>12</v>
      </c>
    </row>
    <row r="91" spans="1:21" ht="16" thickBot="1" x14ac:dyDescent="0.25">
      <c r="A91" s="982" t="str">
        <f>+'Take Off'!AG3</f>
        <v>LF</v>
      </c>
      <c r="B91" s="712">
        <f>+A90</f>
        <v>2736</v>
      </c>
      <c r="C91" s="991">
        <v>200</v>
      </c>
      <c r="D91" s="1008" t="s">
        <v>1019</v>
      </c>
      <c r="E91" s="993">
        <v>500</v>
      </c>
      <c r="F91" s="994">
        <v>40</v>
      </c>
      <c r="G91" s="995"/>
      <c r="H91" s="996">
        <v>40</v>
      </c>
      <c r="I91" s="995" t="s">
        <v>1013</v>
      </c>
      <c r="J91" s="712">
        <f>IF(C91=0,0,B91/C91)</f>
        <v>13.68</v>
      </c>
      <c r="K91" s="714">
        <f>IF($G91="x",'Labor Calc'!$E$43,'Labor Calc'!$E$31)</f>
        <v>58.06944444444445</v>
      </c>
      <c r="L91" s="714">
        <f>IF($G91="x",'Labor Calc'!$F$43,'Labor Calc'!$F$31)</f>
        <v>62.358333333333327</v>
      </c>
      <c r="M91" s="714">
        <f>IF($G91="x",'Labor Calc'!$G$43,'Labor Calc'!$G$31)</f>
        <v>65.217592592592595</v>
      </c>
      <c r="N91" s="714">
        <f>IF(H91=40,K91,0)+IF(H91=50,L91,0)+IF(H91=60,M91,0)</f>
        <v>58.06944444444445</v>
      </c>
      <c r="O91" s="712">
        <f>IF(E91=0,0,B91/E91)</f>
        <v>5.4720000000000004</v>
      </c>
      <c r="P91" s="715">
        <f>+J91*N91</f>
        <v>794.3900000000001</v>
      </c>
      <c r="Q91" s="715">
        <f>(+O91*F91)/(1-'OH&amp;P'!$C$5)</f>
        <v>270.22222222222223</v>
      </c>
      <c r="R91" s="715">
        <f>IF(I91="x",(J91*'Admin Set Up'!$B$17)/(1-'OH&amp;P'!$C$5),0)</f>
        <v>33.777777777777771</v>
      </c>
      <c r="S91" s="716">
        <f>SUM(P91:R91)</f>
        <v>1098.3900000000001</v>
      </c>
      <c r="T91" s="717">
        <f>IF(B91=0,0,S91/B91)</f>
        <v>0.40145833333333336</v>
      </c>
      <c r="U91" s="984"/>
    </row>
    <row r="92" spans="1:21" ht="16" thickBot="1" x14ac:dyDescent="0.25">
      <c r="A92" s="982"/>
      <c r="B92" s="712">
        <f>+B91</f>
        <v>2736</v>
      </c>
      <c r="C92" s="991">
        <v>200</v>
      </c>
      <c r="D92" s="1008" t="s">
        <v>1020</v>
      </c>
      <c r="E92" s="998">
        <v>400</v>
      </c>
      <c r="F92" s="994">
        <v>40</v>
      </c>
      <c r="G92" s="995"/>
      <c r="H92" s="996">
        <v>40</v>
      </c>
      <c r="I92" s="995" t="s">
        <v>1013</v>
      </c>
      <c r="J92" s="712">
        <f>IF(C92=0,0,B92/C92)</f>
        <v>13.68</v>
      </c>
      <c r="K92" s="714">
        <f>IF($G92="x",'Labor Calc'!$E$43,'Labor Calc'!$E$31)</f>
        <v>58.06944444444445</v>
      </c>
      <c r="L92" s="714">
        <f>IF($G92="x",'Labor Calc'!$F$43,'Labor Calc'!$F$31)</f>
        <v>62.358333333333327</v>
      </c>
      <c r="M92" s="714">
        <f>IF($G92="x",'Labor Calc'!$G$43,'Labor Calc'!$G$31)</f>
        <v>65.217592592592595</v>
      </c>
      <c r="N92" s="714">
        <f>IF(H92=40,K92,0)+IF(H92=50,L92,0)+IF(H92=60,M92,0)</f>
        <v>58.06944444444445</v>
      </c>
      <c r="O92" s="712">
        <f>IF(E92=0,0,B92/E92)</f>
        <v>6.84</v>
      </c>
      <c r="P92" s="715">
        <f>+J92*N92</f>
        <v>794.3900000000001</v>
      </c>
      <c r="Q92" s="715">
        <f>(+O92*F92)/(1-'OH&amp;P'!$C$5)</f>
        <v>337.77777777777777</v>
      </c>
      <c r="R92" s="715">
        <f>IF(I92="x",(J92*'Admin Set Up'!$B$17)/(1-'OH&amp;P'!$C$5),0)</f>
        <v>33.777777777777771</v>
      </c>
      <c r="S92" s="716">
        <f>SUM(P92:R92)</f>
        <v>1165.9455555555558</v>
      </c>
      <c r="T92" s="717">
        <f>IF(B92=0,0,S92/B92)</f>
        <v>0.42614969135802477</v>
      </c>
      <c r="U92" s="984"/>
    </row>
    <row r="93" spans="1:21" ht="16" thickBot="1" x14ac:dyDescent="0.25">
      <c r="A93" s="982"/>
      <c r="B93" s="712">
        <f>+B92</f>
        <v>2736</v>
      </c>
      <c r="C93" s="991">
        <v>150</v>
      </c>
      <c r="D93" s="1008" t="s">
        <v>1020</v>
      </c>
      <c r="E93" s="998">
        <v>400</v>
      </c>
      <c r="F93" s="994">
        <v>40</v>
      </c>
      <c r="G93" s="995"/>
      <c r="H93" s="996">
        <v>40</v>
      </c>
      <c r="I93" s="995" t="s">
        <v>1013</v>
      </c>
      <c r="J93" s="712">
        <f>IF(C93=0,0,B93/C93)</f>
        <v>18.239999999999998</v>
      </c>
      <c r="K93" s="714">
        <f>IF($G93="x",'Labor Calc'!$E$43,'Labor Calc'!$E$31)</f>
        <v>58.06944444444445</v>
      </c>
      <c r="L93" s="714">
        <f>IF($G93="x",'Labor Calc'!$F$43,'Labor Calc'!$F$31)</f>
        <v>62.358333333333327</v>
      </c>
      <c r="M93" s="714">
        <f>IF($G93="x",'Labor Calc'!$G$43,'Labor Calc'!$G$31)</f>
        <v>65.217592592592595</v>
      </c>
      <c r="N93" s="714">
        <f>IF(H93=40,K93,0)+IF(H93=50,L93,0)+IF(H93=60,M93,0)</f>
        <v>58.06944444444445</v>
      </c>
      <c r="O93" s="712">
        <f>IF(E93=0,0,B93/E93)</f>
        <v>6.84</v>
      </c>
      <c r="P93" s="715">
        <f>+J93*N93</f>
        <v>1059.1866666666667</v>
      </c>
      <c r="Q93" s="715">
        <f>(+O93*F93)/(1-'OH&amp;P'!$C$5)</f>
        <v>337.77777777777777</v>
      </c>
      <c r="R93" s="715">
        <f>IF(I93="x",(J93*'Admin Set Up'!$B$17)/(1-'OH&amp;P'!$C$5),0)</f>
        <v>45.037037037037031</v>
      </c>
      <c r="S93" s="716">
        <f>SUM(P93:R93)</f>
        <v>1442.0014814814815</v>
      </c>
      <c r="T93" s="717">
        <f>IF(B93=0,0,S93/B93)</f>
        <v>0.52704732510288066</v>
      </c>
      <c r="U93" s="984"/>
    </row>
    <row r="94" spans="1:21" ht="16" hidden="1" thickBot="1" x14ac:dyDescent="0.25">
      <c r="A94" s="999"/>
      <c r="B94" s="713">
        <f>+B91</f>
        <v>2736</v>
      </c>
      <c r="C94" s="991"/>
      <c r="D94" s="1000"/>
      <c r="E94" s="1001"/>
      <c r="F94" s="1002"/>
      <c r="G94" s="995"/>
      <c r="H94" s="996"/>
      <c r="I94" s="995"/>
      <c r="J94" s="712">
        <f>IF(C94=0,0,B94/C94)</f>
        <v>0</v>
      </c>
      <c r="K94" s="714">
        <f>IF($G94="x",'Labor Calc'!$E$43,'Labor Calc'!$E$31)</f>
        <v>58.06944444444445</v>
      </c>
      <c r="L94" s="714">
        <f>IF($G94="x",'Labor Calc'!$F$43,'Labor Calc'!$F$31)</f>
        <v>62.358333333333327</v>
      </c>
      <c r="M94" s="714">
        <f>IF($G94="x",'Labor Calc'!$G$43,'Labor Calc'!$G$31)</f>
        <v>65.217592592592595</v>
      </c>
      <c r="N94" s="714">
        <f>IF(H94=40,K94,0)+IF(H94=50,L94,0)+IF(H94=60,M94,0)</f>
        <v>0</v>
      </c>
      <c r="O94" s="712">
        <f>IF(E94=0,0,B94/E94)</f>
        <v>0</v>
      </c>
      <c r="P94" s="715">
        <f>+J94*N94</f>
        <v>0</v>
      </c>
      <c r="Q94" s="715">
        <f>(+O94*F94)/(1-'OH&amp;P'!$C$5)</f>
        <v>0</v>
      </c>
      <c r="R94" s="715">
        <f>IF(I94="x",(J94*'Admin Set Up'!$B$17)/(1-'OH&amp;P'!$C$5),0)</f>
        <v>0</v>
      </c>
      <c r="S94" s="716">
        <f>SUM(P94:R94)</f>
        <v>0</v>
      </c>
      <c r="T94" s="717">
        <f>IF(B94=0,0,S94/B94)</f>
        <v>0</v>
      </c>
      <c r="U94" s="984"/>
    </row>
    <row r="95" spans="1:21" ht="16" thickBot="1" x14ac:dyDescent="0.25">
      <c r="A95" s="1003"/>
      <c r="B95" s="1004" t="s">
        <v>226</v>
      </c>
      <c r="C95" s="719"/>
      <c r="D95" s="1005" t="s">
        <v>227</v>
      </c>
      <c r="E95" s="1006"/>
      <c r="F95" s="1006"/>
      <c r="G95" s="1092" t="s">
        <v>101</v>
      </c>
      <c r="H95" s="1092"/>
      <c r="I95" s="1092"/>
      <c r="J95" s="718">
        <f>SUM(J91:J94)</f>
        <v>45.599999999999994</v>
      </c>
      <c r="K95" s="719"/>
      <c r="L95" s="719"/>
      <c r="M95" s="719"/>
      <c r="N95" s="719"/>
      <c r="O95" s="720">
        <f t="shared" ref="O95:T95" si="53">SUM(O91:O94)</f>
        <v>19.152000000000001</v>
      </c>
      <c r="P95" s="721">
        <f t="shared" si="53"/>
        <v>2647.9666666666672</v>
      </c>
      <c r="Q95" s="721">
        <f t="shared" si="53"/>
        <v>945.77777777777783</v>
      </c>
      <c r="R95" s="721">
        <f t="shared" si="53"/>
        <v>112.59259259259258</v>
      </c>
      <c r="S95" s="722">
        <f t="shared" si="53"/>
        <v>3706.3370370370376</v>
      </c>
      <c r="T95" s="723">
        <f t="shared" si="53"/>
        <v>1.3546553497942388</v>
      </c>
      <c r="U95" s="1007"/>
    </row>
    <row r="97" spans="1:21" x14ac:dyDescent="0.2">
      <c r="A97" s="982" t="str">
        <f>+'Take Off'!AH1</f>
        <v>Bollards</v>
      </c>
      <c r="B97" s="1093" t="str">
        <f>+A97</f>
        <v>Bollards</v>
      </c>
      <c r="C97" s="1093"/>
      <c r="D97" s="1093"/>
      <c r="E97" s="1093"/>
      <c r="F97" s="1093"/>
      <c r="G97" s="710">
        <f>+A98</f>
        <v>14</v>
      </c>
      <c r="H97" s="711" t="str">
        <f>+A99</f>
        <v>EA</v>
      </c>
      <c r="I97" s="983"/>
      <c r="J97" s="983"/>
      <c r="K97" s="983"/>
      <c r="L97" s="983"/>
      <c r="M97" s="983"/>
      <c r="N97" s="983"/>
      <c r="O97" s="983"/>
      <c r="P97" s="983"/>
      <c r="Q97" s="983"/>
      <c r="R97" s="984"/>
      <c r="S97" s="984"/>
      <c r="T97" s="984"/>
      <c r="U97" s="984"/>
    </row>
    <row r="98" spans="1:21" ht="53" thickBot="1" x14ac:dyDescent="0.25">
      <c r="A98" s="982">
        <f>+'Take Off'!AH2</f>
        <v>14</v>
      </c>
      <c r="B98" s="985" t="s">
        <v>209</v>
      </c>
      <c r="C98" s="986" t="s">
        <v>210</v>
      </c>
      <c r="D98" s="985" t="s">
        <v>211</v>
      </c>
      <c r="E98" s="986" t="s">
        <v>212</v>
      </c>
      <c r="F98" s="986" t="s">
        <v>213</v>
      </c>
      <c r="G98" s="987" t="s">
        <v>214</v>
      </c>
      <c r="H98" s="987" t="s">
        <v>215</v>
      </c>
      <c r="I98" s="987" t="s">
        <v>216</v>
      </c>
      <c r="J98" s="988" t="s">
        <v>217</v>
      </c>
      <c r="K98" s="988" t="s">
        <v>218</v>
      </c>
      <c r="L98" s="988" t="s">
        <v>219</v>
      </c>
      <c r="M98" s="988" t="s">
        <v>220</v>
      </c>
      <c r="N98" s="988" t="s">
        <v>221</v>
      </c>
      <c r="O98" s="988" t="s">
        <v>222</v>
      </c>
      <c r="P98" s="988" t="s">
        <v>223</v>
      </c>
      <c r="Q98" s="988" t="s">
        <v>213</v>
      </c>
      <c r="R98" s="988" t="s">
        <v>224</v>
      </c>
      <c r="S98" s="988" t="s">
        <v>31</v>
      </c>
      <c r="T98" s="988" t="s">
        <v>225</v>
      </c>
      <c r="U98" s="989">
        <v>13</v>
      </c>
    </row>
    <row r="99" spans="1:21" ht="16" thickBot="1" x14ac:dyDescent="0.25">
      <c r="A99" s="982" t="str">
        <f>+'Take Off'!AH3</f>
        <v>EA</v>
      </c>
      <c r="B99" s="712">
        <f>+A98</f>
        <v>14</v>
      </c>
      <c r="C99" s="991">
        <v>3</v>
      </c>
      <c r="D99" s="1008" t="s">
        <v>1019</v>
      </c>
      <c r="E99" s="993">
        <v>20</v>
      </c>
      <c r="F99" s="994">
        <v>40</v>
      </c>
      <c r="G99" s="995"/>
      <c r="H99" s="996">
        <v>40</v>
      </c>
      <c r="I99" s="995" t="s">
        <v>1013</v>
      </c>
      <c r="J99" s="712">
        <f>IF(C99=0,0,B99/C99)</f>
        <v>4.666666666666667</v>
      </c>
      <c r="K99" s="714">
        <f>IF($G99="x",'Labor Calc'!$E$43,'Labor Calc'!$E$31)</f>
        <v>58.06944444444445</v>
      </c>
      <c r="L99" s="714">
        <f>IF($G99="x",'Labor Calc'!$F$43,'Labor Calc'!$F$31)</f>
        <v>62.358333333333327</v>
      </c>
      <c r="M99" s="714">
        <f>IF($G99="x",'Labor Calc'!$G$43,'Labor Calc'!$G$31)</f>
        <v>65.217592592592595</v>
      </c>
      <c r="N99" s="714">
        <f>IF(H99=40,K99,0)+IF(H99=50,L99,0)+IF(H99=60,M99,0)</f>
        <v>58.06944444444445</v>
      </c>
      <c r="O99" s="712">
        <f>IF(E99=0,0,B99/E99)</f>
        <v>0.7</v>
      </c>
      <c r="P99" s="715">
        <f>+J99*N99</f>
        <v>270.99074074074076</v>
      </c>
      <c r="Q99" s="715">
        <f>(+O99*F99)/(1-'OH&amp;P'!$C$5)</f>
        <v>34.567901234567898</v>
      </c>
      <c r="R99" s="715">
        <f>IF(I99="x",(J99*'Admin Set Up'!$B$17)/(1-'OH&amp;P'!$C$5),0)</f>
        <v>11.522633744855968</v>
      </c>
      <c r="S99" s="716">
        <f>SUM(P99:R99)</f>
        <v>317.08127572016463</v>
      </c>
      <c r="T99" s="717">
        <f>IF(B99=0,0,S99/B99)</f>
        <v>22.648662551440331</v>
      </c>
      <c r="U99" s="984"/>
    </row>
    <row r="100" spans="1:21" ht="16" thickBot="1" x14ac:dyDescent="0.25">
      <c r="A100" s="982"/>
      <c r="B100" s="712">
        <f>+B99</f>
        <v>14</v>
      </c>
      <c r="C100" s="991">
        <v>3</v>
      </c>
      <c r="D100" s="1008" t="s">
        <v>1020</v>
      </c>
      <c r="E100" s="998">
        <v>20</v>
      </c>
      <c r="F100" s="994">
        <v>40</v>
      </c>
      <c r="G100" s="995"/>
      <c r="H100" s="996">
        <v>40</v>
      </c>
      <c r="I100" s="995" t="s">
        <v>1013</v>
      </c>
      <c r="J100" s="712">
        <f>IF(C100=0,0,B100/C100)</f>
        <v>4.666666666666667</v>
      </c>
      <c r="K100" s="714">
        <f>IF($G100="x",'Labor Calc'!$E$43,'Labor Calc'!$E$31)</f>
        <v>58.06944444444445</v>
      </c>
      <c r="L100" s="714">
        <f>IF($G100="x",'Labor Calc'!$F$43,'Labor Calc'!$F$31)</f>
        <v>62.358333333333327</v>
      </c>
      <c r="M100" s="714">
        <f>IF($G100="x",'Labor Calc'!$G$43,'Labor Calc'!$G$31)</f>
        <v>65.217592592592595</v>
      </c>
      <c r="N100" s="714">
        <f>IF(H100=40,K100,0)+IF(H100=50,L100,0)+IF(H100=60,M100,0)</f>
        <v>58.06944444444445</v>
      </c>
      <c r="O100" s="712">
        <f>IF(E100=0,0,B100/E100)</f>
        <v>0.7</v>
      </c>
      <c r="P100" s="715">
        <f>+J100*N100</f>
        <v>270.99074074074076</v>
      </c>
      <c r="Q100" s="715">
        <f>(+O100*F100)/(1-'OH&amp;P'!$C$5)</f>
        <v>34.567901234567898</v>
      </c>
      <c r="R100" s="715">
        <f>IF(I100="x",(J100*'Admin Set Up'!$B$17)/(1-'OH&amp;P'!$C$5),0)</f>
        <v>11.522633744855968</v>
      </c>
      <c r="S100" s="716">
        <f>SUM(P100:R100)</f>
        <v>317.08127572016463</v>
      </c>
      <c r="T100" s="717">
        <f>IF(B100=0,0,S100/B100)</f>
        <v>22.648662551440331</v>
      </c>
      <c r="U100" s="984"/>
    </row>
    <row r="101" spans="1:21" ht="16" thickBot="1" x14ac:dyDescent="0.25">
      <c r="A101" s="982"/>
      <c r="B101" s="712">
        <f>+B100</f>
        <v>14</v>
      </c>
      <c r="C101" s="991">
        <v>2</v>
      </c>
      <c r="D101" s="1008" t="s">
        <v>1020</v>
      </c>
      <c r="E101" s="998">
        <v>20</v>
      </c>
      <c r="F101" s="994">
        <v>40</v>
      </c>
      <c r="G101" s="995"/>
      <c r="H101" s="996">
        <v>40</v>
      </c>
      <c r="I101" s="995" t="s">
        <v>1013</v>
      </c>
      <c r="J101" s="712">
        <f>IF(C101=0,0,B101/C101)</f>
        <v>7</v>
      </c>
      <c r="K101" s="714">
        <f>IF($G101="x",'Labor Calc'!$E$43,'Labor Calc'!$E$31)</f>
        <v>58.06944444444445</v>
      </c>
      <c r="L101" s="714">
        <f>IF($G101="x",'Labor Calc'!$F$43,'Labor Calc'!$F$31)</f>
        <v>62.358333333333327</v>
      </c>
      <c r="M101" s="714">
        <f>IF($G101="x",'Labor Calc'!$G$43,'Labor Calc'!$G$31)</f>
        <v>65.217592592592595</v>
      </c>
      <c r="N101" s="714">
        <f>IF(H101=40,K101,0)+IF(H101=50,L101,0)+IF(H101=60,M101,0)</f>
        <v>58.06944444444445</v>
      </c>
      <c r="O101" s="712">
        <f>IF(E101=0,0,B101/E101)</f>
        <v>0.7</v>
      </c>
      <c r="P101" s="715">
        <f>+J101*N101</f>
        <v>406.48611111111114</v>
      </c>
      <c r="Q101" s="715">
        <f>(+O101*F101)/(1-'OH&amp;P'!$C$5)</f>
        <v>34.567901234567898</v>
      </c>
      <c r="R101" s="715">
        <f>IF(I101="x",(J101*'Admin Set Up'!$B$17)/(1-'OH&amp;P'!$C$5),0)</f>
        <v>17.283950617283949</v>
      </c>
      <c r="S101" s="716">
        <f>SUM(P101:R101)</f>
        <v>458.33796296296299</v>
      </c>
      <c r="T101" s="717">
        <f>IF(B101=0,0,S101/B101)</f>
        <v>32.738425925925931</v>
      </c>
      <c r="U101" s="984"/>
    </row>
    <row r="102" spans="1:21" ht="16" hidden="1" thickBot="1" x14ac:dyDescent="0.25">
      <c r="A102" s="999"/>
      <c r="B102" s="713">
        <f>+B99</f>
        <v>14</v>
      </c>
      <c r="C102" s="991"/>
      <c r="D102" s="1000"/>
      <c r="E102" s="1001"/>
      <c r="F102" s="1002"/>
      <c r="G102" s="995"/>
      <c r="H102" s="996"/>
      <c r="I102" s="995"/>
      <c r="J102" s="712">
        <f>IF(C102=0,0,B102/C102)</f>
        <v>0</v>
      </c>
      <c r="K102" s="714">
        <f>IF($G102="x",'Labor Calc'!$E$43,'Labor Calc'!$E$31)</f>
        <v>58.06944444444445</v>
      </c>
      <c r="L102" s="714">
        <f>IF($G102="x",'Labor Calc'!$F$43,'Labor Calc'!$F$31)</f>
        <v>62.358333333333327</v>
      </c>
      <c r="M102" s="714">
        <f>IF($G102="x",'Labor Calc'!$G$43,'Labor Calc'!$G$31)</f>
        <v>65.217592592592595</v>
      </c>
      <c r="N102" s="714">
        <f>IF(H102=40,K102,0)+IF(H102=50,L102,0)+IF(H102=60,M102,0)</f>
        <v>0</v>
      </c>
      <c r="O102" s="712">
        <f>IF(E102=0,0,B102/E102)</f>
        <v>0</v>
      </c>
      <c r="P102" s="715">
        <f>+J102*N102</f>
        <v>0</v>
      </c>
      <c r="Q102" s="715">
        <f>(+O102*F102)/(1-'OH&amp;P'!$C$5)</f>
        <v>0</v>
      </c>
      <c r="R102" s="715">
        <f>IF(I102="x",(J102*'Admin Set Up'!$B$17)/(1-'OH&amp;P'!$C$5),0)</f>
        <v>0</v>
      </c>
      <c r="S102" s="716">
        <f>SUM(P102:R102)</f>
        <v>0</v>
      </c>
      <c r="T102" s="717">
        <f>IF(B102=0,0,S102/B102)</f>
        <v>0</v>
      </c>
      <c r="U102" s="984"/>
    </row>
    <row r="103" spans="1:21" ht="16" thickBot="1" x14ac:dyDescent="0.25">
      <c r="A103" s="1003"/>
      <c r="B103" s="1004" t="s">
        <v>226</v>
      </c>
      <c r="C103" s="719"/>
      <c r="D103" s="1005" t="s">
        <v>227</v>
      </c>
      <c r="E103" s="1006"/>
      <c r="F103" s="1006"/>
      <c r="G103" s="1092" t="s">
        <v>101</v>
      </c>
      <c r="H103" s="1092"/>
      <c r="I103" s="1092"/>
      <c r="J103" s="718">
        <f>SUM(J99:J102)</f>
        <v>16.333333333333336</v>
      </c>
      <c r="K103" s="719"/>
      <c r="L103" s="719"/>
      <c r="M103" s="719"/>
      <c r="N103" s="719"/>
      <c r="O103" s="720">
        <f t="shared" ref="O103:T103" si="54">SUM(O99:O102)</f>
        <v>2.0999999999999996</v>
      </c>
      <c r="P103" s="721">
        <f t="shared" si="54"/>
        <v>948.46759259259261</v>
      </c>
      <c r="Q103" s="721">
        <f t="shared" si="54"/>
        <v>103.7037037037037</v>
      </c>
      <c r="R103" s="721">
        <f t="shared" si="54"/>
        <v>40.329218106995881</v>
      </c>
      <c r="S103" s="722">
        <f t="shared" si="54"/>
        <v>1092.5005144032923</v>
      </c>
      <c r="T103" s="723">
        <f t="shared" si="54"/>
        <v>78.035751028806601</v>
      </c>
      <c r="U103" s="1007"/>
    </row>
    <row r="105" spans="1:21" x14ac:dyDescent="0.2">
      <c r="A105" s="982" t="str">
        <f>+'Take Off'!AI1</f>
        <v>Garage Walls - Tansitional (Conc)</v>
      </c>
      <c r="B105" s="1093" t="str">
        <f>+A105</f>
        <v>Garage Walls - Tansitional (Conc)</v>
      </c>
      <c r="C105" s="1093"/>
      <c r="D105" s="1093"/>
      <c r="E105" s="1093"/>
      <c r="F105" s="1093"/>
      <c r="G105" s="710">
        <f>+A106</f>
        <v>5463</v>
      </c>
      <c r="H105" s="711" t="str">
        <f>+A107</f>
        <v>SF</v>
      </c>
      <c r="I105" s="983"/>
      <c r="J105" s="983"/>
      <c r="K105" s="983"/>
      <c r="L105" s="983"/>
      <c r="M105" s="983"/>
      <c r="N105" s="983"/>
      <c r="O105" s="983"/>
      <c r="P105" s="983"/>
      <c r="Q105" s="983"/>
      <c r="R105" s="984"/>
      <c r="S105" s="984"/>
      <c r="T105" s="984"/>
      <c r="U105" s="984"/>
    </row>
    <row r="106" spans="1:21" ht="53" thickBot="1" x14ac:dyDescent="0.25">
      <c r="A106" s="982">
        <f>+'Take Off'!AI2</f>
        <v>5463</v>
      </c>
      <c r="B106" s="985" t="s">
        <v>209</v>
      </c>
      <c r="C106" s="986" t="s">
        <v>210</v>
      </c>
      <c r="D106" s="985" t="s">
        <v>211</v>
      </c>
      <c r="E106" s="986" t="s">
        <v>212</v>
      </c>
      <c r="F106" s="986" t="s">
        <v>213</v>
      </c>
      <c r="G106" s="987" t="s">
        <v>214</v>
      </c>
      <c r="H106" s="987" t="s">
        <v>215</v>
      </c>
      <c r="I106" s="987" t="s">
        <v>216</v>
      </c>
      <c r="J106" s="988" t="s">
        <v>217</v>
      </c>
      <c r="K106" s="988" t="s">
        <v>218</v>
      </c>
      <c r="L106" s="988" t="s">
        <v>219</v>
      </c>
      <c r="M106" s="988" t="s">
        <v>220</v>
      </c>
      <c r="N106" s="988" t="s">
        <v>221</v>
      </c>
      <c r="O106" s="988" t="s">
        <v>222</v>
      </c>
      <c r="P106" s="988" t="s">
        <v>223</v>
      </c>
      <c r="Q106" s="988" t="s">
        <v>213</v>
      </c>
      <c r="R106" s="988" t="s">
        <v>224</v>
      </c>
      <c r="S106" s="988" t="s">
        <v>31</v>
      </c>
      <c r="T106" s="988" t="s">
        <v>225</v>
      </c>
      <c r="U106" s="989">
        <v>14</v>
      </c>
    </row>
    <row r="107" spans="1:21" ht="16" thickBot="1" x14ac:dyDescent="0.25">
      <c r="A107" s="982" t="str">
        <f>+'Take Off'!AI3</f>
        <v>SF</v>
      </c>
      <c r="B107" s="712">
        <f>+A106</f>
        <v>5463</v>
      </c>
      <c r="C107" s="991">
        <v>350</v>
      </c>
      <c r="D107" s="1008" t="s">
        <v>1019</v>
      </c>
      <c r="E107" s="993">
        <v>200</v>
      </c>
      <c r="F107" s="994">
        <v>40</v>
      </c>
      <c r="G107" s="995"/>
      <c r="H107" s="996">
        <v>40</v>
      </c>
      <c r="I107" s="995" t="s">
        <v>1013</v>
      </c>
      <c r="J107" s="712">
        <f>IF(C107=0,0,B107/C107)</f>
        <v>15.608571428571429</v>
      </c>
      <c r="K107" s="714">
        <f>IF($G107="x",'Labor Calc'!$E$43,'Labor Calc'!$E$31)</f>
        <v>58.06944444444445</v>
      </c>
      <c r="L107" s="714">
        <f>IF($G107="x",'Labor Calc'!$F$43,'Labor Calc'!$F$31)</f>
        <v>62.358333333333327</v>
      </c>
      <c r="M107" s="714">
        <f>IF($G107="x",'Labor Calc'!$G$43,'Labor Calc'!$G$31)</f>
        <v>65.217592592592595</v>
      </c>
      <c r="N107" s="714">
        <f>IF(H107=40,K107,0)+IF(H107=50,L107,0)+IF(H107=60,M107,0)</f>
        <v>58.06944444444445</v>
      </c>
      <c r="O107" s="712">
        <f>IF(E107=0,0,B107/E107)</f>
        <v>27.315000000000001</v>
      </c>
      <c r="P107" s="715">
        <f>+J107*N107</f>
        <v>906.38107142857154</v>
      </c>
      <c r="Q107" s="715">
        <f>(+O107*F107)/(1-'OH&amp;P'!$C$5)</f>
        <v>1348.8888888888889</v>
      </c>
      <c r="R107" s="715">
        <f>IF(I107="x",(J107*'Admin Set Up'!$B$17)/(1-'OH&amp;P'!$C$5),0)</f>
        <v>38.539682539682538</v>
      </c>
      <c r="S107" s="716">
        <f>SUM(P107:R107)</f>
        <v>2293.809642857143</v>
      </c>
      <c r="T107" s="717">
        <f>IF(B107=0,0,S107/B107)</f>
        <v>0.41988095238095241</v>
      </c>
      <c r="U107" s="984"/>
    </row>
    <row r="108" spans="1:21" ht="16" thickBot="1" x14ac:dyDescent="0.25">
      <c r="A108" s="982"/>
      <c r="B108" s="712">
        <f>+B107</f>
        <v>5463</v>
      </c>
      <c r="C108" s="991">
        <v>250</v>
      </c>
      <c r="D108" s="1008" t="s">
        <v>1014</v>
      </c>
      <c r="E108" s="998">
        <v>200</v>
      </c>
      <c r="F108" s="994">
        <v>40</v>
      </c>
      <c r="G108" s="995"/>
      <c r="H108" s="996">
        <v>40</v>
      </c>
      <c r="I108" s="995" t="s">
        <v>1013</v>
      </c>
      <c r="J108" s="712">
        <f>IF(C108=0,0,B108/C108)</f>
        <v>21.852</v>
      </c>
      <c r="K108" s="714">
        <f>IF($G108="x",'Labor Calc'!$E$43,'Labor Calc'!$E$31)</f>
        <v>58.06944444444445</v>
      </c>
      <c r="L108" s="714">
        <f>IF($G108="x",'Labor Calc'!$F$43,'Labor Calc'!$F$31)</f>
        <v>62.358333333333327</v>
      </c>
      <c r="M108" s="714">
        <f>IF($G108="x",'Labor Calc'!$G$43,'Labor Calc'!$G$31)</f>
        <v>65.217592592592595</v>
      </c>
      <c r="N108" s="714">
        <f>IF(H108=40,K108,0)+IF(H108=50,L108,0)+IF(H108=60,M108,0)</f>
        <v>58.06944444444445</v>
      </c>
      <c r="O108" s="712">
        <f>IF(E108=0,0,B108/E108)</f>
        <v>27.315000000000001</v>
      </c>
      <c r="P108" s="715">
        <f>+J108*N108</f>
        <v>1268.9335000000001</v>
      </c>
      <c r="Q108" s="715">
        <f>(+O108*F108)/(1-'OH&amp;P'!$C$5)</f>
        <v>1348.8888888888889</v>
      </c>
      <c r="R108" s="715">
        <f>IF(I108="x",(J108*'Admin Set Up'!$B$17)/(1-'OH&amp;P'!$C$5),0)</f>
        <v>53.955555555555556</v>
      </c>
      <c r="S108" s="716">
        <f>SUM(P108:R108)</f>
        <v>2671.7779444444445</v>
      </c>
      <c r="T108" s="717">
        <f>IF(B108=0,0,S108/B108)</f>
        <v>0.48906790123456789</v>
      </c>
      <c r="U108" s="984"/>
    </row>
    <row r="109" spans="1:21" ht="16" thickBot="1" x14ac:dyDescent="0.25">
      <c r="A109" s="982"/>
      <c r="B109" s="712">
        <f>+B108</f>
        <v>5463</v>
      </c>
      <c r="C109" s="991">
        <v>250</v>
      </c>
      <c r="D109" s="1008" t="s">
        <v>1014</v>
      </c>
      <c r="E109" s="998">
        <v>200</v>
      </c>
      <c r="F109" s="994">
        <v>40</v>
      </c>
      <c r="G109" s="995"/>
      <c r="H109" s="996">
        <v>40</v>
      </c>
      <c r="I109" s="995" t="s">
        <v>1013</v>
      </c>
      <c r="J109" s="712">
        <f>IF(C109=0,0,B109/C109)</f>
        <v>21.852</v>
      </c>
      <c r="K109" s="714">
        <f>IF($G109="x",'Labor Calc'!$E$43,'Labor Calc'!$E$31)</f>
        <v>58.06944444444445</v>
      </c>
      <c r="L109" s="714">
        <f>IF($G109="x",'Labor Calc'!$F$43,'Labor Calc'!$F$31)</f>
        <v>62.358333333333327</v>
      </c>
      <c r="M109" s="714">
        <f>IF($G109="x",'Labor Calc'!$G$43,'Labor Calc'!$G$31)</f>
        <v>65.217592592592595</v>
      </c>
      <c r="N109" s="714">
        <f>IF(H109=40,K109,0)+IF(H109=50,L109,0)+IF(H109=60,M109,0)</f>
        <v>58.06944444444445</v>
      </c>
      <c r="O109" s="712">
        <f>IF(E109=0,0,B109/E109)</f>
        <v>27.315000000000001</v>
      </c>
      <c r="P109" s="715">
        <f>+J109*N109</f>
        <v>1268.9335000000001</v>
      </c>
      <c r="Q109" s="715">
        <f>(+O109*F109)/(1-'OH&amp;P'!$C$5)</f>
        <v>1348.8888888888889</v>
      </c>
      <c r="R109" s="715">
        <f>IF(I109="x",(J109*'Admin Set Up'!$B$17)/(1-'OH&amp;P'!$C$5),0)</f>
        <v>53.955555555555556</v>
      </c>
      <c r="S109" s="716">
        <f>SUM(P109:R109)</f>
        <v>2671.7779444444445</v>
      </c>
      <c r="T109" s="717">
        <f>IF(B109=0,0,S109/B109)</f>
        <v>0.48906790123456789</v>
      </c>
      <c r="U109" s="984"/>
    </row>
    <row r="110" spans="1:21" ht="16" thickBot="1" x14ac:dyDescent="0.25">
      <c r="A110" s="982"/>
      <c r="B110" s="712">
        <f>+B109</f>
        <v>5463</v>
      </c>
      <c r="C110" s="991">
        <v>100</v>
      </c>
      <c r="D110" s="1008" t="s">
        <v>1021</v>
      </c>
      <c r="E110" s="998">
        <v>90</v>
      </c>
      <c r="F110" s="994">
        <v>4</v>
      </c>
      <c r="G110" s="995"/>
      <c r="H110" s="996">
        <v>40</v>
      </c>
      <c r="I110" s="995" t="s">
        <v>1013</v>
      </c>
      <c r="J110" s="712">
        <f>IF(C110=0,0,B110/C110)</f>
        <v>54.63</v>
      </c>
      <c r="K110" s="714">
        <f>IF($G110="x",'Labor Calc'!$E$43,'Labor Calc'!$E$31)</f>
        <v>58.06944444444445</v>
      </c>
      <c r="L110" s="714">
        <f>IF($G110="x",'Labor Calc'!$F$43,'Labor Calc'!$F$31)</f>
        <v>62.358333333333327</v>
      </c>
      <c r="M110" s="714">
        <f>IF($G110="x",'Labor Calc'!$G$43,'Labor Calc'!$G$31)</f>
        <v>65.217592592592595</v>
      </c>
      <c r="N110" s="714">
        <f>IF(H110=40,K110,0)+IF(H110=50,L110,0)+IF(H110=60,M110,0)</f>
        <v>58.06944444444445</v>
      </c>
      <c r="O110" s="712">
        <f>IF(E110=0,0,B110/E110)</f>
        <v>60.7</v>
      </c>
      <c r="P110" s="715">
        <f>+J110*N110</f>
        <v>3172.3337500000002</v>
      </c>
      <c r="Q110" s="715">
        <f>(+O110*F110)/(1-'OH&amp;P'!$C$5)</f>
        <v>299.75308641975306</v>
      </c>
      <c r="R110" s="715">
        <f>IF(I110="x",(J110*'Admin Set Up'!$B$17)/(1-'OH&amp;P'!$C$5),0)</f>
        <v>134.88888888888889</v>
      </c>
      <c r="S110" s="716">
        <f>SUM(P110:R110)</f>
        <v>3606.9757253086418</v>
      </c>
      <c r="T110" s="717">
        <f>IF(B110=0,0,S110/B110)</f>
        <v>0.66025548696844993</v>
      </c>
      <c r="U110" s="984"/>
    </row>
    <row r="111" spans="1:21" ht="16" hidden="1" thickBot="1" x14ac:dyDescent="0.25">
      <c r="A111" s="999"/>
      <c r="B111" s="713">
        <f>+B107</f>
        <v>5463</v>
      </c>
      <c r="C111" s="991"/>
      <c r="D111" s="1000"/>
      <c r="E111" s="1001"/>
      <c r="F111" s="1002"/>
      <c r="G111" s="995"/>
      <c r="H111" s="996"/>
      <c r="I111" s="995"/>
      <c r="J111" s="712">
        <f>IF(C111=0,0,B111/C111)</f>
        <v>0</v>
      </c>
      <c r="K111" s="714">
        <f>IF($G111="x",'Labor Calc'!$E$43,'Labor Calc'!$E$31)</f>
        <v>58.06944444444445</v>
      </c>
      <c r="L111" s="714">
        <f>IF($G111="x",'Labor Calc'!$F$43,'Labor Calc'!$F$31)</f>
        <v>62.358333333333327</v>
      </c>
      <c r="M111" s="714">
        <f>IF($G111="x",'Labor Calc'!$G$43,'Labor Calc'!$G$31)</f>
        <v>65.217592592592595</v>
      </c>
      <c r="N111" s="714">
        <f>IF(H111=40,K111,0)+IF(H111=50,L111,0)+IF(H111=60,M111,0)</f>
        <v>0</v>
      </c>
      <c r="O111" s="712">
        <f>IF(E111=0,0,B111/E111)</f>
        <v>0</v>
      </c>
      <c r="P111" s="715">
        <f>+J111*N111</f>
        <v>0</v>
      </c>
      <c r="Q111" s="715">
        <f>(+O111*F111)/(1-'OH&amp;P'!$C$5)</f>
        <v>0</v>
      </c>
      <c r="R111" s="715">
        <f>IF(I111="x",(J111*'Admin Set Up'!$B$17)/(1-'OH&amp;P'!$C$5),0)</f>
        <v>0</v>
      </c>
      <c r="S111" s="716">
        <f>SUM(P111:R111)</f>
        <v>0</v>
      </c>
      <c r="T111" s="717">
        <f>IF(B111=0,0,S111/B111)</f>
        <v>0</v>
      </c>
      <c r="U111" s="984"/>
    </row>
    <row r="112" spans="1:21" ht="16" thickBot="1" x14ac:dyDescent="0.25">
      <c r="A112" s="1003"/>
      <c r="B112" s="1004" t="s">
        <v>226</v>
      </c>
      <c r="C112" s="719"/>
      <c r="D112" s="1005" t="s">
        <v>227</v>
      </c>
      <c r="E112" s="1006"/>
      <c r="F112" s="1006"/>
      <c r="G112" s="1092" t="s">
        <v>101</v>
      </c>
      <c r="H112" s="1092"/>
      <c r="I112" s="1092"/>
      <c r="J112" s="718">
        <f>SUM(J107:J111)</f>
        <v>113.94257142857143</v>
      </c>
      <c r="K112" s="719"/>
      <c r="L112" s="719"/>
      <c r="M112" s="719"/>
      <c r="N112" s="719"/>
      <c r="O112" s="720">
        <f t="shared" ref="O112:T112" si="55">SUM(O107:O111)</f>
        <v>142.64500000000001</v>
      </c>
      <c r="P112" s="721">
        <f t="shared" si="55"/>
        <v>6616.5818214285719</v>
      </c>
      <c r="Q112" s="721">
        <f t="shared" si="55"/>
        <v>4346.4197530864203</v>
      </c>
      <c r="R112" s="721">
        <f t="shared" si="55"/>
        <v>281.33968253968254</v>
      </c>
      <c r="S112" s="722">
        <f t="shared" si="55"/>
        <v>11244.341257054675</v>
      </c>
      <c r="T112" s="723">
        <f t="shared" si="55"/>
        <v>2.0582722418185382</v>
      </c>
      <c r="U112" s="1007"/>
    </row>
    <row r="114" spans="1:21" x14ac:dyDescent="0.2">
      <c r="A114" s="982" t="str">
        <f>+'Take Off'!AJ1</f>
        <v>Garage Walls CMU</v>
      </c>
      <c r="B114" s="1093" t="str">
        <f>+A114</f>
        <v>Garage Walls CMU</v>
      </c>
      <c r="C114" s="1093"/>
      <c r="D114" s="1093"/>
      <c r="E114" s="1093"/>
      <c r="F114" s="1093"/>
      <c r="G114" s="710">
        <f>+A115</f>
        <v>6866</v>
      </c>
      <c r="H114" s="711" t="str">
        <f>+A116</f>
        <v>SF</v>
      </c>
      <c r="I114" s="983"/>
      <c r="J114" s="983"/>
      <c r="K114" s="983"/>
      <c r="L114" s="983"/>
      <c r="M114" s="983"/>
      <c r="N114" s="983"/>
      <c r="O114" s="983"/>
      <c r="P114" s="983"/>
      <c r="Q114" s="983"/>
      <c r="R114" s="984"/>
      <c r="S114" s="984"/>
      <c r="T114" s="984"/>
      <c r="U114" s="984"/>
    </row>
    <row r="115" spans="1:21" ht="53" thickBot="1" x14ac:dyDescent="0.25">
      <c r="A115" s="982">
        <f>+'Take Off'!AJ2</f>
        <v>6866</v>
      </c>
      <c r="B115" s="985" t="s">
        <v>209</v>
      </c>
      <c r="C115" s="986" t="s">
        <v>210</v>
      </c>
      <c r="D115" s="985" t="s">
        <v>211</v>
      </c>
      <c r="E115" s="986" t="s">
        <v>212</v>
      </c>
      <c r="F115" s="986" t="s">
        <v>213</v>
      </c>
      <c r="G115" s="987" t="s">
        <v>214</v>
      </c>
      <c r="H115" s="987" t="s">
        <v>215</v>
      </c>
      <c r="I115" s="987" t="s">
        <v>216</v>
      </c>
      <c r="J115" s="988" t="s">
        <v>217</v>
      </c>
      <c r="K115" s="988" t="s">
        <v>218</v>
      </c>
      <c r="L115" s="988" t="s">
        <v>219</v>
      </c>
      <c r="M115" s="988" t="s">
        <v>220</v>
      </c>
      <c r="N115" s="988" t="s">
        <v>221</v>
      </c>
      <c r="O115" s="988" t="s">
        <v>222</v>
      </c>
      <c r="P115" s="988" t="s">
        <v>223</v>
      </c>
      <c r="Q115" s="988" t="s">
        <v>213</v>
      </c>
      <c r="R115" s="988" t="s">
        <v>224</v>
      </c>
      <c r="S115" s="988" t="s">
        <v>31</v>
      </c>
      <c r="T115" s="988" t="s">
        <v>225</v>
      </c>
      <c r="U115" s="989">
        <v>15</v>
      </c>
    </row>
    <row r="116" spans="1:21" ht="16" thickBot="1" x14ac:dyDescent="0.25">
      <c r="A116" s="982" t="str">
        <f>+'Take Off'!AJ3</f>
        <v>SF</v>
      </c>
      <c r="B116" s="712">
        <f>+A115</f>
        <v>6866</v>
      </c>
      <c r="C116" s="991">
        <v>200</v>
      </c>
      <c r="D116" s="992" t="s">
        <v>1015</v>
      </c>
      <c r="E116" s="993">
        <v>100</v>
      </c>
      <c r="F116" s="994">
        <v>10.5</v>
      </c>
      <c r="G116" s="995"/>
      <c r="H116" s="996">
        <v>40</v>
      </c>
      <c r="I116" s="995" t="s">
        <v>1013</v>
      </c>
      <c r="J116" s="712">
        <f>IF(C116=0,0,B116/C116)</f>
        <v>34.33</v>
      </c>
      <c r="K116" s="714">
        <f>IF($G116="x",'Labor Calc'!$E$43,'Labor Calc'!$E$31)</f>
        <v>58.06944444444445</v>
      </c>
      <c r="L116" s="714">
        <f>IF($G116="x",'Labor Calc'!$F$43,'Labor Calc'!$F$31)</f>
        <v>62.358333333333327</v>
      </c>
      <c r="M116" s="714">
        <f>IF($G116="x",'Labor Calc'!$G$43,'Labor Calc'!$G$31)</f>
        <v>65.217592592592595</v>
      </c>
      <c r="N116" s="714">
        <f>IF(H116=40,K116,0)+IF(H116=50,L116,0)+IF(H116=60,M116,0)</f>
        <v>58.06944444444445</v>
      </c>
      <c r="O116" s="712">
        <f>IF(E116=0,0,B116/E116)</f>
        <v>68.66</v>
      </c>
      <c r="P116" s="715">
        <f>+J116*N116</f>
        <v>1993.524027777778</v>
      </c>
      <c r="Q116" s="715">
        <f>(+O116*F116)/(1-'OH&amp;P'!$C$5)</f>
        <v>890.03703703703695</v>
      </c>
      <c r="R116" s="715">
        <f>IF(I116="x",(J116*'Admin Set Up'!$B$17)/(1-'OH&amp;P'!$C$5),0)</f>
        <v>84.765432098765416</v>
      </c>
      <c r="S116" s="716">
        <f>SUM(P116:R116)</f>
        <v>2968.3264969135803</v>
      </c>
      <c r="T116" s="717">
        <f>IF(B116=0,0,S116/B116)</f>
        <v>0.43232253086419753</v>
      </c>
      <c r="U116" s="984"/>
    </row>
    <row r="117" spans="1:21" ht="16" thickBot="1" x14ac:dyDescent="0.25">
      <c r="A117" s="982"/>
      <c r="B117" s="712">
        <f>+B116</f>
        <v>6866</v>
      </c>
      <c r="C117" s="991">
        <v>300</v>
      </c>
      <c r="D117" s="992" t="s">
        <v>1014</v>
      </c>
      <c r="E117" s="998">
        <v>200</v>
      </c>
      <c r="F117" s="994">
        <v>40</v>
      </c>
      <c r="G117" s="995"/>
      <c r="H117" s="996">
        <v>40</v>
      </c>
      <c r="I117" s="995" t="s">
        <v>1013</v>
      </c>
      <c r="J117" s="712">
        <f>IF(C117=0,0,B117/C117)</f>
        <v>22.886666666666667</v>
      </c>
      <c r="K117" s="714">
        <f>IF($G117="x",'Labor Calc'!$E$43,'Labor Calc'!$E$31)</f>
        <v>58.06944444444445</v>
      </c>
      <c r="L117" s="714">
        <f>IF($G117="x",'Labor Calc'!$F$43,'Labor Calc'!$F$31)</f>
        <v>62.358333333333327</v>
      </c>
      <c r="M117" s="714">
        <f>IF($G117="x",'Labor Calc'!$G$43,'Labor Calc'!$G$31)</f>
        <v>65.217592592592595</v>
      </c>
      <c r="N117" s="714">
        <f>IF(H117=40,K117,0)+IF(H117=50,L117,0)+IF(H117=60,M117,0)</f>
        <v>58.06944444444445</v>
      </c>
      <c r="O117" s="712">
        <f>IF(E117=0,0,B117/E117)</f>
        <v>34.33</v>
      </c>
      <c r="P117" s="715">
        <f>+J117*N117</f>
        <v>1329.0160185185186</v>
      </c>
      <c r="Q117" s="715">
        <f>(+O117*F117)/(1-'OH&amp;P'!$C$5)</f>
        <v>1695.3086419753083</v>
      </c>
      <c r="R117" s="715">
        <f>IF(I117="x",(J117*'Admin Set Up'!$B$17)/(1-'OH&amp;P'!$C$5),0)</f>
        <v>56.510288065843618</v>
      </c>
      <c r="S117" s="716">
        <f>SUM(P117:R117)</f>
        <v>3080.8349485596705</v>
      </c>
      <c r="T117" s="717">
        <f>IF(B117=0,0,S117/B117)</f>
        <v>0.44870884773662545</v>
      </c>
      <c r="U117" s="984"/>
    </row>
    <row r="118" spans="1:21" ht="16" thickBot="1" x14ac:dyDescent="0.25">
      <c r="A118" s="982"/>
      <c r="B118" s="712">
        <f>+B117</f>
        <v>6866</v>
      </c>
      <c r="C118" s="991">
        <v>400</v>
      </c>
      <c r="D118" s="992" t="s">
        <v>1014</v>
      </c>
      <c r="E118" s="998">
        <v>200</v>
      </c>
      <c r="F118" s="994">
        <v>40</v>
      </c>
      <c r="G118" s="995"/>
      <c r="H118" s="996">
        <v>40</v>
      </c>
      <c r="I118" s="995" t="s">
        <v>1013</v>
      </c>
      <c r="J118" s="712">
        <f>IF(C118=0,0,B118/C118)</f>
        <v>17.164999999999999</v>
      </c>
      <c r="K118" s="714">
        <f>IF($G118="x",'Labor Calc'!$E$43,'Labor Calc'!$E$31)</f>
        <v>58.06944444444445</v>
      </c>
      <c r="L118" s="714">
        <f>IF($G118="x",'Labor Calc'!$F$43,'Labor Calc'!$F$31)</f>
        <v>62.358333333333327</v>
      </c>
      <c r="M118" s="714">
        <f>IF($G118="x",'Labor Calc'!$G$43,'Labor Calc'!$G$31)</f>
        <v>65.217592592592595</v>
      </c>
      <c r="N118" s="714">
        <f>IF(H118=40,K118,0)+IF(H118=50,L118,0)+IF(H118=60,M118,0)</f>
        <v>58.06944444444445</v>
      </c>
      <c r="O118" s="712">
        <f>IF(E118=0,0,B118/E118)</f>
        <v>34.33</v>
      </c>
      <c r="P118" s="715">
        <f>+J118*N118</f>
        <v>996.76201388888899</v>
      </c>
      <c r="Q118" s="715">
        <f>(+O118*F118)/(1-'OH&amp;P'!$C$5)</f>
        <v>1695.3086419753083</v>
      </c>
      <c r="R118" s="715">
        <f>IF(I118="x",(J118*'Admin Set Up'!$B$17)/(1-'OH&amp;P'!$C$5),0)</f>
        <v>42.382716049382708</v>
      </c>
      <c r="S118" s="716">
        <f>SUM(P118:R118)</f>
        <v>2734.4533719135802</v>
      </c>
      <c r="T118" s="717">
        <f>IF(B118=0,0,S118/B118)</f>
        <v>0.39826003086419753</v>
      </c>
      <c r="U118" s="984"/>
    </row>
    <row r="119" spans="1:21" ht="16" hidden="1" thickBot="1" x14ac:dyDescent="0.25">
      <c r="A119" s="999"/>
      <c r="B119" s="713">
        <f>+B116</f>
        <v>6866</v>
      </c>
      <c r="C119" s="991"/>
      <c r="D119" s="1000"/>
      <c r="E119" s="1001"/>
      <c r="F119" s="1002"/>
      <c r="G119" s="995"/>
      <c r="H119" s="996"/>
      <c r="I119" s="995"/>
      <c r="J119" s="712">
        <f>IF(C119=0,0,B119/C119)</f>
        <v>0</v>
      </c>
      <c r="K119" s="714">
        <f>IF($G119="x",'Labor Calc'!$E$43,'Labor Calc'!$E$31)</f>
        <v>58.06944444444445</v>
      </c>
      <c r="L119" s="714">
        <f>IF($G119="x",'Labor Calc'!$F$43,'Labor Calc'!$F$31)</f>
        <v>62.358333333333327</v>
      </c>
      <c r="M119" s="714">
        <f>IF($G119="x",'Labor Calc'!$G$43,'Labor Calc'!$G$31)</f>
        <v>65.217592592592595</v>
      </c>
      <c r="N119" s="714">
        <f>IF(H119=40,K119,0)+IF(H119=50,L119,0)+IF(H119=60,M119,0)</f>
        <v>0</v>
      </c>
      <c r="O119" s="712">
        <f>IF(E119=0,0,B119/E119)</f>
        <v>0</v>
      </c>
      <c r="P119" s="715">
        <f>+J119*N119</f>
        <v>0</v>
      </c>
      <c r="Q119" s="715">
        <f>(+O119*F119)/(1-'OH&amp;P'!$C$5)</f>
        <v>0</v>
      </c>
      <c r="R119" s="715">
        <f>IF(I119="x",(J119*'Admin Set Up'!$B$17)/(1-'OH&amp;P'!$C$5),0)</f>
        <v>0</v>
      </c>
      <c r="S119" s="716">
        <f>SUM(P119:R119)</f>
        <v>0</v>
      </c>
      <c r="T119" s="717">
        <f>IF(B119=0,0,S119/B119)</f>
        <v>0</v>
      </c>
      <c r="U119" s="984"/>
    </row>
    <row r="120" spans="1:21" ht="16" thickBot="1" x14ac:dyDescent="0.25">
      <c r="A120" s="1003"/>
      <c r="B120" s="1004" t="s">
        <v>226</v>
      </c>
      <c r="C120" s="719"/>
      <c r="D120" s="1005" t="s">
        <v>227</v>
      </c>
      <c r="E120" s="1006"/>
      <c r="F120" s="1006"/>
      <c r="G120" s="1092" t="s">
        <v>101</v>
      </c>
      <c r="H120" s="1092"/>
      <c r="I120" s="1092"/>
      <c r="J120" s="718">
        <f>SUM(J116:J119)</f>
        <v>74.381666666666661</v>
      </c>
      <c r="K120" s="719"/>
      <c r="L120" s="719"/>
      <c r="M120" s="719"/>
      <c r="N120" s="719"/>
      <c r="O120" s="720">
        <f t="shared" ref="O120:T120" si="56">SUM(O116:O119)</f>
        <v>137.32</v>
      </c>
      <c r="P120" s="721">
        <f t="shared" si="56"/>
        <v>4319.3020601851858</v>
      </c>
      <c r="Q120" s="721">
        <f t="shared" si="56"/>
        <v>4280.6543209876536</v>
      </c>
      <c r="R120" s="721">
        <f t="shared" si="56"/>
        <v>183.65843621399173</v>
      </c>
      <c r="S120" s="722">
        <f t="shared" si="56"/>
        <v>8783.6148173868314</v>
      </c>
      <c r="T120" s="723">
        <f t="shared" si="56"/>
        <v>1.2792914094650205</v>
      </c>
      <c r="U120" s="1007"/>
    </row>
    <row r="122" spans="1:21" x14ac:dyDescent="0.2">
      <c r="A122" s="982" t="str">
        <f>+'Take Off'!AK1</f>
        <v>Garage Walls/Columns Conc</v>
      </c>
      <c r="B122" s="1093" t="str">
        <f>+A122</f>
        <v>Garage Walls/Columns Conc</v>
      </c>
      <c r="C122" s="1093"/>
      <c r="D122" s="1093"/>
      <c r="E122" s="1093"/>
      <c r="F122" s="1093"/>
      <c r="G122" s="710">
        <f>+A123</f>
        <v>13389</v>
      </c>
      <c r="H122" s="711" t="str">
        <f>+A124</f>
        <v>SF</v>
      </c>
      <c r="I122" s="983"/>
      <c r="J122" s="983"/>
      <c r="K122" s="983"/>
      <c r="L122" s="983"/>
      <c r="M122" s="983"/>
      <c r="N122" s="983"/>
      <c r="O122" s="983"/>
      <c r="P122" s="983"/>
      <c r="Q122" s="983"/>
      <c r="R122" s="984"/>
      <c r="S122" s="984"/>
      <c r="T122" s="984"/>
      <c r="U122" s="984"/>
    </row>
    <row r="123" spans="1:21" ht="53" thickBot="1" x14ac:dyDescent="0.25">
      <c r="A123" s="982">
        <f>+'Take Off'!AK2</f>
        <v>13389</v>
      </c>
      <c r="B123" s="985" t="s">
        <v>209</v>
      </c>
      <c r="C123" s="986" t="s">
        <v>210</v>
      </c>
      <c r="D123" s="985" t="s">
        <v>211</v>
      </c>
      <c r="E123" s="986" t="s">
        <v>212</v>
      </c>
      <c r="F123" s="986" t="s">
        <v>213</v>
      </c>
      <c r="G123" s="987" t="s">
        <v>214</v>
      </c>
      <c r="H123" s="987" t="s">
        <v>215</v>
      </c>
      <c r="I123" s="987" t="s">
        <v>216</v>
      </c>
      <c r="J123" s="988" t="s">
        <v>217</v>
      </c>
      <c r="K123" s="988" t="s">
        <v>218</v>
      </c>
      <c r="L123" s="988" t="s">
        <v>219</v>
      </c>
      <c r="M123" s="988" t="s">
        <v>220</v>
      </c>
      <c r="N123" s="988" t="s">
        <v>221</v>
      </c>
      <c r="O123" s="988" t="s">
        <v>222</v>
      </c>
      <c r="P123" s="988" t="s">
        <v>223</v>
      </c>
      <c r="Q123" s="988" t="s">
        <v>213</v>
      </c>
      <c r="R123" s="988" t="s">
        <v>224</v>
      </c>
      <c r="S123" s="988" t="s">
        <v>31</v>
      </c>
      <c r="T123" s="988" t="s">
        <v>225</v>
      </c>
      <c r="U123" s="989">
        <v>16</v>
      </c>
    </row>
    <row r="124" spans="1:21" ht="16" thickBot="1" x14ac:dyDescent="0.25">
      <c r="A124" s="982" t="str">
        <f>+'Take Off'!AK3</f>
        <v>SF</v>
      </c>
      <c r="B124" s="712">
        <f>+A123</f>
        <v>13389</v>
      </c>
      <c r="C124" s="991">
        <v>400</v>
      </c>
      <c r="D124" s="1008" t="s">
        <v>1019</v>
      </c>
      <c r="E124" s="993">
        <v>200</v>
      </c>
      <c r="F124" s="994">
        <v>40</v>
      </c>
      <c r="G124" s="995"/>
      <c r="H124" s="996">
        <v>40</v>
      </c>
      <c r="I124" s="995" t="s">
        <v>1013</v>
      </c>
      <c r="J124" s="712">
        <f>IF(C124=0,0,B124/C124)</f>
        <v>33.472499999999997</v>
      </c>
      <c r="K124" s="714">
        <f>IF($G124="x",'Labor Calc'!$E$43,'Labor Calc'!$E$31)</f>
        <v>58.06944444444445</v>
      </c>
      <c r="L124" s="714">
        <f>IF($G124="x",'Labor Calc'!$F$43,'Labor Calc'!$F$31)</f>
        <v>62.358333333333327</v>
      </c>
      <c r="M124" s="714">
        <f>IF($G124="x",'Labor Calc'!$G$43,'Labor Calc'!$G$31)</f>
        <v>65.217592592592595</v>
      </c>
      <c r="N124" s="714">
        <f>IF(H124=40,K124,0)+IF(H124=50,L124,0)+IF(H124=60,M124,0)</f>
        <v>58.06944444444445</v>
      </c>
      <c r="O124" s="712">
        <f>IF(E124=0,0,B124/E124)</f>
        <v>66.944999999999993</v>
      </c>
      <c r="P124" s="715">
        <f>+J124*N124</f>
        <v>1943.7294791666666</v>
      </c>
      <c r="Q124" s="715">
        <f>(+O124*F124)/(1-'OH&amp;P'!$C$5)</f>
        <v>3305.9259259259252</v>
      </c>
      <c r="R124" s="715">
        <f>IF(I124="x",(J124*'Admin Set Up'!$B$17)/(1-'OH&amp;P'!$C$5),0)</f>
        <v>82.648148148148138</v>
      </c>
      <c r="S124" s="716">
        <f>SUM(P124:R124)</f>
        <v>5332.3035532407393</v>
      </c>
      <c r="T124" s="717">
        <f>IF(B124=0,0,S124/B124)</f>
        <v>0.39826003086419742</v>
      </c>
      <c r="U124" s="984"/>
    </row>
    <row r="125" spans="1:21" ht="16" thickBot="1" x14ac:dyDescent="0.25">
      <c r="A125" s="982"/>
      <c r="B125" s="712">
        <f>+B124</f>
        <v>13389</v>
      </c>
      <c r="C125" s="991">
        <v>300</v>
      </c>
      <c r="D125" s="1008" t="s">
        <v>1014</v>
      </c>
      <c r="E125" s="998">
        <v>275</v>
      </c>
      <c r="F125" s="994">
        <v>40</v>
      </c>
      <c r="G125" s="995"/>
      <c r="H125" s="996">
        <v>40</v>
      </c>
      <c r="I125" s="995" t="s">
        <v>1013</v>
      </c>
      <c r="J125" s="712">
        <f>IF(C125=0,0,B125/C125)</f>
        <v>44.63</v>
      </c>
      <c r="K125" s="714">
        <f>IF($G125="x",'Labor Calc'!$E$43,'Labor Calc'!$E$31)</f>
        <v>58.06944444444445</v>
      </c>
      <c r="L125" s="714">
        <f>IF($G125="x",'Labor Calc'!$F$43,'Labor Calc'!$F$31)</f>
        <v>62.358333333333327</v>
      </c>
      <c r="M125" s="714">
        <f>IF($G125="x",'Labor Calc'!$G$43,'Labor Calc'!$G$31)</f>
        <v>65.217592592592595</v>
      </c>
      <c r="N125" s="714">
        <f>IF(H125=40,K125,0)+IF(H125=50,L125,0)+IF(H125=60,M125,0)</f>
        <v>58.06944444444445</v>
      </c>
      <c r="O125" s="712">
        <f>IF(E125=0,0,B125/E125)</f>
        <v>48.687272727272727</v>
      </c>
      <c r="P125" s="715">
        <f>+J125*N125</f>
        <v>2591.6393055555559</v>
      </c>
      <c r="Q125" s="715">
        <f>(+O125*F125)/(1-'OH&amp;P'!$C$5)</f>
        <v>2404.309764309764</v>
      </c>
      <c r="R125" s="715">
        <f>IF(I125="x",(J125*'Admin Set Up'!$B$17)/(1-'OH&amp;P'!$C$5),0)</f>
        <v>110.19753086419753</v>
      </c>
      <c r="S125" s="716">
        <f>SUM(P125:R125)</f>
        <v>5106.1466007295176</v>
      </c>
      <c r="T125" s="717">
        <f>IF(B125=0,0,S125/B125)</f>
        <v>0.38136878039655819</v>
      </c>
      <c r="U125" s="984"/>
    </row>
    <row r="126" spans="1:21" ht="16" thickBot="1" x14ac:dyDescent="0.25">
      <c r="A126" s="982"/>
      <c r="B126" s="712">
        <f>+B125</f>
        <v>13389</v>
      </c>
      <c r="C126" s="991">
        <v>300</v>
      </c>
      <c r="D126" s="1008" t="s">
        <v>1014</v>
      </c>
      <c r="E126" s="998">
        <v>275</v>
      </c>
      <c r="F126" s="994">
        <v>40</v>
      </c>
      <c r="G126" s="995"/>
      <c r="H126" s="996">
        <v>40</v>
      </c>
      <c r="I126" s="995" t="s">
        <v>1013</v>
      </c>
      <c r="J126" s="712">
        <f>IF(C126=0,0,B126/C126)</f>
        <v>44.63</v>
      </c>
      <c r="K126" s="714">
        <f>IF($G126="x",'Labor Calc'!$E$43,'Labor Calc'!$E$31)</f>
        <v>58.06944444444445</v>
      </c>
      <c r="L126" s="714">
        <f>IF($G126="x",'Labor Calc'!$F$43,'Labor Calc'!$F$31)</f>
        <v>62.358333333333327</v>
      </c>
      <c r="M126" s="714">
        <f>IF($G126="x",'Labor Calc'!$G$43,'Labor Calc'!$G$31)</f>
        <v>65.217592592592595</v>
      </c>
      <c r="N126" s="714">
        <f>IF(H126=40,K126,0)+IF(H126=50,L126,0)+IF(H126=60,M126,0)</f>
        <v>58.06944444444445</v>
      </c>
      <c r="O126" s="712">
        <f>IF(E126=0,0,B126/E126)</f>
        <v>48.687272727272727</v>
      </c>
      <c r="P126" s="715">
        <f>+J126*N126</f>
        <v>2591.6393055555559</v>
      </c>
      <c r="Q126" s="715">
        <f>(+O126*F126)/(1-'OH&amp;P'!$C$5)</f>
        <v>2404.309764309764</v>
      </c>
      <c r="R126" s="715">
        <f>IF(I126="x",(J126*'Admin Set Up'!$B$17)/(1-'OH&amp;P'!$C$5),0)</f>
        <v>110.19753086419753</v>
      </c>
      <c r="S126" s="716">
        <f>SUM(P126:R126)</f>
        <v>5106.1466007295176</v>
      </c>
      <c r="T126" s="717">
        <f>IF(B126=0,0,S126/B126)</f>
        <v>0.38136878039655819</v>
      </c>
      <c r="U126" s="984"/>
    </row>
    <row r="127" spans="1:21" ht="16" hidden="1" thickBot="1" x14ac:dyDescent="0.25">
      <c r="A127" s="999"/>
      <c r="B127" s="713">
        <f>+B124</f>
        <v>13389</v>
      </c>
      <c r="C127" s="991"/>
      <c r="D127" s="1000"/>
      <c r="E127" s="1001"/>
      <c r="F127" s="1002"/>
      <c r="G127" s="995"/>
      <c r="H127" s="996"/>
      <c r="I127" s="995"/>
      <c r="J127" s="712">
        <f>IF(C127=0,0,B127/C127)</f>
        <v>0</v>
      </c>
      <c r="K127" s="714">
        <f>IF($G127="x",'Labor Calc'!$E$43,'Labor Calc'!$E$31)</f>
        <v>58.06944444444445</v>
      </c>
      <c r="L127" s="714">
        <f>IF($G127="x",'Labor Calc'!$F$43,'Labor Calc'!$F$31)</f>
        <v>62.358333333333327</v>
      </c>
      <c r="M127" s="714">
        <f>IF($G127="x",'Labor Calc'!$G$43,'Labor Calc'!$G$31)</f>
        <v>65.217592592592595</v>
      </c>
      <c r="N127" s="714">
        <f>IF(H127=40,K127,0)+IF(H127=50,L127,0)+IF(H127=60,M127,0)</f>
        <v>0</v>
      </c>
      <c r="O127" s="712">
        <f>IF(E127=0,0,B127/E127)</f>
        <v>0</v>
      </c>
      <c r="P127" s="715">
        <f>+J127*N127</f>
        <v>0</v>
      </c>
      <c r="Q127" s="715">
        <f>(+O127*F127)/(1-'OH&amp;P'!$C$5)</f>
        <v>0</v>
      </c>
      <c r="R127" s="715">
        <f>IF(I127="x",(J127*'Admin Set Up'!$B$17)/(1-'OH&amp;P'!$C$5),0)</f>
        <v>0</v>
      </c>
      <c r="S127" s="716">
        <f>SUM(P127:R127)</f>
        <v>0</v>
      </c>
      <c r="T127" s="717">
        <f>IF(B127=0,0,S127/B127)</f>
        <v>0</v>
      </c>
      <c r="U127" s="984"/>
    </row>
    <row r="128" spans="1:21" ht="16" thickBot="1" x14ac:dyDescent="0.25">
      <c r="A128" s="1003"/>
      <c r="B128" s="1004" t="s">
        <v>226</v>
      </c>
      <c r="C128" s="719"/>
      <c r="D128" s="1005" t="s">
        <v>227</v>
      </c>
      <c r="E128" s="1006"/>
      <c r="F128" s="1006"/>
      <c r="G128" s="1092" t="s">
        <v>101</v>
      </c>
      <c r="H128" s="1092"/>
      <c r="I128" s="1092"/>
      <c r="J128" s="718">
        <f>SUM(J124:J127)</f>
        <v>122.73249999999999</v>
      </c>
      <c r="K128" s="719"/>
      <c r="L128" s="719"/>
      <c r="M128" s="719"/>
      <c r="N128" s="719"/>
      <c r="O128" s="720">
        <f t="shared" ref="O128:T128" si="57">SUM(O124:O127)</f>
        <v>164.31954545454545</v>
      </c>
      <c r="P128" s="721">
        <f t="shared" si="57"/>
        <v>7127.008090277779</v>
      </c>
      <c r="Q128" s="721">
        <f t="shared" si="57"/>
        <v>8114.545454545454</v>
      </c>
      <c r="R128" s="721">
        <f t="shared" si="57"/>
        <v>303.04320987654319</v>
      </c>
      <c r="S128" s="722">
        <f t="shared" si="57"/>
        <v>15544.596754699774</v>
      </c>
      <c r="T128" s="723">
        <f t="shared" si="57"/>
        <v>1.1609975916573139</v>
      </c>
      <c r="U128" s="1007"/>
    </row>
    <row r="130" spans="1:21" x14ac:dyDescent="0.2">
      <c r="A130" s="982" t="str">
        <f>+'Take Off'!AL1</f>
        <v>Branded Columns</v>
      </c>
      <c r="B130" s="1093" t="str">
        <f>+A130</f>
        <v>Branded Columns</v>
      </c>
      <c r="C130" s="1093"/>
      <c r="D130" s="1093"/>
      <c r="E130" s="1093"/>
      <c r="F130" s="1093"/>
      <c r="G130" s="710">
        <f>+A131</f>
        <v>6000</v>
      </c>
      <c r="H130" s="711" t="str">
        <f>+A132</f>
        <v>SF</v>
      </c>
      <c r="I130" s="983"/>
      <c r="J130" s="983"/>
      <c r="K130" s="983"/>
      <c r="L130" s="983"/>
      <c r="M130" s="983"/>
      <c r="N130" s="983"/>
      <c r="O130" s="983"/>
      <c r="P130" s="983"/>
      <c r="Q130" s="983"/>
      <c r="R130" s="984"/>
      <c r="S130" s="984"/>
      <c r="T130" s="984"/>
      <c r="U130" s="984"/>
    </row>
    <row r="131" spans="1:21" ht="53" thickBot="1" x14ac:dyDescent="0.25">
      <c r="A131" s="982">
        <f>+'Take Off'!AL2</f>
        <v>6000</v>
      </c>
      <c r="B131" s="985" t="s">
        <v>209</v>
      </c>
      <c r="C131" s="986" t="s">
        <v>210</v>
      </c>
      <c r="D131" s="985" t="s">
        <v>211</v>
      </c>
      <c r="E131" s="986" t="s">
        <v>212</v>
      </c>
      <c r="F131" s="986" t="s">
        <v>213</v>
      </c>
      <c r="G131" s="987" t="s">
        <v>214</v>
      </c>
      <c r="H131" s="987" t="s">
        <v>215</v>
      </c>
      <c r="I131" s="987" t="s">
        <v>216</v>
      </c>
      <c r="J131" s="988" t="s">
        <v>217</v>
      </c>
      <c r="K131" s="988" t="s">
        <v>218</v>
      </c>
      <c r="L131" s="988" t="s">
        <v>219</v>
      </c>
      <c r="M131" s="988" t="s">
        <v>220</v>
      </c>
      <c r="N131" s="988" t="s">
        <v>221</v>
      </c>
      <c r="O131" s="988" t="s">
        <v>222</v>
      </c>
      <c r="P131" s="988" t="s">
        <v>223</v>
      </c>
      <c r="Q131" s="988" t="s">
        <v>213</v>
      </c>
      <c r="R131" s="988" t="s">
        <v>224</v>
      </c>
      <c r="S131" s="988" t="s">
        <v>31</v>
      </c>
      <c r="T131" s="988" t="s">
        <v>225</v>
      </c>
      <c r="U131" s="989">
        <v>17</v>
      </c>
    </row>
    <row r="132" spans="1:21" ht="16" thickBot="1" x14ac:dyDescent="0.25">
      <c r="A132" s="982" t="str">
        <f>+'Take Off'!AL3</f>
        <v>SF</v>
      </c>
      <c r="B132" s="712">
        <f>+A131</f>
        <v>6000</v>
      </c>
      <c r="C132" s="991">
        <v>300</v>
      </c>
      <c r="D132" s="1008" t="s">
        <v>1019</v>
      </c>
      <c r="E132" s="993">
        <v>200</v>
      </c>
      <c r="F132" s="994">
        <v>40</v>
      </c>
      <c r="G132" s="995"/>
      <c r="H132" s="996">
        <v>40</v>
      </c>
      <c r="I132" s="995" t="s">
        <v>1013</v>
      </c>
      <c r="J132" s="712">
        <f>IF(C132=0,0,B132/C132)</f>
        <v>20</v>
      </c>
      <c r="K132" s="714">
        <f>IF($G132="x",'Labor Calc'!$E$43,'Labor Calc'!$E$31)</f>
        <v>58.06944444444445</v>
      </c>
      <c r="L132" s="714">
        <f>IF($G132="x",'Labor Calc'!$F$43,'Labor Calc'!$F$31)</f>
        <v>62.358333333333327</v>
      </c>
      <c r="M132" s="714">
        <f>IF($G132="x",'Labor Calc'!$G$43,'Labor Calc'!$G$31)</f>
        <v>65.217592592592595</v>
      </c>
      <c r="N132" s="714">
        <f>IF(H132=40,K132,0)+IF(H132=50,L132,0)+IF(H132=60,M132,0)</f>
        <v>58.06944444444445</v>
      </c>
      <c r="O132" s="712">
        <f>IF(E132=0,0,B132/E132)</f>
        <v>30</v>
      </c>
      <c r="P132" s="715">
        <f>+J132*N132</f>
        <v>1161.3888888888889</v>
      </c>
      <c r="Q132" s="715">
        <f>(+O132*F132)/(1-'OH&amp;P'!$C$5)</f>
        <v>1481.4814814814813</v>
      </c>
      <c r="R132" s="715">
        <f>IF(I132="x",(J132*'Admin Set Up'!$B$17)/(1-'OH&amp;P'!$C$5),0)</f>
        <v>49.382716049382715</v>
      </c>
      <c r="S132" s="716">
        <f>SUM(P132:R132)</f>
        <v>2692.2530864197533</v>
      </c>
      <c r="T132" s="717">
        <f>IF(B132=0,0,S132/B132)</f>
        <v>0.44870884773662556</v>
      </c>
      <c r="U132" s="984"/>
    </row>
    <row r="133" spans="1:21" ht="16" thickBot="1" x14ac:dyDescent="0.25">
      <c r="A133" s="982"/>
      <c r="B133" s="712">
        <f>+B132</f>
        <v>6000</v>
      </c>
      <c r="C133" s="991">
        <v>200</v>
      </c>
      <c r="D133" s="1008" t="s">
        <v>1014</v>
      </c>
      <c r="E133" s="998">
        <v>200</v>
      </c>
      <c r="F133" s="994">
        <v>40</v>
      </c>
      <c r="G133" s="995"/>
      <c r="H133" s="996">
        <v>40</v>
      </c>
      <c r="I133" s="995" t="s">
        <v>1013</v>
      </c>
      <c r="J133" s="712">
        <f>IF(C133=0,0,B133/C133)</f>
        <v>30</v>
      </c>
      <c r="K133" s="714">
        <f>IF($G133="x",'Labor Calc'!$E$43,'Labor Calc'!$E$31)</f>
        <v>58.06944444444445</v>
      </c>
      <c r="L133" s="714">
        <f>IF($G133="x",'Labor Calc'!$F$43,'Labor Calc'!$F$31)</f>
        <v>62.358333333333327</v>
      </c>
      <c r="M133" s="714">
        <f>IF($G133="x",'Labor Calc'!$G$43,'Labor Calc'!$G$31)</f>
        <v>65.217592592592595</v>
      </c>
      <c r="N133" s="714">
        <f>IF(H133=40,K133,0)+IF(H133=50,L133,0)+IF(H133=60,M133,0)</f>
        <v>58.06944444444445</v>
      </c>
      <c r="O133" s="712">
        <f>IF(E133=0,0,B133/E133)</f>
        <v>30</v>
      </c>
      <c r="P133" s="715">
        <f>+J133*N133</f>
        <v>1742.0833333333335</v>
      </c>
      <c r="Q133" s="715">
        <f>(+O133*F133)/(1-'OH&amp;P'!$C$5)</f>
        <v>1481.4814814814813</v>
      </c>
      <c r="R133" s="715">
        <f>IF(I133="x",(J133*'Admin Set Up'!$B$17)/(1-'OH&amp;P'!$C$5),0)</f>
        <v>74.074074074074076</v>
      </c>
      <c r="S133" s="716">
        <f>SUM(P133:R133)</f>
        <v>3297.6388888888887</v>
      </c>
      <c r="T133" s="717">
        <f>IF(B133=0,0,S133/B133)</f>
        <v>0.5496064814814815</v>
      </c>
      <c r="U133" s="984"/>
    </row>
    <row r="134" spans="1:21" ht="16" thickBot="1" x14ac:dyDescent="0.25">
      <c r="A134" s="982"/>
      <c r="B134" s="712">
        <f>+B133</f>
        <v>6000</v>
      </c>
      <c r="C134" s="991">
        <v>200</v>
      </c>
      <c r="D134" s="1008" t="s">
        <v>1014</v>
      </c>
      <c r="E134" s="998">
        <v>200</v>
      </c>
      <c r="F134" s="994">
        <v>40</v>
      </c>
      <c r="G134" s="995"/>
      <c r="H134" s="996">
        <v>40</v>
      </c>
      <c r="I134" s="995" t="s">
        <v>1013</v>
      </c>
      <c r="J134" s="712">
        <f>IF(C134=0,0,B134/C134)</f>
        <v>30</v>
      </c>
      <c r="K134" s="714">
        <f>IF($G134="x",'Labor Calc'!$E$43,'Labor Calc'!$E$31)</f>
        <v>58.06944444444445</v>
      </c>
      <c r="L134" s="714">
        <f>IF($G134="x",'Labor Calc'!$F$43,'Labor Calc'!$F$31)</f>
        <v>62.358333333333327</v>
      </c>
      <c r="M134" s="714">
        <f>IF($G134="x",'Labor Calc'!$G$43,'Labor Calc'!$G$31)</f>
        <v>65.217592592592595</v>
      </c>
      <c r="N134" s="714">
        <f>IF(H134=40,K134,0)+IF(H134=50,L134,0)+IF(H134=60,M134,0)</f>
        <v>58.06944444444445</v>
      </c>
      <c r="O134" s="712">
        <f>IF(E134=0,0,B134/E134)</f>
        <v>30</v>
      </c>
      <c r="P134" s="715">
        <f>+J134*N134</f>
        <v>1742.0833333333335</v>
      </c>
      <c r="Q134" s="715">
        <f>(+O134*F134)/(1-'OH&amp;P'!$C$5)</f>
        <v>1481.4814814814813</v>
      </c>
      <c r="R134" s="715">
        <f>IF(I134="x",(J134*'Admin Set Up'!$B$17)/(1-'OH&amp;P'!$C$5),0)</f>
        <v>74.074074074074076</v>
      </c>
      <c r="S134" s="716">
        <f>SUM(P134:R134)</f>
        <v>3297.6388888888887</v>
      </c>
      <c r="T134" s="717">
        <f>IF(B134=0,0,S134/B134)</f>
        <v>0.5496064814814815</v>
      </c>
      <c r="U134" s="984"/>
    </row>
    <row r="135" spans="1:21" ht="16" hidden="1" thickBot="1" x14ac:dyDescent="0.25">
      <c r="A135" s="999"/>
      <c r="B135" s="713">
        <f>+B132</f>
        <v>6000</v>
      </c>
      <c r="C135" s="991"/>
      <c r="D135" s="1000"/>
      <c r="E135" s="1001"/>
      <c r="F135" s="1002"/>
      <c r="G135" s="995"/>
      <c r="H135" s="996"/>
      <c r="I135" s="995"/>
      <c r="J135" s="712">
        <f>IF(C135=0,0,B135/C135)</f>
        <v>0</v>
      </c>
      <c r="K135" s="714">
        <f>IF($G135="x",'Labor Calc'!$E$43,'Labor Calc'!$E$31)</f>
        <v>58.06944444444445</v>
      </c>
      <c r="L135" s="714">
        <f>IF($G135="x",'Labor Calc'!$F$43,'Labor Calc'!$F$31)</f>
        <v>62.358333333333327</v>
      </c>
      <c r="M135" s="714">
        <f>IF($G135="x",'Labor Calc'!$G$43,'Labor Calc'!$G$31)</f>
        <v>65.217592592592595</v>
      </c>
      <c r="N135" s="714">
        <f>IF(H135=40,K135,0)+IF(H135=50,L135,0)+IF(H135=60,M135,0)</f>
        <v>0</v>
      </c>
      <c r="O135" s="712">
        <f>IF(E135=0,0,B135/E135)</f>
        <v>0</v>
      </c>
      <c r="P135" s="715">
        <f>+J135*N135</f>
        <v>0</v>
      </c>
      <c r="Q135" s="715">
        <f>(+O135*F135)/(1-'OH&amp;P'!$C$5)</f>
        <v>0</v>
      </c>
      <c r="R135" s="715">
        <f>IF(I135="x",(J135*'Admin Set Up'!$B$17)/(1-'OH&amp;P'!$C$5),0)</f>
        <v>0</v>
      </c>
      <c r="S135" s="716">
        <f>SUM(P135:R135)</f>
        <v>0</v>
      </c>
      <c r="T135" s="717">
        <f>IF(B135=0,0,S135/B135)</f>
        <v>0</v>
      </c>
      <c r="U135" s="984"/>
    </row>
    <row r="136" spans="1:21" ht="16" thickBot="1" x14ac:dyDescent="0.25">
      <c r="A136" s="1003"/>
      <c r="B136" s="1004" t="s">
        <v>226</v>
      </c>
      <c r="C136" s="719"/>
      <c r="D136" s="1005" t="s">
        <v>227</v>
      </c>
      <c r="E136" s="1006"/>
      <c r="F136" s="1006"/>
      <c r="G136" s="1092" t="s">
        <v>101</v>
      </c>
      <c r="H136" s="1092"/>
      <c r="I136" s="1092"/>
      <c r="J136" s="718">
        <f>SUM(J132:J135)</f>
        <v>80</v>
      </c>
      <c r="K136" s="719"/>
      <c r="L136" s="719"/>
      <c r="M136" s="719"/>
      <c r="N136" s="719"/>
      <c r="O136" s="720">
        <f t="shared" ref="O136:T136" si="58">SUM(O132:O135)</f>
        <v>90</v>
      </c>
      <c r="P136" s="721">
        <f t="shared" si="58"/>
        <v>4645.5555555555566</v>
      </c>
      <c r="Q136" s="721">
        <f t="shared" si="58"/>
        <v>4444.4444444444434</v>
      </c>
      <c r="R136" s="721">
        <f t="shared" si="58"/>
        <v>197.53086419753086</v>
      </c>
      <c r="S136" s="722">
        <f t="shared" si="58"/>
        <v>9287.5308641975316</v>
      </c>
      <c r="T136" s="723">
        <f t="shared" si="58"/>
        <v>1.5479218106995885</v>
      </c>
      <c r="U136" s="1007"/>
    </row>
    <row r="138" spans="1:21" x14ac:dyDescent="0.2">
      <c r="A138" s="982" t="str">
        <f>+'Take Off'!AM1</f>
        <v>Base</v>
      </c>
      <c r="B138" s="1093" t="str">
        <f>+A138</f>
        <v>Base</v>
      </c>
      <c r="C138" s="1093"/>
      <c r="D138" s="1093"/>
      <c r="E138" s="1093"/>
      <c r="F138" s="1093"/>
      <c r="G138" s="710">
        <f>+A139</f>
        <v>10602</v>
      </c>
      <c r="H138" s="711" t="str">
        <f>+A140</f>
        <v>LF</v>
      </c>
      <c r="I138" s="983"/>
      <c r="J138" s="983"/>
      <c r="K138" s="983"/>
      <c r="L138" s="983"/>
      <c r="M138" s="983"/>
      <c r="N138" s="983"/>
      <c r="O138" s="983"/>
      <c r="P138" s="983"/>
      <c r="Q138" s="983"/>
      <c r="R138" s="984"/>
      <c r="S138" s="984"/>
      <c r="T138" s="984"/>
      <c r="U138" s="984"/>
    </row>
    <row r="139" spans="1:21" ht="53" thickBot="1" x14ac:dyDescent="0.25">
      <c r="A139" s="982">
        <f>+'Take Off'!AM2</f>
        <v>10602</v>
      </c>
      <c r="B139" s="985" t="s">
        <v>209</v>
      </c>
      <c r="C139" s="986" t="s">
        <v>210</v>
      </c>
      <c r="D139" s="985" t="s">
        <v>211</v>
      </c>
      <c r="E139" s="986" t="s">
        <v>212</v>
      </c>
      <c r="F139" s="986" t="s">
        <v>213</v>
      </c>
      <c r="G139" s="987" t="s">
        <v>214</v>
      </c>
      <c r="H139" s="987" t="s">
        <v>215</v>
      </c>
      <c r="I139" s="987" t="s">
        <v>216</v>
      </c>
      <c r="J139" s="988" t="s">
        <v>217</v>
      </c>
      <c r="K139" s="988" t="s">
        <v>218</v>
      </c>
      <c r="L139" s="988" t="s">
        <v>219</v>
      </c>
      <c r="M139" s="988" t="s">
        <v>220</v>
      </c>
      <c r="N139" s="988" t="s">
        <v>221</v>
      </c>
      <c r="O139" s="988" t="s">
        <v>222</v>
      </c>
      <c r="P139" s="988" t="s">
        <v>223</v>
      </c>
      <c r="Q139" s="988" t="s">
        <v>213</v>
      </c>
      <c r="R139" s="988" t="s">
        <v>224</v>
      </c>
      <c r="S139" s="988" t="s">
        <v>31</v>
      </c>
      <c r="T139" s="988" t="s">
        <v>225</v>
      </c>
      <c r="U139" s="989">
        <v>18</v>
      </c>
    </row>
    <row r="140" spans="1:21" ht="16" thickBot="1" x14ac:dyDescent="0.25">
      <c r="A140" s="982" t="str">
        <f>+'Take Off'!AM3</f>
        <v>LF</v>
      </c>
      <c r="B140" s="712">
        <f>+A139</f>
        <v>10602</v>
      </c>
      <c r="C140" s="991">
        <v>200</v>
      </c>
      <c r="D140" s="1008" t="s">
        <v>1022</v>
      </c>
      <c r="E140" s="993">
        <v>50</v>
      </c>
      <c r="F140" s="994">
        <v>5</v>
      </c>
      <c r="G140" s="995"/>
      <c r="H140" s="996">
        <v>40</v>
      </c>
      <c r="I140" s="995" t="s">
        <v>1013</v>
      </c>
      <c r="J140" s="712">
        <f>IF(C140=0,0,B140/C140)</f>
        <v>53.01</v>
      </c>
      <c r="K140" s="714">
        <f>IF($G140="x",'Labor Calc'!$E$43,'Labor Calc'!$E$31)</f>
        <v>58.06944444444445</v>
      </c>
      <c r="L140" s="714">
        <f>IF($G140="x",'Labor Calc'!$F$43,'Labor Calc'!$F$31)</f>
        <v>62.358333333333327</v>
      </c>
      <c r="M140" s="714">
        <f>IF($G140="x",'Labor Calc'!$G$43,'Labor Calc'!$G$31)</f>
        <v>65.217592592592595</v>
      </c>
      <c r="N140" s="714">
        <f>IF(H140=40,K140,0)+IF(H140=50,L140,0)+IF(H140=60,M140,0)</f>
        <v>58.06944444444445</v>
      </c>
      <c r="O140" s="712">
        <f>IF(E140=0,0,B140/E140)</f>
        <v>212.04</v>
      </c>
      <c r="P140" s="715">
        <f>+J140*N140</f>
        <v>3078.26125</v>
      </c>
      <c r="Q140" s="715">
        <f>(+O140*F140)/(1-'OH&amp;P'!$C$5)</f>
        <v>1308.8888888888889</v>
      </c>
      <c r="R140" s="715">
        <f>IF(I140="x",(J140*'Admin Set Up'!$B$17)/(1-'OH&amp;P'!$C$5),0)</f>
        <v>130.88888888888889</v>
      </c>
      <c r="S140" s="716">
        <f>SUM(P140:R140)</f>
        <v>4518.0390277777778</v>
      </c>
      <c r="T140" s="717">
        <f>IF(B140=0,0,S140/B140)</f>
        <v>0.42614969135802472</v>
      </c>
      <c r="U140" s="984"/>
    </row>
    <row r="141" spans="1:21" ht="16" thickBot="1" x14ac:dyDescent="0.25">
      <c r="A141" s="982"/>
      <c r="B141" s="712">
        <f>+B140</f>
        <v>10602</v>
      </c>
      <c r="C141" s="991">
        <v>200</v>
      </c>
      <c r="D141" s="1008" t="s">
        <v>1023</v>
      </c>
      <c r="E141" s="998">
        <v>800</v>
      </c>
      <c r="F141" s="994">
        <v>15</v>
      </c>
      <c r="G141" s="995"/>
      <c r="H141" s="996">
        <v>40</v>
      </c>
      <c r="I141" s="995" t="s">
        <v>1013</v>
      </c>
      <c r="J141" s="712">
        <f>IF(C141=0,0,B141/C141)</f>
        <v>53.01</v>
      </c>
      <c r="K141" s="714">
        <f>IF($G141="x",'Labor Calc'!$E$43,'Labor Calc'!$E$31)</f>
        <v>58.06944444444445</v>
      </c>
      <c r="L141" s="714">
        <f>IF($G141="x",'Labor Calc'!$F$43,'Labor Calc'!$F$31)</f>
        <v>62.358333333333327</v>
      </c>
      <c r="M141" s="714">
        <f>IF($G141="x",'Labor Calc'!$G$43,'Labor Calc'!$G$31)</f>
        <v>65.217592592592595</v>
      </c>
      <c r="N141" s="714">
        <f>IF(H141=40,K141,0)+IF(H141=50,L141,0)+IF(H141=60,M141,0)</f>
        <v>58.06944444444445</v>
      </c>
      <c r="O141" s="712">
        <f>IF(E141=0,0,B141/E141)</f>
        <v>13.2525</v>
      </c>
      <c r="P141" s="715">
        <f>+J141*N141</f>
        <v>3078.26125</v>
      </c>
      <c r="Q141" s="715">
        <f>(+O141*F141)/(1-'OH&amp;P'!$C$5)</f>
        <v>245.41666666666666</v>
      </c>
      <c r="R141" s="715">
        <f>IF(I141="x",(J141*'Admin Set Up'!$B$17)/(1-'OH&amp;P'!$C$5),0)</f>
        <v>130.88888888888889</v>
      </c>
      <c r="S141" s="716">
        <f>SUM(P141:R141)</f>
        <v>3454.5668055555552</v>
      </c>
      <c r="T141" s="717">
        <f>IF(B141=0,0,S141/B141)</f>
        <v>0.32584104938271602</v>
      </c>
      <c r="U141" s="984"/>
    </row>
    <row r="142" spans="1:21" ht="16" thickBot="1" x14ac:dyDescent="0.25">
      <c r="A142" s="982"/>
      <c r="B142" s="712">
        <f>+B141</f>
        <v>10602</v>
      </c>
      <c r="C142" s="991">
        <v>150</v>
      </c>
      <c r="D142" s="1008" t="s">
        <v>1012</v>
      </c>
      <c r="E142" s="998">
        <v>800</v>
      </c>
      <c r="F142" s="994">
        <v>16.5</v>
      </c>
      <c r="G142" s="995"/>
      <c r="H142" s="996">
        <v>40</v>
      </c>
      <c r="I142" s="995" t="s">
        <v>1013</v>
      </c>
      <c r="J142" s="712">
        <f>IF(C142=0,0,B142/C142)</f>
        <v>70.680000000000007</v>
      </c>
      <c r="K142" s="714">
        <f>IF($G142="x",'Labor Calc'!$E$43,'Labor Calc'!$E$31)</f>
        <v>58.06944444444445</v>
      </c>
      <c r="L142" s="714">
        <f>IF($G142="x",'Labor Calc'!$F$43,'Labor Calc'!$F$31)</f>
        <v>62.358333333333327</v>
      </c>
      <c r="M142" s="714">
        <f>IF($G142="x",'Labor Calc'!$G$43,'Labor Calc'!$G$31)</f>
        <v>65.217592592592595</v>
      </c>
      <c r="N142" s="714">
        <f>IF(H142=40,K142,0)+IF(H142=50,L142,0)+IF(H142=60,M142,0)</f>
        <v>58.06944444444445</v>
      </c>
      <c r="O142" s="712">
        <f>IF(E142=0,0,B142/E142)</f>
        <v>13.2525</v>
      </c>
      <c r="P142" s="715">
        <f>+J142*N142</f>
        <v>4104.3483333333343</v>
      </c>
      <c r="Q142" s="715">
        <f>(+O142*F142)/(1-'OH&amp;P'!$C$5)</f>
        <v>269.95833333333331</v>
      </c>
      <c r="R142" s="715">
        <f>IF(I142="x",(J142*'Admin Set Up'!$B$17)/(1-'OH&amp;P'!$C$5),0)</f>
        <v>174.51851851851853</v>
      </c>
      <c r="S142" s="716">
        <f>SUM(P142:R142)</f>
        <v>4548.8251851851855</v>
      </c>
      <c r="T142" s="717">
        <f>IF(B142=0,0,S142/B142)</f>
        <v>0.42905349794238684</v>
      </c>
      <c r="U142" s="984"/>
    </row>
    <row r="143" spans="1:21" ht="16" thickBot="1" x14ac:dyDescent="0.25">
      <c r="A143" s="982"/>
      <c r="B143" s="712">
        <f>+B142</f>
        <v>10602</v>
      </c>
      <c r="C143" s="991">
        <v>150</v>
      </c>
      <c r="D143" s="1008" t="s">
        <v>1012</v>
      </c>
      <c r="E143" s="998">
        <v>800</v>
      </c>
      <c r="F143" s="994">
        <v>16.5</v>
      </c>
      <c r="G143" s="995"/>
      <c r="H143" s="996">
        <v>40</v>
      </c>
      <c r="I143" s="995" t="s">
        <v>1013</v>
      </c>
      <c r="J143" s="712">
        <f>IF(C143=0,0,B143/C143)</f>
        <v>70.680000000000007</v>
      </c>
      <c r="K143" s="714">
        <f>IF($G143="x",'Labor Calc'!$E$43,'Labor Calc'!$E$31)</f>
        <v>58.06944444444445</v>
      </c>
      <c r="L143" s="714">
        <f>IF($G143="x",'Labor Calc'!$F$43,'Labor Calc'!$F$31)</f>
        <v>62.358333333333327</v>
      </c>
      <c r="M143" s="714">
        <f>IF($G143="x",'Labor Calc'!$G$43,'Labor Calc'!$G$31)</f>
        <v>65.217592592592595</v>
      </c>
      <c r="N143" s="714">
        <f>IF(H143=40,K143,0)+IF(H143=50,L143,0)+IF(H143=60,M143,0)</f>
        <v>58.06944444444445</v>
      </c>
      <c r="O143" s="712">
        <f>IF(E143=0,0,B143/E143)</f>
        <v>13.2525</v>
      </c>
      <c r="P143" s="715">
        <f>+J143*N143</f>
        <v>4104.3483333333343</v>
      </c>
      <c r="Q143" s="715">
        <f>(+O143*F143)/(1-'OH&amp;P'!$C$5)</f>
        <v>269.95833333333331</v>
      </c>
      <c r="R143" s="715">
        <f>IF(I143="x",(J143*'Admin Set Up'!$B$17)/(1-'OH&amp;P'!$C$5),0)</f>
        <v>174.51851851851853</v>
      </c>
      <c r="S143" s="716">
        <f>SUM(P143:R143)</f>
        <v>4548.8251851851855</v>
      </c>
      <c r="T143" s="717">
        <f>IF(B143=0,0,S143/B143)</f>
        <v>0.42905349794238684</v>
      </c>
      <c r="U143" s="984"/>
    </row>
    <row r="144" spans="1:21" ht="16" hidden="1" thickBot="1" x14ac:dyDescent="0.25">
      <c r="A144" s="999"/>
      <c r="B144" s="713">
        <f>+B140</f>
        <v>10602</v>
      </c>
      <c r="C144" s="991"/>
      <c r="D144" s="1000"/>
      <c r="E144" s="1001"/>
      <c r="F144" s="1002"/>
      <c r="G144" s="995"/>
      <c r="H144" s="996"/>
      <c r="I144" s="995"/>
      <c r="J144" s="712">
        <f>IF(C144=0,0,B144/C144)</f>
        <v>0</v>
      </c>
      <c r="K144" s="714">
        <f>IF($G144="x",'Labor Calc'!$E$43,'Labor Calc'!$E$31)</f>
        <v>58.06944444444445</v>
      </c>
      <c r="L144" s="714">
        <f>IF($G144="x",'Labor Calc'!$F$43,'Labor Calc'!$F$31)</f>
        <v>62.358333333333327</v>
      </c>
      <c r="M144" s="714">
        <f>IF($G144="x",'Labor Calc'!$G$43,'Labor Calc'!$G$31)</f>
        <v>65.217592592592595</v>
      </c>
      <c r="N144" s="714">
        <f>IF(H144=40,K144,0)+IF(H144=50,L144,0)+IF(H144=60,M144,0)</f>
        <v>0</v>
      </c>
      <c r="O144" s="712">
        <f>IF(E144=0,0,B144/E144)</f>
        <v>0</v>
      </c>
      <c r="P144" s="715">
        <f>+J144*N144</f>
        <v>0</v>
      </c>
      <c r="Q144" s="715">
        <f>(+O144*F144)/(1-'OH&amp;P'!$C$5)</f>
        <v>0</v>
      </c>
      <c r="R144" s="715">
        <f>IF(I144="x",(J144*'Admin Set Up'!$B$17)/(1-'OH&amp;P'!$C$5),0)</f>
        <v>0</v>
      </c>
      <c r="S144" s="716">
        <f>SUM(P144:R144)</f>
        <v>0</v>
      </c>
      <c r="T144" s="717">
        <f>IF(B144=0,0,S144/B144)</f>
        <v>0</v>
      </c>
      <c r="U144" s="984"/>
    </row>
    <row r="145" spans="1:21" ht="16" thickBot="1" x14ac:dyDescent="0.25">
      <c r="A145" s="1003"/>
      <c r="B145" s="1004" t="s">
        <v>226</v>
      </c>
      <c r="C145" s="719"/>
      <c r="D145" s="1005" t="s">
        <v>227</v>
      </c>
      <c r="E145" s="1006"/>
      <c r="F145" s="1006"/>
      <c r="G145" s="1092" t="s">
        <v>101</v>
      </c>
      <c r="H145" s="1092"/>
      <c r="I145" s="1092"/>
      <c r="J145" s="718">
        <f>SUM(J140:J144)</f>
        <v>247.38</v>
      </c>
      <c r="K145" s="719"/>
      <c r="L145" s="719"/>
      <c r="M145" s="719"/>
      <c r="N145" s="719"/>
      <c r="O145" s="720">
        <f t="shared" ref="O145:T145" si="59">SUM(O140:O144)</f>
        <v>251.79749999999999</v>
      </c>
      <c r="P145" s="721">
        <f t="shared" si="59"/>
        <v>14365.219166666669</v>
      </c>
      <c r="Q145" s="721">
        <f t="shared" si="59"/>
        <v>2094.2222222222222</v>
      </c>
      <c r="R145" s="721">
        <f t="shared" si="59"/>
        <v>610.81481481481478</v>
      </c>
      <c r="S145" s="722">
        <f t="shared" si="59"/>
        <v>17070.256203703706</v>
      </c>
      <c r="T145" s="723">
        <f t="shared" si="59"/>
        <v>1.6100977366255143</v>
      </c>
      <c r="U145" s="1007"/>
    </row>
    <row r="147" spans="1:21" x14ac:dyDescent="0.2">
      <c r="A147" s="982" t="str">
        <f>+'Take Off'!AN1</f>
        <v>Transitional Walls</v>
      </c>
      <c r="B147" s="1093" t="str">
        <f>+A147</f>
        <v>Transitional Walls</v>
      </c>
      <c r="C147" s="1093"/>
      <c r="D147" s="1093"/>
      <c r="E147" s="1093"/>
      <c r="F147" s="1093"/>
      <c r="G147" s="710">
        <f>+A148</f>
        <v>7449</v>
      </c>
      <c r="H147" s="711" t="str">
        <f>+A149</f>
        <v>SF</v>
      </c>
      <c r="I147" s="983"/>
      <c r="J147" s="983"/>
      <c r="K147" s="983"/>
      <c r="L147" s="983"/>
      <c r="M147" s="983"/>
      <c r="N147" s="983"/>
      <c r="O147" s="983"/>
      <c r="P147" s="983"/>
      <c r="Q147" s="983"/>
      <c r="R147" s="984"/>
      <c r="S147" s="984"/>
      <c r="T147" s="984"/>
      <c r="U147" s="984"/>
    </row>
    <row r="148" spans="1:21" ht="53" thickBot="1" x14ac:dyDescent="0.25">
      <c r="A148" s="982">
        <f>+'Take Off'!AN2</f>
        <v>7449</v>
      </c>
      <c r="B148" s="985" t="s">
        <v>209</v>
      </c>
      <c r="C148" s="986" t="s">
        <v>210</v>
      </c>
      <c r="D148" s="985" t="s">
        <v>211</v>
      </c>
      <c r="E148" s="986" t="s">
        <v>212</v>
      </c>
      <c r="F148" s="986" t="s">
        <v>213</v>
      </c>
      <c r="G148" s="987" t="s">
        <v>214</v>
      </c>
      <c r="H148" s="987" t="s">
        <v>215</v>
      </c>
      <c r="I148" s="987" t="s">
        <v>216</v>
      </c>
      <c r="J148" s="988" t="s">
        <v>217</v>
      </c>
      <c r="K148" s="988" t="s">
        <v>218</v>
      </c>
      <c r="L148" s="988" t="s">
        <v>219</v>
      </c>
      <c r="M148" s="988" t="s">
        <v>220</v>
      </c>
      <c r="N148" s="988" t="s">
        <v>221</v>
      </c>
      <c r="O148" s="988" t="s">
        <v>222</v>
      </c>
      <c r="P148" s="988" t="s">
        <v>223</v>
      </c>
      <c r="Q148" s="988" t="s">
        <v>213</v>
      </c>
      <c r="R148" s="988" t="s">
        <v>224</v>
      </c>
      <c r="S148" s="988" t="s">
        <v>31</v>
      </c>
      <c r="T148" s="988" t="s">
        <v>225</v>
      </c>
      <c r="U148" s="989">
        <v>19</v>
      </c>
    </row>
    <row r="149" spans="1:21" ht="16" thickBot="1" x14ac:dyDescent="0.25">
      <c r="A149" s="982" t="str">
        <f>+'Take Off'!AN3</f>
        <v>SF</v>
      </c>
      <c r="B149" s="712">
        <f>+A148</f>
        <v>7449</v>
      </c>
      <c r="C149" s="991">
        <v>600</v>
      </c>
      <c r="D149" s="1008" t="s">
        <v>1011</v>
      </c>
      <c r="E149" s="993">
        <v>300</v>
      </c>
      <c r="F149" s="994">
        <v>12</v>
      </c>
      <c r="G149" s="995"/>
      <c r="H149" s="996">
        <v>40</v>
      </c>
      <c r="I149" s="995" t="s">
        <v>1013</v>
      </c>
      <c r="J149" s="712">
        <f t="shared" ref="J149:J154" si="60">IF(C149=0,0,B149/C149)</f>
        <v>12.414999999999999</v>
      </c>
      <c r="K149" s="714">
        <f>IF($G149="x",'Labor Calc'!$E$43,'Labor Calc'!$E$31)</f>
        <v>58.06944444444445</v>
      </c>
      <c r="L149" s="714">
        <f>IF($G149="x",'Labor Calc'!$F$43,'Labor Calc'!$F$31)</f>
        <v>62.358333333333327</v>
      </c>
      <c r="M149" s="714">
        <f>IF($G149="x",'Labor Calc'!$G$43,'Labor Calc'!$G$31)</f>
        <v>65.217592592592595</v>
      </c>
      <c r="N149" s="714">
        <f t="shared" ref="N149:N154" si="61">IF(H149=40,K149,0)+IF(H149=50,L149,0)+IF(H149=60,M149,0)</f>
        <v>58.06944444444445</v>
      </c>
      <c r="O149" s="712">
        <f t="shared" ref="O149:O154" si="62">IF(E149=0,0,B149/E149)</f>
        <v>24.83</v>
      </c>
      <c r="P149" s="715">
        <f t="shared" ref="P149:P154" si="63">+J149*N149</f>
        <v>720.93215277777779</v>
      </c>
      <c r="Q149" s="715">
        <f>(+O149*F149)/(1-'OH&amp;P'!$C$5)</f>
        <v>367.85185185185179</v>
      </c>
      <c r="R149" s="715">
        <f>IF(I149="x",(J149*'Admin Set Up'!$B$17)/(1-'OH&amp;P'!$C$5),0)</f>
        <v>30.654320987654316</v>
      </c>
      <c r="S149" s="716">
        <f t="shared" ref="S149:S154" si="64">SUM(P149:R149)</f>
        <v>1119.4383256172839</v>
      </c>
      <c r="T149" s="717">
        <f t="shared" ref="T149:T154" si="65">IF(B149=0,0,S149/B149)</f>
        <v>0.15028034979423868</v>
      </c>
      <c r="U149" s="984"/>
    </row>
    <row r="150" spans="1:21" ht="16" thickBot="1" x14ac:dyDescent="0.25">
      <c r="A150" s="982"/>
      <c r="B150" s="712">
        <f>+B149</f>
        <v>7449</v>
      </c>
      <c r="C150" s="991"/>
      <c r="D150" s="1008" t="s">
        <v>1021</v>
      </c>
      <c r="E150" s="998"/>
      <c r="F150" s="994"/>
      <c r="G150" s="995"/>
      <c r="H150" s="996">
        <v>40</v>
      </c>
      <c r="I150" s="995" t="s">
        <v>1013</v>
      </c>
      <c r="J150" s="712">
        <f t="shared" si="60"/>
        <v>0</v>
      </c>
      <c r="K150" s="714">
        <f>IF($G150="x",'Labor Calc'!$E$43,'Labor Calc'!$E$31)</f>
        <v>58.06944444444445</v>
      </c>
      <c r="L150" s="714">
        <f>IF($G150="x",'Labor Calc'!$F$43,'Labor Calc'!$F$31)</f>
        <v>62.358333333333327</v>
      </c>
      <c r="M150" s="714">
        <f>IF($G150="x",'Labor Calc'!$G$43,'Labor Calc'!$G$31)</f>
        <v>65.217592592592595</v>
      </c>
      <c r="N150" s="714">
        <f t="shared" si="61"/>
        <v>58.06944444444445</v>
      </c>
      <c r="O150" s="712">
        <f t="shared" si="62"/>
        <v>0</v>
      </c>
      <c r="P150" s="715">
        <f t="shared" si="63"/>
        <v>0</v>
      </c>
      <c r="Q150" s="715">
        <f>(+O150*F150)/(1-'OH&amp;P'!$C$5)</f>
        <v>0</v>
      </c>
      <c r="R150" s="715">
        <f>IF(I150="x",(J150*'Admin Set Up'!$B$17)/(1-'OH&amp;P'!$C$5),0)</f>
        <v>0</v>
      </c>
      <c r="S150" s="716">
        <f t="shared" si="64"/>
        <v>0</v>
      </c>
      <c r="T150" s="717">
        <f t="shared" si="65"/>
        <v>0</v>
      </c>
      <c r="U150" s="984"/>
    </row>
    <row r="151" spans="1:21" ht="16" thickBot="1" x14ac:dyDescent="0.25">
      <c r="A151" s="982"/>
      <c r="B151" s="712">
        <f>+B150</f>
        <v>7449</v>
      </c>
      <c r="C151" s="991">
        <v>200</v>
      </c>
      <c r="D151" s="1008" t="s">
        <v>1012</v>
      </c>
      <c r="E151" s="998">
        <v>300</v>
      </c>
      <c r="F151" s="994">
        <v>15.5</v>
      </c>
      <c r="G151" s="995"/>
      <c r="H151" s="996">
        <v>40</v>
      </c>
      <c r="I151" s="995" t="s">
        <v>1013</v>
      </c>
      <c r="J151" s="712">
        <f t="shared" si="60"/>
        <v>37.244999999999997</v>
      </c>
      <c r="K151" s="714">
        <f>IF($G151="x",'Labor Calc'!$E$43,'Labor Calc'!$E$31)</f>
        <v>58.06944444444445</v>
      </c>
      <c r="L151" s="714">
        <f>IF($G151="x",'Labor Calc'!$F$43,'Labor Calc'!$F$31)</f>
        <v>62.358333333333327</v>
      </c>
      <c r="M151" s="714">
        <f>IF($G151="x",'Labor Calc'!$G$43,'Labor Calc'!$G$31)</f>
        <v>65.217592592592595</v>
      </c>
      <c r="N151" s="714">
        <f t="shared" si="61"/>
        <v>58.06944444444445</v>
      </c>
      <c r="O151" s="712">
        <f t="shared" si="62"/>
        <v>24.83</v>
      </c>
      <c r="P151" s="715">
        <f t="shared" si="63"/>
        <v>2162.7964583333332</v>
      </c>
      <c r="Q151" s="715">
        <f>(+O151*F151)/(1-'OH&amp;P'!$C$5)</f>
        <v>475.14197530864186</v>
      </c>
      <c r="R151" s="715">
        <f>IF(I151="x",(J151*'Admin Set Up'!$B$17)/(1-'OH&amp;P'!$C$5),0)</f>
        <v>91.962962962962948</v>
      </c>
      <c r="S151" s="716">
        <f t="shared" si="64"/>
        <v>2729.9013966049383</v>
      </c>
      <c r="T151" s="717">
        <f t="shared" si="65"/>
        <v>0.3664789094650206</v>
      </c>
      <c r="U151" s="984"/>
    </row>
    <row r="152" spans="1:21" ht="16" thickBot="1" x14ac:dyDescent="0.25">
      <c r="A152" s="982"/>
      <c r="B152" s="712">
        <f>+B151</f>
        <v>7449</v>
      </c>
      <c r="C152" s="991">
        <v>100</v>
      </c>
      <c r="D152" s="1008" t="s">
        <v>1021</v>
      </c>
      <c r="E152" s="998">
        <v>180</v>
      </c>
      <c r="F152" s="994">
        <v>5</v>
      </c>
      <c r="G152" s="995"/>
      <c r="H152" s="996">
        <v>40</v>
      </c>
      <c r="I152" s="995" t="s">
        <v>1013</v>
      </c>
      <c r="J152" s="712">
        <f t="shared" si="60"/>
        <v>74.489999999999995</v>
      </c>
      <c r="K152" s="714">
        <f>IF($G152="x",'Labor Calc'!$E$43,'Labor Calc'!$E$31)</f>
        <v>58.06944444444445</v>
      </c>
      <c r="L152" s="714">
        <f>IF($G152="x",'Labor Calc'!$F$43,'Labor Calc'!$F$31)</f>
        <v>62.358333333333327</v>
      </c>
      <c r="M152" s="714">
        <f>IF($G152="x",'Labor Calc'!$G$43,'Labor Calc'!$G$31)</f>
        <v>65.217592592592595</v>
      </c>
      <c r="N152" s="714">
        <f t="shared" si="61"/>
        <v>58.06944444444445</v>
      </c>
      <c r="O152" s="712">
        <f t="shared" si="62"/>
        <v>41.383333333333333</v>
      </c>
      <c r="P152" s="715">
        <f t="shared" si="63"/>
        <v>4325.5929166666665</v>
      </c>
      <c r="Q152" s="715">
        <f>(+O152*F152)/(1-'OH&amp;P'!$C$5)</f>
        <v>255.45267489711932</v>
      </c>
      <c r="R152" s="715">
        <f>IF(I152="x",(J152*'Admin Set Up'!$B$17)/(1-'OH&amp;P'!$C$5),0)</f>
        <v>183.9259259259259</v>
      </c>
      <c r="S152" s="716">
        <f t="shared" si="64"/>
        <v>4764.9715174897119</v>
      </c>
      <c r="T152" s="717">
        <f t="shared" si="65"/>
        <v>0.63967935528120712</v>
      </c>
      <c r="U152" s="984"/>
    </row>
    <row r="153" spans="1:21" ht="16" thickBot="1" x14ac:dyDescent="0.25">
      <c r="A153" s="982"/>
      <c r="B153" s="712">
        <f>+B152</f>
        <v>7449</v>
      </c>
      <c r="C153" s="991">
        <v>150</v>
      </c>
      <c r="D153" s="1008" t="s">
        <v>1101</v>
      </c>
      <c r="E153" s="998">
        <v>300</v>
      </c>
      <c r="F153" s="994">
        <v>15.5</v>
      </c>
      <c r="G153" s="995"/>
      <c r="H153" s="996">
        <v>40</v>
      </c>
      <c r="I153" s="995" t="s">
        <v>1013</v>
      </c>
      <c r="J153" s="712">
        <f t="shared" si="60"/>
        <v>49.66</v>
      </c>
      <c r="K153" s="714">
        <f>IF($G153="x",'Labor Calc'!$E$43,'Labor Calc'!$E$31)</f>
        <v>58.06944444444445</v>
      </c>
      <c r="L153" s="714">
        <f>IF($G153="x",'Labor Calc'!$F$43,'Labor Calc'!$F$31)</f>
        <v>62.358333333333327</v>
      </c>
      <c r="M153" s="714">
        <f>IF($G153="x",'Labor Calc'!$G$43,'Labor Calc'!$G$31)</f>
        <v>65.217592592592595</v>
      </c>
      <c r="N153" s="714">
        <f t="shared" si="61"/>
        <v>58.06944444444445</v>
      </c>
      <c r="O153" s="712">
        <f t="shared" si="62"/>
        <v>24.83</v>
      </c>
      <c r="P153" s="715">
        <f t="shared" si="63"/>
        <v>2883.7286111111111</v>
      </c>
      <c r="Q153" s="715">
        <f>(+O153*F153)/(1-'OH&amp;P'!$C$5)</f>
        <v>475.14197530864186</v>
      </c>
      <c r="R153" s="715">
        <f>IF(I153="x",(J153*'Admin Set Up'!$B$17)/(1-'OH&amp;P'!$C$5),0)</f>
        <v>122.61728395061726</v>
      </c>
      <c r="S153" s="716">
        <f t="shared" si="64"/>
        <v>3481.4878703703703</v>
      </c>
      <c r="T153" s="717">
        <f t="shared" si="65"/>
        <v>0.46737654320987654</v>
      </c>
      <c r="U153" s="984"/>
    </row>
    <row r="154" spans="1:21" ht="16" hidden="1" thickBot="1" x14ac:dyDescent="0.25">
      <c r="A154" s="999"/>
      <c r="B154" s="713">
        <f>+B149</f>
        <v>7449</v>
      </c>
      <c r="C154" s="991"/>
      <c r="D154" s="1000"/>
      <c r="E154" s="1001"/>
      <c r="F154" s="1002"/>
      <c r="G154" s="995"/>
      <c r="H154" s="996"/>
      <c r="I154" s="995"/>
      <c r="J154" s="712">
        <f t="shared" si="60"/>
        <v>0</v>
      </c>
      <c r="K154" s="714">
        <f>IF($G154="x",'Labor Calc'!$E$43,'Labor Calc'!$E$31)</f>
        <v>58.06944444444445</v>
      </c>
      <c r="L154" s="714">
        <f>IF($G154="x",'Labor Calc'!$F$43,'Labor Calc'!$F$31)</f>
        <v>62.358333333333327</v>
      </c>
      <c r="M154" s="714">
        <f>IF($G154="x",'Labor Calc'!$G$43,'Labor Calc'!$G$31)</f>
        <v>65.217592592592595</v>
      </c>
      <c r="N154" s="714">
        <f t="shared" si="61"/>
        <v>0</v>
      </c>
      <c r="O154" s="712">
        <f t="shared" si="62"/>
        <v>0</v>
      </c>
      <c r="P154" s="715">
        <f t="shared" si="63"/>
        <v>0</v>
      </c>
      <c r="Q154" s="715">
        <f>(+O154*F154)/(1-'OH&amp;P'!$C$5)</f>
        <v>0</v>
      </c>
      <c r="R154" s="715">
        <f>IF(I154="x",(J154*'Admin Set Up'!$B$17)/(1-'OH&amp;P'!$C$5),0)</f>
        <v>0</v>
      </c>
      <c r="S154" s="716">
        <f t="shared" si="64"/>
        <v>0</v>
      </c>
      <c r="T154" s="717">
        <f t="shared" si="65"/>
        <v>0</v>
      </c>
      <c r="U154" s="984"/>
    </row>
    <row r="155" spans="1:21" ht="16" thickBot="1" x14ac:dyDescent="0.25">
      <c r="A155" s="1003"/>
      <c r="B155" s="1004" t="s">
        <v>226</v>
      </c>
      <c r="C155" s="719"/>
      <c r="D155" s="1005" t="s">
        <v>227</v>
      </c>
      <c r="E155" s="1006"/>
      <c r="F155" s="1006"/>
      <c r="G155" s="1092" t="s">
        <v>101</v>
      </c>
      <c r="H155" s="1092"/>
      <c r="I155" s="1092"/>
      <c r="J155" s="718">
        <f>SUM(J149:J154)</f>
        <v>173.81</v>
      </c>
      <c r="K155" s="719"/>
      <c r="L155" s="719"/>
      <c r="M155" s="719"/>
      <c r="N155" s="719"/>
      <c r="O155" s="720">
        <f t="shared" ref="O155:T155" si="66">SUM(O149:O154)</f>
        <v>115.87333333333332</v>
      </c>
      <c r="P155" s="721">
        <f t="shared" si="66"/>
        <v>10093.05013888889</v>
      </c>
      <c r="Q155" s="721">
        <f t="shared" si="66"/>
        <v>1573.5884773662549</v>
      </c>
      <c r="R155" s="721">
        <f t="shared" si="66"/>
        <v>429.16049382716045</v>
      </c>
      <c r="S155" s="722">
        <f t="shared" si="66"/>
        <v>12095.799110082304</v>
      </c>
      <c r="T155" s="723">
        <f t="shared" si="66"/>
        <v>1.623815157750343</v>
      </c>
      <c r="U155" s="1007"/>
    </row>
    <row r="157" spans="1:21" x14ac:dyDescent="0.2">
      <c r="A157" s="982" t="str">
        <f>+'Take Off'!AO1</f>
        <v>SS Column</v>
      </c>
      <c r="B157" s="1093" t="str">
        <f>+A157</f>
        <v>SS Column</v>
      </c>
      <c r="C157" s="1093"/>
      <c r="D157" s="1093"/>
      <c r="E157" s="1093"/>
      <c r="F157" s="1093"/>
      <c r="G157" s="710">
        <f>+A158</f>
        <v>2889</v>
      </c>
      <c r="H157" s="711" t="str">
        <f>+A159</f>
        <v>SF</v>
      </c>
      <c r="I157" s="983"/>
      <c r="J157" s="983"/>
      <c r="K157" s="983"/>
      <c r="L157" s="983"/>
      <c r="M157" s="983"/>
      <c r="N157" s="983"/>
      <c r="O157" s="983"/>
      <c r="P157" s="983"/>
      <c r="Q157" s="983"/>
      <c r="R157" s="984"/>
      <c r="S157" s="984"/>
      <c r="T157" s="984"/>
      <c r="U157" s="984"/>
    </row>
    <row r="158" spans="1:21" ht="53" thickBot="1" x14ac:dyDescent="0.25">
      <c r="A158" s="982">
        <f>+'Take Off'!AO2</f>
        <v>2889</v>
      </c>
      <c r="B158" s="985" t="s">
        <v>209</v>
      </c>
      <c r="C158" s="986" t="s">
        <v>210</v>
      </c>
      <c r="D158" s="985" t="s">
        <v>211</v>
      </c>
      <c r="E158" s="986" t="s">
        <v>212</v>
      </c>
      <c r="F158" s="986" t="s">
        <v>213</v>
      </c>
      <c r="G158" s="987" t="s">
        <v>214</v>
      </c>
      <c r="H158" s="987" t="s">
        <v>215</v>
      </c>
      <c r="I158" s="987" t="s">
        <v>216</v>
      </c>
      <c r="J158" s="988" t="s">
        <v>217</v>
      </c>
      <c r="K158" s="988" t="s">
        <v>218</v>
      </c>
      <c r="L158" s="988" t="s">
        <v>219</v>
      </c>
      <c r="M158" s="988" t="s">
        <v>220</v>
      </c>
      <c r="N158" s="988" t="s">
        <v>221</v>
      </c>
      <c r="O158" s="988" t="s">
        <v>222</v>
      </c>
      <c r="P158" s="988" t="s">
        <v>223</v>
      </c>
      <c r="Q158" s="988" t="s">
        <v>213</v>
      </c>
      <c r="R158" s="988" t="s">
        <v>224</v>
      </c>
      <c r="S158" s="988" t="s">
        <v>31</v>
      </c>
      <c r="T158" s="988" t="s">
        <v>225</v>
      </c>
      <c r="U158" s="989">
        <v>20</v>
      </c>
    </row>
    <row r="159" spans="1:21" ht="16" thickBot="1" x14ac:dyDescent="0.25">
      <c r="A159" s="982" t="str">
        <f>+'Take Off'!AO3</f>
        <v>SF</v>
      </c>
      <c r="B159" s="712">
        <f>+A158</f>
        <v>2889</v>
      </c>
      <c r="C159" s="991">
        <v>500</v>
      </c>
      <c r="D159" s="1008" t="s">
        <v>1024</v>
      </c>
      <c r="E159" s="993">
        <v>600</v>
      </c>
      <c r="F159" s="994">
        <v>28</v>
      </c>
      <c r="G159" s="995"/>
      <c r="H159" s="996">
        <v>40</v>
      </c>
      <c r="I159" s="995" t="s">
        <v>1013</v>
      </c>
      <c r="J159" s="712">
        <f>IF(C159=0,0,B159/C159)</f>
        <v>5.7779999999999996</v>
      </c>
      <c r="K159" s="714">
        <f>IF($G159="x",'Labor Calc'!$E$43,'Labor Calc'!$E$31)</f>
        <v>58.06944444444445</v>
      </c>
      <c r="L159" s="714">
        <f>IF($G159="x",'Labor Calc'!$F$43,'Labor Calc'!$F$31)</f>
        <v>62.358333333333327</v>
      </c>
      <c r="M159" s="714">
        <f>IF($G159="x",'Labor Calc'!$G$43,'Labor Calc'!$G$31)</f>
        <v>65.217592592592595</v>
      </c>
      <c r="N159" s="714">
        <f>IF(H159=40,K159,0)+IF(H159=50,L159,0)+IF(H159=60,M159,0)</f>
        <v>58.06944444444445</v>
      </c>
      <c r="O159" s="712">
        <f>IF(E159=0,0,B159/E159)</f>
        <v>4.8150000000000004</v>
      </c>
      <c r="P159" s="715">
        <f>+J159*N159</f>
        <v>335.52525000000003</v>
      </c>
      <c r="Q159" s="715">
        <f>(+O159*F159)/(1-'OH&amp;P'!$C$5)</f>
        <v>166.44444444444446</v>
      </c>
      <c r="R159" s="715">
        <f>IF(I159="x",(J159*'Admin Set Up'!$B$17)/(1-'OH&amp;P'!$C$5),0)</f>
        <v>14.266666666666664</v>
      </c>
      <c r="S159" s="716">
        <f>SUM(P159:R159)</f>
        <v>516.23636111111114</v>
      </c>
      <c r="T159" s="717">
        <f>IF(B159=0,0,S159/B159)</f>
        <v>0.17869032921810701</v>
      </c>
      <c r="U159" s="984"/>
    </row>
    <row r="160" spans="1:21" ht="16" thickBot="1" x14ac:dyDescent="0.25">
      <c r="A160" s="982"/>
      <c r="B160" s="712">
        <f>+B159</f>
        <v>2889</v>
      </c>
      <c r="C160" s="991">
        <v>150</v>
      </c>
      <c r="D160" s="1008" t="s">
        <v>1020</v>
      </c>
      <c r="E160" s="998">
        <v>200</v>
      </c>
      <c r="F160" s="994">
        <v>40</v>
      </c>
      <c r="G160" s="995"/>
      <c r="H160" s="996">
        <v>40</v>
      </c>
      <c r="I160" s="995" t="s">
        <v>1013</v>
      </c>
      <c r="J160" s="712">
        <f>IF(C160=0,0,B160/C160)</f>
        <v>19.260000000000002</v>
      </c>
      <c r="K160" s="714">
        <f>IF($G160="x",'Labor Calc'!$E$43,'Labor Calc'!$E$31)</f>
        <v>58.06944444444445</v>
      </c>
      <c r="L160" s="714">
        <f>IF($G160="x",'Labor Calc'!$F$43,'Labor Calc'!$F$31)</f>
        <v>62.358333333333327</v>
      </c>
      <c r="M160" s="714">
        <f>IF($G160="x",'Labor Calc'!$G$43,'Labor Calc'!$G$31)</f>
        <v>65.217592592592595</v>
      </c>
      <c r="N160" s="714">
        <f>IF(H160=40,K160,0)+IF(H160=50,L160,0)+IF(H160=60,M160,0)</f>
        <v>58.06944444444445</v>
      </c>
      <c r="O160" s="712">
        <f>IF(E160=0,0,B160/E160)</f>
        <v>14.445</v>
      </c>
      <c r="P160" s="715">
        <f>+J160*N160</f>
        <v>1118.4175000000002</v>
      </c>
      <c r="Q160" s="715">
        <f>(+O160*F160)/(1-'OH&amp;P'!$C$5)</f>
        <v>713.33333333333326</v>
      </c>
      <c r="R160" s="715">
        <f>IF(I160="x",(J160*'Admin Set Up'!$B$17)/(1-'OH&amp;P'!$C$5),0)</f>
        <v>47.555555555555557</v>
      </c>
      <c r="S160" s="716">
        <f>SUM(P160:R160)</f>
        <v>1879.3063888888892</v>
      </c>
      <c r="T160" s="717">
        <f>IF(B160=0,0,S160/B160)</f>
        <v>0.65050411522633755</v>
      </c>
      <c r="U160" s="984"/>
    </row>
    <row r="161" spans="1:21" ht="16" thickBot="1" x14ac:dyDescent="0.25">
      <c r="A161" s="982"/>
      <c r="B161" s="712">
        <f>+B160</f>
        <v>2889</v>
      </c>
      <c r="C161" s="991">
        <v>150</v>
      </c>
      <c r="D161" s="1008" t="s">
        <v>1020</v>
      </c>
      <c r="E161" s="998">
        <v>200</v>
      </c>
      <c r="F161" s="994">
        <v>40</v>
      </c>
      <c r="G161" s="995"/>
      <c r="H161" s="996">
        <v>40</v>
      </c>
      <c r="I161" s="995" t="s">
        <v>1013</v>
      </c>
      <c r="J161" s="712">
        <f>IF(C161=0,0,B161/C161)</f>
        <v>19.260000000000002</v>
      </c>
      <c r="K161" s="714">
        <f>IF($G161="x",'Labor Calc'!$E$43,'Labor Calc'!$E$31)</f>
        <v>58.06944444444445</v>
      </c>
      <c r="L161" s="714">
        <f>IF($G161="x",'Labor Calc'!$F$43,'Labor Calc'!$F$31)</f>
        <v>62.358333333333327</v>
      </c>
      <c r="M161" s="714">
        <f>IF($G161="x",'Labor Calc'!$G$43,'Labor Calc'!$G$31)</f>
        <v>65.217592592592595</v>
      </c>
      <c r="N161" s="714">
        <f>IF(H161=40,K161,0)+IF(H161=50,L161,0)+IF(H161=60,M161,0)</f>
        <v>58.06944444444445</v>
      </c>
      <c r="O161" s="712">
        <f>IF(E161=0,0,B161/E161)</f>
        <v>14.445</v>
      </c>
      <c r="P161" s="715">
        <f>+J161*N161</f>
        <v>1118.4175000000002</v>
      </c>
      <c r="Q161" s="715">
        <f>(+O161*F161)/(1-'OH&amp;P'!$C$5)</f>
        <v>713.33333333333326</v>
      </c>
      <c r="R161" s="715">
        <f>IF(I161="x",(J161*'Admin Set Up'!$B$17)/(1-'OH&amp;P'!$C$5),0)</f>
        <v>47.555555555555557</v>
      </c>
      <c r="S161" s="716">
        <f>SUM(P161:R161)</f>
        <v>1879.3063888888892</v>
      </c>
      <c r="T161" s="717">
        <f>IF(B161=0,0,S161/B161)</f>
        <v>0.65050411522633755</v>
      </c>
      <c r="U161" s="984"/>
    </row>
    <row r="162" spans="1:21" ht="16" hidden="1" thickBot="1" x14ac:dyDescent="0.25">
      <c r="A162" s="999"/>
      <c r="B162" s="713">
        <f>+B159</f>
        <v>2889</v>
      </c>
      <c r="C162" s="991"/>
      <c r="D162" s="1000"/>
      <c r="E162" s="1001"/>
      <c r="F162" s="1002"/>
      <c r="G162" s="995"/>
      <c r="H162" s="996"/>
      <c r="I162" s="995"/>
      <c r="J162" s="712">
        <f>IF(C162=0,0,B162/C162)</f>
        <v>0</v>
      </c>
      <c r="K162" s="714">
        <f>IF($G162="x",'Labor Calc'!$E$43,'Labor Calc'!$E$31)</f>
        <v>58.06944444444445</v>
      </c>
      <c r="L162" s="714">
        <f>IF($G162="x",'Labor Calc'!$F$43,'Labor Calc'!$F$31)</f>
        <v>62.358333333333327</v>
      </c>
      <c r="M162" s="714">
        <f>IF($G162="x",'Labor Calc'!$G$43,'Labor Calc'!$G$31)</f>
        <v>65.217592592592595</v>
      </c>
      <c r="N162" s="714">
        <f>IF(H162=40,K162,0)+IF(H162=50,L162,0)+IF(H162=60,M162,0)</f>
        <v>0</v>
      </c>
      <c r="O162" s="712">
        <f>IF(E162=0,0,B162/E162)</f>
        <v>0</v>
      </c>
      <c r="P162" s="715">
        <f>+J162*N162</f>
        <v>0</v>
      </c>
      <c r="Q162" s="715">
        <f>(+O162*F162)/(1-'OH&amp;P'!$C$5)</f>
        <v>0</v>
      </c>
      <c r="R162" s="715">
        <f>IF(I162="x",(J162*'Admin Set Up'!$B$17)/(1-'OH&amp;P'!$C$5),0)</f>
        <v>0</v>
      </c>
      <c r="S162" s="716">
        <f>SUM(P162:R162)</f>
        <v>0</v>
      </c>
      <c r="T162" s="717">
        <f>IF(B162=0,0,S162/B162)</f>
        <v>0</v>
      </c>
      <c r="U162" s="984"/>
    </row>
    <row r="163" spans="1:21" ht="16" thickBot="1" x14ac:dyDescent="0.25">
      <c r="A163" s="1003"/>
      <c r="B163" s="1004" t="s">
        <v>226</v>
      </c>
      <c r="C163" s="719"/>
      <c r="D163" s="1005" t="s">
        <v>227</v>
      </c>
      <c r="E163" s="1006"/>
      <c r="F163" s="1006"/>
      <c r="G163" s="1092" t="s">
        <v>101</v>
      </c>
      <c r="H163" s="1092"/>
      <c r="I163" s="1092"/>
      <c r="J163" s="718">
        <f>SUM(J159:J162)</f>
        <v>44.298000000000002</v>
      </c>
      <c r="K163" s="719"/>
      <c r="L163" s="719"/>
      <c r="M163" s="719"/>
      <c r="N163" s="719"/>
      <c r="O163" s="720">
        <f t="shared" ref="O163:T163" si="67">SUM(O159:O162)</f>
        <v>33.704999999999998</v>
      </c>
      <c r="P163" s="721">
        <f t="shared" si="67"/>
        <v>2572.3602500000006</v>
      </c>
      <c r="Q163" s="721">
        <f t="shared" si="67"/>
        <v>1593.1111111111109</v>
      </c>
      <c r="R163" s="721">
        <f t="shared" si="67"/>
        <v>109.37777777777778</v>
      </c>
      <c r="S163" s="722">
        <f t="shared" si="67"/>
        <v>4274.8491388888897</v>
      </c>
      <c r="T163" s="723">
        <f t="shared" si="67"/>
        <v>1.4796985596707821</v>
      </c>
      <c r="U163" s="1007"/>
    </row>
    <row r="165" spans="1:21" x14ac:dyDescent="0.2">
      <c r="A165" s="982" t="str">
        <f>+'Take Off'!AP1</f>
        <v>Wall/Accent</v>
      </c>
      <c r="B165" s="1093" t="str">
        <f>+A165</f>
        <v>Wall/Accent</v>
      </c>
      <c r="C165" s="1093"/>
      <c r="D165" s="1093"/>
      <c r="E165" s="1093"/>
      <c r="F165" s="1093"/>
      <c r="G165" s="710">
        <f>+A166</f>
        <v>122476</v>
      </c>
      <c r="H165" s="711" t="str">
        <f>+A167</f>
        <v>SF</v>
      </c>
      <c r="I165" s="983"/>
      <c r="J165" s="983"/>
      <c r="K165" s="983"/>
      <c r="L165" s="983"/>
      <c r="M165" s="983"/>
      <c r="N165" s="983"/>
      <c r="O165" s="983"/>
      <c r="P165" s="983"/>
      <c r="Q165" s="983"/>
      <c r="R165" s="984"/>
      <c r="S165" s="984"/>
      <c r="T165" s="984"/>
      <c r="U165" s="984"/>
    </row>
    <row r="166" spans="1:21" ht="53" thickBot="1" x14ac:dyDescent="0.25">
      <c r="A166" s="982">
        <f>+'Take Off'!AP2</f>
        <v>122476</v>
      </c>
      <c r="B166" s="985" t="s">
        <v>209</v>
      </c>
      <c r="C166" s="986" t="s">
        <v>210</v>
      </c>
      <c r="D166" s="985" t="s">
        <v>211</v>
      </c>
      <c r="E166" s="986" t="s">
        <v>212</v>
      </c>
      <c r="F166" s="986" t="s">
        <v>213</v>
      </c>
      <c r="G166" s="987" t="s">
        <v>214</v>
      </c>
      <c r="H166" s="987" t="s">
        <v>215</v>
      </c>
      <c r="I166" s="987" t="s">
        <v>216</v>
      </c>
      <c r="J166" s="988" t="s">
        <v>217</v>
      </c>
      <c r="K166" s="988" t="s">
        <v>218</v>
      </c>
      <c r="L166" s="988" t="s">
        <v>219</v>
      </c>
      <c r="M166" s="988" t="s">
        <v>220</v>
      </c>
      <c r="N166" s="988" t="s">
        <v>221</v>
      </c>
      <c r="O166" s="988" t="s">
        <v>222</v>
      </c>
      <c r="P166" s="988" t="s">
        <v>223</v>
      </c>
      <c r="Q166" s="988" t="s">
        <v>213</v>
      </c>
      <c r="R166" s="988" t="s">
        <v>224</v>
      </c>
      <c r="S166" s="988" t="s">
        <v>31</v>
      </c>
      <c r="T166" s="988" t="s">
        <v>225</v>
      </c>
      <c r="U166" s="989">
        <v>21</v>
      </c>
    </row>
    <row r="167" spans="1:21" ht="16" thickBot="1" x14ac:dyDescent="0.25">
      <c r="A167" s="982" t="str">
        <f>+'Take Off'!AP3</f>
        <v>SF</v>
      </c>
      <c r="B167" s="712">
        <f>+A166</f>
        <v>122476</v>
      </c>
      <c r="C167" s="991">
        <v>500</v>
      </c>
      <c r="D167" s="1008" t="s">
        <v>1011</v>
      </c>
      <c r="E167" s="993">
        <v>400</v>
      </c>
      <c r="F167" s="994">
        <v>12</v>
      </c>
      <c r="G167" s="995"/>
      <c r="H167" s="996">
        <v>40</v>
      </c>
      <c r="I167" s="995" t="s">
        <v>1013</v>
      </c>
      <c r="J167" s="712">
        <f>IF(C167=0,0,B167/C167)</f>
        <v>244.952</v>
      </c>
      <c r="K167" s="714">
        <f>IF($G167="x",'Labor Calc'!$E$43,'Labor Calc'!$E$31)</f>
        <v>58.06944444444445</v>
      </c>
      <c r="L167" s="714">
        <f>IF($G167="x",'Labor Calc'!$F$43,'Labor Calc'!$F$31)</f>
        <v>62.358333333333327</v>
      </c>
      <c r="M167" s="714">
        <f>IF($G167="x",'Labor Calc'!$G$43,'Labor Calc'!$G$31)</f>
        <v>65.217592592592595</v>
      </c>
      <c r="N167" s="714">
        <f>IF(H167=40,K167,0)+IF(H167=50,L167,0)+IF(H167=60,M167,0)</f>
        <v>58.06944444444445</v>
      </c>
      <c r="O167" s="712">
        <f>IF(E167=0,0,B167/E167)</f>
        <v>306.19</v>
      </c>
      <c r="P167" s="715">
        <f>+J167*N167</f>
        <v>14224.226555555557</v>
      </c>
      <c r="Q167" s="715">
        <f>(+O167*F167)/(1-'OH&amp;P'!$C$5)</f>
        <v>4536.1481481481478</v>
      </c>
      <c r="R167" s="715">
        <f>IF(I167="x",(J167*'Admin Set Up'!$B$17)/(1-'OH&amp;P'!$C$5),0)</f>
        <v>604.81975308641972</v>
      </c>
      <c r="S167" s="716">
        <f>SUM(P167:R167)</f>
        <v>19365.194456790123</v>
      </c>
      <c r="T167" s="717">
        <f>IF(B167=0,0,S167/B167)</f>
        <v>0.1581141975308642</v>
      </c>
      <c r="U167" s="984"/>
    </row>
    <row r="168" spans="1:21" ht="16" thickBot="1" x14ac:dyDescent="0.25">
      <c r="A168" s="982"/>
      <c r="B168" s="712">
        <f>+B167</f>
        <v>122476</v>
      </c>
      <c r="C168" s="991">
        <v>350</v>
      </c>
      <c r="D168" s="1008" t="s">
        <v>1012</v>
      </c>
      <c r="E168" s="998">
        <v>350</v>
      </c>
      <c r="F168" s="994">
        <v>15.5</v>
      </c>
      <c r="G168" s="995"/>
      <c r="H168" s="996">
        <v>40</v>
      </c>
      <c r="I168" s="995" t="s">
        <v>1013</v>
      </c>
      <c r="J168" s="712">
        <f>IF(C168=0,0,B168/C168)</f>
        <v>349.93142857142857</v>
      </c>
      <c r="K168" s="714">
        <f>IF($G168="x",'Labor Calc'!$E$43,'Labor Calc'!$E$31)</f>
        <v>58.06944444444445</v>
      </c>
      <c r="L168" s="714">
        <f>IF($G168="x",'Labor Calc'!$F$43,'Labor Calc'!$F$31)</f>
        <v>62.358333333333327</v>
      </c>
      <c r="M168" s="714">
        <f>IF($G168="x",'Labor Calc'!$G$43,'Labor Calc'!$G$31)</f>
        <v>65.217592592592595</v>
      </c>
      <c r="N168" s="714">
        <f>IF(H168=40,K168,0)+IF(H168=50,L168,0)+IF(H168=60,M168,0)</f>
        <v>58.06944444444445</v>
      </c>
      <c r="O168" s="712">
        <f>IF(E168=0,0,B168/E168)</f>
        <v>349.93142857142857</v>
      </c>
      <c r="P168" s="715">
        <f>+J168*N168</f>
        <v>20320.323650793653</v>
      </c>
      <c r="Q168" s="715">
        <f>(+O168*F168)/(1-'OH&amp;P'!$C$5)</f>
        <v>6696.2186948853614</v>
      </c>
      <c r="R168" s="715">
        <f>IF(I168="x",(J168*'Admin Set Up'!$B$17)/(1-'OH&amp;P'!$C$5),0)</f>
        <v>864.02821869488525</v>
      </c>
      <c r="S168" s="716">
        <f>SUM(P168:R168)</f>
        <v>27880.570564373902</v>
      </c>
      <c r="T168" s="717">
        <f>IF(B168=0,0,S168/B168)</f>
        <v>0.22764109347442685</v>
      </c>
      <c r="U168" s="984"/>
    </row>
    <row r="169" spans="1:21" ht="16" thickBot="1" x14ac:dyDescent="0.25">
      <c r="A169" s="982"/>
      <c r="B169" s="712">
        <f>+B168</f>
        <v>122476</v>
      </c>
      <c r="C169" s="991">
        <v>250</v>
      </c>
      <c r="D169" s="1008" t="s">
        <v>1100</v>
      </c>
      <c r="E169" s="998">
        <v>350</v>
      </c>
      <c r="F169" s="994">
        <v>15.5</v>
      </c>
      <c r="G169" s="995"/>
      <c r="H169" s="996">
        <v>40</v>
      </c>
      <c r="I169" s="995" t="s">
        <v>1013</v>
      </c>
      <c r="J169" s="712">
        <f>IF(C169=0,0,B169/C169)</f>
        <v>489.904</v>
      </c>
      <c r="K169" s="714">
        <f>IF($G169="x",'Labor Calc'!$E$43,'Labor Calc'!$E$31)</f>
        <v>58.06944444444445</v>
      </c>
      <c r="L169" s="714">
        <f>IF($G169="x",'Labor Calc'!$F$43,'Labor Calc'!$F$31)</f>
        <v>62.358333333333327</v>
      </c>
      <c r="M169" s="714">
        <f>IF($G169="x",'Labor Calc'!$G$43,'Labor Calc'!$G$31)</f>
        <v>65.217592592592595</v>
      </c>
      <c r="N169" s="714">
        <f>IF(H169=40,K169,0)+IF(H169=50,L169,0)+IF(H169=60,M169,0)</f>
        <v>58.06944444444445</v>
      </c>
      <c r="O169" s="712">
        <f>IF(E169=0,0,B169/E169)</f>
        <v>349.93142857142857</v>
      </c>
      <c r="P169" s="715">
        <f>+J169*N169</f>
        <v>28448.453111111114</v>
      </c>
      <c r="Q169" s="715">
        <f>(+O169*F169)/(1-'OH&amp;P'!$C$5)</f>
        <v>6696.2186948853614</v>
      </c>
      <c r="R169" s="715">
        <f>IF(I169="x",(J169*'Admin Set Up'!$B$17)/(1-'OH&amp;P'!$C$5),0)</f>
        <v>1209.6395061728394</v>
      </c>
      <c r="S169" s="716">
        <f>SUM(P169:R169)</f>
        <v>36354.311312169317</v>
      </c>
      <c r="T169" s="717">
        <f>IF(B169=0,0,S169/B169)</f>
        <v>0.29682804232804239</v>
      </c>
      <c r="U169" s="984"/>
    </row>
    <row r="170" spans="1:21" ht="16" thickBot="1" x14ac:dyDescent="0.25">
      <c r="A170" s="982"/>
      <c r="B170" s="712">
        <f>+B169</f>
        <v>122476</v>
      </c>
      <c r="C170" s="991">
        <v>1100</v>
      </c>
      <c r="D170" s="1008" t="s">
        <v>1018</v>
      </c>
      <c r="E170" s="998">
        <v>600</v>
      </c>
      <c r="F170" s="994">
        <v>5</v>
      </c>
      <c r="G170" s="995"/>
      <c r="H170" s="996">
        <v>40</v>
      </c>
      <c r="I170" s="995" t="s">
        <v>1013</v>
      </c>
      <c r="J170" s="712">
        <f>IF(C170=0,0,B170/C170)</f>
        <v>111.34181818181818</v>
      </c>
      <c r="K170" s="714">
        <f>IF($G170="x",'Labor Calc'!$E$43,'Labor Calc'!$E$31)</f>
        <v>58.06944444444445</v>
      </c>
      <c r="L170" s="714">
        <f>IF($G170="x",'Labor Calc'!$F$43,'Labor Calc'!$F$31)</f>
        <v>62.358333333333327</v>
      </c>
      <c r="M170" s="714">
        <f>IF($G170="x",'Labor Calc'!$G$43,'Labor Calc'!$G$31)</f>
        <v>65.217592592592595</v>
      </c>
      <c r="N170" s="714">
        <f>IF(H170=40,K170,0)+IF(H170=50,L170,0)+IF(H170=60,M170,0)</f>
        <v>58.06944444444445</v>
      </c>
      <c r="O170" s="712">
        <f>IF(E170=0,0,B170/E170)</f>
        <v>204.12666666666667</v>
      </c>
      <c r="P170" s="715">
        <f>+J170*N170</f>
        <v>6465.5575252525259</v>
      </c>
      <c r="Q170" s="715">
        <f>(+O170*F170)/(1-'OH&amp;P'!$C$5)</f>
        <v>1260.0411522633744</v>
      </c>
      <c r="R170" s="715">
        <f>IF(I170="x",(J170*'Admin Set Up'!$B$17)/(1-'OH&amp;P'!$C$5),0)</f>
        <v>274.91806958473626</v>
      </c>
      <c r="S170" s="716">
        <f>SUM(P170:R170)</f>
        <v>8000.5167471006362</v>
      </c>
      <c r="T170" s="717">
        <f>IF(B170=0,0,S170/B170)</f>
        <v>6.5323138795361016E-2</v>
      </c>
      <c r="U170" s="984"/>
    </row>
    <row r="171" spans="1:21" ht="16" hidden="1" thickBot="1" x14ac:dyDescent="0.25">
      <c r="A171" s="999"/>
      <c r="B171" s="713">
        <f>+B167</f>
        <v>122476</v>
      </c>
      <c r="C171" s="991"/>
      <c r="D171" s="1000"/>
      <c r="E171" s="1001"/>
      <c r="F171" s="1002"/>
      <c r="G171" s="995"/>
      <c r="H171" s="996"/>
      <c r="I171" s="995"/>
      <c r="J171" s="712">
        <f>IF(C171=0,0,B171/C171)</f>
        <v>0</v>
      </c>
      <c r="K171" s="714">
        <f>IF($G171="x",'Labor Calc'!$E$43,'Labor Calc'!$E$31)</f>
        <v>58.06944444444445</v>
      </c>
      <c r="L171" s="714">
        <f>IF($G171="x",'Labor Calc'!$F$43,'Labor Calc'!$F$31)</f>
        <v>62.358333333333327</v>
      </c>
      <c r="M171" s="714">
        <f>IF($G171="x",'Labor Calc'!$G$43,'Labor Calc'!$G$31)</f>
        <v>65.217592592592595</v>
      </c>
      <c r="N171" s="714">
        <f>IF(H171=40,K171,0)+IF(H171=50,L171,0)+IF(H171=60,M171,0)</f>
        <v>0</v>
      </c>
      <c r="O171" s="712">
        <f>IF(E171=0,0,B171/E171)</f>
        <v>0</v>
      </c>
      <c r="P171" s="715">
        <f>+J171*N171</f>
        <v>0</v>
      </c>
      <c r="Q171" s="715">
        <f>(+O171*F171)/(1-'OH&amp;P'!$C$5)</f>
        <v>0</v>
      </c>
      <c r="R171" s="715">
        <f>IF(I171="x",(J171*'Admin Set Up'!$B$17)/(1-'OH&amp;P'!$C$5),0)</f>
        <v>0</v>
      </c>
      <c r="S171" s="716">
        <f>SUM(P171:R171)</f>
        <v>0</v>
      </c>
      <c r="T171" s="717">
        <f>IF(B171=0,0,S171/B171)</f>
        <v>0</v>
      </c>
      <c r="U171" s="984"/>
    </row>
    <row r="172" spans="1:21" ht="16" thickBot="1" x14ac:dyDescent="0.25">
      <c r="A172" s="1003"/>
      <c r="B172" s="1004" t="s">
        <v>226</v>
      </c>
      <c r="C172" s="719"/>
      <c r="D172" s="1005" t="s">
        <v>227</v>
      </c>
      <c r="E172" s="1006"/>
      <c r="F172" s="1006"/>
      <c r="G172" s="1092" t="s">
        <v>101</v>
      </c>
      <c r="H172" s="1092"/>
      <c r="I172" s="1092"/>
      <c r="J172" s="718">
        <f>SUM(J167:J171)</f>
        <v>1196.1292467532467</v>
      </c>
      <c r="K172" s="719"/>
      <c r="L172" s="719"/>
      <c r="M172" s="719"/>
      <c r="N172" s="719"/>
      <c r="O172" s="720">
        <f t="shared" ref="O172:T172" si="68">SUM(O167:O171)</f>
        <v>1210.1795238095237</v>
      </c>
      <c r="P172" s="721">
        <f t="shared" si="68"/>
        <v>69458.560842712846</v>
      </c>
      <c r="Q172" s="721">
        <f t="shared" si="68"/>
        <v>19188.626690182246</v>
      </c>
      <c r="R172" s="721">
        <f t="shared" si="68"/>
        <v>2953.4055475388805</v>
      </c>
      <c r="S172" s="722">
        <f t="shared" si="68"/>
        <v>91600.593080433988</v>
      </c>
      <c r="T172" s="723">
        <f t="shared" si="68"/>
        <v>0.74790647212869443</v>
      </c>
      <c r="U172" s="1007"/>
    </row>
    <row r="174" spans="1:21" x14ac:dyDescent="0.2">
      <c r="A174" s="982" t="str">
        <f>+'Take Off'!AQ1</f>
        <v>Stair Steel</v>
      </c>
      <c r="B174" s="1093" t="str">
        <f>+A174</f>
        <v>Stair Steel</v>
      </c>
      <c r="C174" s="1093"/>
      <c r="D174" s="1093"/>
      <c r="E174" s="1093"/>
      <c r="F174" s="1093"/>
      <c r="G174" s="710">
        <f>+A175</f>
        <v>41362</v>
      </c>
      <c r="H174" s="711" t="str">
        <f>+A176</f>
        <v>SF</v>
      </c>
      <c r="I174" s="983"/>
      <c r="J174" s="983"/>
      <c r="K174" s="983"/>
      <c r="L174" s="983"/>
      <c r="M174" s="983"/>
      <c r="N174" s="983"/>
      <c r="O174" s="983"/>
      <c r="P174" s="983"/>
      <c r="Q174" s="983"/>
      <c r="R174" s="984"/>
      <c r="S174" s="984"/>
      <c r="T174" s="984"/>
      <c r="U174" s="984"/>
    </row>
    <row r="175" spans="1:21" ht="53" thickBot="1" x14ac:dyDescent="0.25">
      <c r="A175" s="982">
        <f>+'Take Off'!AQ2</f>
        <v>41362</v>
      </c>
      <c r="B175" s="985" t="s">
        <v>209</v>
      </c>
      <c r="C175" s="986" t="s">
        <v>210</v>
      </c>
      <c r="D175" s="985" t="s">
        <v>211</v>
      </c>
      <c r="E175" s="986" t="s">
        <v>212</v>
      </c>
      <c r="F175" s="986" t="s">
        <v>213</v>
      </c>
      <c r="G175" s="987" t="s">
        <v>214</v>
      </c>
      <c r="H175" s="987" t="s">
        <v>215</v>
      </c>
      <c r="I175" s="987" t="s">
        <v>216</v>
      </c>
      <c r="J175" s="988" t="s">
        <v>217</v>
      </c>
      <c r="K175" s="988" t="s">
        <v>218</v>
      </c>
      <c r="L175" s="988" t="s">
        <v>219</v>
      </c>
      <c r="M175" s="988" t="s">
        <v>220</v>
      </c>
      <c r="N175" s="988" t="s">
        <v>221</v>
      </c>
      <c r="O175" s="988" t="s">
        <v>222</v>
      </c>
      <c r="P175" s="988" t="s">
        <v>223</v>
      </c>
      <c r="Q175" s="988" t="s">
        <v>213</v>
      </c>
      <c r="R175" s="988" t="s">
        <v>224</v>
      </c>
      <c r="S175" s="988" t="s">
        <v>31</v>
      </c>
      <c r="T175" s="988" t="s">
        <v>225</v>
      </c>
      <c r="U175" s="989">
        <v>22</v>
      </c>
    </row>
    <row r="176" spans="1:21" ht="16" thickBot="1" x14ac:dyDescent="0.25">
      <c r="A176" s="982" t="str">
        <f>+'Take Off'!AQ3</f>
        <v>SF</v>
      </c>
      <c r="B176" s="712">
        <f>+A175</f>
        <v>41362</v>
      </c>
      <c r="C176" s="991">
        <v>500</v>
      </c>
      <c r="D176" s="1008" t="s">
        <v>1024</v>
      </c>
      <c r="E176" s="993">
        <v>600</v>
      </c>
      <c r="F176" s="994">
        <v>28</v>
      </c>
      <c r="G176" s="995"/>
      <c r="H176" s="996">
        <v>40</v>
      </c>
      <c r="I176" s="995" t="s">
        <v>1013</v>
      </c>
      <c r="J176" s="712">
        <f>IF(C176=0,0,B176/C176)</f>
        <v>82.724000000000004</v>
      </c>
      <c r="K176" s="714">
        <f>IF($G176="x",'Labor Calc'!$E$43,'Labor Calc'!$E$31)</f>
        <v>58.06944444444445</v>
      </c>
      <c r="L176" s="714">
        <f>IF($G176="x",'Labor Calc'!$F$43,'Labor Calc'!$F$31)</f>
        <v>62.358333333333327</v>
      </c>
      <c r="M176" s="714">
        <f>IF($G176="x",'Labor Calc'!$G$43,'Labor Calc'!$G$31)</f>
        <v>65.217592592592595</v>
      </c>
      <c r="N176" s="714">
        <f>IF(H176=40,K176,0)+IF(H176=50,L176,0)+IF(H176=60,M176,0)</f>
        <v>58.06944444444445</v>
      </c>
      <c r="O176" s="712">
        <f>IF(E176=0,0,B176/E176)</f>
        <v>68.936666666666667</v>
      </c>
      <c r="P176" s="715">
        <f>+J176*N176</f>
        <v>4803.7367222222229</v>
      </c>
      <c r="Q176" s="715">
        <f>(+O176*F176)/(1-'OH&amp;P'!$C$5)</f>
        <v>2382.9958847736625</v>
      </c>
      <c r="R176" s="715">
        <f>IF(I176="x",(J176*'Admin Set Up'!$B$17)/(1-'OH&amp;P'!$C$5),0)</f>
        <v>204.2567901234568</v>
      </c>
      <c r="S176" s="716">
        <f>SUM(P176:R176)</f>
        <v>7390.9893971193424</v>
      </c>
      <c r="T176" s="717">
        <f>IF(B176=0,0,S176/B176)</f>
        <v>0.17869032921810701</v>
      </c>
      <c r="U176" s="984"/>
    </row>
    <row r="177" spans="1:21" ht="16" thickBot="1" x14ac:dyDescent="0.25">
      <c r="A177" s="982"/>
      <c r="B177" s="712">
        <f>+B176</f>
        <v>41362</v>
      </c>
      <c r="C177" s="991">
        <v>200</v>
      </c>
      <c r="D177" s="1008" t="s">
        <v>1020</v>
      </c>
      <c r="E177" s="998">
        <v>200</v>
      </c>
      <c r="F177" s="994">
        <v>40</v>
      </c>
      <c r="G177" s="995"/>
      <c r="H177" s="996">
        <v>40</v>
      </c>
      <c r="I177" s="995" t="s">
        <v>1013</v>
      </c>
      <c r="J177" s="712">
        <f>IF(C177=0,0,B177/C177)</f>
        <v>206.81</v>
      </c>
      <c r="K177" s="714">
        <f>IF($G177="x",'Labor Calc'!$E$43,'Labor Calc'!$E$31)</f>
        <v>58.06944444444445</v>
      </c>
      <c r="L177" s="714">
        <f>IF($G177="x",'Labor Calc'!$F$43,'Labor Calc'!$F$31)</f>
        <v>62.358333333333327</v>
      </c>
      <c r="M177" s="714">
        <f>IF($G177="x",'Labor Calc'!$G$43,'Labor Calc'!$G$31)</f>
        <v>65.217592592592595</v>
      </c>
      <c r="N177" s="714">
        <f>IF(H177=40,K177,0)+IF(H177=50,L177,0)+IF(H177=60,M177,0)</f>
        <v>58.06944444444445</v>
      </c>
      <c r="O177" s="712">
        <f>IF(E177=0,0,B177/E177)</f>
        <v>206.81</v>
      </c>
      <c r="P177" s="715">
        <f>+J177*N177</f>
        <v>12009.341805555558</v>
      </c>
      <c r="Q177" s="715">
        <f>(+O177*F177)/(1-'OH&amp;P'!$C$5)</f>
        <v>10212.839506172839</v>
      </c>
      <c r="R177" s="715">
        <f>IF(I177="x",(J177*'Admin Set Up'!$B$17)/(1-'OH&amp;P'!$C$5),0)</f>
        <v>510.64197530864197</v>
      </c>
      <c r="S177" s="716">
        <f>SUM(P177:R177)</f>
        <v>22732.823287037038</v>
      </c>
      <c r="T177" s="717">
        <f>IF(B177=0,0,S177/B177)</f>
        <v>0.5496064814814815</v>
      </c>
      <c r="U177" s="984"/>
    </row>
    <row r="178" spans="1:21" ht="16" thickBot="1" x14ac:dyDescent="0.25">
      <c r="A178" s="982"/>
      <c r="B178" s="712">
        <f>+B177</f>
        <v>41362</v>
      </c>
      <c r="C178" s="991">
        <v>200</v>
      </c>
      <c r="D178" s="1008" t="s">
        <v>1020</v>
      </c>
      <c r="E178" s="998">
        <v>200</v>
      </c>
      <c r="F178" s="994">
        <v>40</v>
      </c>
      <c r="G178" s="995"/>
      <c r="H178" s="996">
        <v>40</v>
      </c>
      <c r="I178" s="995" t="s">
        <v>1013</v>
      </c>
      <c r="J178" s="712">
        <f>IF(C178=0,0,B178/C178)</f>
        <v>206.81</v>
      </c>
      <c r="K178" s="714">
        <f>IF($G178="x",'Labor Calc'!$E$43,'Labor Calc'!$E$31)</f>
        <v>58.06944444444445</v>
      </c>
      <c r="L178" s="714">
        <f>IF($G178="x",'Labor Calc'!$F$43,'Labor Calc'!$F$31)</f>
        <v>62.358333333333327</v>
      </c>
      <c r="M178" s="714">
        <f>IF($G178="x",'Labor Calc'!$G$43,'Labor Calc'!$G$31)</f>
        <v>65.217592592592595</v>
      </c>
      <c r="N178" s="714">
        <f>IF(H178=40,K178,0)+IF(H178=50,L178,0)+IF(H178=60,M178,0)</f>
        <v>58.06944444444445</v>
      </c>
      <c r="O178" s="712">
        <f>IF(E178=0,0,B178/E178)</f>
        <v>206.81</v>
      </c>
      <c r="P178" s="715">
        <f>+J178*N178</f>
        <v>12009.341805555558</v>
      </c>
      <c r="Q178" s="715">
        <f>(+O178*F178)/(1-'OH&amp;P'!$C$5)</f>
        <v>10212.839506172839</v>
      </c>
      <c r="R178" s="715">
        <f>IF(I178="x",(J178*'Admin Set Up'!$B$17)/(1-'OH&amp;P'!$C$5),0)</f>
        <v>510.64197530864197</v>
      </c>
      <c r="S178" s="716">
        <f>SUM(P178:R178)</f>
        <v>22732.823287037038</v>
      </c>
      <c r="T178" s="717">
        <f>IF(B178=0,0,S178/B178)</f>
        <v>0.5496064814814815</v>
      </c>
      <c r="U178" s="984"/>
    </row>
    <row r="179" spans="1:21" ht="16" hidden="1" thickBot="1" x14ac:dyDescent="0.25">
      <c r="A179" s="999"/>
      <c r="B179" s="713">
        <f>+B176</f>
        <v>41362</v>
      </c>
      <c r="C179" s="991"/>
      <c r="D179" s="1000"/>
      <c r="E179" s="1001"/>
      <c r="F179" s="1002"/>
      <c r="G179" s="995"/>
      <c r="H179" s="996"/>
      <c r="I179" s="995"/>
      <c r="J179" s="712">
        <f>IF(C179=0,0,B179/C179)</f>
        <v>0</v>
      </c>
      <c r="K179" s="714">
        <f>IF($G179="x",'Labor Calc'!$E$43,'Labor Calc'!$E$31)</f>
        <v>58.06944444444445</v>
      </c>
      <c r="L179" s="714">
        <f>IF($G179="x",'Labor Calc'!$F$43,'Labor Calc'!$F$31)</f>
        <v>62.358333333333327</v>
      </c>
      <c r="M179" s="714">
        <f>IF($G179="x",'Labor Calc'!$G$43,'Labor Calc'!$G$31)</f>
        <v>65.217592592592595</v>
      </c>
      <c r="N179" s="714">
        <f>IF(H179=40,K179,0)+IF(H179=50,L179,0)+IF(H179=60,M179,0)</f>
        <v>0</v>
      </c>
      <c r="O179" s="712">
        <f>IF(E179=0,0,B179/E179)</f>
        <v>0</v>
      </c>
      <c r="P179" s="715">
        <f>+J179*N179</f>
        <v>0</v>
      </c>
      <c r="Q179" s="715">
        <f>(+O179*F179)/(1-'OH&amp;P'!$C$5)</f>
        <v>0</v>
      </c>
      <c r="R179" s="715">
        <f>IF(I179="x",(J179*'Admin Set Up'!$B$17)/(1-'OH&amp;P'!$C$5),0)</f>
        <v>0</v>
      </c>
      <c r="S179" s="716">
        <f>SUM(P179:R179)</f>
        <v>0</v>
      </c>
      <c r="T179" s="717">
        <f>IF(B179=0,0,S179/B179)</f>
        <v>0</v>
      </c>
      <c r="U179" s="984"/>
    </row>
    <row r="180" spans="1:21" ht="16" thickBot="1" x14ac:dyDescent="0.25">
      <c r="A180" s="1003"/>
      <c r="B180" s="1004" t="s">
        <v>226</v>
      </c>
      <c r="C180" s="719"/>
      <c r="D180" s="1005" t="s">
        <v>227</v>
      </c>
      <c r="E180" s="1006"/>
      <c r="F180" s="1006"/>
      <c r="G180" s="1092" t="s">
        <v>101</v>
      </c>
      <c r="H180" s="1092"/>
      <c r="I180" s="1092"/>
      <c r="J180" s="718">
        <f>SUM(J176:J179)</f>
        <v>496.34399999999999</v>
      </c>
      <c r="K180" s="719"/>
      <c r="L180" s="719"/>
      <c r="M180" s="719"/>
      <c r="N180" s="719"/>
      <c r="O180" s="720">
        <f t="shared" ref="O180:T180" si="69">SUM(O176:O179)</f>
        <v>482.55666666666667</v>
      </c>
      <c r="P180" s="721">
        <f t="shared" si="69"/>
        <v>28822.420333333335</v>
      </c>
      <c r="Q180" s="721">
        <f t="shared" si="69"/>
        <v>22808.674897119337</v>
      </c>
      <c r="R180" s="721">
        <f t="shared" si="69"/>
        <v>1225.5407407407408</v>
      </c>
      <c r="S180" s="722">
        <f t="shared" si="69"/>
        <v>52856.63597119342</v>
      </c>
      <c r="T180" s="723">
        <f t="shared" si="69"/>
        <v>1.27790329218107</v>
      </c>
      <c r="U180" s="1007"/>
    </row>
    <row r="182" spans="1:21" x14ac:dyDescent="0.2">
      <c r="A182" s="982" t="str">
        <f>+'Take Off'!AR1</f>
        <v>Stair Rails</v>
      </c>
      <c r="B182" s="1093" t="str">
        <f>+A182</f>
        <v>Stair Rails</v>
      </c>
      <c r="C182" s="1093"/>
      <c r="D182" s="1093"/>
      <c r="E182" s="1093"/>
      <c r="F182" s="1093"/>
      <c r="G182" s="710">
        <f>+A183</f>
        <v>6848</v>
      </c>
      <c r="H182" s="711" t="str">
        <f>+A184</f>
        <v>LF</v>
      </c>
      <c r="I182" s="983"/>
      <c r="J182" s="983"/>
      <c r="K182" s="983"/>
      <c r="L182" s="983"/>
      <c r="M182" s="983"/>
      <c r="N182" s="983"/>
      <c r="O182" s="983"/>
      <c r="P182" s="983"/>
      <c r="Q182" s="983"/>
      <c r="R182" s="984"/>
      <c r="S182" s="984"/>
      <c r="T182" s="984"/>
      <c r="U182" s="984"/>
    </row>
    <row r="183" spans="1:21" ht="53" thickBot="1" x14ac:dyDescent="0.25">
      <c r="A183" s="982">
        <f>+'Take Off'!AR2</f>
        <v>6848</v>
      </c>
      <c r="B183" s="985" t="s">
        <v>209</v>
      </c>
      <c r="C183" s="986" t="s">
        <v>210</v>
      </c>
      <c r="D183" s="985" t="s">
        <v>211</v>
      </c>
      <c r="E183" s="986" t="s">
        <v>212</v>
      </c>
      <c r="F183" s="986" t="s">
        <v>213</v>
      </c>
      <c r="G183" s="987" t="s">
        <v>214</v>
      </c>
      <c r="H183" s="987" t="s">
        <v>215</v>
      </c>
      <c r="I183" s="987" t="s">
        <v>216</v>
      </c>
      <c r="J183" s="988" t="s">
        <v>217</v>
      </c>
      <c r="K183" s="988" t="s">
        <v>218</v>
      </c>
      <c r="L183" s="988" t="s">
        <v>219</v>
      </c>
      <c r="M183" s="988" t="s">
        <v>220</v>
      </c>
      <c r="N183" s="988" t="s">
        <v>221</v>
      </c>
      <c r="O183" s="988" t="s">
        <v>222</v>
      </c>
      <c r="P183" s="988" t="s">
        <v>223</v>
      </c>
      <c r="Q183" s="988" t="s">
        <v>213</v>
      </c>
      <c r="R183" s="988" t="s">
        <v>224</v>
      </c>
      <c r="S183" s="988" t="s">
        <v>31</v>
      </c>
      <c r="T183" s="988" t="s">
        <v>225</v>
      </c>
      <c r="U183" s="989">
        <v>23</v>
      </c>
    </row>
    <row r="184" spans="1:21" ht="16" thickBot="1" x14ac:dyDescent="0.25">
      <c r="A184" s="982" t="str">
        <f>+'Take Off'!AR3</f>
        <v>LF</v>
      </c>
      <c r="B184" s="712">
        <f>+A183</f>
        <v>6848</v>
      </c>
      <c r="C184" s="991">
        <v>300</v>
      </c>
      <c r="D184" s="1008" t="s">
        <v>1024</v>
      </c>
      <c r="E184" s="993">
        <v>1200</v>
      </c>
      <c r="F184" s="994">
        <v>28</v>
      </c>
      <c r="G184" s="995"/>
      <c r="H184" s="996">
        <v>40</v>
      </c>
      <c r="I184" s="995" t="s">
        <v>1013</v>
      </c>
      <c r="J184" s="712">
        <f>IF(C184=0,0,B184/C184)</f>
        <v>22.826666666666668</v>
      </c>
      <c r="K184" s="714">
        <f>IF($G184="x",'Labor Calc'!$E$43,'Labor Calc'!$E$31)</f>
        <v>58.06944444444445</v>
      </c>
      <c r="L184" s="714">
        <f>IF($G184="x",'Labor Calc'!$F$43,'Labor Calc'!$F$31)</f>
        <v>62.358333333333327</v>
      </c>
      <c r="M184" s="714">
        <f>IF($G184="x",'Labor Calc'!$G$43,'Labor Calc'!$G$31)</f>
        <v>65.217592592592595</v>
      </c>
      <c r="N184" s="714">
        <f>IF(H184=40,K184,0)+IF(H184=50,L184,0)+IF(H184=60,M184,0)</f>
        <v>58.06944444444445</v>
      </c>
      <c r="O184" s="712">
        <f>IF(E184=0,0,B184/E184)</f>
        <v>5.706666666666667</v>
      </c>
      <c r="P184" s="715">
        <f>+J184*N184</f>
        <v>1325.531851851852</v>
      </c>
      <c r="Q184" s="715">
        <f>(+O184*F184)/(1-'OH&amp;P'!$C$5)</f>
        <v>197.26748971193416</v>
      </c>
      <c r="R184" s="715">
        <f>IF(I184="x",(J184*'Admin Set Up'!$B$17)/(1-'OH&amp;P'!$C$5),0)</f>
        <v>56.362139917695472</v>
      </c>
      <c r="S184" s="716">
        <f>SUM(P184:R184)</f>
        <v>1579.1614814814816</v>
      </c>
      <c r="T184" s="717">
        <f>IF(B184=0,0,S184/B184)</f>
        <v>0.23060185185185186</v>
      </c>
      <c r="U184" s="984"/>
    </row>
    <row r="185" spans="1:21" ht="16" thickBot="1" x14ac:dyDescent="0.25">
      <c r="A185" s="982"/>
      <c r="B185" s="712">
        <f>+B184</f>
        <v>6848</v>
      </c>
      <c r="C185" s="991">
        <v>100</v>
      </c>
      <c r="D185" s="1008" t="s">
        <v>1020</v>
      </c>
      <c r="E185" s="998">
        <v>800</v>
      </c>
      <c r="F185" s="994">
        <v>40</v>
      </c>
      <c r="G185" s="995"/>
      <c r="H185" s="996">
        <v>40</v>
      </c>
      <c r="I185" s="995" t="s">
        <v>1013</v>
      </c>
      <c r="J185" s="712">
        <f>IF(C185=0,0,B185/C185)</f>
        <v>68.48</v>
      </c>
      <c r="K185" s="714">
        <f>IF($G185="x",'Labor Calc'!$E$43,'Labor Calc'!$E$31)</f>
        <v>58.06944444444445</v>
      </c>
      <c r="L185" s="714">
        <f>IF($G185="x",'Labor Calc'!$F$43,'Labor Calc'!$F$31)</f>
        <v>62.358333333333327</v>
      </c>
      <c r="M185" s="714">
        <f>IF($G185="x",'Labor Calc'!$G$43,'Labor Calc'!$G$31)</f>
        <v>65.217592592592595</v>
      </c>
      <c r="N185" s="714">
        <f>IF(H185=40,K185,0)+IF(H185=50,L185,0)+IF(H185=60,M185,0)</f>
        <v>58.06944444444445</v>
      </c>
      <c r="O185" s="712">
        <f>IF(E185=0,0,B185/E185)</f>
        <v>8.56</v>
      </c>
      <c r="P185" s="715">
        <f>+J185*N185</f>
        <v>3976.5955555555561</v>
      </c>
      <c r="Q185" s="715">
        <f>(+O185*F185)/(1-'OH&amp;P'!$C$5)</f>
        <v>422.71604938271605</v>
      </c>
      <c r="R185" s="715">
        <f>IF(I185="x",(J185*'Admin Set Up'!$B$17)/(1-'OH&amp;P'!$C$5),0)</f>
        <v>169.08641975308643</v>
      </c>
      <c r="S185" s="716">
        <f>SUM(P185:R185)</f>
        <v>4568.3980246913588</v>
      </c>
      <c r="T185" s="717">
        <f>IF(B185=0,0,S185/B185)</f>
        <v>0.66711419753086432</v>
      </c>
      <c r="U185" s="984"/>
    </row>
    <row r="186" spans="1:21" ht="16" thickBot="1" x14ac:dyDescent="0.25">
      <c r="A186" s="982"/>
      <c r="B186" s="712">
        <f>+B185</f>
        <v>6848</v>
      </c>
      <c r="C186" s="991">
        <v>100</v>
      </c>
      <c r="D186" s="1008" t="s">
        <v>1020</v>
      </c>
      <c r="E186" s="998">
        <v>800</v>
      </c>
      <c r="F186" s="994">
        <v>40</v>
      </c>
      <c r="G186" s="995"/>
      <c r="H186" s="996">
        <v>40</v>
      </c>
      <c r="I186" s="995" t="s">
        <v>1013</v>
      </c>
      <c r="J186" s="712">
        <f>IF(C186=0,0,B186/C186)</f>
        <v>68.48</v>
      </c>
      <c r="K186" s="714">
        <f>IF($G186="x",'Labor Calc'!$E$43,'Labor Calc'!$E$31)</f>
        <v>58.06944444444445</v>
      </c>
      <c r="L186" s="714">
        <f>IF($G186="x",'Labor Calc'!$F$43,'Labor Calc'!$F$31)</f>
        <v>62.358333333333327</v>
      </c>
      <c r="M186" s="714">
        <f>IF($G186="x",'Labor Calc'!$G$43,'Labor Calc'!$G$31)</f>
        <v>65.217592592592595</v>
      </c>
      <c r="N186" s="714">
        <f>IF(H186=40,K186,0)+IF(H186=50,L186,0)+IF(H186=60,M186,0)</f>
        <v>58.06944444444445</v>
      </c>
      <c r="O186" s="712">
        <f>IF(E186=0,0,B186/E186)</f>
        <v>8.56</v>
      </c>
      <c r="P186" s="715">
        <f>+J186*N186</f>
        <v>3976.5955555555561</v>
      </c>
      <c r="Q186" s="715">
        <f>(+O186*F186)/(1-'OH&amp;P'!$C$5)</f>
        <v>422.71604938271605</v>
      </c>
      <c r="R186" s="715">
        <f>IF(I186="x",(J186*'Admin Set Up'!$B$17)/(1-'OH&amp;P'!$C$5),0)</f>
        <v>169.08641975308643</v>
      </c>
      <c r="S186" s="716">
        <f>SUM(P186:R186)</f>
        <v>4568.3980246913588</v>
      </c>
      <c r="T186" s="717">
        <f>IF(B186=0,0,S186/B186)</f>
        <v>0.66711419753086432</v>
      </c>
      <c r="U186" s="984"/>
    </row>
    <row r="187" spans="1:21" ht="16" hidden="1" thickBot="1" x14ac:dyDescent="0.25">
      <c r="A187" s="999"/>
      <c r="B187" s="713">
        <f>+B184</f>
        <v>6848</v>
      </c>
      <c r="C187" s="991"/>
      <c r="D187" s="1000"/>
      <c r="E187" s="1001"/>
      <c r="F187" s="1002"/>
      <c r="G187" s="995"/>
      <c r="H187" s="996"/>
      <c r="I187" s="995"/>
      <c r="J187" s="712">
        <f>IF(C187=0,0,B187/C187)</f>
        <v>0</v>
      </c>
      <c r="K187" s="714">
        <f>IF($G187="x",'Labor Calc'!$E$43,'Labor Calc'!$E$31)</f>
        <v>58.06944444444445</v>
      </c>
      <c r="L187" s="714">
        <f>IF($G187="x",'Labor Calc'!$F$43,'Labor Calc'!$F$31)</f>
        <v>62.358333333333327</v>
      </c>
      <c r="M187" s="714">
        <f>IF($G187="x",'Labor Calc'!$G$43,'Labor Calc'!$G$31)</f>
        <v>65.217592592592595</v>
      </c>
      <c r="N187" s="714">
        <f>IF(H187=40,K187,0)+IF(H187=50,L187,0)+IF(H187=60,M187,0)</f>
        <v>0</v>
      </c>
      <c r="O187" s="712">
        <f>IF(E187=0,0,B187/E187)</f>
        <v>0</v>
      </c>
      <c r="P187" s="715">
        <f>+J187*N187</f>
        <v>0</v>
      </c>
      <c r="Q187" s="715">
        <f>(+O187*F187)/(1-'OH&amp;P'!$C$5)</f>
        <v>0</v>
      </c>
      <c r="R187" s="715">
        <f>IF(I187="x",(J187*'Admin Set Up'!$B$17)/(1-'OH&amp;P'!$C$5),0)</f>
        <v>0</v>
      </c>
      <c r="S187" s="716">
        <f>SUM(P187:R187)</f>
        <v>0</v>
      </c>
      <c r="T187" s="717">
        <f>IF(B187=0,0,S187/B187)</f>
        <v>0</v>
      </c>
      <c r="U187" s="984"/>
    </row>
    <row r="188" spans="1:21" ht="16" thickBot="1" x14ac:dyDescent="0.25">
      <c r="A188" s="1003"/>
      <c r="B188" s="1004" t="s">
        <v>226</v>
      </c>
      <c r="C188" s="719"/>
      <c r="D188" s="1005" t="s">
        <v>227</v>
      </c>
      <c r="E188" s="1006"/>
      <c r="F188" s="1006"/>
      <c r="G188" s="1092" t="s">
        <v>101</v>
      </c>
      <c r="H188" s="1092"/>
      <c r="I188" s="1092"/>
      <c r="J188" s="718">
        <f>SUM(J184:J187)</f>
        <v>159.78666666666669</v>
      </c>
      <c r="K188" s="719"/>
      <c r="L188" s="719"/>
      <c r="M188" s="719"/>
      <c r="N188" s="719"/>
      <c r="O188" s="720">
        <f t="shared" ref="O188:T188" si="70">SUM(O184:O187)</f>
        <v>22.826666666666668</v>
      </c>
      <c r="P188" s="721">
        <f t="shared" si="70"/>
        <v>9278.7229629629637</v>
      </c>
      <c r="Q188" s="721">
        <f t="shared" si="70"/>
        <v>1042.6995884773664</v>
      </c>
      <c r="R188" s="721">
        <f t="shared" si="70"/>
        <v>394.53497942386832</v>
      </c>
      <c r="S188" s="722">
        <f t="shared" si="70"/>
        <v>10715.957530864198</v>
      </c>
      <c r="T188" s="723">
        <f t="shared" si="70"/>
        <v>1.5648302469135804</v>
      </c>
      <c r="U188" s="1007"/>
    </row>
    <row r="190" spans="1:21" x14ac:dyDescent="0.2">
      <c r="A190" s="982" t="str">
        <f>+'Take Off'!AS1</f>
        <v>HM Door</v>
      </c>
      <c r="B190" s="1093" t="str">
        <f>+A190</f>
        <v>HM Door</v>
      </c>
      <c r="C190" s="1093"/>
      <c r="D190" s="1093"/>
      <c r="E190" s="1093"/>
      <c r="F190" s="1093"/>
      <c r="G190" s="710">
        <f>+A191</f>
        <v>162</v>
      </c>
      <c r="H190" s="711" t="str">
        <f>+A192</f>
        <v>EA</v>
      </c>
      <c r="I190" s="983"/>
      <c r="J190" s="983"/>
      <c r="K190" s="983"/>
      <c r="L190" s="983"/>
      <c r="M190" s="983"/>
      <c r="N190" s="983"/>
      <c r="O190" s="983"/>
      <c r="P190" s="983"/>
      <c r="Q190" s="983"/>
      <c r="R190" s="984"/>
      <c r="S190" s="984"/>
      <c r="T190" s="984"/>
      <c r="U190" s="984"/>
    </row>
    <row r="191" spans="1:21" ht="53" thickBot="1" x14ac:dyDescent="0.25">
      <c r="A191" s="982">
        <f>+'Take Off'!AS2</f>
        <v>162</v>
      </c>
      <c r="B191" s="985" t="s">
        <v>209</v>
      </c>
      <c r="C191" s="986" t="s">
        <v>210</v>
      </c>
      <c r="D191" s="985" t="s">
        <v>211</v>
      </c>
      <c r="E191" s="986" t="s">
        <v>212</v>
      </c>
      <c r="F191" s="986" t="s">
        <v>213</v>
      </c>
      <c r="G191" s="987" t="s">
        <v>214</v>
      </c>
      <c r="H191" s="987" t="s">
        <v>215</v>
      </c>
      <c r="I191" s="987" t="s">
        <v>216</v>
      </c>
      <c r="J191" s="988" t="s">
        <v>217</v>
      </c>
      <c r="K191" s="988" t="s">
        <v>218</v>
      </c>
      <c r="L191" s="988" t="s">
        <v>219</v>
      </c>
      <c r="M191" s="988" t="s">
        <v>220</v>
      </c>
      <c r="N191" s="988" t="s">
        <v>221</v>
      </c>
      <c r="O191" s="988" t="s">
        <v>222</v>
      </c>
      <c r="P191" s="988" t="s">
        <v>223</v>
      </c>
      <c r="Q191" s="988" t="s">
        <v>213</v>
      </c>
      <c r="R191" s="988" t="s">
        <v>224</v>
      </c>
      <c r="S191" s="988" t="s">
        <v>31</v>
      </c>
      <c r="T191" s="988" t="s">
        <v>225</v>
      </c>
      <c r="U191" s="989">
        <v>24</v>
      </c>
    </row>
    <row r="192" spans="1:21" ht="16" thickBot="1" x14ac:dyDescent="0.25">
      <c r="A192" s="982" t="str">
        <f>+'Take Off'!AS3</f>
        <v>EA</v>
      </c>
      <c r="B192" s="712">
        <f>+A191</f>
        <v>162</v>
      </c>
      <c r="C192" s="991">
        <v>6</v>
      </c>
      <c r="D192" s="1008" t="s">
        <v>1024</v>
      </c>
      <c r="E192" s="993">
        <v>16</v>
      </c>
      <c r="F192" s="994">
        <v>28</v>
      </c>
      <c r="G192" s="995"/>
      <c r="H192" s="996">
        <v>40</v>
      </c>
      <c r="I192" s="995" t="s">
        <v>1013</v>
      </c>
      <c r="J192" s="712">
        <f>IF(C192=0,0,B192/C192)</f>
        <v>27</v>
      </c>
      <c r="K192" s="714">
        <f>IF($G192="x",'Labor Calc'!$E$43,'Labor Calc'!$E$31)</f>
        <v>58.06944444444445</v>
      </c>
      <c r="L192" s="714">
        <f>IF($G192="x",'Labor Calc'!$F$43,'Labor Calc'!$F$31)</f>
        <v>62.358333333333327</v>
      </c>
      <c r="M192" s="714">
        <f>IF($G192="x",'Labor Calc'!$G$43,'Labor Calc'!$G$31)</f>
        <v>65.217592592592595</v>
      </c>
      <c r="N192" s="714">
        <f>IF(H192=40,K192,0)+IF(H192=50,L192,0)+IF(H192=60,M192,0)</f>
        <v>58.06944444444445</v>
      </c>
      <c r="O192" s="712">
        <f>IF(E192=0,0,B192/E192)</f>
        <v>10.125</v>
      </c>
      <c r="P192" s="715">
        <f>+J192*N192</f>
        <v>1567.8750000000002</v>
      </c>
      <c r="Q192" s="715">
        <f>(+O192*F192)/(1-'OH&amp;P'!$C$5)</f>
        <v>350</v>
      </c>
      <c r="R192" s="715">
        <f>IF(I192="x",(J192*'Admin Set Up'!$B$17)/(1-'OH&amp;P'!$C$5),0)</f>
        <v>66.666666666666657</v>
      </c>
      <c r="S192" s="716">
        <f>SUM(P192:R192)</f>
        <v>1984.541666666667</v>
      </c>
      <c r="T192" s="717">
        <f>IF(B192=0,0,S192/B192)</f>
        <v>12.250257201646093</v>
      </c>
      <c r="U192" s="984"/>
    </row>
    <row r="193" spans="1:21" ht="16" thickBot="1" x14ac:dyDescent="0.25">
      <c r="A193" s="982"/>
      <c r="B193" s="712">
        <f>+B192</f>
        <v>162</v>
      </c>
      <c r="C193" s="991">
        <v>2</v>
      </c>
      <c r="D193" s="1008" t="s">
        <v>1020</v>
      </c>
      <c r="E193" s="998">
        <v>8</v>
      </c>
      <c r="F193" s="994">
        <v>40</v>
      </c>
      <c r="G193" s="995"/>
      <c r="H193" s="996">
        <v>40</v>
      </c>
      <c r="I193" s="995" t="s">
        <v>1013</v>
      </c>
      <c r="J193" s="712">
        <f>IF(C193=0,0,B193/C193)</f>
        <v>81</v>
      </c>
      <c r="K193" s="714">
        <f>IF($G193="x",'Labor Calc'!$E$43,'Labor Calc'!$E$31)</f>
        <v>58.06944444444445</v>
      </c>
      <c r="L193" s="714">
        <f>IF($G193="x",'Labor Calc'!$F$43,'Labor Calc'!$F$31)</f>
        <v>62.358333333333327</v>
      </c>
      <c r="M193" s="714">
        <f>IF($G193="x",'Labor Calc'!$G$43,'Labor Calc'!$G$31)</f>
        <v>65.217592592592595</v>
      </c>
      <c r="N193" s="714">
        <f>IF(H193=40,K193,0)+IF(H193=50,L193,0)+IF(H193=60,M193,0)</f>
        <v>58.06944444444445</v>
      </c>
      <c r="O193" s="712">
        <f>IF(E193=0,0,B193/E193)</f>
        <v>20.25</v>
      </c>
      <c r="P193" s="715">
        <f>+J193*N193</f>
        <v>4703.625</v>
      </c>
      <c r="Q193" s="715">
        <f>(+O193*F193)/(1-'OH&amp;P'!$C$5)</f>
        <v>999.99999999999989</v>
      </c>
      <c r="R193" s="715">
        <f>IF(I193="x",(J193*'Admin Set Up'!$B$17)/(1-'OH&amp;P'!$C$5),0)</f>
        <v>200</v>
      </c>
      <c r="S193" s="716">
        <f>SUM(P193:R193)</f>
        <v>5903.625</v>
      </c>
      <c r="T193" s="717">
        <f>IF(B193=0,0,S193/B193)</f>
        <v>36.442129629629626</v>
      </c>
      <c r="U193" s="984"/>
    </row>
    <row r="194" spans="1:21" ht="16" thickBot="1" x14ac:dyDescent="0.25">
      <c r="A194" s="982"/>
      <c r="B194" s="712">
        <f>+B193</f>
        <v>162</v>
      </c>
      <c r="C194" s="991">
        <v>3</v>
      </c>
      <c r="D194" s="1008" t="s">
        <v>1020</v>
      </c>
      <c r="E194" s="998">
        <v>8</v>
      </c>
      <c r="F194" s="994">
        <v>40</v>
      </c>
      <c r="G194" s="995"/>
      <c r="H194" s="996">
        <v>40</v>
      </c>
      <c r="I194" s="995" t="s">
        <v>1013</v>
      </c>
      <c r="J194" s="712">
        <f>IF(C194=0,0,B194/C194)</f>
        <v>54</v>
      </c>
      <c r="K194" s="714">
        <f>IF($G194="x",'Labor Calc'!$E$43,'Labor Calc'!$E$31)</f>
        <v>58.06944444444445</v>
      </c>
      <c r="L194" s="714">
        <f>IF($G194="x",'Labor Calc'!$F$43,'Labor Calc'!$F$31)</f>
        <v>62.358333333333327</v>
      </c>
      <c r="M194" s="714">
        <f>IF($G194="x",'Labor Calc'!$G$43,'Labor Calc'!$G$31)</f>
        <v>65.217592592592595</v>
      </c>
      <c r="N194" s="714">
        <f>IF(H194=40,K194,0)+IF(H194=50,L194,0)+IF(H194=60,M194,0)</f>
        <v>58.06944444444445</v>
      </c>
      <c r="O194" s="712">
        <f>IF(E194=0,0,B194/E194)</f>
        <v>20.25</v>
      </c>
      <c r="P194" s="715">
        <f>+J194*N194</f>
        <v>3135.7500000000005</v>
      </c>
      <c r="Q194" s="715">
        <f>(+O194*F194)/(1-'OH&amp;P'!$C$5)</f>
        <v>999.99999999999989</v>
      </c>
      <c r="R194" s="715">
        <f>IF(I194="x",(J194*'Admin Set Up'!$B$17)/(1-'OH&amp;P'!$C$5),0)</f>
        <v>133.33333333333331</v>
      </c>
      <c r="S194" s="716">
        <f>SUM(P194:R194)</f>
        <v>4269.083333333333</v>
      </c>
      <c r="T194" s="717">
        <f>IF(B194=0,0,S194/B194)</f>
        <v>26.35236625514403</v>
      </c>
      <c r="U194" s="984"/>
    </row>
    <row r="195" spans="1:21" ht="16" hidden="1" thickBot="1" x14ac:dyDescent="0.25">
      <c r="A195" s="999"/>
      <c r="B195" s="713">
        <f>+B192</f>
        <v>162</v>
      </c>
      <c r="C195" s="991"/>
      <c r="D195" s="1000"/>
      <c r="E195" s="1001"/>
      <c r="F195" s="1002"/>
      <c r="G195" s="995"/>
      <c r="H195" s="996"/>
      <c r="I195" s="995"/>
      <c r="J195" s="712">
        <f>IF(C195=0,0,B195/C195)</f>
        <v>0</v>
      </c>
      <c r="K195" s="714">
        <f>IF($G195="x",'Labor Calc'!$E$43,'Labor Calc'!$E$31)</f>
        <v>58.06944444444445</v>
      </c>
      <c r="L195" s="714">
        <f>IF($G195="x",'Labor Calc'!$F$43,'Labor Calc'!$F$31)</f>
        <v>62.358333333333327</v>
      </c>
      <c r="M195" s="714">
        <f>IF($G195="x",'Labor Calc'!$G$43,'Labor Calc'!$G$31)</f>
        <v>65.217592592592595</v>
      </c>
      <c r="N195" s="714">
        <f>IF(H195=40,K195,0)+IF(H195=50,L195,0)+IF(H195=60,M195,0)</f>
        <v>0</v>
      </c>
      <c r="O195" s="712">
        <f>IF(E195=0,0,B195/E195)</f>
        <v>0</v>
      </c>
      <c r="P195" s="715">
        <f>+J195*N195</f>
        <v>0</v>
      </c>
      <c r="Q195" s="715">
        <f>(+O195*F195)/(1-'OH&amp;P'!$C$5)</f>
        <v>0</v>
      </c>
      <c r="R195" s="715">
        <f>IF(I195="x",(J195*'Admin Set Up'!$B$17)/(1-'OH&amp;P'!$C$5),0)</f>
        <v>0</v>
      </c>
      <c r="S195" s="716">
        <f>SUM(P195:R195)</f>
        <v>0</v>
      </c>
      <c r="T195" s="717">
        <f>IF(B195=0,0,S195/B195)</f>
        <v>0</v>
      </c>
      <c r="U195" s="984"/>
    </row>
    <row r="196" spans="1:21" ht="16" thickBot="1" x14ac:dyDescent="0.25">
      <c r="A196" s="1003"/>
      <c r="B196" s="1004" t="s">
        <v>226</v>
      </c>
      <c r="C196" s="719"/>
      <c r="D196" s="1005" t="s">
        <v>227</v>
      </c>
      <c r="E196" s="1006"/>
      <c r="F196" s="1006"/>
      <c r="G196" s="1092" t="s">
        <v>101</v>
      </c>
      <c r="H196" s="1092"/>
      <c r="I196" s="1092"/>
      <c r="J196" s="718">
        <f>SUM(J192:J195)</f>
        <v>162</v>
      </c>
      <c r="K196" s="719"/>
      <c r="L196" s="719"/>
      <c r="M196" s="719"/>
      <c r="N196" s="719"/>
      <c r="O196" s="720">
        <f t="shared" ref="O196:T196" si="71">SUM(O192:O195)</f>
        <v>50.625</v>
      </c>
      <c r="P196" s="721">
        <f t="shared" si="71"/>
        <v>9407.25</v>
      </c>
      <c r="Q196" s="721">
        <f t="shared" si="71"/>
        <v>2350</v>
      </c>
      <c r="R196" s="721">
        <f t="shared" si="71"/>
        <v>399.99999999999994</v>
      </c>
      <c r="S196" s="722">
        <f t="shared" si="71"/>
        <v>12157.25</v>
      </c>
      <c r="T196" s="723">
        <f t="shared" si="71"/>
        <v>75.044753086419746</v>
      </c>
      <c r="U196" s="1007"/>
    </row>
    <row r="198" spans="1:21" x14ac:dyDescent="0.2">
      <c r="A198" s="982" t="str">
        <f>+'Take Off'!AT1</f>
        <v>HM Frame</v>
      </c>
      <c r="B198" s="1093" t="str">
        <f>+A198</f>
        <v>HM Frame</v>
      </c>
      <c r="C198" s="1093"/>
      <c r="D198" s="1093"/>
      <c r="E198" s="1093"/>
      <c r="F198" s="1093"/>
      <c r="G198" s="710">
        <f>+A199</f>
        <v>118</v>
      </c>
      <c r="H198" s="711" t="str">
        <f>+A200</f>
        <v>EA</v>
      </c>
      <c r="I198" s="983"/>
      <c r="J198" s="983"/>
      <c r="K198" s="983"/>
      <c r="L198" s="983"/>
      <c r="M198" s="983"/>
      <c r="N198" s="983"/>
      <c r="O198" s="983"/>
      <c r="P198" s="983"/>
      <c r="Q198" s="983"/>
      <c r="R198" s="984"/>
      <c r="S198" s="984"/>
      <c r="T198" s="984"/>
      <c r="U198" s="984"/>
    </row>
    <row r="199" spans="1:21" ht="53" thickBot="1" x14ac:dyDescent="0.25">
      <c r="A199" s="982">
        <f>+'Take Off'!AT2</f>
        <v>118</v>
      </c>
      <c r="B199" s="985" t="s">
        <v>209</v>
      </c>
      <c r="C199" s="986" t="s">
        <v>210</v>
      </c>
      <c r="D199" s="985" t="s">
        <v>211</v>
      </c>
      <c r="E199" s="986" t="s">
        <v>212</v>
      </c>
      <c r="F199" s="986" t="s">
        <v>213</v>
      </c>
      <c r="G199" s="987" t="s">
        <v>214</v>
      </c>
      <c r="H199" s="987" t="s">
        <v>215</v>
      </c>
      <c r="I199" s="987" t="s">
        <v>216</v>
      </c>
      <c r="J199" s="988" t="s">
        <v>217</v>
      </c>
      <c r="K199" s="988" t="s">
        <v>218</v>
      </c>
      <c r="L199" s="988" t="s">
        <v>219</v>
      </c>
      <c r="M199" s="988" t="s">
        <v>220</v>
      </c>
      <c r="N199" s="988" t="s">
        <v>221</v>
      </c>
      <c r="O199" s="988" t="s">
        <v>222</v>
      </c>
      <c r="P199" s="988" t="s">
        <v>223</v>
      </c>
      <c r="Q199" s="988" t="s">
        <v>213</v>
      </c>
      <c r="R199" s="988" t="s">
        <v>224</v>
      </c>
      <c r="S199" s="988" t="s">
        <v>31</v>
      </c>
      <c r="T199" s="988" t="s">
        <v>225</v>
      </c>
      <c r="U199" s="989">
        <v>25</v>
      </c>
    </row>
    <row r="200" spans="1:21" ht="16" thickBot="1" x14ac:dyDescent="0.25">
      <c r="A200" s="982" t="str">
        <f>+'Take Off'!AT3</f>
        <v>EA</v>
      </c>
      <c r="B200" s="712">
        <f>+A199</f>
        <v>118</v>
      </c>
      <c r="C200" s="991">
        <v>5</v>
      </c>
      <c r="D200" s="1008" t="s">
        <v>1024</v>
      </c>
      <c r="E200" s="993">
        <v>30</v>
      </c>
      <c r="F200" s="994">
        <v>28</v>
      </c>
      <c r="G200" s="995"/>
      <c r="H200" s="996">
        <v>40</v>
      </c>
      <c r="I200" s="995" t="s">
        <v>1013</v>
      </c>
      <c r="J200" s="712">
        <f>IF(C200=0,0,B200/C200)</f>
        <v>23.6</v>
      </c>
      <c r="K200" s="714">
        <f>IF($G200="x",'Labor Calc'!$E$43,'Labor Calc'!$E$31)</f>
        <v>58.06944444444445</v>
      </c>
      <c r="L200" s="714">
        <f>IF($G200="x",'Labor Calc'!$F$43,'Labor Calc'!$F$31)</f>
        <v>62.358333333333327</v>
      </c>
      <c r="M200" s="714">
        <f>IF($G200="x",'Labor Calc'!$G$43,'Labor Calc'!$G$31)</f>
        <v>65.217592592592595</v>
      </c>
      <c r="N200" s="714">
        <f>IF(H200=40,K200,0)+IF(H200=50,L200,0)+IF(H200=60,M200,0)</f>
        <v>58.06944444444445</v>
      </c>
      <c r="O200" s="712">
        <f>IF(E200=0,0,B200/E200)</f>
        <v>3.9333333333333331</v>
      </c>
      <c r="P200" s="715">
        <f>+J200*N200</f>
        <v>1370.4388888888891</v>
      </c>
      <c r="Q200" s="715">
        <f>(+O200*F200)/(1-'OH&amp;P'!$C$5)</f>
        <v>135.96707818930039</v>
      </c>
      <c r="R200" s="715">
        <f>IF(I200="x",(J200*'Admin Set Up'!$B$17)/(1-'OH&amp;P'!$C$5),0)</f>
        <v>58.271604938271608</v>
      </c>
      <c r="S200" s="716">
        <f>SUM(P200:R200)</f>
        <v>1564.677572016461</v>
      </c>
      <c r="T200" s="717">
        <f>IF(B200=0,0,S200/B200)</f>
        <v>13.259979423868314</v>
      </c>
      <c r="U200" s="984"/>
    </row>
    <row r="201" spans="1:21" ht="16" thickBot="1" x14ac:dyDescent="0.25">
      <c r="A201" s="982"/>
      <c r="B201" s="712">
        <f>+B200</f>
        <v>118</v>
      </c>
      <c r="C201" s="991">
        <v>6</v>
      </c>
      <c r="D201" s="1008" t="s">
        <v>369</v>
      </c>
      <c r="E201" s="998">
        <v>2</v>
      </c>
      <c r="F201" s="994">
        <v>5</v>
      </c>
      <c r="G201" s="995"/>
      <c r="H201" s="996">
        <v>40</v>
      </c>
      <c r="I201" s="995" t="s">
        <v>1013</v>
      </c>
      <c r="J201" s="712">
        <f>IF(C201=0,0,B201/C201)</f>
        <v>19.666666666666668</v>
      </c>
      <c r="K201" s="714">
        <f>IF($G201="x",'Labor Calc'!$E$43,'Labor Calc'!$E$31)</f>
        <v>58.06944444444445</v>
      </c>
      <c r="L201" s="714">
        <f>IF($G201="x",'Labor Calc'!$F$43,'Labor Calc'!$F$31)</f>
        <v>62.358333333333327</v>
      </c>
      <c r="M201" s="714">
        <f>IF($G201="x",'Labor Calc'!$G$43,'Labor Calc'!$G$31)</f>
        <v>65.217592592592595</v>
      </c>
      <c r="N201" s="714">
        <f>IF(H201=40,K201,0)+IF(H201=50,L201,0)+IF(H201=60,M201,0)</f>
        <v>58.06944444444445</v>
      </c>
      <c r="O201" s="712">
        <f>IF(E201=0,0,B201/E201)</f>
        <v>59</v>
      </c>
      <c r="P201" s="715">
        <f>+J201*N201</f>
        <v>1142.0324074074076</v>
      </c>
      <c r="Q201" s="715">
        <f>(+O201*F201)/(1-'OH&amp;P'!$C$5)</f>
        <v>364.19753086419752</v>
      </c>
      <c r="R201" s="715">
        <f>IF(I201="x",(J201*'Admin Set Up'!$B$17)/(1-'OH&amp;P'!$C$5),0)</f>
        <v>48.559670781893004</v>
      </c>
      <c r="S201" s="716">
        <f>SUM(P201:R201)</f>
        <v>1554.789609053498</v>
      </c>
      <c r="T201" s="717">
        <f>IF(B201=0,0,S201/B201)</f>
        <v>13.176183127572017</v>
      </c>
      <c r="U201" s="984"/>
    </row>
    <row r="202" spans="1:21" ht="16" thickBot="1" x14ac:dyDescent="0.25">
      <c r="A202" s="982"/>
      <c r="B202" s="712">
        <f>+B201</f>
        <v>118</v>
      </c>
      <c r="C202" s="991">
        <v>2</v>
      </c>
      <c r="D202" s="1008" t="s">
        <v>1020</v>
      </c>
      <c r="E202" s="998">
        <v>15</v>
      </c>
      <c r="F202" s="994">
        <v>40</v>
      </c>
      <c r="G202" s="995"/>
      <c r="H202" s="996">
        <v>40</v>
      </c>
      <c r="I202" s="995" t="s">
        <v>1013</v>
      </c>
      <c r="J202" s="712">
        <f>IF(C202=0,0,B202/C202)</f>
        <v>59</v>
      </c>
      <c r="K202" s="714">
        <f>IF($G202="x",'Labor Calc'!$E$43,'Labor Calc'!$E$31)</f>
        <v>58.06944444444445</v>
      </c>
      <c r="L202" s="714">
        <f>IF($G202="x",'Labor Calc'!$F$43,'Labor Calc'!$F$31)</f>
        <v>62.358333333333327</v>
      </c>
      <c r="M202" s="714">
        <f>IF($G202="x",'Labor Calc'!$G$43,'Labor Calc'!$G$31)</f>
        <v>65.217592592592595</v>
      </c>
      <c r="N202" s="714">
        <f>IF(H202=40,K202,0)+IF(H202=50,L202,0)+IF(H202=60,M202,0)</f>
        <v>58.06944444444445</v>
      </c>
      <c r="O202" s="712">
        <f>IF(E202=0,0,B202/E202)</f>
        <v>7.8666666666666663</v>
      </c>
      <c r="P202" s="715">
        <f>+J202*N202</f>
        <v>3426.0972222222226</v>
      </c>
      <c r="Q202" s="715">
        <f>(+O202*F202)/(1-'OH&amp;P'!$C$5)</f>
        <v>388.47736625514398</v>
      </c>
      <c r="R202" s="715">
        <f>IF(I202="x",(J202*'Admin Set Up'!$B$17)/(1-'OH&amp;P'!$C$5),0)</f>
        <v>145.67901234567901</v>
      </c>
      <c r="S202" s="716">
        <f>SUM(P202:R202)</f>
        <v>3960.2536008230454</v>
      </c>
      <c r="T202" s="717">
        <f>IF(B202=0,0,S202/B202)</f>
        <v>33.561471193415642</v>
      </c>
      <c r="U202" s="984"/>
    </row>
    <row r="203" spans="1:21" ht="16" thickBot="1" x14ac:dyDescent="0.25">
      <c r="A203" s="982"/>
      <c r="B203" s="712">
        <f>+B202</f>
        <v>118</v>
      </c>
      <c r="C203" s="991">
        <v>3</v>
      </c>
      <c r="D203" s="1008" t="s">
        <v>1020</v>
      </c>
      <c r="E203" s="998">
        <v>15</v>
      </c>
      <c r="F203" s="994">
        <v>40</v>
      </c>
      <c r="G203" s="995"/>
      <c r="H203" s="996">
        <v>40</v>
      </c>
      <c r="I203" s="995" t="s">
        <v>1013</v>
      </c>
      <c r="J203" s="712">
        <f>IF(C203=0,0,B203/C203)</f>
        <v>39.333333333333336</v>
      </c>
      <c r="K203" s="714">
        <f>IF($G203="x",'Labor Calc'!$E$43,'Labor Calc'!$E$31)</f>
        <v>58.06944444444445</v>
      </c>
      <c r="L203" s="714">
        <f>IF($G203="x",'Labor Calc'!$F$43,'Labor Calc'!$F$31)</f>
        <v>62.358333333333327</v>
      </c>
      <c r="M203" s="714">
        <f>IF($G203="x",'Labor Calc'!$G$43,'Labor Calc'!$G$31)</f>
        <v>65.217592592592595</v>
      </c>
      <c r="N203" s="714">
        <f>IF(H203=40,K203,0)+IF(H203=50,L203,0)+IF(H203=60,M203,0)</f>
        <v>58.06944444444445</v>
      </c>
      <c r="O203" s="712">
        <f>IF(E203=0,0,B203/E203)</f>
        <v>7.8666666666666663</v>
      </c>
      <c r="P203" s="715">
        <f>+J203*N203</f>
        <v>2284.0648148148152</v>
      </c>
      <c r="Q203" s="715">
        <f>(+O203*F203)/(1-'OH&amp;P'!$C$5)</f>
        <v>388.47736625514398</v>
      </c>
      <c r="R203" s="715">
        <f>IF(I203="x",(J203*'Admin Set Up'!$B$17)/(1-'OH&amp;P'!$C$5),0)</f>
        <v>97.119341563786008</v>
      </c>
      <c r="S203" s="716">
        <f>SUM(P203:R203)</f>
        <v>2769.6615226337449</v>
      </c>
      <c r="T203" s="717">
        <f>IF(B203=0,0,S203/B203)</f>
        <v>23.471707818930042</v>
      </c>
      <c r="U203" s="984"/>
    </row>
    <row r="204" spans="1:21" ht="16" hidden="1" thickBot="1" x14ac:dyDescent="0.25">
      <c r="A204" s="999"/>
      <c r="B204" s="713">
        <f>+B200</f>
        <v>118</v>
      </c>
      <c r="C204" s="991"/>
      <c r="D204" s="1000"/>
      <c r="E204" s="1001"/>
      <c r="F204" s="1002"/>
      <c r="G204" s="995"/>
      <c r="H204" s="996"/>
      <c r="I204" s="995"/>
      <c r="J204" s="712">
        <f>IF(C204=0,0,B204/C204)</f>
        <v>0</v>
      </c>
      <c r="K204" s="714">
        <f>IF($G204="x",'Labor Calc'!$E$43,'Labor Calc'!$E$31)</f>
        <v>58.06944444444445</v>
      </c>
      <c r="L204" s="714">
        <f>IF($G204="x",'Labor Calc'!$F$43,'Labor Calc'!$F$31)</f>
        <v>62.358333333333327</v>
      </c>
      <c r="M204" s="714">
        <f>IF($G204="x",'Labor Calc'!$G$43,'Labor Calc'!$G$31)</f>
        <v>65.217592592592595</v>
      </c>
      <c r="N204" s="714">
        <f>IF(H204=40,K204,0)+IF(H204=50,L204,0)+IF(H204=60,M204,0)</f>
        <v>0</v>
      </c>
      <c r="O204" s="712">
        <f>IF(E204=0,0,B204/E204)</f>
        <v>0</v>
      </c>
      <c r="P204" s="715">
        <f>+J204*N204</f>
        <v>0</v>
      </c>
      <c r="Q204" s="715">
        <f>(+O204*F204)/(1-'OH&amp;P'!$C$5)</f>
        <v>0</v>
      </c>
      <c r="R204" s="715">
        <f>IF(I204="x",(J204*'Admin Set Up'!$B$17)/(1-'OH&amp;P'!$C$5),0)</f>
        <v>0</v>
      </c>
      <c r="S204" s="716">
        <f>SUM(P204:R204)</f>
        <v>0</v>
      </c>
      <c r="T204" s="717">
        <f>IF(B204=0,0,S204/B204)</f>
        <v>0</v>
      </c>
      <c r="U204" s="984"/>
    </row>
    <row r="205" spans="1:21" ht="16" thickBot="1" x14ac:dyDescent="0.25">
      <c r="A205" s="1003"/>
      <c r="B205" s="1004" t="s">
        <v>226</v>
      </c>
      <c r="C205" s="719"/>
      <c r="D205" s="1005" t="s">
        <v>227</v>
      </c>
      <c r="E205" s="1006"/>
      <c r="F205" s="1006"/>
      <c r="G205" s="1092" t="s">
        <v>101</v>
      </c>
      <c r="H205" s="1092"/>
      <c r="I205" s="1092"/>
      <c r="J205" s="718">
        <f>SUM(J200:J204)</f>
        <v>141.6</v>
      </c>
      <c r="K205" s="719"/>
      <c r="L205" s="719"/>
      <c r="M205" s="719"/>
      <c r="N205" s="719"/>
      <c r="O205" s="720">
        <f t="shared" ref="O205:T205" si="72">SUM(O200:O204)</f>
        <v>78.666666666666657</v>
      </c>
      <c r="P205" s="721">
        <f t="shared" si="72"/>
        <v>8222.633333333335</v>
      </c>
      <c r="Q205" s="721">
        <f t="shared" si="72"/>
        <v>1277.1193415637858</v>
      </c>
      <c r="R205" s="721">
        <f t="shared" si="72"/>
        <v>349.62962962962962</v>
      </c>
      <c r="S205" s="722">
        <f t="shared" si="72"/>
        <v>9849.3823045267491</v>
      </c>
      <c r="T205" s="723">
        <f t="shared" si="72"/>
        <v>83.469341563786017</v>
      </c>
      <c r="U205" s="1007"/>
    </row>
    <row r="207" spans="1:21" x14ac:dyDescent="0.2">
      <c r="A207" s="982" t="str">
        <f>+'Take Off'!AU1</f>
        <v>10x10 OHC</v>
      </c>
      <c r="B207" s="1093" t="str">
        <f>+A207</f>
        <v>10x10 OHC</v>
      </c>
      <c r="C207" s="1093"/>
      <c r="D207" s="1093"/>
      <c r="E207" s="1093"/>
      <c r="F207" s="1093"/>
      <c r="G207" s="710">
        <f>+A208</f>
        <v>9</v>
      </c>
      <c r="H207" s="711" t="str">
        <f>+A209</f>
        <v>EA</v>
      </c>
      <c r="I207" s="983"/>
      <c r="J207" s="983"/>
      <c r="K207" s="983"/>
      <c r="L207" s="983"/>
      <c r="M207" s="983"/>
      <c r="N207" s="983"/>
      <c r="O207" s="983"/>
      <c r="P207" s="983"/>
      <c r="Q207" s="983"/>
      <c r="R207" s="984"/>
      <c r="S207" s="984"/>
      <c r="T207" s="984"/>
      <c r="U207" s="984"/>
    </row>
    <row r="208" spans="1:21" ht="53" thickBot="1" x14ac:dyDescent="0.25">
      <c r="A208" s="982">
        <f>+'Take Off'!AU2</f>
        <v>9</v>
      </c>
      <c r="B208" s="985" t="s">
        <v>209</v>
      </c>
      <c r="C208" s="986" t="s">
        <v>210</v>
      </c>
      <c r="D208" s="985" t="s">
        <v>211</v>
      </c>
      <c r="E208" s="986" t="s">
        <v>212</v>
      </c>
      <c r="F208" s="986" t="s">
        <v>213</v>
      </c>
      <c r="G208" s="987" t="s">
        <v>214</v>
      </c>
      <c r="H208" s="987" t="s">
        <v>215</v>
      </c>
      <c r="I208" s="987" t="s">
        <v>216</v>
      </c>
      <c r="J208" s="988" t="s">
        <v>217</v>
      </c>
      <c r="K208" s="988" t="s">
        <v>218</v>
      </c>
      <c r="L208" s="988" t="s">
        <v>219</v>
      </c>
      <c r="M208" s="988" t="s">
        <v>220</v>
      </c>
      <c r="N208" s="988" t="s">
        <v>221</v>
      </c>
      <c r="O208" s="988" t="s">
        <v>222</v>
      </c>
      <c r="P208" s="988" t="s">
        <v>223</v>
      </c>
      <c r="Q208" s="988" t="s">
        <v>213</v>
      </c>
      <c r="R208" s="988" t="s">
        <v>224</v>
      </c>
      <c r="S208" s="988" t="s">
        <v>31</v>
      </c>
      <c r="T208" s="988" t="s">
        <v>225</v>
      </c>
      <c r="U208" s="989">
        <v>26</v>
      </c>
    </row>
    <row r="209" spans="1:21" ht="16" thickBot="1" x14ac:dyDescent="0.25">
      <c r="A209" s="982" t="str">
        <f>+'Take Off'!AU3</f>
        <v>EA</v>
      </c>
      <c r="B209" s="712">
        <f>+A208</f>
        <v>9</v>
      </c>
      <c r="C209" s="991">
        <v>3</v>
      </c>
      <c r="D209" s="1008" t="s">
        <v>1024</v>
      </c>
      <c r="E209" s="993">
        <v>9</v>
      </c>
      <c r="F209" s="994">
        <v>28</v>
      </c>
      <c r="G209" s="995"/>
      <c r="H209" s="996">
        <v>40</v>
      </c>
      <c r="I209" s="995" t="s">
        <v>1013</v>
      </c>
      <c r="J209" s="712">
        <f>IF(C209=0,0,B209/C209)</f>
        <v>3</v>
      </c>
      <c r="K209" s="714">
        <f>IF($G209="x",'Labor Calc'!$E$43,'Labor Calc'!$E$31)</f>
        <v>58.06944444444445</v>
      </c>
      <c r="L209" s="714">
        <f>IF($G209="x",'Labor Calc'!$F$43,'Labor Calc'!$F$31)</f>
        <v>62.358333333333327</v>
      </c>
      <c r="M209" s="714">
        <f>IF($G209="x",'Labor Calc'!$G$43,'Labor Calc'!$G$31)</f>
        <v>65.217592592592595</v>
      </c>
      <c r="N209" s="714">
        <f>IF(H209=40,K209,0)+IF(H209=50,L209,0)+IF(H209=60,M209,0)</f>
        <v>58.06944444444445</v>
      </c>
      <c r="O209" s="712">
        <f>IF(E209=0,0,B209/E209)</f>
        <v>1</v>
      </c>
      <c r="P209" s="715">
        <f>+J209*N209</f>
        <v>174.20833333333334</v>
      </c>
      <c r="Q209" s="715">
        <f>(+O209*F209)/(1-'OH&amp;P'!$C$5)</f>
        <v>34.567901234567898</v>
      </c>
      <c r="R209" s="715">
        <f>IF(I209="x",(J209*'Admin Set Up'!$B$17)/(1-'OH&amp;P'!$C$5),0)</f>
        <v>7.4074074074074066</v>
      </c>
      <c r="S209" s="716">
        <f>SUM(P209:R209)</f>
        <v>216.18364197530866</v>
      </c>
      <c r="T209" s="717">
        <f>IF(B209=0,0,S209/B209)</f>
        <v>24.020404663923184</v>
      </c>
      <c r="U209" s="984"/>
    </row>
    <row r="210" spans="1:21" ht="16" thickBot="1" x14ac:dyDescent="0.25">
      <c r="A210" s="982"/>
      <c r="B210" s="712">
        <f>+B209</f>
        <v>9</v>
      </c>
      <c r="C210" s="991">
        <v>1</v>
      </c>
      <c r="D210" s="1008" t="s">
        <v>1020</v>
      </c>
      <c r="E210" s="998">
        <v>3</v>
      </c>
      <c r="F210" s="994">
        <v>40</v>
      </c>
      <c r="G210" s="995"/>
      <c r="H210" s="996">
        <v>40</v>
      </c>
      <c r="I210" s="995" t="s">
        <v>1013</v>
      </c>
      <c r="J210" s="712">
        <f>IF(C210=0,0,B210/C210)</f>
        <v>9</v>
      </c>
      <c r="K210" s="714">
        <f>IF($G210="x",'Labor Calc'!$E$43,'Labor Calc'!$E$31)</f>
        <v>58.06944444444445</v>
      </c>
      <c r="L210" s="714">
        <f>IF($G210="x",'Labor Calc'!$F$43,'Labor Calc'!$F$31)</f>
        <v>62.358333333333327</v>
      </c>
      <c r="M210" s="714">
        <f>IF($G210="x",'Labor Calc'!$G$43,'Labor Calc'!$G$31)</f>
        <v>65.217592592592595</v>
      </c>
      <c r="N210" s="714">
        <f>IF(H210=40,K210,0)+IF(H210=50,L210,0)+IF(H210=60,M210,0)</f>
        <v>58.06944444444445</v>
      </c>
      <c r="O210" s="712">
        <f>IF(E210=0,0,B210/E210)</f>
        <v>3</v>
      </c>
      <c r="P210" s="715">
        <f>+J210*N210</f>
        <v>522.625</v>
      </c>
      <c r="Q210" s="715">
        <f>(+O210*F210)/(1-'OH&amp;P'!$C$5)</f>
        <v>148.14814814814815</v>
      </c>
      <c r="R210" s="715">
        <f>IF(I210="x",(J210*'Admin Set Up'!$B$17)/(1-'OH&amp;P'!$C$5),0)</f>
        <v>22.222222222222221</v>
      </c>
      <c r="S210" s="716">
        <f>SUM(P210:R210)</f>
        <v>692.99537037037032</v>
      </c>
      <c r="T210" s="717">
        <f>IF(B210=0,0,S210/B210)</f>
        <v>76.999485596707814</v>
      </c>
      <c r="U210" s="984"/>
    </row>
    <row r="211" spans="1:21" ht="16" thickBot="1" x14ac:dyDescent="0.25">
      <c r="A211" s="982"/>
      <c r="B211" s="712">
        <f>+B210</f>
        <v>9</v>
      </c>
      <c r="C211" s="991">
        <v>1</v>
      </c>
      <c r="D211" s="1008" t="s">
        <v>1020</v>
      </c>
      <c r="E211" s="998">
        <v>3</v>
      </c>
      <c r="F211" s="994">
        <v>40</v>
      </c>
      <c r="G211" s="995"/>
      <c r="H211" s="996">
        <v>40</v>
      </c>
      <c r="I211" s="995" t="s">
        <v>1013</v>
      </c>
      <c r="J211" s="712">
        <f>IF(C211=0,0,B211/C211)</f>
        <v>9</v>
      </c>
      <c r="K211" s="714">
        <f>IF($G211="x",'Labor Calc'!$E$43,'Labor Calc'!$E$31)</f>
        <v>58.06944444444445</v>
      </c>
      <c r="L211" s="714">
        <f>IF($G211="x",'Labor Calc'!$F$43,'Labor Calc'!$F$31)</f>
        <v>62.358333333333327</v>
      </c>
      <c r="M211" s="714">
        <f>IF($G211="x",'Labor Calc'!$G$43,'Labor Calc'!$G$31)</f>
        <v>65.217592592592595</v>
      </c>
      <c r="N211" s="714">
        <f>IF(H211=40,K211,0)+IF(H211=50,L211,0)+IF(H211=60,M211,0)</f>
        <v>58.06944444444445</v>
      </c>
      <c r="O211" s="712">
        <f>IF(E211=0,0,B211/E211)</f>
        <v>3</v>
      </c>
      <c r="P211" s="715">
        <f>+J211*N211</f>
        <v>522.625</v>
      </c>
      <c r="Q211" s="715">
        <f>(+O211*F211)/(1-'OH&amp;P'!$C$5)</f>
        <v>148.14814814814815</v>
      </c>
      <c r="R211" s="715">
        <f>IF(I211="x",(J211*'Admin Set Up'!$B$17)/(1-'OH&amp;P'!$C$5),0)</f>
        <v>22.222222222222221</v>
      </c>
      <c r="S211" s="716">
        <f>SUM(P211:R211)</f>
        <v>692.99537037037032</v>
      </c>
      <c r="T211" s="717">
        <f>IF(B211=0,0,S211/B211)</f>
        <v>76.999485596707814</v>
      </c>
      <c r="U211" s="984"/>
    </row>
    <row r="212" spans="1:21" ht="16" hidden="1" thickBot="1" x14ac:dyDescent="0.25">
      <c r="A212" s="999"/>
      <c r="B212" s="713">
        <f>+B209</f>
        <v>9</v>
      </c>
      <c r="C212" s="991"/>
      <c r="D212" s="1000"/>
      <c r="E212" s="1001"/>
      <c r="F212" s="1002"/>
      <c r="G212" s="995"/>
      <c r="H212" s="996"/>
      <c r="I212" s="995"/>
      <c r="J212" s="712">
        <f>IF(C212=0,0,B212/C212)</f>
        <v>0</v>
      </c>
      <c r="K212" s="714">
        <f>IF($G212="x",'Labor Calc'!$E$43,'Labor Calc'!$E$31)</f>
        <v>58.06944444444445</v>
      </c>
      <c r="L212" s="714">
        <f>IF($G212="x",'Labor Calc'!$F$43,'Labor Calc'!$F$31)</f>
        <v>62.358333333333327</v>
      </c>
      <c r="M212" s="714">
        <f>IF($G212="x",'Labor Calc'!$G$43,'Labor Calc'!$G$31)</f>
        <v>65.217592592592595</v>
      </c>
      <c r="N212" s="714">
        <f>IF(H212=40,K212,0)+IF(H212=50,L212,0)+IF(H212=60,M212,0)</f>
        <v>0</v>
      </c>
      <c r="O212" s="712">
        <f>IF(E212=0,0,B212/E212)</f>
        <v>0</v>
      </c>
      <c r="P212" s="715">
        <f>+J212*N212</f>
        <v>0</v>
      </c>
      <c r="Q212" s="715">
        <f>(+O212*F212)/(1-'OH&amp;P'!$C$5)</f>
        <v>0</v>
      </c>
      <c r="R212" s="715">
        <f>IF(I212="x",(J212*'Admin Set Up'!$B$17)/(1-'OH&amp;P'!$C$5),0)</f>
        <v>0</v>
      </c>
      <c r="S212" s="716">
        <f>SUM(P212:R212)</f>
        <v>0</v>
      </c>
      <c r="T212" s="717">
        <f>IF(B212=0,0,S212/B212)</f>
        <v>0</v>
      </c>
      <c r="U212" s="984"/>
    </row>
    <row r="213" spans="1:21" ht="16" thickBot="1" x14ac:dyDescent="0.25">
      <c r="A213" s="1003"/>
      <c r="B213" s="1004" t="s">
        <v>226</v>
      </c>
      <c r="C213" s="719"/>
      <c r="D213" s="1005" t="s">
        <v>227</v>
      </c>
      <c r="E213" s="1006"/>
      <c r="F213" s="1006"/>
      <c r="G213" s="1092" t="s">
        <v>101</v>
      </c>
      <c r="H213" s="1092"/>
      <c r="I213" s="1092"/>
      <c r="J213" s="718">
        <f>SUM(J209:J212)</f>
        <v>21</v>
      </c>
      <c r="K213" s="719"/>
      <c r="L213" s="719"/>
      <c r="M213" s="719"/>
      <c r="N213" s="719"/>
      <c r="O213" s="720">
        <f t="shared" ref="O213:T213" si="73">SUM(O209:O212)</f>
        <v>7</v>
      </c>
      <c r="P213" s="721">
        <f t="shared" si="73"/>
        <v>1219.4583333333335</v>
      </c>
      <c r="Q213" s="721">
        <f t="shared" si="73"/>
        <v>330.8641975308642</v>
      </c>
      <c r="R213" s="721">
        <f t="shared" si="73"/>
        <v>51.851851851851848</v>
      </c>
      <c r="S213" s="722">
        <f t="shared" si="73"/>
        <v>1602.1743827160494</v>
      </c>
      <c r="T213" s="723">
        <f t="shared" si="73"/>
        <v>178.01937585733882</v>
      </c>
      <c r="U213" s="1007"/>
    </row>
    <row r="215" spans="1:21" x14ac:dyDescent="0.2">
      <c r="A215" s="982" t="str">
        <f>+'Take Off'!AV1</f>
        <v>Connector Steel</v>
      </c>
      <c r="B215" s="1093" t="str">
        <f>+A215</f>
        <v>Connector Steel</v>
      </c>
      <c r="C215" s="1093"/>
      <c r="D215" s="1093"/>
      <c r="E215" s="1093"/>
      <c r="F215" s="1093"/>
      <c r="G215" s="710">
        <f>+A216</f>
        <v>8499.0600000000013</v>
      </c>
      <c r="H215" s="711" t="str">
        <f>+A217</f>
        <v>SF</v>
      </c>
      <c r="I215" s="983"/>
      <c r="J215" s="983"/>
      <c r="K215" s="983"/>
      <c r="L215" s="983"/>
      <c r="M215" s="983"/>
      <c r="N215" s="983"/>
      <c r="O215" s="983"/>
      <c r="P215" s="983"/>
      <c r="Q215" s="983"/>
      <c r="R215" s="984"/>
      <c r="S215" s="984"/>
      <c r="T215" s="984"/>
      <c r="U215" s="984"/>
    </row>
    <row r="216" spans="1:21" ht="53" thickBot="1" x14ac:dyDescent="0.25">
      <c r="A216" s="982">
        <f>+'Take Off'!AV2</f>
        <v>8499.0600000000013</v>
      </c>
      <c r="B216" s="985" t="s">
        <v>209</v>
      </c>
      <c r="C216" s="986" t="s">
        <v>210</v>
      </c>
      <c r="D216" s="985" t="s">
        <v>211</v>
      </c>
      <c r="E216" s="986" t="s">
        <v>212</v>
      </c>
      <c r="F216" s="986" t="s">
        <v>213</v>
      </c>
      <c r="G216" s="987" t="s">
        <v>214</v>
      </c>
      <c r="H216" s="987" t="s">
        <v>215</v>
      </c>
      <c r="I216" s="987" t="s">
        <v>216</v>
      </c>
      <c r="J216" s="988" t="s">
        <v>217</v>
      </c>
      <c r="K216" s="988" t="s">
        <v>218</v>
      </c>
      <c r="L216" s="988" t="s">
        <v>219</v>
      </c>
      <c r="M216" s="988" t="s">
        <v>220</v>
      </c>
      <c r="N216" s="988" t="s">
        <v>221</v>
      </c>
      <c r="O216" s="988" t="s">
        <v>222</v>
      </c>
      <c r="P216" s="988" t="s">
        <v>223</v>
      </c>
      <c r="Q216" s="988" t="s">
        <v>213</v>
      </c>
      <c r="R216" s="988" t="s">
        <v>224</v>
      </c>
      <c r="S216" s="988" t="s">
        <v>31</v>
      </c>
      <c r="T216" s="988" t="s">
        <v>225</v>
      </c>
      <c r="U216" s="989">
        <v>27</v>
      </c>
    </row>
    <row r="217" spans="1:21" ht="16" thickBot="1" x14ac:dyDescent="0.25">
      <c r="A217" s="982" t="str">
        <f>+'Take Off'!AV3</f>
        <v>SF</v>
      </c>
      <c r="B217" s="712">
        <f>+A216</f>
        <v>8499.0600000000013</v>
      </c>
      <c r="C217" s="991">
        <v>300</v>
      </c>
      <c r="D217" s="1008" t="s">
        <v>1024</v>
      </c>
      <c r="E217" s="993">
        <v>600</v>
      </c>
      <c r="F217" s="994">
        <v>28</v>
      </c>
      <c r="G217" s="995"/>
      <c r="H217" s="996">
        <v>40</v>
      </c>
      <c r="I217" s="995" t="s">
        <v>1013</v>
      </c>
      <c r="J217" s="712">
        <f>IF(C217=0,0,B217/C217)</f>
        <v>28.330200000000005</v>
      </c>
      <c r="K217" s="714">
        <f>IF($G217="x",'Labor Calc'!$E$43,'Labor Calc'!$E$31)</f>
        <v>58.06944444444445</v>
      </c>
      <c r="L217" s="714">
        <f>IF($G217="x",'Labor Calc'!$F$43,'Labor Calc'!$F$31)</f>
        <v>62.358333333333327</v>
      </c>
      <c r="M217" s="714">
        <f>IF($G217="x",'Labor Calc'!$G$43,'Labor Calc'!$G$31)</f>
        <v>65.217592592592595</v>
      </c>
      <c r="N217" s="714">
        <f>IF(H217=40,K217,0)+IF(H217=50,L217,0)+IF(H217=60,M217,0)</f>
        <v>58.06944444444445</v>
      </c>
      <c r="O217" s="712">
        <f>IF(E217=0,0,B217/E217)</f>
        <v>14.165100000000002</v>
      </c>
      <c r="P217" s="715">
        <f>+J217*N217</f>
        <v>1645.1189750000005</v>
      </c>
      <c r="Q217" s="715">
        <f>(+O217*F217)/(1-'OH&amp;P'!$C$5)</f>
        <v>489.65777777777788</v>
      </c>
      <c r="R217" s="715">
        <f>IF(I217="x",(J217*'Admin Set Up'!$B$17)/(1-'OH&amp;P'!$C$5),0)</f>
        <v>69.951111111111118</v>
      </c>
      <c r="S217" s="716">
        <f>SUM(P217:R217)</f>
        <v>2204.7278638888893</v>
      </c>
      <c r="T217" s="717">
        <f>IF(B217=0,0,S217/B217)</f>
        <v>0.25940843621399179</v>
      </c>
      <c r="U217" s="984"/>
    </row>
    <row r="218" spans="1:21" ht="16" thickBot="1" x14ac:dyDescent="0.25">
      <c r="A218" s="982"/>
      <c r="B218" s="712">
        <f>+B217</f>
        <v>8499.0600000000013</v>
      </c>
      <c r="C218" s="991">
        <v>150</v>
      </c>
      <c r="D218" s="1008" t="s">
        <v>1020</v>
      </c>
      <c r="E218" s="998">
        <v>200</v>
      </c>
      <c r="F218" s="994">
        <v>40</v>
      </c>
      <c r="G218" s="995"/>
      <c r="H218" s="996">
        <v>40</v>
      </c>
      <c r="I218" s="995" t="s">
        <v>1013</v>
      </c>
      <c r="J218" s="712">
        <f>IF(C218=0,0,B218/C218)</f>
        <v>56.66040000000001</v>
      </c>
      <c r="K218" s="714">
        <f>IF($G218="x",'Labor Calc'!$E$43,'Labor Calc'!$E$31)</f>
        <v>58.06944444444445</v>
      </c>
      <c r="L218" s="714">
        <f>IF($G218="x",'Labor Calc'!$F$43,'Labor Calc'!$F$31)</f>
        <v>62.358333333333327</v>
      </c>
      <c r="M218" s="714">
        <f>IF($G218="x",'Labor Calc'!$G$43,'Labor Calc'!$G$31)</f>
        <v>65.217592592592595</v>
      </c>
      <c r="N218" s="714">
        <f>IF(H218=40,K218,0)+IF(H218=50,L218,0)+IF(H218=60,M218,0)</f>
        <v>58.06944444444445</v>
      </c>
      <c r="O218" s="712">
        <f>IF(E218=0,0,B218/E218)</f>
        <v>42.495300000000007</v>
      </c>
      <c r="P218" s="715">
        <f>+J218*N218</f>
        <v>3290.2379500000011</v>
      </c>
      <c r="Q218" s="715">
        <f>(+O218*F218)/(1-'OH&amp;P'!$C$5)</f>
        <v>2098.5333333333338</v>
      </c>
      <c r="R218" s="715">
        <f>IF(I218="x",(J218*'Admin Set Up'!$B$17)/(1-'OH&amp;P'!$C$5),0)</f>
        <v>139.90222222222224</v>
      </c>
      <c r="S218" s="716">
        <f>SUM(P218:R218)</f>
        <v>5528.6735055555573</v>
      </c>
      <c r="T218" s="717">
        <f>IF(B218=0,0,S218/B218)</f>
        <v>0.65050411522633755</v>
      </c>
      <c r="U218" s="984"/>
    </row>
    <row r="219" spans="1:21" ht="16" thickBot="1" x14ac:dyDescent="0.25">
      <c r="A219" s="982"/>
      <c r="B219" s="712">
        <f>+B218</f>
        <v>8499.0600000000013</v>
      </c>
      <c r="C219" s="991">
        <v>150</v>
      </c>
      <c r="D219" s="1008" t="s">
        <v>1020</v>
      </c>
      <c r="E219" s="998">
        <v>200</v>
      </c>
      <c r="F219" s="994">
        <v>40</v>
      </c>
      <c r="G219" s="995"/>
      <c r="H219" s="996">
        <v>40</v>
      </c>
      <c r="I219" s="995" t="s">
        <v>1013</v>
      </c>
      <c r="J219" s="712">
        <f>IF(C219=0,0,B219/C219)</f>
        <v>56.66040000000001</v>
      </c>
      <c r="K219" s="714">
        <f>IF($G219="x",'Labor Calc'!$E$43,'Labor Calc'!$E$31)</f>
        <v>58.06944444444445</v>
      </c>
      <c r="L219" s="714">
        <f>IF($G219="x",'Labor Calc'!$F$43,'Labor Calc'!$F$31)</f>
        <v>62.358333333333327</v>
      </c>
      <c r="M219" s="714">
        <f>IF($G219="x",'Labor Calc'!$G$43,'Labor Calc'!$G$31)</f>
        <v>65.217592592592595</v>
      </c>
      <c r="N219" s="714">
        <f>IF(H219=40,K219,0)+IF(H219=50,L219,0)+IF(H219=60,M219,0)</f>
        <v>58.06944444444445</v>
      </c>
      <c r="O219" s="712">
        <f>IF(E219=0,0,B219/E219)</f>
        <v>42.495300000000007</v>
      </c>
      <c r="P219" s="715">
        <f>+J219*N219</f>
        <v>3290.2379500000011</v>
      </c>
      <c r="Q219" s="715">
        <f>(+O219*F219)/(1-'OH&amp;P'!$C$5)</f>
        <v>2098.5333333333338</v>
      </c>
      <c r="R219" s="715">
        <f>IF(I219="x",(J219*'Admin Set Up'!$B$17)/(1-'OH&amp;P'!$C$5),0)</f>
        <v>139.90222222222224</v>
      </c>
      <c r="S219" s="716">
        <f>SUM(P219:R219)</f>
        <v>5528.6735055555573</v>
      </c>
      <c r="T219" s="717">
        <f>IF(B219=0,0,S219/B219)</f>
        <v>0.65050411522633755</v>
      </c>
      <c r="U219" s="984"/>
    </row>
    <row r="220" spans="1:21" ht="16" hidden="1" thickBot="1" x14ac:dyDescent="0.25">
      <c r="A220" s="999"/>
      <c r="B220" s="713">
        <f>+B217</f>
        <v>8499.0600000000013</v>
      </c>
      <c r="C220" s="991"/>
      <c r="D220" s="1000"/>
      <c r="E220" s="1001"/>
      <c r="F220" s="1002"/>
      <c r="G220" s="995"/>
      <c r="H220" s="996"/>
      <c r="I220" s="995"/>
      <c r="J220" s="712">
        <f>IF(C220=0,0,B220/C220)</f>
        <v>0</v>
      </c>
      <c r="K220" s="714">
        <f>IF($G220="x",'Labor Calc'!$E$43,'Labor Calc'!$E$31)</f>
        <v>58.06944444444445</v>
      </c>
      <c r="L220" s="714">
        <f>IF($G220="x",'Labor Calc'!$F$43,'Labor Calc'!$F$31)</f>
        <v>62.358333333333327</v>
      </c>
      <c r="M220" s="714">
        <f>IF($G220="x",'Labor Calc'!$G$43,'Labor Calc'!$G$31)</f>
        <v>65.217592592592595</v>
      </c>
      <c r="N220" s="714">
        <f>IF(H220=40,K220,0)+IF(H220=50,L220,0)+IF(H220=60,M220,0)</f>
        <v>0</v>
      </c>
      <c r="O220" s="712">
        <f>IF(E220=0,0,B220/E220)</f>
        <v>0</v>
      </c>
      <c r="P220" s="715">
        <f>+J220*N220</f>
        <v>0</v>
      </c>
      <c r="Q220" s="715">
        <f>(+O220*F220)/(1-'OH&amp;P'!$C$5)</f>
        <v>0</v>
      </c>
      <c r="R220" s="715">
        <f>IF(I220="x",(J220*'Admin Set Up'!$B$17)/(1-'OH&amp;P'!$C$5),0)</f>
        <v>0</v>
      </c>
      <c r="S220" s="716">
        <f>SUM(P220:R220)</f>
        <v>0</v>
      </c>
      <c r="T220" s="717">
        <f>IF(B220=0,0,S220/B220)</f>
        <v>0</v>
      </c>
      <c r="U220" s="984"/>
    </row>
    <row r="221" spans="1:21" ht="16" thickBot="1" x14ac:dyDescent="0.25">
      <c r="A221" s="1003"/>
      <c r="B221" s="1004" t="s">
        <v>226</v>
      </c>
      <c r="C221" s="719"/>
      <c r="D221" s="1005" t="s">
        <v>227</v>
      </c>
      <c r="E221" s="1006"/>
      <c r="F221" s="1006"/>
      <c r="G221" s="1092" t="s">
        <v>101</v>
      </c>
      <c r="H221" s="1092"/>
      <c r="I221" s="1092"/>
      <c r="J221" s="718">
        <f>SUM(J217:J220)</f>
        <v>141.65100000000001</v>
      </c>
      <c r="K221" s="719"/>
      <c r="L221" s="719"/>
      <c r="M221" s="719"/>
      <c r="N221" s="719"/>
      <c r="O221" s="720">
        <f t="shared" ref="O221:T221" si="74">SUM(O217:O220)</f>
        <v>99.155700000000024</v>
      </c>
      <c r="P221" s="721">
        <f t="shared" si="74"/>
        <v>8225.5948750000025</v>
      </c>
      <c r="Q221" s="721">
        <f t="shared" si="74"/>
        <v>4686.7244444444459</v>
      </c>
      <c r="R221" s="721">
        <f t="shared" si="74"/>
        <v>349.75555555555559</v>
      </c>
      <c r="S221" s="722">
        <f t="shared" si="74"/>
        <v>13262.074875000004</v>
      </c>
      <c r="T221" s="723">
        <f t="shared" si="74"/>
        <v>1.5604166666666668</v>
      </c>
      <c r="U221" s="1007"/>
    </row>
    <row r="223" spans="1:21" x14ac:dyDescent="0.2">
      <c r="A223" s="982" t="str">
        <f>+'Take Off'!AW1</f>
        <v>Curtain Wall Steel</v>
      </c>
      <c r="B223" s="1093" t="str">
        <f>+A223</f>
        <v>Curtain Wall Steel</v>
      </c>
      <c r="C223" s="1093"/>
      <c r="D223" s="1093"/>
      <c r="E223" s="1093"/>
      <c r="F223" s="1093"/>
      <c r="G223" s="710">
        <f>+A224</f>
        <v>3908.1000000000004</v>
      </c>
      <c r="H223" s="711" t="str">
        <f>+A225</f>
        <v>SF</v>
      </c>
      <c r="I223" s="983"/>
      <c r="J223" s="983"/>
      <c r="K223" s="983"/>
      <c r="L223" s="983"/>
      <c r="M223" s="983"/>
      <c r="N223" s="983"/>
      <c r="O223" s="983"/>
      <c r="P223" s="983"/>
      <c r="Q223" s="983"/>
      <c r="R223" s="984"/>
      <c r="S223" s="984"/>
      <c r="T223" s="984"/>
      <c r="U223" s="984"/>
    </row>
    <row r="224" spans="1:21" ht="53" thickBot="1" x14ac:dyDescent="0.25">
      <c r="A224" s="982">
        <f>+'Take Off'!AW2</f>
        <v>3908.1000000000004</v>
      </c>
      <c r="B224" s="985" t="s">
        <v>209</v>
      </c>
      <c r="C224" s="986" t="s">
        <v>210</v>
      </c>
      <c r="D224" s="985" t="s">
        <v>211</v>
      </c>
      <c r="E224" s="986" t="s">
        <v>212</v>
      </c>
      <c r="F224" s="986" t="s">
        <v>213</v>
      </c>
      <c r="G224" s="987" t="s">
        <v>214</v>
      </c>
      <c r="H224" s="987" t="s">
        <v>215</v>
      </c>
      <c r="I224" s="987" t="s">
        <v>216</v>
      </c>
      <c r="J224" s="988" t="s">
        <v>217</v>
      </c>
      <c r="K224" s="988" t="s">
        <v>218</v>
      </c>
      <c r="L224" s="988" t="s">
        <v>219</v>
      </c>
      <c r="M224" s="988" t="s">
        <v>220</v>
      </c>
      <c r="N224" s="988" t="s">
        <v>221</v>
      </c>
      <c r="O224" s="988" t="s">
        <v>222</v>
      </c>
      <c r="P224" s="988" t="s">
        <v>223</v>
      </c>
      <c r="Q224" s="988" t="s">
        <v>213</v>
      </c>
      <c r="R224" s="988" t="s">
        <v>224</v>
      </c>
      <c r="S224" s="988" t="s">
        <v>31</v>
      </c>
      <c r="T224" s="988" t="s">
        <v>225</v>
      </c>
      <c r="U224" s="989">
        <v>28</v>
      </c>
    </row>
    <row r="225" spans="1:21" ht="16" thickBot="1" x14ac:dyDescent="0.25">
      <c r="A225" s="982" t="str">
        <f>+'Take Off'!AW3</f>
        <v>SF</v>
      </c>
      <c r="B225" s="712">
        <f>+A224</f>
        <v>3908.1000000000004</v>
      </c>
      <c r="C225" s="991">
        <v>300</v>
      </c>
      <c r="D225" s="1008" t="s">
        <v>1024</v>
      </c>
      <c r="E225" s="993">
        <v>600</v>
      </c>
      <c r="F225" s="994">
        <v>28</v>
      </c>
      <c r="G225" s="995"/>
      <c r="H225" s="996">
        <v>40</v>
      </c>
      <c r="I225" s="995" t="s">
        <v>1013</v>
      </c>
      <c r="J225" s="712">
        <f>IF(C225=0,0,B225/C225)</f>
        <v>13.027000000000001</v>
      </c>
      <c r="K225" s="714">
        <f>IF($G225="x",'Labor Calc'!$E$43,'Labor Calc'!$E$31)</f>
        <v>58.06944444444445</v>
      </c>
      <c r="L225" s="714">
        <f>IF($G225="x",'Labor Calc'!$F$43,'Labor Calc'!$F$31)</f>
        <v>62.358333333333327</v>
      </c>
      <c r="M225" s="714">
        <f>IF($G225="x",'Labor Calc'!$G$43,'Labor Calc'!$G$31)</f>
        <v>65.217592592592595</v>
      </c>
      <c r="N225" s="714">
        <f>IF(H225=40,K225,0)+IF(H225=50,L225,0)+IF(H225=60,M225,0)</f>
        <v>58.06944444444445</v>
      </c>
      <c r="O225" s="712">
        <f>IF(E225=0,0,B225/E225)</f>
        <v>6.5135000000000005</v>
      </c>
      <c r="P225" s="715">
        <f>+J225*N225</f>
        <v>756.4706527777779</v>
      </c>
      <c r="Q225" s="715">
        <f>(+O225*F225)/(1-'OH&amp;P'!$C$5)</f>
        <v>225.15802469135804</v>
      </c>
      <c r="R225" s="715">
        <f>IF(I225="x",(J225*'Admin Set Up'!$B$17)/(1-'OH&amp;P'!$C$5),0)</f>
        <v>32.165432098765436</v>
      </c>
      <c r="S225" s="716">
        <f>SUM(P225:R225)</f>
        <v>1013.7941095679014</v>
      </c>
      <c r="T225" s="717">
        <f>IF(B225=0,0,S225/B225)</f>
        <v>0.25940843621399179</v>
      </c>
      <c r="U225" s="984"/>
    </row>
    <row r="226" spans="1:21" ht="16" thickBot="1" x14ac:dyDescent="0.25">
      <c r="A226" s="982"/>
      <c r="B226" s="712">
        <f>+B225</f>
        <v>3908.1000000000004</v>
      </c>
      <c r="C226" s="991">
        <v>150</v>
      </c>
      <c r="D226" s="1008" t="s">
        <v>1020</v>
      </c>
      <c r="E226" s="998">
        <v>200</v>
      </c>
      <c r="F226" s="994">
        <v>40</v>
      </c>
      <c r="G226" s="995"/>
      <c r="H226" s="996">
        <v>40</v>
      </c>
      <c r="I226" s="995" t="s">
        <v>1013</v>
      </c>
      <c r="J226" s="712">
        <f>IF(C226=0,0,B226/C226)</f>
        <v>26.054000000000002</v>
      </c>
      <c r="K226" s="714">
        <f>IF($G226="x",'Labor Calc'!$E$43,'Labor Calc'!$E$31)</f>
        <v>58.06944444444445</v>
      </c>
      <c r="L226" s="714">
        <f>IF($G226="x",'Labor Calc'!$F$43,'Labor Calc'!$F$31)</f>
        <v>62.358333333333327</v>
      </c>
      <c r="M226" s="714">
        <f>IF($G226="x",'Labor Calc'!$G$43,'Labor Calc'!$G$31)</f>
        <v>65.217592592592595</v>
      </c>
      <c r="N226" s="714">
        <f>IF(H226=40,K226,0)+IF(H226=50,L226,0)+IF(H226=60,M226,0)</f>
        <v>58.06944444444445</v>
      </c>
      <c r="O226" s="712">
        <f>IF(E226=0,0,B226/E226)</f>
        <v>19.540500000000002</v>
      </c>
      <c r="P226" s="715">
        <f>+J226*N226</f>
        <v>1512.9413055555558</v>
      </c>
      <c r="Q226" s="715">
        <f>(+O226*F226)/(1-'OH&amp;P'!$C$5)</f>
        <v>964.96296296296305</v>
      </c>
      <c r="R226" s="715">
        <f>IF(I226="x",(J226*'Admin Set Up'!$B$17)/(1-'OH&amp;P'!$C$5),0)</f>
        <v>64.330864197530872</v>
      </c>
      <c r="S226" s="716">
        <f>SUM(P226:R226)</f>
        <v>2542.2351327160495</v>
      </c>
      <c r="T226" s="717">
        <f>IF(B226=0,0,S226/B226)</f>
        <v>0.65050411522633744</v>
      </c>
      <c r="U226" s="984"/>
    </row>
    <row r="227" spans="1:21" ht="16" thickBot="1" x14ac:dyDescent="0.25">
      <c r="A227" s="982"/>
      <c r="B227" s="712">
        <f>+B226</f>
        <v>3908.1000000000004</v>
      </c>
      <c r="C227" s="991">
        <v>150</v>
      </c>
      <c r="D227" s="1008" t="s">
        <v>1020</v>
      </c>
      <c r="E227" s="998">
        <v>200</v>
      </c>
      <c r="F227" s="994">
        <v>40</v>
      </c>
      <c r="G227" s="995"/>
      <c r="H227" s="996">
        <v>40</v>
      </c>
      <c r="I227" s="995" t="s">
        <v>1013</v>
      </c>
      <c r="J227" s="712">
        <f>IF(C227=0,0,B227/C227)</f>
        <v>26.054000000000002</v>
      </c>
      <c r="K227" s="714">
        <f>IF($G227="x",'Labor Calc'!$E$43,'Labor Calc'!$E$31)</f>
        <v>58.06944444444445</v>
      </c>
      <c r="L227" s="714">
        <f>IF($G227="x",'Labor Calc'!$F$43,'Labor Calc'!$F$31)</f>
        <v>62.358333333333327</v>
      </c>
      <c r="M227" s="714">
        <f>IF($G227="x",'Labor Calc'!$G$43,'Labor Calc'!$G$31)</f>
        <v>65.217592592592595</v>
      </c>
      <c r="N227" s="714">
        <f>IF(H227=40,K227,0)+IF(H227=50,L227,0)+IF(H227=60,M227,0)</f>
        <v>58.06944444444445</v>
      </c>
      <c r="O227" s="712">
        <f>IF(E227=0,0,B227/E227)</f>
        <v>19.540500000000002</v>
      </c>
      <c r="P227" s="715">
        <f>+J227*N227</f>
        <v>1512.9413055555558</v>
      </c>
      <c r="Q227" s="715">
        <f>(+O227*F227)/(1-'OH&amp;P'!$C$5)</f>
        <v>964.96296296296305</v>
      </c>
      <c r="R227" s="715">
        <f>IF(I227="x",(J227*'Admin Set Up'!$B$17)/(1-'OH&amp;P'!$C$5),0)</f>
        <v>64.330864197530872</v>
      </c>
      <c r="S227" s="716">
        <f>SUM(P227:R227)</f>
        <v>2542.2351327160495</v>
      </c>
      <c r="T227" s="717">
        <f>IF(B227=0,0,S227/B227)</f>
        <v>0.65050411522633744</v>
      </c>
      <c r="U227" s="984"/>
    </row>
    <row r="228" spans="1:21" ht="16" hidden="1" thickBot="1" x14ac:dyDescent="0.25">
      <c r="A228" s="999"/>
      <c r="B228" s="713">
        <f>+B225</f>
        <v>3908.1000000000004</v>
      </c>
      <c r="C228" s="991"/>
      <c r="D228" s="1000"/>
      <c r="E228" s="1001"/>
      <c r="F228" s="1002"/>
      <c r="G228" s="995"/>
      <c r="H228" s="996"/>
      <c r="I228" s="995"/>
      <c r="J228" s="712">
        <f>IF(C228=0,0,B228/C228)</f>
        <v>0</v>
      </c>
      <c r="K228" s="714">
        <f>IF($G228="x",'Labor Calc'!$E$43,'Labor Calc'!$E$31)</f>
        <v>58.06944444444445</v>
      </c>
      <c r="L228" s="714">
        <f>IF($G228="x",'Labor Calc'!$F$43,'Labor Calc'!$F$31)</f>
        <v>62.358333333333327</v>
      </c>
      <c r="M228" s="714">
        <f>IF($G228="x",'Labor Calc'!$G$43,'Labor Calc'!$G$31)</f>
        <v>65.217592592592595</v>
      </c>
      <c r="N228" s="714">
        <f>IF(H228=40,K228,0)+IF(H228=50,L228,0)+IF(H228=60,M228,0)</f>
        <v>0</v>
      </c>
      <c r="O228" s="712">
        <f>IF(E228=0,0,B228/E228)</f>
        <v>0</v>
      </c>
      <c r="P228" s="715">
        <f>+J228*N228</f>
        <v>0</v>
      </c>
      <c r="Q228" s="715">
        <f>(+O228*F228)/(1-'OH&amp;P'!$C$5)</f>
        <v>0</v>
      </c>
      <c r="R228" s="715">
        <f>IF(I228="x",(J228*'Admin Set Up'!$B$17)/(1-'OH&amp;P'!$C$5),0)</f>
        <v>0</v>
      </c>
      <c r="S228" s="716">
        <f>SUM(P228:R228)</f>
        <v>0</v>
      </c>
      <c r="T228" s="717">
        <f>IF(B228=0,0,S228/B228)</f>
        <v>0</v>
      </c>
      <c r="U228" s="984"/>
    </row>
    <row r="229" spans="1:21" ht="16" thickBot="1" x14ac:dyDescent="0.25">
      <c r="A229" s="1003"/>
      <c r="B229" s="1004" t="s">
        <v>226</v>
      </c>
      <c r="C229" s="719"/>
      <c r="D229" s="1005" t="s">
        <v>227</v>
      </c>
      <c r="E229" s="1006"/>
      <c r="F229" s="1006"/>
      <c r="G229" s="1092" t="s">
        <v>101</v>
      </c>
      <c r="H229" s="1092"/>
      <c r="I229" s="1092"/>
      <c r="J229" s="718">
        <f>SUM(J225:J228)</f>
        <v>65.135000000000005</v>
      </c>
      <c r="K229" s="719"/>
      <c r="L229" s="719"/>
      <c r="M229" s="719"/>
      <c r="N229" s="719"/>
      <c r="O229" s="720">
        <f t="shared" ref="O229:T229" si="75">SUM(O225:O228)</f>
        <v>45.594500000000004</v>
      </c>
      <c r="P229" s="721">
        <f t="shared" si="75"/>
        <v>3782.3532638888892</v>
      </c>
      <c r="Q229" s="721">
        <f t="shared" si="75"/>
        <v>2155.0839506172842</v>
      </c>
      <c r="R229" s="721">
        <f t="shared" si="75"/>
        <v>160.82716049382719</v>
      </c>
      <c r="S229" s="722">
        <f t="shared" si="75"/>
        <v>6098.2643750000007</v>
      </c>
      <c r="T229" s="723">
        <f t="shared" si="75"/>
        <v>1.5604166666666668</v>
      </c>
      <c r="U229" s="1007"/>
    </row>
    <row r="231" spans="1:21" x14ac:dyDescent="0.2">
      <c r="A231" s="982" t="str">
        <f>+'Take Off'!AX1</f>
        <v>Exp FP Pipe (Wall Mounted)</v>
      </c>
      <c r="B231" s="1093" t="str">
        <f>+A231</f>
        <v>Exp FP Pipe (Wall Mounted)</v>
      </c>
      <c r="C231" s="1093"/>
      <c r="D231" s="1093"/>
      <c r="E231" s="1093"/>
      <c r="F231" s="1093"/>
      <c r="G231" s="710">
        <f>+A232</f>
        <v>27250</v>
      </c>
      <c r="H231" s="711">
        <f>+A233</f>
        <v>0</v>
      </c>
      <c r="I231" s="983"/>
      <c r="J231" s="983"/>
      <c r="K231" s="983"/>
      <c r="L231" s="983"/>
      <c r="M231" s="983"/>
      <c r="N231" s="983"/>
      <c r="O231" s="983"/>
      <c r="P231" s="983"/>
      <c r="Q231" s="983"/>
      <c r="R231" s="984"/>
      <c r="S231" s="984"/>
      <c r="T231" s="984"/>
      <c r="U231" s="984"/>
    </row>
    <row r="232" spans="1:21" ht="53" thickBot="1" x14ac:dyDescent="0.25">
      <c r="A232" s="982">
        <f>+'Take Off'!AX2</f>
        <v>27250</v>
      </c>
      <c r="B232" s="985" t="s">
        <v>209</v>
      </c>
      <c r="C232" s="986" t="s">
        <v>210</v>
      </c>
      <c r="D232" s="985" t="s">
        <v>211</v>
      </c>
      <c r="E232" s="986" t="s">
        <v>212</v>
      </c>
      <c r="F232" s="986" t="s">
        <v>213</v>
      </c>
      <c r="G232" s="987" t="s">
        <v>214</v>
      </c>
      <c r="H232" s="987" t="s">
        <v>215</v>
      </c>
      <c r="I232" s="987" t="s">
        <v>216</v>
      </c>
      <c r="J232" s="988" t="s">
        <v>217</v>
      </c>
      <c r="K232" s="988" t="s">
        <v>218</v>
      </c>
      <c r="L232" s="988" t="s">
        <v>219</v>
      </c>
      <c r="M232" s="988" t="s">
        <v>220</v>
      </c>
      <c r="N232" s="988" t="s">
        <v>221</v>
      </c>
      <c r="O232" s="988" t="s">
        <v>222</v>
      </c>
      <c r="P232" s="988" t="s">
        <v>223</v>
      </c>
      <c r="Q232" s="988" t="s">
        <v>213</v>
      </c>
      <c r="R232" s="988" t="s">
        <v>224</v>
      </c>
      <c r="S232" s="988" t="s">
        <v>31</v>
      </c>
      <c r="T232" s="988" t="s">
        <v>225</v>
      </c>
      <c r="U232" s="989">
        <v>29</v>
      </c>
    </row>
    <row r="233" spans="1:21" ht="16" thickBot="1" x14ac:dyDescent="0.25">
      <c r="A233" s="982">
        <f>+'Take Off'!AX3</f>
        <v>0</v>
      </c>
      <c r="B233" s="712">
        <f>+A232</f>
        <v>27250</v>
      </c>
      <c r="C233" s="991">
        <v>150</v>
      </c>
      <c r="D233" s="1008" t="s">
        <v>1019</v>
      </c>
      <c r="E233" s="993">
        <v>800</v>
      </c>
      <c r="F233" s="994">
        <v>40</v>
      </c>
      <c r="G233" s="995"/>
      <c r="H233" s="996">
        <v>40</v>
      </c>
      <c r="I233" s="995" t="s">
        <v>1013</v>
      </c>
      <c r="J233" s="712">
        <f>IF(C233=0,0,B233/C233)</f>
        <v>181.66666666666666</v>
      </c>
      <c r="K233" s="714">
        <f>IF($G233="x",'Labor Calc'!$E$43,'Labor Calc'!$E$31)</f>
        <v>58.06944444444445</v>
      </c>
      <c r="L233" s="714">
        <f>IF($G233="x",'Labor Calc'!$F$43,'Labor Calc'!$F$31)</f>
        <v>62.358333333333327</v>
      </c>
      <c r="M233" s="714">
        <f>IF($G233="x",'Labor Calc'!$G$43,'Labor Calc'!$G$31)</f>
        <v>65.217592592592595</v>
      </c>
      <c r="N233" s="714">
        <f>IF(H233=40,K233,0)+IF(H233=50,L233,0)+IF(H233=60,M233,0)</f>
        <v>58.06944444444445</v>
      </c>
      <c r="O233" s="712">
        <f>IF(E233=0,0,B233/E233)</f>
        <v>34.0625</v>
      </c>
      <c r="P233" s="715">
        <f>+J233*N233</f>
        <v>10549.282407407409</v>
      </c>
      <c r="Q233" s="715">
        <f>(+O233*F233)/(1-'OH&amp;P'!$C$5)</f>
        <v>1682.0987654320986</v>
      </c>
      <c r="R233" s="715">
        <f>IF(I233="x",(J233*'Admin Set Up'!$B$17)/(1-'OH&amp;P'!$C$5),0)</f>
        <v>448.55967078189298</v>
      </c>
      <c r="S233" s="716">
        <f>SUM(P233:R233)</f>
        <v>12679.9408436214</v>
      </c>
      <c r="T233" s="717">
        <f>IF(B233=0,0,S233/B233)</f>
        <v>0.46531893004115227</v>
      </c>
      <c r="U233" s="984"/>
    </row>
    <row r="234" spans="1:21" ht="16" thickBot="1" x14ac:dyDescent="0.25">
      <c r="A234" s="982"/>
      <c r="B234" s="712">
        <f>+B233</f>
        <v>27250</v>
      </c>
      <c r="C234" s="991">
        <v>150</v>
      </c>
      <c r="D234" s="1008" t="s">
        <v>1020</v>
      </c>
      <c r="E234" s="998">
        <v>800</v>
      </c>
      <c r="F234" s="994">
        <v>40</v>
      </c>
      <c r="G234" s="995"/>
      <c r="H234" s="996">
        <v>40</v>
      </c>
      <c r="I234" s="995" t="s">
        <v>1013</v>
      </c>
      <c r="J234" s="712">
        <f>IF(C234=0,0,B234/C234)</f>
        <v>181.66666666666666</v>
      </c>
      <c r="K234" s="714">
        <f>IF($G234="x",'Labor Calc'!$E$43,'Labor Calc'!$E$31)</f>
        <v>58.06944444444445</v>
      </c>
      <c r="L234" s="714">
        <f>IF($G234="x",'Labor Calc'!$F$43,'Labor Calc'!$F$31)</f>
        <v>62.358333333333327</v>
      </c>
      <c r="M234" s="714">
        <f>IF($G234="x",'Labor Calc'!$G$43,'Labor Calc'!$G$31)</f>
        <v>65.217592592592595</v>
      </c>
      <c r="N234" s="714">
        <f>IF(H234=40,K234,0)+IF(H234=50,L234,0)+IF(H234=60,M234,0)</f>
        <v>58.06944444444445</v>
      </c>
      <c r="O234" s="712">
        <f>IF(E234=0,0,B234/E234)</f>
        <v>34.0625</v>
      </c>
      <c r="P234" s="715">
        <f>+J234*N234</f>
        <v>10549.282407407409</v>
      </c>
      <c r="Q234" s="715">
        <f>(+O234*F234)/(1-'OH&amp;P'!$C$5)</f>
        <v>1682.0987654320986</v>
      </c>
      <c r="R234" s="715">
        <f>IF(I234="x",(J234*'Admin Set Up'!$B$17)/(1-'OH&amp;P'!$C$5),0)</f>
        <v>448.55967078189298</v>
      </c>
      <c r="S234" s="716">
        <f>SUM(P234:R234)</f>
        <v>12679.9408436214</v>
      </c>
      <c r="T234" s="717">
        <f>IF(B234=0,0,S234/B234)</f>
        <v>0.46531893004115227</v>
      </c>
      <c r="U234" s="984"/>
    </row>
    <row r="235" spans="1:21" ht="16" thickBot="1" x14ac:dyDescent="0.25">
      <c r="A235" s="982"/>
      <c r="B235" s="712">
        <f>+B234</f>
        <v>27250</v>
      </c>
      <c r="C235" s="991">
        <v>150</v>
      </c>
      <c r="D235" s="1008" t="s">
        <v>1020</v>
      </c>
      <c r="E235" s="998">
        <v>800</v>
      </c>
      <c r="F235" s="994">
        <v>40</v>
      </c>
      <c r="G235" s="995"/>
      <c r="H235" s="996">
        <v>40</v>
      </c>
      <c r="I235" s="995" t="s">
        <v>1013</v>
      </c>
      <c r="J235" s="712">
        <f>IF(C235=0,0,B235/C235)</f>
        <v>181.66666666666666</v>
      </c>
      <c r="K235" s="714">
        <f>IF($G235="x",'Labor Calc'!$E$43,'Labor Calc'!$E$31)</f>
        <v>58.06944444444445</v>
      </c>
      <c r="L235" s="714">
        <f>IF($G235="x",'Labor Calc'!$F$43,'Labor Calc'!$F$31)</f>
        <v>62.358333333333327</v>
      </c>
      <c r="M235" s="714">
        <f>IF($G235="x",'Labor Calc'!$G$43,'Labor Calc'!$G$31)</f>
        <v>65.217592592592595</v>
      </c>
      <c r="N235" s="714">
        <f>IF(H235=40,K235,0)+IF(H235=50,L235,0)+IF(H235=60,M235,0)</f>
        <v>58.06944444444445</v>
      </c>
      <c r="O235" s="712">
        <f>IF(E235=0,0,B235/E235)</f>
        <v>34.0625</v>
      </c>
      <c r="P235" s="715">
        <f>+J235*N235</f>
        <v>10549.282407407409</v>
      </c>
      <c r="Q235" s="715">
        <f>(+O235*F235)/(1-'OH&amp;P'!$C$5)</f>
        <v>1682.0987654320986</v>
      </c>
      <c r="R235" s="715">
        <f>IF(I235="x",(J235*'Admin Set Up'!$B$17)/(1-'OH&amp;P'!$C$5),0)</f>
        <v>448.55967078189298</v>
      </c>
      <c r="S235" s="716">
        <f>SUM(P235:R235)</f>
        <v>12679.9408436214</v>
      </c>
      <c r="T235" s="717">
        <f>IF(B235=0,0,S235/B235)</f>
        <v>0.46531893004115227</v>
      </c>
      <c r="U235" s="984"/>
    </row>
    <row r="236" spans="1:21" ht="16" hidden="1" thickBot="1" x14ac:dyDescent="0.25">
      <c r="A236" s="999"/>
      <c r="B236" s="713">
        <f>+B233</f>
        <v>27250</v>
      </c>
      <c r="C236" s="991"/>
      <c r="D236" s="1000"/>
      <c r="E236" s="1001"/>
      <c r="F236" s="1002"/>
      <c r="G236" s="995"/>
      <c r="H236" s="996"/>
      <c r="I236" s="995"/>
      <c r="J236" s="712">
        <f>IF(C236=0,0,B236/C236)</f>
        <v>0</v>
      </c>
      <c r="K236" s="714">
        <f>IF($G236="x",'Labor Calc'!$E$43,'Labor Calc'!$E$31)</f>
        <v>58.06944444444445</v>
      </c>
      <c r="L236" s="714">
        <f>IF($G236="x",'Labor Calc'!$F$43,'Labor Calc'!$F$31)</f>
        <v>62.358333333333327</v>
      </c>
      <c r="M236" s="714">
        <f>IF($G236="x",'Labor Calc'!$G$43,'Labor Calc'!$G$31)</f>
        <v>65.217592592592595</v>
      </c>
      <c r="N236" s="714">
        <f>IF(H236=40,K236,0)+IF(H236=50,L236,0)+IF(H236=60,M236,0)</f>
        <v>0</v>
      </c>
      <c r="O236" s="712">
        <f>IF(E236=0,0,B236/E236)</f>
        <v>0</v>
      </c>
      <c r="P236" s="715">
        <f>+J236*N236</f>
        <v>0</v>
      </c>
      <c r="Q236" s="715">
        <f>(+O236*F236)/(1-'OH&amp;P'!$C$5)</f>
        <v>0</v>
      </c>
      <c r="R236" s="715">
        <f>IF(I236="x",(J236*'Admin Set Up'!$B$17)/(1-'OH&amp;P'!$C$5),0)</f>
        <v>0</v>
      </c>
      <c r="S236" s="716">
        <f>SUM(P236:R236)</f>
        <v>0</v>
      </c>
      <c r="T236" s="717">
        <f>IF(B236=0,0,S236/B236)</f>
        <v>0</v>
      </c>
      <c r="U236" s="984"/>
    </row>
    <row r="237" spans="1:21" ht="16" thickBot="1" x14ac:dyDescent="0.25">
      <c r="A237" s="1003"/>
      <c r="B237" s="1004" t="s">
        <v>226</v>
      </c>
      <c r="C237" s="719"/>
      <c r="D237" s="1005" t="s">
        <v>227</v>
      </c>
      <c r="E237" s="1006"/>
      <c r="F237" s="1006"/>
      <c r="G237" s="1092" t="s">
        <v>101</v>
      </c>
      <c r="H237" s="1092"/>
      <c r="I237" s="1092"/>
      <c r="J237" s="718">
        <f>SUM(J233:J236)</f>
        <v>545</v>
      </c>
      <c r="K237" s="719"/>
      <c r="L237" s="719"/>
      <c r="M237" s="719"/>
      <c r="N237" s="719"/>
      <c r="O237" s="720">
        <f t="shared" ref="O237:T237" si="76">SUM(O233:O236)</f>
        <v>102.1875</v>
      </c>
      <c r="P237" s="721">
        <f t="shared" si="76"/>
        <v>31647.847222222226</v>
      </c>
      <c r="Q237" s="721">
        <f t="shared" si="76"/>
        <v>5046.2962962962956</v>
      </c>
      <c r="R237" s="721">
        <f t="shared" si="76"/>
        <v>1345.679012345679</v>
      </c>
      <c r="S237" s="722">
        <f t="shared" si="76"/>
        <v>38039.8225308642</v>
      </c>
      <c r="T237" s="723">
        <f t="shared" si="76"/>
        <v>1.3959567901234569</v>
      </c>
      <c r="U237" s="1007"/>
    </row>
    <row r="239" spans="1:21" x14ac:dyDescent="0.2">
      <c r="A239" s="982" t="str">
        <f>+'Take Off'!AY1</f>
        <v>FP Heads</v>
      </c>
      <c r="B239" s="1093" t="str">
        <f>+A239</f>
        <v>FP Heads</v>
      </c>
      <c r="C239" s="1093"/>
      <c r="D239" s="1093"/>
      <c r="E239" s="1093"/>
      <c r="F239" s="1093"/>
      <c r="G239" s="710">
        <f>+A240</f>
        <v>1816.6666666666667</v>
      </c>
      <c r="H239" s="711">
        <f>+A241</f>
        <v>0</v>
      </c>
      <c r="I239" s="983"/>
      <c r="J239" s="983"/>
      <c r="K239" s="983"/>
      <c r="L239" s="983"/>
      <c r="M239" s="983"/>
      <c r="N239" s="983"/>
      <c r="O239" s="983"/>
      <c r="P239" s="983"/>
      <c r="Q239" s="983"/>
      <c r="R239" s="984"/>
      <c r="S239" s="984"/>
      <c r="T239" s="984"/>
      <c r="U239" s="984"/>
    </row>
    <row r="240" spans="1:21" ht="53" thickBot="1" x14ac:dyDescent="0.25">
      <c r="A240" s="982">
        <f>+'Take Off'!AY2</f>
        <v>1816.6666666666667</v>
      </c>
      <c r="B240" s="985" t="s">
        <v>209</v>
      </c>
      <c r="C240" s="986" t="s">
        <v>210</v>
      </c>
      <c r="D240" s="985" t="s">
        <v>211</v>
      </c>
      <c r="E240" s="986" t="s">
        <v>212</v>
      </c>
      <c r="F240" s="986" t="s">
        <v>213</v>
      </c>
      <c r="G240" s="987" t="s">
        <v>214</v>
      </c>
      <c r="H240" s="987" t="s">
        <v>215</v>
      </c>
      <c r="I240" s="987" t="s">
        <v>216</v>
      </c>
      <c r="J240" s="988" t="s">
        <v>217</v>
      </c>
      <c r="K240" s="988" t="s">
        <v>218</v>
      </c>
      <c r="L240" s="988" t="s">
        <v>219</v>
      </c>
      <c r="M240" s="988" t="s">
        <v>220</v>
      </c>
      <c r="N240" s="988" t="s">
        <v>221</v>
      </c>
      <c r="O240" s="988" t="s">
        <v>222</v>
      </c>
      <c r="P240" s="988" t="s">
        <v>223</v>
      </c>
      <c r="Q240" s="988" t="s">
        <v>213</v>
      </c>
      <c r="R240" s="988" t="s">
        <v>224</v>
      </c>
      <c r="S240" s="988" t="s">
        <v>31</v>
      </c>
      <c r="T240" s="988" t="s">
        <v>225</v>
      </c>
      <c r="U240" s="989">
        <v>30</v>
      </c>
    </row>
    <row r="241" spans="1:21" ht="16" thickBot="1" x14ac:dyDescent="0.25">
      <c r="A241" s="982">
        <f>+'Take Off'!AY3</f>
        <v>0</v>
      </c>
      <c r="B241" s="712">
        <f>+A240</f>
        <v>1816.6666666666667</v>
      </c>
      <c r="C241" s="991">
        <v>12</v>
      </c>
      <c r="D241" s="1008" t="s">
        <v>1018</v>
      </c>
      <c r="E241" s="993">
        <v>50</v>
      </c>
      <c r="F241" s="994">
        <v>10</v>
      </c>
      <c r="G241" s="995"/>
      <c r="H241" s="996">
        <v>40</v>
      </c>
      <c r="I241" s="995" t="s">
        <v>1013</v>
      </c>
      <c r="J241" s="712">
        <f>IF(C241=0,0,B241/C241)</f>
        <v>151.38888888888889</v>
      </c>
      <c r="K241" s="714">
        <f>IF($G241="x",'Labor Calc'!$E$43,'Labor Calc'!$E$31)</f>
        <v>58.06944444444445</v>
      </c>
      <c r="L241" s="714">
        <f>IF($G241="x",'Labor Calc'!$F$43,'Labor Calc'!$F$31)</f>
        <v>62.358333333333327</v>
      </c>
      <c r="M241" s="714">
        <f>IF($G241="x",'Labor Calc'!$G$43,'Labor Calc'!$G$31)</f>
        <v>65.217592592592595</v>
      </c>
      <c r="N241" s="714">
        <f>IF(H241=40,K241,0)+IF(H241=50,L241,0)+IF(H241=60,M241,0)</f>
        <v>58.06944444444445</v>
      </c>
      <c r="O241" s="712">
        <f>IF(E241=0,0,B241/E241)</f>
        <v>36.333333333333336</v>
      </c>
      <c r="P241" s="715">
        <f>+J241*N241</f>
        <v>8791.0686728395067</v>
      </c>
      <c r="Q241" s="715">
        <f>(+O241*F241)/(1-'OH&amp;P'!$C$5)</f>
        <v>448.55967078189303</v>
      </c>
      <c r="R241" s="715">
        <f>IF(I241="x",(J241*'Admin Set Up'!$B$17)/(1-'OH&amp;P'!$C$5),0)</f>
        <v>373.79972565157749</v>
      </c>
      <c r="S241" s="716">
        <f>SUM(P241:R241)</f>
        <v>9613.4280692729772</v>
      </c>
      <c r="T241" s="717">
        <f>IF(B241=0,0,S241/B241)</f>
        <v>5.2917952674897117</v>
      </c>
      <c r="U241" s="984"/>
    </row>
    <row r="242" spans="1:21" ht="16" thickBot="1" x14ac:dyDescent="0.25">
      <c r="A242" s="982"/>
      <c r="B242" s="712">
        <f>+B241</f>
        <v>1816.6666666666667</v>
      </c>
      <c r="C242" s="991">
        <v>24</v>
      </c>
      <c r="D242" s="1008" t="s">
        <v>1075</v>
      </c>
      <c r="E242" s="998"/>
      <c r="F242" s="994"/>
      <c r="G242" s="995"/>
      <c r="H242" s="996">
        <v>40</v>
      </c>
      <c r="I242" s="995" t="s">
        <v>1013</v>
      </c>
      <c r="J242" s="712">
        <f>IF(C242=0,0,B242/C242)</f>
        <v>75.694444444444443</v>
      </c>
      <c r="K242" s="714">
        <f>IF($G242="x",'Labor Calc'!$E$43,'Labor Calc'!$E$31)</f>
        <v>58.06944444444445</v>
      </c>
      <c r="L242" s="714">
        <f>IF($G242="x",'Labor Calc'!$F$43,'Labor Calc'!$F$31)</f>
        <v>62.358333333333327</v>
      </c>
      <c r="M242" s="714">
        <f>IF($G242="x",'Labor Calc'!$G$43,'Labor Calc'!$G$31)</f>
        <v>65.217592592592595</v>
      </c>
      <c r="N242" s="714">
        <f>IF(H242=40,K242,0)+IF(H242=50,L242,0)+IF(H242=60,M242,0)</f>
        <v>58.06944444444445</v>
      </c>
      <c r="O242" s="712">
        <f>IF(E242=0,0,B242/E242)</f>
        <v>0</v>
      </c>
      <c r="P242" s="715">
        <f>+J242*N242</f>
        <v>4395.5343364197533</v>
      </c>
      <c r="Q242" s="715">
        <f>(+O242*F242)/(1-'OH&amp;P'!$C$5)</f>
        <v>0</v>
      </c>
      <c r="R242" s="715">
        <f>IF(I242="x",(J242*'Admin Set Up'!$B$17)/(1-'OH&amp;P'!$C$5),0)</f>
        <v>186.89986282578874</v>
      </c>
      <c r="S242" s="716">
        <f>SUM(P242:R242)</f>
        <v>4582.434199245542</v>
      </c>
      <c r="T242" s="717">
        <f>IF(B242=0,0,S242/B242)</f>
        <v>2.522440843621399</v>
      </c>
      <c r="U242" s="984"/>
    </row>
    <row r="243" spans="1:21" ht="16" hidden="1" thickBot="1" x14ac:dyDescent="0.25">
      <c r="A243" s="999"/>
      <c r="B243" s="713">
        <f>+B241</f>
        <v>1816.6666666666667</v>
      </c>
      <c r="C243" s="991"/>
      <c r="D243" s="1000"/>
      <c r="E243" s="1001"/>
      <c r="F243" s="1002"/>
      <c r="G243" s="995"/>
      <c r="H243" s="996"/>
      <c r="I243" s="995"/>
      <c r="J243" s="712">
        <f>IF(C243=0,0,B243/C243)</f>
        <v>0</v>
      </c>
      <c r="K243" s="714">
        <f>IF($G243="x",'Labor Calc'!$E$43,'Labor Calc'!$E$31)</f>
        <v>58.06944444444445</v>
      </c>
      <c r="L243" s="714">
        <f>IF($G243="x",'Labor Calc'!$F$43,'Labor Calc'!$F$31)</f>
        <v>62.358333333333327</v>
      </c>
      <c r="M243" s="714">
        <f>IF($G243="x",'Labor Calc'!$G$43,'Labor Calc'!$G$31)</f>
        <v>65.217592592592595</v>
      </c>
      <c r="N243" s="714">
        <f>IF(H243=40,K243,0)+IF(H243=50,L243,0)+IF(H243=60,M243,0)</f>
        <v>0</v>
      </c>
      <c r="O243" s="712">
        <f>IF(E243=0,0,B243/E243)</f>
        <v>0</v>
      </c>
      <c r="P243" s="715">
        <f>+J243*N243</f>
        <v>0</v>
      </c>
      <c r="Q243" s="715">
        <f>(+O243*F243)/(1-'OH&amp;P'!$C$5)</f>
        <v>0</v>
      </c>
      <c r="R243" s="715">
        <f>IF(I243="x",(J243*'Admin Set Up'!$B$17)/(1-'OH&amp;P'!$C$5),0)</f>
        <v>0</v>
      </c>
      <c r="S243" s="716">
        <f>SUM(P243:R243)</f>
        <v>0</v>
      </c>
      <c r="T243" s="717">
        <f>IF(B243=0,0,S243/B243)</f>
        <v>0</v>
      </c>
      <c r="U243" s="984"/>
    </row>
    <row r="244" spans="1:21" ht="16" thickBot="1" x14ac:dyDescent="0.25">
      <c r="A244" s="1003"/>
      <c r="B244" s="1004" t="s">
        <v>226</v>
      </c>
      <c r="C244" s="719"/>
      <c r="D244" s="1005" t="s">
        <v>227</v>
      </c>
      <c r="E244" s="1006"/>
      <c r="F244" s="1006"/>
      <c r="G244" s="1092" t="s">
        <v>101</v>
      </c>
      <c r="H244" s="1092"/>
      <c r="I244" s="1092"/>
      <c r="J244" s="718">
        <f>SUM(J241:J243)</f>
        <v>227.08333333333331</v>
      </c>
      <c r="K244" s="719"/>
      <c r="L244" s="719"/>
      <c r="M244" s="719"/>
      <c r="N244" s="719"/>
      <c r="O244" s="720">
        <f t="shared" ref="O244:T244" si="77">SUM(O241:O243)</f>
        <v>36.333333333333336</v>
      </c>
      <c r="P244" s="721">
        <f t="shared" si="77"/>
        <v>13186.603009259259</v>
      </c>
      <c r="Q244" s="721">
        <f t="shared" si="77"/>
        <v>448.55967078189303</v>
      </c>
      <c r="R244" s="721">
        <f t="shared" si="77"/>
        <v>560.69958847736621</v>
      </c>
      <c r="S244" s="722">
        <f t="shared" si="77"/>
        <v>14195.862268518518</v>
      </c>
      <c r="T244" s="723">
        <f t="shared" si="77"/>
        <v>7.8142361111111107</v>
      </c>
      <c r="U244" s="1007"/>
    </row>
    <row r="246" spans="1:21" x14ac:dyDescent="0.2">
      <c r="A246" s="982" t="str">
        <f>+'Take Off'!AZ1</f>
        <v>Wet Land Bridge Steel</v>
      </c>
      <c r="B246" s="1093" t="str">
        <f>+A246</f>
        <v>Wet Land Bridge Steel</v>
      </c>
      <c r="C246" s="1093"/>
      <c r="D246" s="1093"/>
      <c r="E246" s="1093"/>
      <c r="F246" s="1093"/>
      <c r="G246" s="710">
        <f>+A247</f>
        <v>15872</v>
      </c>
      <c r="H246" s="711" t="str">
        <f>+A248</f>
        <v>SF</v>
      </c>
      <c r="I246" s="983"/>
      <c r="J246" s="983"/>
      <c r="K246" s="983"/>
      <c r="L246" s="983"/>
      <c r="M246" s="983"/>
      <c r="N246" s="983"/>
      <c r="O246" s="983"/>
      <c r="P246" s="983"/>
      <c r="Q246" s="983"/>
      <c r="R246" s="984"/>
      <c r="S246" s="984"/>
      <c r="T246" s="984"/>
      <c r="U246" s="984"/>
    </row>
    <row r="247" spans="1:21" ht="53" thickBot="1" x14ac:dyDescent="0.25">
      <c r="A247" s="982">
        <f>+'Take Off'!AZ2</f>
        <v>15872</v>
      </c>
      <c r="B247" s="985" t="s">
        <v>209</v>
      </c>
      <c r="C247" s="986" t="s">
        <v>210</v>
      </c>
      <c r="D247" s="985" t="s">
        <v>211</v>
      </c>
      <c r="E247" s="986" t="s">
        <v>212</v>
      </c>
      <c r="F247" s="986" t="s">
        <v>213</v>
      </c>
      <c r="G247" s="987" t="s">
        <v>214</v>
      </c>
      <c r="H247" s="987" t="s">
        <v>215</v>
      </c>
      <c r="I247" s="987" t="s">
        <v>216</v>
      </c>
      <c r="J247" s="988" t="s">
        <v>217</v>
      </c>
      <c r="K247" s="988" t="s">
        <v>218</v>
      </c>
      <c r="L247" s="988" t="s">
        <v>219</v>
      </c>
      <c r="M247" s="988" t="s">
        <v>220</v>
      </c>
      <c r="N247" s="988" t="s">
        <v>221</v>
      </c>
      <c r="O247" s="988" t="s">
        <v>222</v>
      </c>
      <c r="P247" s="988" t="s">
        <v>223</v>
      </c>
      <c r="Q247" s="988" t="s">
        <v>213</v>
      </c>
      <c r="R247" s="988" t="s">
        <v>224</v>
      </c>
      <c r="S247" s="988" t="s">
        <v>31</v>
      </c>
      <c r="T247" s="988" t="s">
        <v>225</v>
      </c>
      <c r="U247" s="989">
        <v>31</v>
      </c>
    </row>
    <row r="248" spans="1:21" ht="16" thickBot="1" x14ac:dyDescent="0.25">
      <c r="A248" s="982" t="str">
        <f>+'Take Off'!AZ3</f>
        <v>SF</v>
      </c>
      <c r="B248" s="712">
        <f>+A247</f>
        <v>15872</v>
      </c>
      <c r="C248" s="991">
        <v>250</v>
      </c>
      <c r="D248" s="1008" t="s">
        <v>1085</v>
      </c>
      <c r="E248" s="993">
        <v>200</v>
      </c>
      <c r="F248" s="994">
        <v>40</v>
      </c>
      <c r="G248" s="995"/>
      <c r="H248" s="996">
        <v>40</v>
      </c>
      <c r="I248" s="995" t="s">
        <v>1013</v>
      </c>
      <c r="J248" s="712">
        <f>IF(C248=0,0,B248/C248)</f>
        <v>63.488</v>
      </c>
      <c r="K248" s="714">
        <f>IF($G248="x",'Labor Calc'!$E$43,'Labor Calc'!$E$31)</f>
        <v>58.06944444444445</v>
      </c>
      <c r="L248" s="714">
        <f>IF($G248="x",'Labor Calc'!$F$43,'Labor Calc'!$F$31)</f>
        <v>62.358333333333327</v>
      </c>
      <c r="M248" s="714">
        <f>IF($G248="x",'Labor Calc'!$G$43,'Labor Calc'!$G$31)</f>
        <v>65.217592592592595</v>
      </c>
      <c r="N248" s="714">
        <f t="shared" ref="N248:N253" si="78">IF(H248=40,K248,0)+IF(H248=50,L248,0)+IF(H248=60,M248,0)</f>
        <v>58.06944444444445</v>
      </c>
      <c r="O248" s="712">
        <f t="shared" ref="O248:O253" si="79">IF(E248=0,0,B248/E248)</f>
        <v>79.36</v>
      </c>
      <c r="P248" s="715">
        <f t="shared" ref="P248:P253" si="80">+J248*N248</f>
        <v>3686.7128888888892</v>
      </c>
      <c r="Q248" s="715">
        <f>(+O248*F248)/(1-'OH&amp;P'!$C$5)</f>
        <v>3919.012345679012</v>
      </c>
      <c r="R248" s="715">
        <f>IF(I248="x",(J248*'Admin Set Up'!$B$17)/(1-'OH&amp;P'!$C$5),0)</f>
        <v>156.76049382716047</v>
      </c>
      <c r="S248" s="716">
        <f t="shared" ref="S248:S253" si="81">SUM(P248:R248)</f>
        <v>7762.4857283950614</v>
      </c>
      <c r="T248" s="717">
        <f t="shared" ref="T248:T253" si="82">IF(B248=0,0,S248/B248)</f>
        <v>0.48906790123456789</v>
      </c>
      <c r="U248" s="984"/>
    </row>
    <row r="249" spans="1:21" ht="16" thickBot="1" x14ac:dyDescent="0.25">
      <c r="A249" s="982"/>
      <c r="B249" s="712">
        <f>+B248</f>
        <v>15872</v>
      </c>
      <c r="C249" s="991">
        <v>250</v>
      </c>
      <c r="D249" s="1008" t="s">
        <v>1086</v>
      </c>
      <c r="E249" s="998">
        <v>200</v>
      </c>
      <c r="F249" s="994">
        <v>40</v>
      </c>
      <c r="G249" s="995"/>
      <c r="H249" s="996">
        <v>40</v>
      </c>
      <c r="I249" s="995" t="s">
        <v>1013</v>
      </c>
      <c r="J249" s="712">
        <f>IF(C249=0,0,B249/C249)</f>
        <v>63.488</v>
      </c>
      <c r="K249" s="714">
        <f>IF($G249="x",'Labor Calc'!$E$43,'Labor Calc'!$E$31)</f>
        <v>58.06944444444445</v>
      </c>
      <c r="L249" s="714">
        <f>IF($G249="x",'Labor Calc'!$F$43,'Labor Calc'!$F$31)</f>
        <v>62.358333333333327</v>
      </c>
      <c r="M249" s="714">
        <f>IF($G249="x",'Labor Calc'!$G$43,'Labor Calc'!$G$31)</f>
        <v>65.217592592592595</v>
      </c>
      <c r="N249" s="714">
        <f t="shared" si="78"/>
        <v>58.06944444444445</v>
      </c>
      <c r="O249" s="712">
        <f t="shared" si="79"/>
        <v>79.36</v>
      </c>
      <c r="P249" s="715">
        <f t="shared" si="80"/>
        <v>3686.7128888888892</v>
      </c>
      <c r="Q249" s="715">
        <f>(+O249*F249)/(1-'OH&amp;P'!$C$5)</f>
        <v>3919.012345679012</v>
      </c>
      <c r="R249" s="715">
        <f>IF(I249="x",(J249*'Admin Set Up'!$B$17)/(1-'OH&amp;P'!$C$5),0)</f>
        <v>156.76049382716047</v>
      </c>
      <c r="S249" s="716">
        <f t="shared" si="81"/>
        <v>7762.4857283950614</v>
      </c>
      <c r="T249" s="717">
        <f t="shared" si="82"/>
        <v>0.48906790123456789</v>
      </c>
      <c r="U249" s="984"/>
    </row>
    <row r="250" spans="1:21" ht="16" thickBot="1" x14ac:dyDescent="0.25">
      <c r="A250" s="982"/>
      <c r="B250" s="712">
        <f>+B249</f>
        <v>15872</v>
      </c>
      <c r="C250" s="991">
        <v>150</v>
      </c>
      <c r="D250" s="1008" t="s">
        <v>1087</v>
      </c>
      <c r="E250" s="998">
        <v>200</v>
      </c>
      <c r="F250" s="994">
        <v>60</v>
      </c>
      <c r="G250" s="995"/>
      <c r="H250" s="996">
        <v>40</v>
      </c>
      <c r="I250" s="995" t="s">
        <v>1013</v>
      </c>
      <c r="J250" s="712">
        <f>IF(C250=0,0,B250/C250)</f>
        <v>105.81333333333333</v>
      </c>
      <c r="K250" s="714">
        <f>IF($G250="x",'Labor Calc'!$E$43,'Labor Calc'!$E$31)</f>
        <v>58.06944444444445</v>
      </c>
      <c r="L250" s="714">
        <f>IF($G250="x",'Labor Calc'!$F$43,'Labor Calc'!$F$31)</f>
        <v>62.358333333333327</v>
      </c>
      <c r="M250" s="714">
        <f>IF($G250="x",'Labor Calc'!$G$43,'Labor Calc'!$G$31)</f>
        <v>65.217592592592595</v>
      </c>
      <c r="N250" s="714">
        <f t="shared" si="78"/>
        <v>58.06944444444445</v>
      </c>
      <c r="O250" s="712">
        <f t="shared" si="79"/>
        <v>79.36</v>
      </c>
      <c r="P250" s="715">
        <f t="shared" si="80"/>
        <v>6144.5214814814817</v>
      </c>
      <c r="Q250" s="715">
        <f>(+O250*F250)/(1-'OH&amp;P'!$C$5)</f>
        <v>5878.5185185185182</v>
      </c>
      <c r="R250" s="715">
        <f>IF(I250="x",(J250*'Admin Set Up'!$B$17)/(1-'OH&amp;P'!$C$5),0)</f>
        <v>261.26748971193416</v>
      </c>
      <c r="S250" s="716">
        <f t="shared" si="81"/>
        <v>12284.307489711935</v>
      </c>
      <c r="T250" s="717">
        <f t="shared" si="82"/>
        <v>0.77396090534979434</v>
      </c>
      <c r="U250" s="984"/>
    </row>
    <row r="251" spans="1:21" ht="16" thickBot="1" x14ac:dyDescent="0.25">
      <c r="A251" s="982"/>
      <c r="B251" s="712">
        <f>+B250</f>
        <v>15872</v>
      </c>
      <c r="C251" s="991">
        <v>150</v>
      </c>
      <c r="D251" s="1008" t="s">
        <v>1087</v>
      </c>
      <c r="E251" s="998">
        <v>200</v>
      </c>
      <c r="F251" s="994">
        <v>60</v>
      </c>
      <c r="G251" s="995"/>
      <c r="H251" s="996">
        <v>40</v>
      </c>
      <c r="I251" s="995" t="s">
        <v>1013</v>
      </c>
      <c r="J251" s="712">
        <f>IF(C251=0,0,B251/C251)</f>
        <v>105.81333333333333</v>
      </c>
      <c r="K251" s="714">
        <f>IF($G251="x",'Labor Calc'!$E$43,'Labor Calc'!$E$31)</f>
        <v>58.06944444444445</v>
      </c>
      <c r="L251" s="714">
        <f>IF($G251="x",'Labor Calc'!$F$43,'Labor Calc'!$F$31)</f>
        <v>62.358333333333327</v>
      </c>
      <c r="M251" s="714">
        <f>IF($G251="x",'Labor Calc'!$G$43,'Labor Calc'!$G$31)</f>
        <v>65.217592592592595</v>
      </c>
      <c r="N251" s="714">
        <f t="shared" si="78"/>
        <v>58.06944444444445</v>
      </c>
      <c r="O251" s="712">
        <f t="shared" si="79"/>
        <v>79.36</v>
      </c>
      <c r="P251" s="715">
        <f t="shared" si="80"/>
        <v>6144.5214814814817</v>
      </c>
      <c r="Q251" s="715">
        <f>(+O251*F251)/(1-'OH&amp;P'!$C$5)</f>
        <v>5878.5185185185182</v>
      </c>
      <c r="R251" s="715">
        <f>IF(I251="x",(J251*'Admin Set Up'!$B$17)/(1-'OH&amp;P'!$C$5),0)</f>
        <v>261.26748971193416</v>
      </c>
      <c r="S251" s="716">
        <f t="shared" si="81"/>
        <v>12284.307489711935</v>
      </c>
      <c r="T251" s="717">
        <f t="shared" si="82"/>
        <v>0.77396090534979434</v>
      </c>
      <c r="U251" s="984"/>
    </row>
    <row r="252" spans="1:21" ht="16" thickBot="1" x14ac:dyDescent="0.25">
      <c r="A252" s="982"/>
      <c r="B252" s="712">
        <f>+B251</f>
        <v>15872</v>
      </c>
      <c r="C252" s="991">
        <v>200</v>
      </c>
      <c r="D252" s="1008" t="s">
        <v>1088</v>
      </c>
      <c r="E252" s="998">
        <v>500</v>
      </c>
      <c r="F252" s="994">
        <v>50</v>
      </c>
      <c r="G252" s="995"/>
      <c r="H252" s="996">
        <v>40</v>
      </c>
      <c r="I252" s="995" t="s">
        <v>1013</v>
      </c>
      <c r="J252" s="712">
        <f>IF(C252=0,0,B252/C252)</f>
        <v>79.36</v>
      </c>
      <c r="K252" s="714">
        <f>IF($G252="x",'Labor Calc'!$E$43,'Labor Calc'!$E$31)</f>
        <v>58.06944444444445</v>
      </c>
      <c r="L252" s="714">
        <f>IF($G252="x",'Labor Calc'!$F$43,'Labor Calc'!$F$31)</f>
        <v>62.358333333333327</v>
      </c>
      <c r="M252" s="714">
        <f>IF($G252="x",'Labor Calc'!$G$43,'Labor Calc'!$G$31)</f>
        <v>65.217592592592595</v>
      </c>
      <c r="N252" s="714">
        <f t="shared" si="78"/>
        <v>58.06944444444445</v>
      </c>
      <c r="O252" s="712">
        <f t="shared" si="79"/>
        <v>31.744</v>
      </c>
      <c r="P252" s="715">
        <f t="shared" si="80"/>
        <v>4608.391111111112</v>
      </c>
      <c r="Q252" s="715">
        <f>(+O252*F252)/(1-'OH&amp;P'!$C$5)</f>
        <v>1959.506172839506</v>
      </c>
      <c r="R252" s="715">
        <f>IF(I252="x",(J252*'Admin Set Up'!$B$17)/(1-'OH&amp;P'!$C$5),0)</f>
        <v>195.95061728395061</v>
      </c>
      <c r="S252" s="716">
        <f t="shared" si="81"/>
        <v>6763.8479012345688</v>
      </c>
      <c r="T252" s="717">
        <f t="shared" si="82"/>
        <v>0.42614969135802477</v>
      </c>
      <c r="U252" s="984"/>
    </row>
    <row r="253" spans="1:21" ht="16" hidden="1" thickBot="1" x14ac:dyDescent="0.25">
      <c r="A253" s="999"/>
      <c r="B253" s="712">
        <f>+B248</f>
        <v>15872</v>
      </c>
      <c r="C253" s="991"/>
      <c r="D253" s="1008"/>
      <c r="E253" s="998"/>
      <c r="F253" s="994"/>
      <c r="G253" s="995"/>
      <c r="H253" s="996"/>
      <c r="I253" s="995"/>
      <c r="J253" s="712"/>
      <c r="K253" s="714">
        <f>IF($G253="x",'Labor Calc'!$E$43,'Labor Calc'!$E$31)</f>
        <v>58.06944444444445</v>
      </c>
      <c r="L253" s="714">
        <f>IF($G253="x",'Labor Calc'!$F$43,'Labor Calc'!$F$31)</f>
        <v>62.358333333333327</v>
      </c>
      <c r="M253" s="714">
        <f>IF($G253="x",'Labor Calc'!$G$43,'Labor Calc'!$G$31)</f>
        <v>65.217592592592595</v>
      </c>
      <c r="N253" s="714">
        <f t="shared" si="78"/>
        <v>0</v>
      </c>
      <c r="O253" s="712">
        <f t="shared" si="79"/>
        <v>0</v>
      </c>
      <c r="P253" s="715">
        <f t="shared" si="80"/>
        <v>0</v>
      </c>
      <c r="Q253" s="715">
        <f>(+O253*F253)/(1-'OH&amp;P'!$C$5)</f>
        <v>0</v>
      </c>
      <c r="R253" s="715">
        <f>IF(I253="x",(J253*'Admin Set Up'!$B$17)/(1-'OH&amp;P'!$C$5),0)</f>
        <v>0</v>
      </c>
      <c r="S253" s="716">
        <f t="shared" si="81"/>
        <v>0</v>
      </c>
      <c r="T253" s="717">
        <f t="shared" si="82"/>
        <v>0</v>
      </c>
      <c r="U253" s="984"/>
    </row>
    <row r="254" spans="1:21" ht="16" thickBot="1" x14ac:dyDescent="0.25">
      <c r="A254" s="1003"/>
      <c r="B254" s="1004" t="s">
        <v>226</v>
      </c>
      <c r="C254" s="719"/>
      <c r="D254" s="1005" t="s">
        <v>227</v>
      </c>
      <c r="E254" s="1006"/>
      <c r="F254" s="1006"/>
      <c r="G254" s="1092" t="s">
        <v>101</v>
      </c>
      <c r="H254" s="1092"/>
      <c r="I254" s="1092"/>
      <c r="J254" s="718">
        <f>SUM(J248:J253)</f>
        <v>417.96266666666668</v>
      </c>
      <c r="K254" s="719"/>
      <c r="L254" s="719"/>
      <c r="M254" s="719"/>
      <c r="N254" s="719"/>
      <c r="O254" s="720">
        <f t="shared" ref="O254:T254" si="83">SUM(O248:O253)</f>
        <v>349.18399999999997</v>
      </c>
      <c r="P254" s="721">
        <f t="shared" si="83"/>
        <v>24270.859851851856</v>
      </c>
      <c r="Q254" s="721">
        <f t="shared" si="83"/>
        <v>21554.567901234564</v>
      </c>
      <c r="R254" s="721">
        <f t="shared" si="83"/>
        <v>1032.0065843621398</v>
      </c>
      <c r="S254" s="722">
        <f t="shared" si="83"/>
        <v>46857.434337448562</v>
      </c>
      <c r="T254" s="723">
        <f t="shared" si="83"/>
        <v>2.9522073045267492</v>
      </c>
      <c r="U254" s="1007"/>
    </row>
    <row r="256" spans="1:21" x14ac:dyDescent="0.2">
      <c r="A256" s="982" t="str">
        <f>+'Take Off'!BA1</f>
        <v xml:space="preserve">Misc Exterior Steel </v>
      </c>
      <c r="B256" s="1093" t="str">
        <f>+A256</f>
        <v xml:space="preserve">Misc Exterior Steel </v>
      </c>
      <c r="C256" s="1093"/>
      <c r="D256" s="1093"/>
      <c r="E256" s="1093"/>
      <c r="F256" s="1093"/>
      <c r="G256" s="710">
        <f>+A257</f>
        <v>1049.4000000000001</v>
      </c>
      <c r="H256" s="711" t="str">
        <f>+A258</f>
        <v>SF</v>
      </c>
      <c r="I256" s="983"/>
      <c r="J256" s="983"/>
      <c r="K256" s="983"/>
      <c r="L256" s="983"/>
      <c r="M256" s="983"/>
      <c r="N256" s="983"/>
      <c r="O256" s="983"/>
      <c r="P256" s="983"/>
      <c r="Q256" s="983"/>
      <c r="R256" s="984"/>
      <c r="S256" s="984"/>
      <c r="T256" s="984"/>
      <c r="U256" s="984"/>
    </row>
    <row r="257" spans="1:21" ht="53" thickBot="1" x14ac:dyDescent="0.25">
      <c r="A257" s="982">
        <f>+'Take Off'!BA2</f>
        <v>1049.4000000000001</v>
      </c>
      <c r="B257" s="985" t="s">
        <v>209</v>
      </c>
      <c r="C257" s="986" t="s">
        <v>210</v>
      </c>
      <c r="D257" s="985" t="s">
        <v>211</v>
      </c>
      <c r="E257" s="986" t="s">
        <v>212</v>
      </c>
      <c r="F257" s="986" t="s">
        <v>213</v>
      </c>
      <c r="G257" s="987" t="s">
        <v>214</v>
      </c>
      <c r="H257" s="987" t="s">
        <v>215</v>
      </c>
      <c r="I257" s="987" t="s">
        <v>216</v>
      </c>
      <c r="J257" s="988" t="s">
        <v>217</v>
      </c>
      <c r="K257" s="988" t="s">
        <v>218</v>
      </c>
      <c r="L257" s="988" t="s">
        <v>219</v>
      </c>
      <c r="M257" s="988" t="s">
        <v>220</v>
      </c>
      <c r="N257" s="988" t="s">
        <v>221</v>
      </c>
      <c r="O257" s="988" t="s">
        <v>222</v>
      </c>
      <c r="P257" s="988" t="s">
        <v>223</v>
      </c>
      <c r="Q257" s="988" t="s">
        <v>213</v>
      </c>
      <c r="R257" s="988" t="s">
        <v>224</v>
      </c>
      <c r="S257" s="988" t="s">
        <v>31</v>
      </c>
      <c r="T257" s="988" t="s">
        <v>225</v>
      </c>
      <c r="U257" s="989">
        <v>32</v>
      </c>
    </row>
    <row r="258" spans="1:21" ht="16" thickBot="1" x14ac:dyDescent="0.25">
      <c r="A258" s="982" t="str">
        <f>+'Take Off'!BA3</f>
        <v>SF</v>
      </c>
      <c r="B258" s="712">
        <f>+A257</f>
        <v>1049.4000000000001</v>
      </c>
      <c r="C258" s="991">
        <v>200</v>
      </c>
      <c r="D258" s="1008" t="s">
        <v>1085</v>
      </c>
      <c r="E258" s="993">
        <v>200</v>
      </c>
      <c r="F258" s="994">
        <v>40</v>
      </c>
      <c r="G258" s="995"/>
      <c r="H258" s="996">
        <v>40</v>
      </c>
      <c r="I258" s="995" t="s">
        <v>1013</v>
      </c>
      <c r="J258" s="712">
        <f>IF(C258=0,0,B258/C258)</f>
        <v>5.2470000000000008</v>
      </c>
      <c r="K258" s="714">
        <f>IF($G258="x",'Labor Calc'!$E$43,'Labor Calc'!$E$31)</f>
        <v>58.06944444444445</v>
      </c>
      <c r="L258" s="714">
        <f>IF($G258="x",'Labor Calc'!$F$43,'Labor Calc'!$F$31)</f>
        <v>62.358333333333327</v>
      </c>
      <c r="M258" s="714">
        <f>IF($G258="x",'Labor Calc'!$G$43,'Labor Calc'!$G$31)</f>
        <v>65.217592592592595</v>
      </c>
      <c r="N258" s="714">
        <f>IF(H258=40,K258,0)+IF(H258=50,L258,0)+IF(H258=60,M258,0)</f>
        <v>58.06944444444445</v>
      </c>
      <c r="O258" s="712">
        <f>IF(E258=0,0,B258/E258)</f>
        <v>5.2470000000000008</v>
      </c>
      <c r="P258" s="715">
        <f>+J258*N258</f>
        <v>304.69037500000007</v>
      </c>
      <c r="Q258" s="715">
        <f>(+O258*F258)/(1-'OH&amp;P'!$C$5)</f>
        <v>259.11111111111114</v>
      </c>
      <c r="R258" s="715">
        <f>IF(I258="x",(J258*'Admin Set Up'!$B$17)/(1-'OH&amp;P'!$C$5),0)</f>
        <v>12.955555555555557</v>
      </c>
      <c r="S258" s="716">
        <f>SUM(P258:R258)</f>
        <v>576.75704166666674</v>
      </c>
      <c r="T258" s="717">
        <f>IF(B258=0,0,S258/B258)</f>
        <v>0.5496064814814815</v>
      </c>
      <c r="U258" s="984"/>
    </row>
    <row r="259" spans="1:21" ht="16" thickBot="1" x14ac:dyDescent="0.25">
      <c r="A259" s="982"/>
      <c r="B259" s="712">
        <f>+B258</f>
        <v>1049.4000000000001</v>
      </c>
      <c r="C259" s="991">
        <v>200</v>
      </c>
      <c r="D259" s="1008" t="s">
        <v>1086</v>
      </c>
      <c r="E259" s="998">
        <v>200</v>
      </c>
      <c r="F259" s="994">
        <v>40</v>
      </c>
      <c r="G259" s="995"/>
      <c r="H259" s="996">
        <v>40</v>
      </c>
      <c r="I259" s="995" t="s">
        <v>1013</v>
      </c>
      <c r="J259" s="712">
        <f>IF(C259=0,0,B259/C259)</f>
        <v>5.2470000000000008</v>
      </c>
      <c r="K259" s="714">
        <f>IF($G259="x",'Labor Calc'!$E$43,'Labor Calc'!$E$31)</f>
        <v>58.06944444444445</v>
      </c>
      <c r="L259" s="714">
        <f>IF($G259="x",'Labor Calc'!$F$43,'Labor Calc'!$F$31)</f>
        <v>62.358333333333327</v>
      </c>
      <c r="M259" s="714">
        <f>IF($G259="x",'Labor Calc'!$G$43,'Labor Calc'!$G$31)</f>
        <v>65.217592592592595</v>
      </c>
      <c r="N259" s="714">
        <f>IF(H259=40,K259,0)+IF(H259=50,L259,0)+IF(H259=60,M259,0)</f>
        <v>58.06944444444445</v>
      </c>
      <c r="O259" s="712">
        <f>IF(E259=0,0,B259/E259)</f>
        <v>5.2470000000000008</v>
      </c>
      <c r="P259" s="715">
        <f>+J259*N259</f>
        <v>304.69037500000007</v>
      </c>
      <c r="Q259" s="715">
        <f>(+O259*F259)/(1-'OH&amp;P'!$C$5)</f>
        <v>259.11111111111114</v>
      </c>
      <c r="R259" s="715">
        <f>IF(I259="x",(J259*'Admin Set Up'!$B$17)/(1-'OH&amp;P'!$C$5),0)</f>
        <v>12.955555555555557</v>
      </c>
      <c r="S259" s="716">
        <f>SUM(P259:R259)</f>
        <v>576.75704166666674</v>
      </c>
      <c r="T259" s="717">
        <f>IF(B259=0,0,S259/B259)</f>
        <v>0.5496064814814815</v>
      </c>
      <c r="U259" s="984"/>
    </row>
    <row r="260" spans="1:21" ht="16" thickBot="1" x14ac:dyDescent="0.25">
      <c r="A260" s="982"/>
      <c r="B260" s="712">
        <f>+B259</f>
        <v>1049.4000000000001</v>
      </c>
      <c r="C260" s="991">
        <v>100</v>
      </c>
      <c r="D260" s="1008" t="s">
        <v>1087</v>
      </c>
      <c r="E260" s="998">
        <v>200</v>
      </c>
      <c r="F260" s="994">
        <v>60</v>
      </c>
      <c r="G260" s="995"/>
      <c r="H260" s="996">
        <v>40</v>
      </c>
      <c r="I260" s="995" t="s">
        <v>1013</v>
      </c>
      <c r="J260" s="712">
        <f>IF(C260=0,0,B260/C260)</f>
        <v>10.494000000000002</v>
      </c>
      <c r="K260" s="714">
        <f>IF($G260="x",'Labor Calc'!$E$43,'Labor Calc'!$E$31)</f>
        <v>58.06944444444445</v>
      </c>
      <c r="L260" s="714">
        <f>IF($G260="x",'Labor Calc'!$F$43,'Labor Calc'!$F$31)</f>
        <v>62.358333333333327</v>
      </c>
      <c r="M260" s="714">
        <f>IF($G260="x",'Labor Calc'!$G$43,'Labor Calc'!$G$31)</f>
        <v>65.217592592592595</v>
      </c>
      <c r="N260" s="714">
        <f>IF(H260=40,K260,0)+IF(H260=50,L260,0)+IF(H260=60,M260,0)</f>
        <v>58.06944444444445</v>
      </c>
      <c r="O260" s="712">
        <f>IF(E260=0,0,B260/E260)</f>
        <v>5.2470000000000008</v>
      </c>
      <c r="P260" s="715">
        <f>+J260*N260</f>
        <v>609.38075000000015</v>
      </c>
      <c r="Q260" s="715">
        <f>(+O260*F260)/(1-'OH&amp;P'!$C$5)</f>
        <v>388.66666666666669</v>
      </c>
      <c r="R260" s="715">
        <f>IF(I260="x",(J260*'Admin Set Up'!$B$17)/(1-'OH&amp;P'!$C$5),0)</f>
        <v>25.911111111111115</v>
      </c>
      <c r="S260" s="716">
        <f>SUM(P260:R260)</f>
        <v>1023.9585277777779</v>
      </c>
      <c r="T260" s="717">
        <f>IF(B260=0,0,S260/B260)</f>
        <v>0.97575617283950622</v>
      </c>
      <c r="U260" s="984"/>
    </row>
    <row r="261" spans="1:21" ht="16" thickBot="1" x14ac:dyDescent="0.25">
      <c r="A261" s="982"/>
      <c r="B261" s="712">
        <f>+B260</f>
        <v>1049.4000000000001</v>
      </c>
      <c r="C261" s="991">
        <v>100</v>
      </c>
      <c r="D261" s="1008" t="s">
        <v>1087</v>
      </c>
      <c r="E261" s="998">
        <v>200</v>
      </c>
      <c r="F261" s="994">
        <v>60</v>
      </c>
      <c r="G261" s="995"/>
      <c r="H261" s="996">
        <v>40</v>
      </c>
      <c r="I261" s="995" t="s">
        <v>1013</v>
      </c>
      <c r="J261" s="712">
        <f>IF(C261=0,0,B261/C261)</f>
        <v>10.494000000000002</v>
      </c>
      <c r="K261" s="714">
        <f>IF($G261="x",'Labor Calc'!$E$43,'Labor Calc'!$E$31)</f>
        <v>58.06944444444445</v>
      </c>
      <c r="L261" s="714">
        <f>IF($G261="x",'Labor Calc'!$F$43,'Labor Calc'!$F$31)</f>
        <v>62.358333333333327</v>
      </c>
      <c r="M261" s="714">
        <f>IF($G261="x",'Labor Calc'!$G$43,'Labor Calc'!$G$31)</f>
        <v>65.217592592592595</v>
      </c>
      <c r="N261" s="714">
        <f>IF(H261=40,K261,0)+IF(H261=50,L261,0)+IF(H261=60,M261,0)</f>
        <v>58.06944444444445</v>
      </c>
      <c r="O261" s="712">
        <f>IF(E261=0,0,B261/E261)</f>
        <v>5.2470000000000008</v>
      </c>
      <c r="P261" s="715">
        <f>+J261*N261</f>
        <v>609.38075000000015</v>
      </c>
      <c r="Q261" s="715">
        <f>(+O261*F261)/(1-'OH&amp;P'!$C$5)</f>
        <v>388.66666666666669</v>
      </c>
      <c r="R261" s="715">
        <f>IF(I261="x",(J261*'Admin Set Up'!$B$17)/(1-'OH&amp;P'!$C$5),0)</f>
        <v>25.911111111111115</v>
      </c>
      <c r="S261" s="716">
        <f>SUM(P261:R261)</f>
        <v>1023.9585277777779</v>
      </c>
      <c r="T261" s="717">
        <f>IF(B261=0,0,S261/B261)</f>
        <v>0.97575617283950622</v>
      </c>
      <c r="U261" s="984"/>
    </row>
    <row r="262" spans="1:21" ht="16" hidden="1" thickBot="1" x14ac:dyDescent="0.25">
      <c r="A262" s="999"/>
      <c r="B262" s="712">
        <f>+B258</f>
        <v>1049.4000000000001</v>
      </c>
      <c r="C262" s="991"/>
      <c r="D262" s="1008"/>
      <c r="E262" s="998"/>
      <c r="F262" s="994"/>
      <c r="G262" s="995"/>
      <c r="H262" s="996"/>
      <c r="I262" s="995"/>
      <c r="J262" s="712"/>
      <c r="K262" s="714">
        <f>IF($G262="x",'Labor Calc'!$E$43,'Labor Calc'!$E$31)</f>
        <v>58.06944444444445</v>
      </c>
      <c r="L262" s="714">
        <f>IF($G262="x",'Labor Calc'!$F$43,'Labor Calc'!$F$31)</f>
        <v>62.358333333333327</v>
      </c>
      <c r="M262" s="714">
        <f>IF($G262="x",'Labor Calc'!$G$43,'Labor Calc'!$G$31)</f>
        <v>65.217592592592595</v>
      </c>
      <c r="N262" s="714">
        <f>IF(H262=40,K262,0)+IF(H262=50,L262,0)+IF(H262=60,M262,0)</f>
        <v>0</v>
      </c>
      <c r="O262" s="712">
        <f>IF(E262=0,0,B262/E262)</f>
        <v>0</v>
      </c>
      <c r="P262" s="715">
        <f>+J262*N262</f>
        <v>0</v>
      </c>
      <c r="Q262" s="715">
        <f>(+O262*F262)/(1-'OH&amp;P'!$C$5)</f>
        <v>0</v>
      </c>
      <c r="R262" s="715">
        <f>IF(I262="x",(J262*'Admin Set Up'!$B$17)/(1-'OH&amp;P'!$C$5),0)</f>
        <v>0</v>
      </c>
      <c r="S262" s="716">
        <f>SUM(P262:R262)</f>
        <v>0</v>
      </c>
      <c r="T262" s="717">
        <f>IF(B262=0,0,S262/B262)</f>
        <v>0</v>
      </c>
      <c r="U262" s="984"/>
    </row>
    <row r="263" spans="1:21" ht="16" thickBot="1" x14ac:dyDescent="0.25">
      <c r="A263" s="1003"/>
      <c r="B263" s="1004" t="s">
        <v>226</v>
      </c>
      <c r="C263" s="719"/>
      <c r="D263" s="1005" t="s">
        <v>227</v>
      </c>
      <c r="E263" s="1006"/>
      <c r="F263" s="1006"/>
      <c r="G263" s="1092" t="s">
        <v>101</v>
      </c>
      <c r="H263" s="1092"/>
      <c r="I263" s="1092"/>
      <c r="J263" s="718">
        <f>SUM(J258:J262)</f>
        <v>31.482000000000006</v>
      </c>
      <c r="K263" s="719"/>
      <c r="L263" s="719"/>
      <c r="M263" s="719"/>
      <c r="N263" s="719"/>
      <c r="O263" s="720">
        <f t="shared" ref="O263:T263" si="84">SUM(O258:O262)</f>
        <v>20.988000000000003</v>
      </c>
      <c r="P263" s="721">
        <f t="shared" si="84"/>
        <v>1828.1422500000003</v>
      </c>
      <c r="Q263" s="721">
        <f t="shared" si="84"/>
        <v>1295.5555555555557</v>
      </c>
      <c r="R263" s="721">
        <f t="shared" si="84"/>
        <v>77.733333333333348</v>
      </c>
      <c r="S263" s="722">
        <f t="shared" si="84"/>
        <v>3201.4311388888891</v>
      </c>
      <c r="T263" s="723">
        <f t="shared" si="84"/>
        <v>3.0507253086419754</v>
      </c>
      <c r="U263" s="1007"/>
    </row>
    <row r="265" spans="1:21" x14ac:dyDescent="0.2">
      <c r="A265" s="982" t="str">
        <f>+'Take Off'!BB1</f>
        <v>Alt 17</v>
      </c>
      <c r="B265" s="1093" t="str">
        <f>+A265</f>
        <v>Alt 17</v>
      </c>
      <c r="C265" s="1093"/>
      <c r="D265" s="1093"/>
      <c r="E265" s="1093"/>
      <c r="F265" s="1093"/>
      <c r="G265" s="710">
        <f>+A266</f>
        <v>5079.8</v>
      </c>
      <c r="H265" s="711">
        <f>+A267</f>
        <v>0</v>
      </c>
      <c r="I265" s="983"/>
      <c r="J265" s="983"/>
      <c r="K265" s="983"/>
      <c r="L265" s="983"/>
      <c r="M265" s="983"/>
      <c r="N265" s="983"/>
      <c r="O265" s="983"/>
      <c r="P265" s="983"/>
      <c r="Q265" s="983"/>
      <c r="R265" s="984"/>
      <c r="S265" s="984"/>
      <c r="T265" s="984"/>
      <c r="U265" s="984"/>
    </row>
    <row r="266" spans="1:21" ht="53" thickBot="1" x14ac:dyDescent="0.25">
      <c r="A266" s="982">
        <f>+'Take Off'!BB2</f>
        <v>5079.8</v>
      </c>
      <c r="B266" s="985" t="s">
        <v>209</v>
      </c>
      <c r="C266" s="986" t="s">
        <v>210</v>
      </c>
      <c r="D266" s="985" t="s">
        <v>211</v>
      </c>
      <c r="E266" s="986" t="s">
        <v>212</v>
      </c>
      <c r="F266" s="986" t="s">
        <v>213</v>
      </c>
      <c r="G266" s="987" t="s">
        <v>214</v>
      </c>
      <c r="H266" s="987" t="s">
        <v>215</v>
      </c>
      <c r="I266" s="987" t="s">
        <v>216</v>
      </c>
      <c r="J266" s="988" t="s">
        <v>217</v>
      </c>
      <c r="K266" s="988" t="s">
        <v>218</v>
      </c>
      <c r="L266" s="988" t="s">
        <v>219</v>
      </c>
      <c r="M266" s="988" t="s">
        <v>220</v>
      </c>
      <c r="N266" s="988" t="s">
        <v>221</v>
      </c>
      <c r="O266" s="988" t="s">
        <v>222</v>
      </c>
      <c r="P266" s="988" t="s">
        <v>223</v>
      </c>
      <c r="Q266" s="988" t="s">
        <v>213</v>
      </c>
      <c r="R266" s="988" t="s">
        <v>224</v>
      </c>
      <c r="S266" s="988" t="s">
        <v>31</v>
      </c>
      <c r="T266" s="988" t="s">
        <v>225</v>
      </c>
      <c r="U266" s="989">
        <v>33</v>
      </c>
    </row>
    <row r="267" spans="1:21" ht="16" thickBot="1" x14ac:dyDescent="0.25">
      <c r="A267" s="982">
        <f>+'Take Off'!BB3</f>
        <v>0</v>
      </c>
      <c r="B267" s="712">
        <f>+A266</f>
        <v>5079.8</v>
      </c>
      <c r="C267" s="991"/>
      <c r="D267" s="1008"/>
      <c r="E267" s="993"/>
      <c r="F267" s="994"/>
      <c r="G267" s="995"/>
      <c r="H267" s="996"/>
      <c r="I267" s="995"/>
      <c r="J267" s="712">
        <f>IF(C267=0,0,B267/C267)</f>
        <v>0</v>
      </c>
      <c r="K267" s="714">
        <f>IF($G267="x",'Labor Calc'!$E$43,'Labor Calc'!$E$31)</f>
        <v>58.06944444444445</v>
      </c>
      <c r="L267" s="714">
        <f>IF($G267="x",'Labor Calc'!$F$43,'Labor Calc'!$F$31)</f>
        <v>62.358333333333327</v>
      </c>
      <c r="M267" s="714">
        <f>IF($G267="x",'Labor Calc'!$G$43,'Labor Calc'!$G$31)</f>
        <v>65.217592592592595</v>
      </c>
      <c r="N267" s="714">
        <f>IF(H267=40,K267,0)+IF(H267=50,L267,0)+IF(H267=60,M267,0)</f>
        <v>0</v>
      </c>
      <c r="O267" s="712">
        <f>IF(E267=0,0,B267/E267)</f>
        <v>0</v>
      </c>
      <c r="P267" s="715">
        <f>+J267*N267</f>
        <v>0</v>
      </c>
      <c r="Q267" s="715">
        <f>(+O267*F267)/(1-'OH&amp;P'!$C$5)</f>
        <v>0</v>
      </c>
      <c r="R267" s="715">
        <f>IF(I267="x",(J267*'Admin Set Up'!$B$17)/(1-'OH&amp;P'!$C$5),0)</f>
        <v>0</v>
      </c>
      <c r="S267" s="716">
        <f>SUM(P267:R267)</f>
        <v>0</v>
      </c>
      <c r="T267" s="717">
        <f>IF(B267=0,0,S267/B267)</f>
        <v>0</v>
      </c>
      <c r="U267" s="984"/>
    </row>
    <row r="268" spans="1:21" ht="16" hidden="1" thickBot="1" x14ac:dyDescent="0.25">
      <c r="A268" s="999"/>
      <c r="B268" s="712">
        <f>+B267</f>
        <v>5079.8</v>
      </c>
      <c r="C268" s="991"/>
      <c r="D268" s="1008"/>
      <c r="E268" s="998"/>
      <c r="F268" s="994"/>
      <c r="G268" s="995"/>
      <c r="H268" s="996"/>
      <c r="I268" s="995"/>
      <c r="J268" s="712"/>
      <c r="K268" s="714">
        <f>IF($G268="x",'Labor Calc'!$E$43,'Labor Calc'!$E$31)</f>
        <v>58.06944444444445</v>
      </c>
      <c r="L268" s="714">
        <f>IF($G268="x",'Labor Calc'!$F$43,'Labor Calc'!$F$31)</f>
        <v>62.358333333333327</v>
      </c>
      <c r="M268" s="714">
        <f>IF($G268="x",'Labor Calc'!$G$43,'Labor Calc'!$G$31)</f>
        <v>65.217592592592595</v>
      </c>
      <c r="N268" s="714">
        <f>IF(H268=40,K268,0)+IF(H268=50,L268,0)+IF(H268=60,M268,0)</f>
        <v>0</v>
      </c>
      <c r="O268" s="712">
        <f>IF(E268=0,0,B268/E268)</f>
        <v>0</v>
      </c>
      <c r="P268" s="715">
        <f>+J268*N268</f>
        <v>0</v>
      </c>
      <c r="Q268" s="715">
        <f>(+O268*F268)/(1-'OH&amp;P'!$C$5)</f>
        <v>0</v>
      </c>
      <c r="R268" s="715">
        <f>IF(I268="x",(J268*'Admin Set Up'!$B$17)/(1-'OH&amp;P'!$C$5),0)</f>
        <v>0</v>
      </c>
      <c r="S268" s="716">
        <f>SUM(P268:R268)</f>
        <v>0</v>
      </c>
      <c r="T268" s="717">
        <f>IF(B268=0,0,S268/B268)</f>
        <v>0</v>
      </c>
      <c r="U268" s="984"/>
    </row>
    <row r="269" spans="1:21" ht="16" thickBot="1" x14ac:dyDescent="0.25">
      <c r="A269" s="1003"/>
      <c r="B269" s="1004" t="s">
        <v>226</v>
      </c>
      <c r="C269" s="719"/>
      <c r="D269" s="1005" t="s">
        <v>227</v>
      </c>
      <c r="E269" s="1006"/>
      <c r="F269" s="1006"/>
      <c r="G269" s="1092" t="s">
        <v>101</v>
      </c>
      <c r="H269" s="1092"/>
      <c r="I269" s="1092"/>
      <c r="J269" s="718">
        <f>SUM(J267:J268)</f>
        <v>0</v>
      </c>
      <c r="K269" s="719"/>
      <c r="L269" s="719"/>
      <c r="M269" s="719"/>
      <c r="N269" s="719"/>
      <c r="O269" s="720">
        <f t="shared" ref="O269:T269" si="85">SUM(O267:O268)</f>
        <v>0</v>
      </c>
      <c r="P269" s="721">
        <f t="shared" si="85"/>
        <v>0</v>
      </c>
      <c r="Q269" s="721">
        <f t="shared" si="85"/>
        <v>0</v>
      </c>
      <c r="R269" s="721">
        <f t="shared" si="85"/>
        <v>0</v>
      </c>
      <c r="S269" s="722">
        <f t="shared" si="85"/>
        <v>0</v>
      </c>
      <c r="T269" s="723">
        <f t="shared" si="85"/>
        <v>0</v>
      </c>
      <c r="U269" s="1007"/>
    </row>
    <row r="271" spans="1:21" x14ac:dyDescent="0.2">
      <c r="A271" s="982">
        <f>+'Take Off'!BC1</f>
        <v>34</v>
      </c>
      <c r="B271" s="1093">
        <f>+A271</f>
        <v>34</v>
      </c>
      <c r="C271" s="1093"/>
      <c r="D271" s="1093"/>
      <c r="E271" s="1093"/>
      <c r="F271" s="1093"/>
      <c r="G271" s="710">
        <f>+A272</f>
        <v>0</v>
      </c>
      <c r="H271" s="711">
        <f>+A273</f>
        <v>0</v>
      </c>
      <c r="I271" s="983"/>
      <c r="J271" s="983"/>
      <c r="K271" s="983"/>
      <c r="L271" s="983"/>
      <c r="M271" s="983"/>
      <c r="N271" s="983"/>
      <c r="O271" s="983"/>
      <c r="P271" s="983"/>
      <c r="Q271" s="983"/>
      <c r="R271" s="984"/>
      <c r="S271" s="984"/>
      <c r="T271" s="984"/>
      <c r="U271" s="984"/>
    </row>
    <row r="272" spans="1:21" ht="53" thickBot="1" x14ac:dyDescent="0.25">
      <c r="A272" s="982">
        <f>+'Take Off'!BC2</f>
        <v>0</v>
      </c>
      <c r="B272" s="985" t="s">
        <v>209</v>
      </c>
      <c r="C272" s="986" t="s">
        <v>210</v>
      </c>
      <c r="D272" s="985" t="s">
        <v>211</v>
      </c>
      <c r="E272" s="986" t="s">
        <v>212</v>
      </c>
      <c r="F272" s="986" t="s">
        <v>213</v>
      </c>
      <c r="G272" s="987" t="s">
        <v>214</v>
      </c>
      <c r="H272" s="987" t="s">
        <v>215</v>
      </c>
      <c r="I272" s="987" t="s">
        <v>216</v>
      </c>
      <c r="J272" s="988" t="s">
        <v>217</v>
      </c>
      <c r="K272" s="988" t="s">
        <v>218</v>
      </c>
      <c r="L272" s="988" t="s">
        <v>219</v>
      </c>
      <c r="M272" s="988" t="s">
        <v>220</v>
      </c>
      <c r="N272" s="988" t="s">
        <v>221</v>
      </c>
      <c r="O272" s="988" t="s">
        <v>222</v>
      </c>
      <c r="P272" s="988" t="s">
        <v>223</v>
      </c>
      <c r="Q272" s="988" t="s">
        <v>213</v>
      </c>
      <c r="R272" s="988" t="s">
        <v>224</v>
      </c>
      <c r="S272" s="988" t="s">
        <v>31</v>
      </c>
      <c r="T272" s="988" t="s">
        <v>225</v>
      </c>
      <c r="U272" s="989">
        <v>34</v>
      </c>
    </row>
    <row r="273" spans="1:21" ht="16" thickBot="1" x14ac:dyDescent="0.25">
      <c r="A273" s="982">
        <f>+'Take Off'!BC3</f>
        <v>0</v>
      </c>
      <c r="B273" s="712">
        <f>+A272</f>
        <v>0</v>
      </c>
      <c r="C273" s="991"/>
      <c r="D273" s="1008"/>
      <c r="E273" s="993"/>
      <c r="F273" s="994"/>
      <c r="G273" s="995"/>
      <c r="H273" s="996"/>
      <c r="I273" s="995"/>
      <c r="J273" s="712">
        <f>IF(C273=0,0,B273/C273)</f>
        <v>0</v>
      </c>
      <c r="K273" s="714">
        <f>IF($G273="x",'Labor Calc'!$E$43,'Labor Calc'!$E$31)</f>
        <v>58.06944444444445</v>
      </c>
      <c r="L273" s="714">
        <f>IF($G273="x",'Labor Calc'!$F$43,'Labor Calc'!$F$31)</f>
        <v>62.358333333333327</v>
      </c>
      <c r="M273" s="714">
        <f>IF($G273="x",'Labor Calc'!$G$43,'Labor Calc'!$G$31)</f>
        <v>65.217592592592595</v>
      </c>
      <c r="N273" s="714">
        <f>IF(H273=40,K273,0)+IF(H273=50,L273,0)+IF(H273=60,M273,0)</f>
        <v>0</v>
      </c>
      <c r="O273" s="712">
        <f>IF(E273=0,0,B273/E273)</f>
        <v>0</v>
      </c>
      <c r="P273" s="715">
        <f>+J273*N273</f>
        <v>0</v>
      </c>
      <c r="Q273" s="715">
        <f>(+O273*F273)/(1-'OH&amp;P'!$C$5)</f>
        <v>0</v>
      </c>
      <c r="R273" s="715">
        <f>IF(I273="x",(J273*'Admin Set Up'!$B$17)/(1-'OH&amp;P'!$C$5),0)</f>
        <v>0</v>
      </c>
      <c r="S273" s="716">
        <f>SUM(P273:R273)</f>
        <v>0</v>
      </c>
      <c r="T273" s="717">
        <f>IF(B273=0,0,S273/B273)</f>
        <v>0</v>
      </c>
      <c r="U273" s="984"/>
    </row>
    <row r="274" spans="1:21" ht="16" hidden="1" thickBot="1" x14ac:dyDescent="0.25">
      <c r="A274" s="999"/>
      <c r="B274" s="712">
        <f>+B273</f>
        <v>0</v>
      </c>
      <c r="C274" s="991"/>
      <c r="D274" s="1008"/>
      <c r="E274" s="998"/>
      <c r="F274" s="994"/>
      <c r="G274" s="995"/>
      <c r="H274" s="996"/>
      <c r="I274" s="995"/>
      <c r="J274" s="712"/>
      <c r="K274" s="714">
        <f>IF($G274="x",'Labor Calc'!$E$43,'Labor Calc'!$E$31)</f>
        <v>58.06944444444445</v>
      </c>
      <c r="L274" s="714">
        <f>IF($G274="x",'Labor Calc'!$F$43,'Labor Calc'!$F$31)</f>
        <v>62.358333333333327</v>
      </c>
      <c r="M274" s="714">
        <f>IF($G274="x",'Labor Calc'!$G$43,'Labor Calc'!$G$31)</f>
        <v>65.217592592592595</v>
      </c>
      <c r="N274" s="714">
        <f>IF(H274=40,K274,0)+IF(H274=50,L274,0)+IF(H274=60,M274,0)</f>
        <v>0</v>
      </c>
      <c r="O274" s="712">
        <f>IF(E274=0,0,B274/E274)</f>
        <v>0</v>
      </c>
      <c r="P274" s="715">
        <f>+J274*N274</f>
        <v>0</v>
      </c>
      <c r="Q274" s="715">
        <f>(+O274*F274)/(1-'OH&amp;P'!$C$5)</f>
        <v>0</v>
      </c>
      <c r="R274" s="715">
        <f>IF(I274="x",(J274*'Admin Set Up'!$B$17)/(1-'OH&amp;P'!$C$5),0)</f>
        <v>0</v>
      </c>
      <c r="S274" s="716">
        <f>SUM(P274:R274)</f>
        <v>0</v>
      </c>
      <c r="T274" s="717">
        <f>IF(B274=0,0,S274/B274)</f>
        <v>0</v>
      </c>
      <c r="U274" s="984"/>
    </row>
    <row r="275" spans="1:21" ht="16" thickBot="1" x14ac:dyDescent="0.25">
      <c r="A275" s="1003"/>
      <c r="B275" s="1004" t="s">
        <v>226</v>
      </c>
      <c r="C275" s="719"/>
      <c r="D275" s="1005" t="s">
        <v>227</v>
      </c>
      <c r="E275" s="1006"/>
      <c r="F275" s="1006"/>
      <c r="G275" s="1092" t="s">
        <v>101</v>
      </c>
      <c r="H275" s="1092"/>
      <c r="I275" s="1092"/>
      <c r="J275" s="718">
        <f>SUM(J273:J274)</f>
        <v>0</v>
      </c>
      <c r="K275" s="719"/>
      <c r="L275" s="719"/>
      <c r="M275" s="719"/>
      <c r="N275" s="719"/>
      <c r="O275" s="720">
        <f t="shared" ref="O275:T275" si="86">SUM(O273:O274)</f>
        <v>0</v>
      </c>
      <c r="P275" s="721">
        <f t="shared" si="86"/>
        <v>0</v>
      </c>
      <c r="Q275" s="721">
        <f t="shared" si="86"/>
        <v>0</v>
      </c>
      <c r="R275" s="721">
        <f t="shared" si="86"/>
        <v>0</v>
      </c>
      <c r="S275" s="722">
        <f t="shared" si="86"/>
        <v>0</v>
      </c>
      <c r="T275" s="723">
        <f t="shared" si="86"/>
        <v>0</v>
      </c>
      <c r="U275" s="1007"/>
    </row>
    <row r="277" spans="1:21" x14ac:dyDescent="0.2">
      <c r="A277" s="982">
        <f>+'Take Off'!BD1</f>
        <v>35</v>
      </c>
      <c r="B277" s="1093">
        <f>+A277</f>
        <v>35</v>
      </c>
      <c r="C277" s="1093"/>
      <c r="D277" s="1093"/>
      <c r="E277" s="1093"/>
      <c r="F277" s="1093"/>
      <c r="G277" s="710">
        <f>+A278</f>
        <v>0</v>
      </c>
      <c r="H277" s="711">
        <f>+A279</f>
        <v>0</v>
      </c>
      <c r="I277" s="983"/>
      <c r="J277" s="983"/>
      <c r="K277" s="983"/>
      <c r="L277" s="983"/>
      <c r="M277" s="983"/>
      <c r="N277" s="983"/>
      <c r="O277" s="983"/>
      <c r="P277" s="983"/>
      <c r="Q277" s="983"/>
      <c r="R277" s="984"/>
      <c r="S277" s="984"/>
      <c r="T277" s="984"/>
      <c r="U277" s="984"/>
    </row>
    <row r="278" spans="1:21" ht="53" thickBot="1" x14ac:dyDescent="0.25">
      <c r="A278" s="982">
        <f>+'Take Off'!BD2</f>
        <v>0</v>
      </c>
      <c r="B278" s="985" t="s">
        <v>209</v>
      </c>
      <c r="C278" s="986" t="s">
        <v>210</v>
      </c>
      <c r="D278" s="985" t="s">
        <v>211</v>
      </c>
      <c r="E278" s="986" t="s">
        <v>212</v>
      </c>
      <c r="F278" s="986" t="s">
        <v>213</v>
      </c>
      <c r="G278" s="987" t="s">
        <v>214</v>
      </c>
      <c r="H278" s="987" t="s">
        <v>215</v>
      </c>
      <c r="I278" s="987" t="s">
        <v>216</v>
      </c>
      <c r="J278" s="988" t="s">
        <v>217</v>
      </c>
      <c r="K278" s="988" t="s">
        <v>218</v>
      </c>
      <c r="L278" s="988" t="s">
        <v>219</v>
      </c>
      <c r="M278" s="988" t="s">
        <v>220</v>
      </c>
      <c r="N278" s="988" t="s">
        <v>221</v>
      </c>
      <c r="O278" s="988" t="s">
        <v>222</v>
      </c>
      <c r="P278" s="988" t="s">
        <v>223</v>
      </c>
      <c r="Q278" s="988" t="s">
        <v>213</v>
      </c>
      <c r="R278" s="988" t="s">
        <v>224</v>
      </c>
      <c r="S278" s="988" t="s">
        <v>31</v>
      </c>
      <c r="T278" s="988" t="s">
        <v>225</v>
      </c>
      <c r="U278" s="989">
        <v>35</v>
      </c>
    </row>
    <row r="279" spans="1:21" ht="16" thickBot="1" x14ac:dyDescent="0.25">
      <c r="A279" s="982">
        <f>+'Take Off'!BD3</f>
        <v>0</v>
      </c>
      <c r="B279" s="712">
        <f>+A278</f>
        <v>0</v>
      </c>
      <c r="C279" s="991"/>
      <c r="D279" s="1008"/>
      <c r="E279" s="993"/>
      <c r="F279" s="994"/>
      <c r="G279" s="995"/>
      <c r="H279" s="996"/>
      <c r="I279" s="995"/>
      <c r="J279" s="712">
        <f>IF(C279=0,0,B279/C279)</f>
        <v>0</v>
      </c>
      <c r="K279" s="714">
        <f>IF($G279="x",'Labor Calc'!$E$43,'Labor Calc'!$E$31)</f>
        <v>58.06944444444445</v>
      </c>
      <c r="L279" s="714">
        <f>IF($G279="x",'Labor Calc'!$F$43,'Labor Calc'!$F$31)</f>
        <v>62.358333333333327</v>
      </c>
      <c r="M279" s="714">
        <f>IF($G279="x",'Labor Calc'!$G$43,'Labor Calc'!$G$31)</f>
        <v>65.217592592592595</v>
      </c>
      <c r="N279" s="714">
        <f>IF(H279=40,K279,0)+IF(H279=50,L279,0)+IF(H279=60,M279,0)</f>
        <v>0</v>
      </c>
      <c r="O279" s="712">
        <f>IF(E279=0,0,B279/E279)</f>
        <v>0</v>
      </c>
      <c r="P279" s="715">
        <f>+J279*N279</f>
        <v>0</v>
      </c>
      <c r="Q279" s="715">
        <f>(+O279*F279)/(1-'OH&amp;P'!$C$5)</f>
        <v>0</v>
      </c>
      <c r="R279" s="715">
        <f>IF(I279="x",(J279*'Admin Set Up'!$B$17)/(1-'OH&amp;P'!$C$5),0)</f>
        <v>0</v>
      </c>
      <c r="S279" s="716">
        <f>SUM(P279:R279)</f>
        <v>0</v>
      </c>
      <c r="T279" s="717">
        <f>IF(B279=0,0,S279/B279)</f>
        <v>0</v>
      </c>
      <c r="U279" s="984"/>
    </row>
    <row r="280" spans="1:21" ht="16" hidden="1" thickBot="1" x14ac:dyDescent="0.25">
      <c r="A280" s="999"/>
      <c r="B280" s="712">
        <f>+B279</f>
        <v>0</v>
      </c>
      <c r="C280" s="991"/>
      <c r="D280" s="1008"/>
      <c r="E280" s="998"/>
      <c r="F280" s="994"/>
      <c r="G280" s="995"/>
      <c r="H280" s="996"/>
      <c r="I280" s="995"/>
      <c r="J280" s="712"/>
      <c r="K280" s="714">
        <f>IF($G280="x",'Labor Calc'!$E$43,'Labor Calc'!$E$31)</f>
        <v>58.06944444444445</v>
      </c>
      <c r="L280" s="714">
        <f>IF($G280="x",'Labor Calc'!$F$43,'Labor Calc'!$F$31)</f>
        <v>62.358333333333327</v>
      </c>
      <c r="M280" s="714">
        <f>IF($G280="x",'Labor Calc'!$G$43,'Labor Calc'!$G$31)</f>
        <v>65.217592592592595</v>
      </c>
      <c r="N280" s="714">
        <f>IF(H280=40,K280,0)+IF(H280=50,L280,0)+IF(H280=60,M280,0)</f>
        <v>0</v>
      </c>
      <c r="O280" s="712">
        <f>IF(E280=0,0,B280/E280)</f>
        <v>0</v>
      </c>
      <c r="P280" s="715">
        <f>+J280*N280</f>
        <v>0</v>
      </c>
      <c r="Q280" s="715">
        <f>(+O280*F280)/(1-'OH&amp;P'!$C$5)</f>
        <v>0</v>
      </c>
      <c r="R280" s="715">
        <f>IF(I280="x",(J280*'Admin Set Up'!$B$17)/(1-'OH&amp;P'!$C$5),0)</f>
        <v>0</v>
      </c>
      <c r="S280" s="716">
        <f>SUM(P280:R280)</f>
        <v>0</v>
      </c>
      <c r="T280" s="717">
        <f>IF(B280=0,0,S280/B280)</f>
        <v>0</v>
      </c>
      <c r="U280" s="984"/>
    </row>
    <row r="281" spans="1:21" ht="16" thickBot="1" x14ac:dyDescent="0.25">
      <c r="A281" s="1003"/>
      <c r="B281" s="1004" t="s">
        <v>226</v>
      </c>
      <c r="C281" s="719"/>
      <c r="D281" s="1005" t="s">
        <v>227</v>
      </c>
      <c r="E281" s="1006"/>
      <c r="F281" s="1006"/>
      <c r="G281" s="1092" t="s">
        <v>101</v>
      </c>
      <c r="H281" s="1092"/>
      <c r="I281" s="1092"/>
      <c r="J281" s="718">
        <f>SUM(J279:J280)</f>
        <v>0</v>
      </c>
      <c r="K281" s="719"/>
      <c r="L281" s="719"/>
      <c r="M281" s="719"/>
      <c r="N281" s="719"/>
      <c r="O281" s="720">
        <f t="shared" ref="O281:T281" si="87">SUM(O279:O280)</f>
        <v>0</v>
      </c>
      <c r="P281" s="721">
        <f t="shared" si="87"/>
        <v>0</v>
      </c>
      <c r="Q281" s="721">
        <f t="shared" si="87"/>
        <v>0</v>
      </c>
      <c r="R281" s="721">
        <f t="shared" si="87"/>
        <v>0</v>
      </c>
      <c r="S281" s="722">
        <f t="shared" si="87"/>
        <v>0</v>
      </c>
      <c r="T281" s="723">
        <f t="shared" si="87"/>
        <v>0</v>
      </c>
      <c r="U281" s="1007"/>
    </row>
    <row r="283" spans="1:21" x14ac:dyDescent="0.2">
      <c r="A283" s="982">
        <f>+'Take Off'!BE1</f>
        <v>36</v>
      </c>
      <c r="B283" s="1093">
        <f>+A283</f>
        <v>36</v>
      </c>
      <c r="C283" s="1093"/>
      <c r="D283" s="1093"/>
      <c r="E283" s="1093"/>
      <c r="F283" s="1093"/>
      <c r="G283" s="710">
        <f>+A284</f>
        <v>0</v>
      </c>
      <c r="H283" s="711">
        <f>+A285</f>
        <v>0</v>
      </c>
      <c r="I283" s="983"/>
      <c r="J283" s="983"/>
      <c r="K283" s="983"/>
      <c r="L283" s="983"/>
      <c r="M283" s="983"/>
      <c r="N283" s="983"/>
      <c r="O283" s="983"/>
      <c r="P283" s="983"/>
      <c r="Q283" s="983"/>
      <c r="R283" s="984"/>
      <c r="S283" s="984"/>
      <c r="T283" s="984"/>
      <c r="U283" s="984"/>
    </row>
    <row r="284" spans="1:21" ht="53" thickBot="1" x14ac:dyDescent="0.25">
      <c r="A284" s="982">
        <f>+'Take Off'!BE2</f>
        <v>0</v>
      </c>
      <c r="B284" s="985" t="s">
        <v>209</v>
      </c>
      <c r="C284" s="986" t="s">
        <v>210</v>
      </c>
      <c r="D284" s="985" t="s">
        <v>211</v>
      </c>
      <c r="E284" s="986" t="s">
        <v>212</v>
      </c>
      <c r="F284" s="986" t="s">
        <v>213</v>
      </c>
      <c r="G284" s="987" t="s">
        <v>214</v>
      </c>
      <c r="H284" s="987" t="s">
        <v>215</v>
      </c>
      <c r="I284" s="987" t="s">
        <v>216</v>
      </c>
      <c r="J284" s="988" t="s">
        <v>217</v>
      </c>
      <c r="K284" s="988" t="s">
        <v>218</v>
      </c>
      <c r="L284" s="988" t="s">
        <v>219</v>
      </c>
      <c r="M284" s="988" t="s">
        <v>220</v>
      </c>
      <c r="N284" s="988" t="s">
        <v>221</v>
      </c>
      <c r="O284" s="988" t="s">
        <v>222</v>
      </c>
      <c r="P284" s="988" t="s">
        <v>223</v>
      </c>
      <c r="Q284" s="988" t="s">
        <v>213</v>
      </c>
      <c r="R284" s="988" t="s">
        <v>224</v>
      </c>
      <c r="S284" s="988" t="s">
        <v>31</v>
      </c>
      <c r="T284" s="988" t="s">
        <v>225</v>
      </c>
      <c r="U284" s="989">
        <v>36</v>
      </c>
    </row>
    <row r="285" spans="1:21" ht="16" thickBot="1" x14ac:dyDescent="0.25">
      <c r="A285" s="982">
        <f>+'Take Off'!BE3</f>
        <v>0</v>
      </c>
      <c r="B285" s="712">
        <f>+A284</f>
        <v>0</v>
      </c>
      <c r="C285" s="991"/>
      <c r="D285" s="1008"/>
      <c r="E285" s="993"/>
      <c r="F285" s="994"/>
      <c r="G285" s="995"/>
      <c r="H285" s="996"/>
      <c r="I285" s="995"/>
      <c r="J285" s="712">
        <f>IF(C285=0,0,B285/C285)</f>
        <v>0</v>
      </c>
      <c r="K285" s="714">
        <f>IF($G285="x",'Labor Calc'!$E$43,'Labor Calc'!$E$31)</f>
        <v>58.06944444444445</v>
      </c>
      <c r="L285" s="714">
        <f>IF($G285="x",'Labor Calc'!$F$43,'Labor Calc'!$F$31)</f>
        <v>62.358333333333327</v>
      </c>
      <c r="M285" s="714">
        <f>IF($G285="x",'Labor Calc'!$G$43,'Labor Calc'!$G$31)</f>
        <v>65.217592592592595</v>
      </c>
      <c r="N285" s="714">
        <f>IF(H285=40,K285,0)+IF(H285=50,L285,0)+IF(H285=60,M285,0)</f>
        <v>0</v>
      </c>
      <c r="O285" s="712">
        <f>IF(E285=0,0,B285/E285)</f>
        <v>0</v>
      </c>
      <c r="P285" s="715">
        <f>+J285*N285</f>
        <v>0</v>
      </c>
      <c r="Q285" s="715">
        <f>(+O285*F285)/(1-'OH&amp;P'!$C$5)</f>
        <v>0</v>
      </c>
      <c r="R285" s="715">
        <f>IF(I285="x",(J285*'Admin Set Up'!$B$17)/(1-'OH&amp;P'!$C$5),0)</f>
        <v>0</v>
      </c>
      <c r="S285" s="716">
        <f>SUM(P285:R285)</f>
        <v>0</v>
      </c>
      <c r="T285" s="717">
        <f>IF(B285=0,0,S285/B285)</f>
        <v>0</v>
      </c>
      <c r="U285" s="984"/>
    </row>
    <row r="286" spans="1:21" ht="16" hidden="1" thickBot="1" x14ac:dyDescent="0.25">
      <c r="A286" s="999"/>
      <c r="B286" s="712">
        <f>+B285</f>
        <v>0</v>
      </c>
      <c r="C286" s="991"/>
      <c r="D286" s="1008"/>
      <c r="E286" s="998"/>
      <c r="F286" s="994"/>
      <c r="G286" s="995"/>
      <c r="H286" s="996"/>
      <c r="I286" s="995"/>
      <c r="J286" s="712"/>
      <c r="K286" s="714">
        <f>IF($G286="x",'Labor Calc'!$E$43,'Labor Calc'!$E$31)</f>
        <v>58.06944444444445</v>
      </c>
      <c r="L286" s="714">
        <f>IF($G286="x",'Labor Calc'!$F$43,'Labor Calc'!$F$31)</f>
        <v>62.358333333333327</v>
      </c>
      <c r="M286" s="714">
        <f>IF($G286="x",'Labor Calc'!$G$43,'Labor Calc'!$G$31)</f>
        <v>65.217592592592595</v>
      </c>
      <c r="N286" s="714">
        <f>IF(H286=40,K286,0)+IF(H286=50,L286,0)+IF(H286=60,M286,0)</f>
        <v>0</v>
      </c>
      <c r="O286" s="712">
        <f>IF(E286=0,0,B286/E286)</f>
        <v>0</v>
      </c>
      <c r="P286" s="715">
        <f>+J286*N286</f>
        <v>0</v>
      </c>
      <c r="Q286" s="715">
        <f>(+O286*F286)/(1-'OH&amp;P'!$C$5)</f>
        <v>0</v>
      </c>
      <c r="R286" s="715">
        <f>IF(I286="x",(J286*'Admin Set Up'!$B$17)/(1-'OH&amp;P'!$C$5),0)</f>
        <v>0</v>
      </c>
      <c r="S286" s="716">
        <f>SUM(P286:R286)</f>
        <v>0</v>
      </c>
      <c r="T286" s="717">
        <f>IF(B286=0,0,S286/B286)</f>
        <v>0</v>
      </c>
      <c r="U286" s="984"/>
    </row>
    <row r="287" spans="1:21" ht="16" thickBot="1" x14ac:dyDescent="0.25">
      <c r="A287" s="1003"/>
      <c r="B287" s="1004" t="s">
        <v>226</v>
      </c>
      <c r="C287" s="719"/>
      <c r="D287" s="1005" t="s">
        <v>227</v>
      </c>
      <c r="E287" s="1006"/>
      <c r="F287" s="1006"/>
      <c r="G287" s="1092" t="s">
        <v>101</v>
      </c>
      <c r="H287" s="1092"/>
      <c r="I287" s="1092"/>
      <c r="J287" s="718">
        <f>SUM(J285:J286)</f>
        <v>0</v>
      </c>
      <c r="K287" s="719"/>
      <c r="L287" s="719"/>
      <c r="M287" s="719"/>
      <c r="N287" s="719"/>
      <c r="O287" s="720">
        <f t="shared" ref="O287:T287" si="88">SUM(O285:O286)</f>
        <v>0</v>
      </c>
      <c r="P287" s="721">
        <f t="shared" si="88"/>
        <v>0</v>
      </c>
      <c r="Q287" s="721">
        <f t="shared" si="88"/>
        <v>0</v>
      </c>
      <c r="R287" s="721">
        <f t="shared" si="88"/>
        <v>0</v>
      </c>
      <c r="S287" s="722">
        <f t="shared" si="88"/>
        <v>0</v>
      </c>
      <c r="T287" s="723">
        <f t="shared" si="88"/>
        <v>0</v>
      </c>
      <c r="U287" s="1007"/>
    </row>
    <row r="289" spans="1:21" x14ac:dyDescent="0.2">
      <c r="A289" s="982">
        <f>+'Take Off'!BF1</f>
        <v>37</v>
      </c>
      <c r="B289" s="1093">
        <f>+A289</f>
        <v>37</v>
      </c>
      <c r="C289" s="1093"/>
      <c r="D289" s="1093"/>
      <c r="E289" s="1093"/>
      <c r="F289" s="1093"/>
      <c r="G289" s="710">
        <f>+A290</f>
        <v>0</v>
      </c>
      <c r="H289" s="711">
        <f>+A291</f>
        <v>0</v>
      </c>
      <c r="I289" s="983"/>
      <c r="J289" s="983"/>
      <c r="K289" s="983"/>
      <c r="L289" s="983"/>
      <c r="M289" s="983"/>
      <c r="N289" s="983"/>
      <c r="O289" s="983"/>
      <c r="P289" s="983"/>
      <c r="Q289" s="983"/>
      <c r="R289" s="984"/>
      <c r="S289" s="984"/>
      <c r="T289" s="984"/>
      <c r="U289" s="984"/>
    </row>
    <row r="290" spans="1:21" ht="53" thickBot="1" x14ac:dyDescent="0.25">
      <c r="A290" s="982">
        <f>+'Take Off'!BF2</f>
        <v>0</v>
      </c>
      <c r="B290" s="985" t="s">
        <v>209</v>
      </c>
      <c r="C290" s="986" t="s">
        <v>210</v>
      </c>
      <c r="D290" s="985" t="s">
        <v>211</v>
      </c>
      <c r="E290" s="986" t="s">
        <v>212</v>
      </c>
      <c r="F290" s="986" t="s">
        <v>213</v>
      </c>
      <c r="G290" s="987" t="s">
        <v>214</v>
      </c>
      <c r="H290" s="987" t="s">
        <v>215</v>
      </c>
      <c r="I290" s="987" t="s">
        <v>216</v>
      </c>
      <c r="J290" s="988" t="s">
        <v>217</v>
      </c>
      <c r="K290" s="988" t="s">
        <v>218</v>
      </c>
      <c r="L290" s="988" t="s">
        <v>219</v>
      </c>
      <c r="M290" s="988" t="s">
        <v>220</v>
      </c>
      <c r="N290" s="988" t="s">
        <v>221</v>
      </c>
      <c r="O290" s="988" t="s">
        <v>222</v>
      </c>
      <c r="P290" s="988" t="s">
        <v>223</v>
      </c>
      <c r="Q290" s="988" t="s">
        <v>213</v>
      </c>
      <c r="R290" s="988" t="s">
        <v>224</v>
      </c>
      <c r="S290" s="988" t="s">
        <v>31</v>
      </c>
      <c r="T290" s="988" t="s">
        <v>225</v>
      </c>
      <c r="U290" s="989">
        <v>37</v>
      </c>
    </row>
    <row r="291" spans="1:21" ht="16" thickBot="1" x14ac:dyDescent="0.25">
      <c r="A291" s="982">
        <f>+'Take Off'!BF3</f>
        <v>0</v>
      </c>
      <c r="B291" s="712">
        <f>+A290</f>
        <v>0</v>
      </c>
      <c r="C291" s="991"/>
      <c r="D291" s="1008"/>
      <c r="E291" s="993"/>
      <c r="F291" s="994"/>
      <c r="G291" s="995"/>
      <c r="H291" s="996"/>
      <c r="I291" s="995"/>
      <c r="J291" s="712">
        <f>IF(C291=0,0,B291/C291)</f>
        <v>0</v>
      </c>
      <c r="K291" s="714">
        <f>IF($G291="x",'Labor Calc'!$E$43,'Labor Calc'!$E$31)</f>
        <v>58.06944444444445</v>
      </c>
      <c r="L291" s="714">
        <f>IF($G291="x",'Labor Calc'!$F$43,'Labor Calc'!$F$31)</f>
        <v>62.358333333333327</v>
      </c>
      <c r="M291" s="714">
        <f>IF($G291="x",'Labor Calc'!$G$43,'Labor Calc'!$G$31)</f>
        <v>65.217592592592595</v>
      </c>
      <c r="N291" s="714">
        <f>IF(H291=40,K291,0)+IF(H291=50,L291,0)+IF(H291=60,M291,0)</f>
        <v>0</v>
      </c>
      <c r="O291" s="712">
        <f>IF(E291=0,0,B291/E291)</f>
        <v>0</v>
      </c>
      <c r="P291" s="715">
        <f>+J291*N291</f>
        <v>0</v>
      </c>
      <c r="Q291" s="715">
        <f>(+O291*F291)/(1-'OH&amp;P'!$C$5)</f>
        <v>0</v>
      </c>
      <c r="R291" s="715">
        <f>IF(I291="x",(J291*'Admin Set Up'!$B$17)/(1-'OH&amp;P'!$C$5),0)</f>
        <v>0</v>
      </c>
      <c r="S291" s="716">
        <f>SUM(P291:R291)</f>
        <v>0</v>
      </c>
      <c r="T291" s="717">
        <f>IF(B291=0,0,S291/B291)</f>
        <v>0</v>
      </c>
      <c r="U291" s="984"/>
    </row>
    <row r="292" spans="1:21" ht="16" hidden="1" thickBot="1" x14ac:dyDescent="0.25">
      <c r="A292" s="999"/>
      <c r="B292" s="712">
        <f>+B291</f>
        <v>0</v>
      </c>
      <c r="C292" s="991"/>
      <c r="D292" s="1008"/>
      <c r="E292" s="998"/>
      <c r="F292" s="994"/>
      <c r="G292" s="995"/>
      <c r="H292" s="996"/>
      <c r="I292" s="995"/>
      <c r="J292" s="712"/>
      <c r="K292" s="714">
        <f>IF($G292="x",'Labor Calc'!$E$43,'Labor Calc'!$E$31)</f>
        <v>58.06944444444445</v>
      </c>
      <c r="L292" s="714">
        <f>IF($G292="x",'Labor Calc'!$F$43,'Labor Calc'!$F$31)</f>
        <v>62.358333333333327</v>
      </c>
      <c r="M292" s="714">
        <f>IF($G292="x",'Labor Calc'!$G$43,'Labor Calc'!$G$31)</f>
        <v>65.217592592592595</v>
      </c>
      <c r="N292" s="714">
        <f>IF(H292=40,K292,0)+IF(H292=50,L292,0)+IF(H292=60,M292,0)</f>
        <v>0</v>
      </c>
      <c r="O292" s="712">
        <f>IF(E292=0,0,B292/E292)</f>
        <v>0</v>
      </c>
      <c r="P292" s="715">
        <f>+J292*N292</f>
        <v>0</v>
      </c>
      <c r="Q292" s="715">
        <f>(+O292*F292)/(1-'OH&amp;P'!$C$5)</f>
        <v>0</v>
      </c>
      <c r="R292" s="715">
        <f>IF(I292="x",(J292*'Admin Set Up'!$B$17)/(1-'OH&amp;P'!$C$5),0)</f>
        <v>0</v>
      </c>
      <c r="S292" s="716">
        <f>SUM(P292:R292)</f>
        <v>0</v>
      </c>
      <c r="T292" s="717">
        <f>IF(B292=0,0,S292/B292)</f>
        <v>0</v>
      </c>
      <c r="U292" s="984"/>
    </row>
    <row r="293" spans="1:21" ht="16" thickBot="1" x14ac:dyDescent="0.25">
      <c r="A293" s="1003"/>
      <c r="B293" s="1004" t="s">
        <v>226</v>
      </c>
      <c r="C293" s="719"/>
      <c r="D293" s="1005" t="s">
        <v>227</v>
      </c>
      <c r="E293" s="1006"/>
      <c r="F293" s="1006"/>
      <c r="G293" s="1092" t="s">
        <v>101</v>
      </c>
      <c r="H293" s="1092"/>
      <c r="I293" s="1092"/>
      <c r="J293" s="718">
        <f>SUM(J291:J292)</f>
        <v>0</v>
      </c>
      <c r="K293" s="719"/>
      <c r="L293" s="719"/>
      <c r="M293" s="719"/>
      <c r="N293" s="719"/>
      <c r="O293" s="720">
        <f t="shared" ref="O293:T293" si="89">SUM(O291:O292)</f>
        <v>0</v>
      </c>
      <c r="P293" s="721">
        <f t="shared" si="89"/>
        <v>0</v>
      </c>
      <c r="Q293" s="721">
        <f t="shared" si="89"/>
        <v>0</v>
      </c>
      <c r="R293" s="721">
        <f t="shared" si="89"/>
        <v>0</v>
      </c>
      <c r="S293" s="722">
        <f t="shared" si="89"/>
        <v>0</v>
      </c>
      <c r="T293" s="723">
        <f t="shared" si="89"/>
        <v>0</v>
      </c>
      <c r="U293" s="1007"/>
    </row>
    <row r="295" spans="1:21" x14ac:dyDescent="0.2">
      <c r="A295" s="982">
        <f>+'Take Off'!BG1</f>
        <v>38</v>
      </c>
      <c r="B295" s="1093">
        <f>+A295</f>
        <v>38</v>
      </c>
      <c r="C295" s="1093"/>
      <c r="D295" s="1093"/>
      <c r="E295" s="1093"/>
      <c r="F295" s="1093"/>
      <c r="G295" s="710">
        <f>+A296</f>
        <v>0</v>
      </c>
      <c r="H295" s="711">
        <f>+A297</f>
        <v>0</v>
      </c>
      <c r="I295" s="983"/>
      <c r="J295" s="983"/>
      <c r="K295" s="983"/>
      <c r="L295" s="983"/>
      <c r="M295" s="983"/>
      <c r="N295" s="983"/>
      <c r="O295" s="983"/>
      <c r="P295" s="983"/>
      <c r="Q295" s="983"/>
      <c r="R295" s="984"/>
      <c r="S295" s="984"/>
      <c r="T295" s="984"/>
      <c r="U295" s="984"/>
    </row>
    <row r="296" spans="1:21" ht="53" thickBot="1" x14ac:dyDescent="0.25">
      <c r="A296" s="982">
        <f>+'Take Off'!BG2</f>
        <v>0</v>
      </c>
      <c r="B296" s="985" t="s">
        <v>209</v>
      </c>
      <c r="C296" s="986" t="s">
        <v>210</v>
      </c>
      <c r="D296" s="985" t="s">
        <v>211</v>
      </c>
      <c r="E296" s="986" t="s">
        <v>212</v>
      </c>
      <c r="F296" s="986" t="s">
        <v>213</v>
      </c>
      <c r="G296" s="987" t="s">
        <v>214</v>
      </c>
      <c r="H296" s="987" t="s">
        <v>215</v>
      </c>
      <c r="I296" s="987" t="s">
        <v>216</v>
      </c>
      <c r="J296" s="988" t="s">
        <v>217</v>
      </c>
      <c r="K296" s="988" t="s">
        <v>218</v>
      </c>
      <c r="L296" s="988" t="s">
        <v>219</v>
      </c>
      <c r="M296" s="988" t="s">
        <v>220</v>
      </c>
      <c r="N296" s="988" t="s">
        <v>221</v>
      </c>
      <c r="O296" s="988" t="s">
        <v>222</v>
      </c>
      <c r="P296" s="988" t="s">
        <v>223</v>
      </c>
      <c r="Q296" s="988" t="s">
        <v>213</v>
      </c>
      <c r="R296" s="988" t="s">
        <v>224</v>
      </c>
      <c r="S296" s="988" t="s">
        <v>31</v>
      </c>
      <c r="T296" s="988" t="s">
        <v>225</v>
      </c>
      <c r="U296" s="989">
        <v>38</v>
      </c>
    </row>
    <row r="297" spans="1:21" ht="16" thickBot="1" x14ac:dyDescent="0.25">
      <c r="A297" s="982">
        <f>+'Take Off'!BG3</f>
        <v>0</v>
      </c>
      <c r="B297" s="712">
        <f>+A296</f>
        <v>0</v>
      </c>
      <c r="C297" s="991"/>
      <c r="D297" s="1008"/>
      <c r="E297" s="993"/>
      <c r="F297" s="994"/>
      <c r="G297" s="995"/>
      <c r="H297" s="996"/>
      <c r="I297" s="995"/>
      <c r="J297" s="712">
        <f>IF(C297=0,0,B297/C297)</f>
        <v>0</v>
      </c>
      <c r="K297" s="714">
        <f>IF($G297="x",'Labor Calc'!$E$43,'Labor Calc'!$E$31)</f>
        <v>58.06944444444445</v>
      </c>
      <c r="L297" s="714">
        <f>IF($G297="x",'Labor Calc'!$F$43,'Labor Calc'!$F$31)</f>
        <v>62.358333333333327</v>
      </c>
      <c r="M297" s="714">
        <f>IF($G297="x",'Labor Calc'!$G$43,'Labor Calc'!$G$31)</f>
        <v>65.217592592592595</v>
      </c>
      <c r="N297" s="714">
        <f>IF(H297=40,K297,0)+IF(H297=50,L297,0)+IF(H297=60,M297,0)</f>
        <v>0</v>
      </c>
      <c r="O297" s="712">
        <f>IF(E297=0,0,B297/E297)</f>
        <v>0</v>
      </c>
      <c r="P297" s="715">
        <f>+J297*N297</f>
        <v>0</v>
      </c>
      <c r="Q297" s="715">
        <f>(+O297*F297)/(1-'OH&amp;P'!$C$5)</f>
        <v>0</v>
      </c>
      <c r="R297" s="715">
        <f>IF(I297="x",(J297*'Admin Set Up'!$B$17)/(1-'OH&amp;P'!$C$5),0)</f>
        <v>0</v>
      </c>
      <c r="S297" s="716">
        <f>SUM(P297:R297)</f>
        <v>0</v>
      </c>
      <c r="T297" s="717">
        <f>IF(B297=0,0,S297/B297)</f>
        <v>0</v>
      </c>
      <c r="U297" s="984"/>
    </row>
    <row r="298" spans="1:21" ht="16" hidden="1" thickBot="1" x14ac:dyDescent="0.25">
      <c r="A298" s="999"/>
      <c r="B298" s="712">
        <f>+B297</f>
        <v>0</v>
      </c>
      <c r="C298" s="991"/>
      <c r="D298" s="1008"/>
      <c r="E298" s="998"/>
      <c r="F298" s="994"/>
      <c r="G298" s="995"/>
      <c r="H298" s="996"/>
      <c r="I298" s="995"/>
      <c r="J298" s="712"/>
      <c r="K298" s="714">
        <f>IF($G298="x",'Labor Calc'!$E$43,'Labor Calc'!$E$31)</f>
        <v>58.06944444444445</v>
      </c>
      <c r="L298" s="714">
        <f>IF($G298="x",'Labor Calc'!$F$43,'Labor Calc'!$F$31)</f>
        <v>62.358333333333327</v>
      </c>
      <c r="M298" s="714">
        <f>IF($G298="x",'Labor Calc'!$G$43,'Labor Calc'!$G$31)</f>
        <v>65.217592592592595</v>
      </c>
      <c r="N298" s="714">
        <f>IF(H298=40,K298,0)+IF(H298=50,L298,0)+IF(H298=60,M298,0)</f>
        <v>0</v>
      </c>
      <c r="O298" s="712">
        <f>IF(E298=0,0,B298/E298)</f>
        <v>0</v>
      </c>
      <c r="P298" s="715">
        <f>+J298*N298</f>
        <v>0</v>
      </c>
      <c r="Q298" s="715">
        <f>(+O298*F298)/(1-'OH&amp;P'!$C$5)</f>
        <v>0</v>
      </c>
      <c r="R298" s="715">
        <f>IF(I298="x",(J298*'Admin Set Up'!$B$17)/(1-'OH&amp;P'!$C$5),0)</f>
        <v>0</v>
      </c>
      <c r="S298" s="716">
        <f>SUM(P298:R298)</f>
        <v>0</v>
      </c>
      <c r="T298" s="717">
        <f>IF(B298=0,0,S298/B298)</f>
        <v>0</v>
      </c>
      <c r="U298" s="984"/>
    </row>
    <row r="299" spans="1:21" ht="16" thickBot="1" x14ac:dyDescent="0.25">
      <c r="A299" s="1003"/>
      <c r="B299" s="1004" t="s">
        <v>226</v>
      </c>
      <c r="C299" s="719"/>
      <c r="D299" s="1005" t="s">
        <v>227</v>
      </c>
      <c r="E299" s="1006"/>
      <c r="F299" s="1006"/>
      <c r="G299" s="1092" t="s">
        <v>101</v>
      </c>
      <c r="H299" s="1092"/>
      <c r="I299" s="1092"/>
      <c r="J299" s="718">
        <f>SUM(J297:J298)</f>
        <v>0</v>
      </c>
      <c r="K299" s="719"/>
      <c r="L299" s="719"/>
      <c r="M299" s="719"/>
      <c r="N299" s="719"/>
      <c r="O299" s="720">
        <f t="shared" ref="O299:T299" si="90">SUM(O297:O298)</f>
        <v>0</v>
      </c>
      <c r="P299" s="721">
        <f t="shared" si="90"/>
        <v>0</v>
      </c>
      <c r="Q299" s="721">
        <f t="shared" si="90"/>
        <v>0</v>
      </c>
      <c r="R299" s="721">
        <f t="shared" si="90"/>
        <v>0</v>
      </c>
      <c r="S299" s="722">
        <f t="shared" si="90"/>
        <v>0</v>
      </c>
      <c r="T299" s="723">
        <f t="shared" si="90"/>
        <v>0</v>
      </c>
      <c r="U299" s="1007"/>
    </row>
    <row r="301" spans="1:21" x14ac:dyDescent="0.2">
      <c r="A301" s="982">
        <f>+'Take Off'!BH1</f>
        <v>39</v>
      </c>
      <c r="B301" s="1093">
        <f>+A301</f>
        <v>39</v>
      </c>
      <c r="C301" s="1093"/>
      <c r="D301" s="1093"/>
      <c r="E301" s="1093"/>
      <c r="F301" s="1093"/>
      <c r="G301" s="710">
        <f>+A302</f>
        <v>0</v>
      </c>
      <c r="H301" s="711">
        <f>+A303</f>
        <v>0</v>
      </c>
      <c r="I301" s="983"/>
      <c r="J301" s="983"/>
      <c r="K301" s="983"/>
      <c r="L301" s="983"/>
      <c r="M301" s="983"/>
      <c r="N301" s="983"/>
      <c r="O301" s="983"/>
      <c r="P301" s="983"/>
      <c r="Q301" s="983"/>
      <c r="R301" s="984"/>
      <c r="S301" s="984"/>
      <c r="T301" s="984"/>
      <c r="U301" s="984"/>
    </row>
    <row r="302" spans="1:21" ht="53" thickBot="1" x14ac:dyDescent="0.25">
      <c r="A302" s="982">
        <f>+'Take Off'!BH2</f>
        <v>0</v>
      </c>
      <c r="B302" s="985" t="s">
        <v>209</v>
      </c>
      <c r="C302" s="986" t="s">
        <v>210</v>
      </c>
      <c r="D302" s="985" t="s">
        <v>211</v>
      </c>
      <c r="E302" s="986" t="s">
        <v>212</v>
      </c>
      <c r="F302" s="986" t="s">
        <v>213</v>
      </c>
      <c r="G302" s="987" t="s">
        <v>214</v>
      </c>
      <c r="H302" s="987" t="s">
        <v>215</v>
      </c>
      <c r="I302" s="987" t="s">
        <v>216</v>
      </c>
      <c r="J302" s="988" t="s">
        <v>217</v>
      </c>
      <c r="K302" s="988" t="s">
        <v>218</v>
      </c>
      <c r="L302" s="988" t="s">
        <v>219</v>
      </c>
      <c r="M302" s="988" t="s">
        <v>220</v>
      </c>
      <c r="N302" s="988" t="s">
        <v>221</v>
      </c>
      <c r="O302" s="988" t="s">
        <v>222</v>
      </c>
      <c r="P302" s="988" t="s">
        <v>223</v>
      </c>
      <c r="Q302" s="988" t="s">
        <v>213</v>
      </c>
      <c r="R302" s="988" t="s">
        <v>224</v>
      </c>
      <c r="S302" s="988" t="s">
        <v>31</v>
      </c>
      <c r="T302" s="988" t="s">
        <v>225</v>
      </c>
      <c r="U302" s="989">
        <v>39</v>
      </c>
    </row>
    <row r="303" spans="1:21" ht="16" thickBot="1" x14ac:dyDescent="0.25">
      <c r="A303" s="982">
        <f>+'Take Off'!BH3</f>
        <v>0</v>
      </c>
      <c r="B303" s="712">
        <f>+A302</f>
        <v>0</v>
      </c>
      <c r="C303" s="991"/>
      <c r="D303" s="1008"/>
      <c r="E303" s="993"/>
      <c r="F303" s="994"/>
      <c r="G303" s="995"/>
      <c r="H303" s="996"/>
      <c r="I303" s="995"/>
      <c r="J303" s="712">
        <f>IF(C303=0,0,B303/C303)</f>
        <v>0</v>
      </c>
      <c r="K303" s="714">
        <f>IF($G303="x",'Labor Calc'!$E$43,'Labor Calc'!$E$31)</f>
        <v>58.06944444444445</v>
      </c>
      <c r="L303" s="714">
        <f>IF($G303="x",'Labor Calc'!$F$43,'Labor Calc'!$F$31)</f>
        <v>62.358333333333327</v>
      </c>
      <c r="M303" s="714">
        <f>IF($G303="x",'Labor Calc'!$G$43,'Labor Calc'!$G$31)</f>
        <v>65.217592592592595</v>
      </c>
      <c r="N303" s="714">
        <f>IF(H303=40,K303,0)+IF(H303=50,L303,0)+IF(H303=60,M303,0)</f>
        <v>0</v>
      </c>
      <c r="O303" s="712">
        <f>IF(E303=0,0,B303/E303)</f>
        <v>0</v>
      </c>
      <c r="P303" s="715">
        <f>+J303*N303</f>
        <v>0</v>
      </c>
      <c r="Q303" s="715">
        <f>(+O303*F303)/(1-'OH&amp;P'!$C$5)</f>
        <v>0</v>
      </c>
      <c r="R303" s="715">
        <f>IF(I303="x",(J303*'Admin Set Up'!$B$17)/(1-'OH&amp;P'!$C$5),0)</f>
        <v>0</v>
      </c>
      <c r="S303" s="716">
        <f>SUM(P303:R303)</f>
        <v>0</v>
      </c>
      <c r="T303" s="717">
        <f>IF(B303=0,0,S303/B303)</f>
        <v>0</v>
      </c>
      <c r="U303" s="984"/>
    </row>
    <row r="304" spans="1:21" ht="16" hidden="1" thickBot="1" x14ac:dyDescent="0.25">
      <c r="A304" s="999"/>
      <c r="B304" s="712">
        <f>+B303</f>
        <v>0</v>
      </c>
      <c r="C304" s="991"/>
      <c r="D304" s="1008"/>
      <c r="E304" s="998"/>
      <c r="F304" s="994"/>
      <c r="G304" s="995"/>
      <c r="H304" s="996"/>
      <c r="I304" s="995"/>
      <c r="J304" s="712"/>
      <c r="K304" s="714">
        <f>IF($G304="x",'Labor Calc'!$E$43,'Labor Calc'!$E$31)</f>
        <v>58.06944444444445</v>
      </c>
      <c r="L304" s="714">
        <f>IF($G304="x",'Labor Calc'!$F$43,'Labor Calc'!$F$31)</f>
        <v>62.358333333333327</v>
      </c>
      <c r="M304" s="714">
        <f>IF($G304="x",'Labor Calc'!$G$43,'Labor Calc'!$G$31)</f>
        <v>65.217592592592595</v>
      </c>
      <c r="N304" s="714">
        <f>IF(H304=40,K304,0)+IF(H304=50,L304,0)+IF(H304=60,M304,0)</f>
        <v>0</v>
      </c>
      <c r="O304" s="712">
        <f>IF(E304=0,0,B304/E304)</f>
        <v>0</v>
      </c>
      <c r="P304" s="715">
        <f>+J304*N304</f>
        <v>0</v>
      </c>
      <c r="Q304" s="715">
        <f>(+O304*F304)/(1-'OH&amp;P'!$C$5)</f>
        <v>0</v>
      </c>
      <c r="R304" s="715">
        <f>IF(I304="x",(J304*'Admin Set Up'!$B$17)/(1-'OH&amp;P'!$C$5),0)</f>
        <v>0</v>
      </c>
      <c r="S304" s="716">
        <f>SUM(P304:R304)</f>
        <v>0</v>
      </c>
      <c r="T304" s="717">
        <f>IF(B304=0,0,S304/B304)</f>
        <v>0</v>
      </c>
      <c r="U304" s="984"/>
    </row>
    <row r="305" spans="1:21" ht="16" thickBot="1" x14ac:dyDescent="0.25">
      <c r="A305" s="1003"/>
      <c r="B305" s="1004" t="s">
        <v>226</v>
      </c>
      <c r="C305" s="719"/>
      <c r="D305" s="1005" t="s">
        <v>227</v>
      </c>
      <c r="E305" s="1006"/>
      <c r="F305" s="1006"/>
      <c r="G305" s="1092" t="s">
        <v>101</v>
      </c>
      <c r="H305" s="1092"/>
      <c r="I305" s="1092"/>
      <c r="J305" s="718">
        <f>SUM(J303:J304)</f>
        <v>0</v>
      </c>
      <c r="K305" s="719"/>
      <c r="L305" s="719"/>
      <c r="M305" s="719"/>
      <c r="N305" s="719"/>
      <c r="O305" s="720">
        <f t="shared" ref="O305:T305" si="91">SUM(O303:O304)</f>
        <v>0</v>
      </c>
      <c r="P305" s="721">
        <f t="shared" si="91"/>
        <v>0</v>
      </c>
      <c r="Q305" s="721">
        <f t="shared" si="91"/>
        <v>0</v>
      </c>
      <c r="R305" s="721">
        <f t="shared" si="91"/>
        <v>0</v>
      </c>
      <c r="S305" s="722">
        <f t="shared" si="91"/>
        <v>0</v>
      </c>
      <c r="T305" s="723">
        <f t="shared" si="91"/>
        <v>0</v>
      </c>
      <c r="U305" s="1007"/>
    </row>
    <row r="307" spans="1:21" x14ac:dyDescent="0.2">
      <c r="A307" s="982">
        <f>+'Take Off'!BI1</f>
        <v>40</v>
      </c>
      <c r="B307" s="1093">
        <f>+A307</f>
        <v>40</v>
      </c>
      <c r="C307" s="1093"/>
      <c r="D307" s="1093"/>
      <c r="E307" s="1093"/>
      <c r="F307" s="1093"/>
      <c r="G307" s="710">
        <f>+A308</f>
        <v>0</v>
      </c>
      <c r="H307" s="711">
        <f>+A309</f>
        <v>0</v>
      </c>
      <c r="I307" s="983"/>
      <c r="J307" s="983"/>
      <c r="K307" s="983"/>
      <c r="L307" s="983"/>
      <c r="M307" s="983"/>
      <c r="N307" s="983"/>
      <c r="O307" s="983"/>
      <c r="P307" s="983"/>
      <c r="Q307" s="983"/>
      <c r="R307" s="984"/>
      <c r="S307" s="984"/>
      <c r="T307" s="984"/>
      <c r="U307" s="984"/>
    </row>
    <row r="308" spans="1:21" ht="53" thickBot="1" x14ac:dyDescent="0.25">
      <c r="A308" s="982">
        <f>+'Take Off'!BI2</f>
        <v>0</v>
      </c>
      <c r="B308" s="985" t="s">
        <v>209</v>
      </c>
      <c r="C308" s="986" t="s">
        <v>210</v>
      </c>
      <c r="D308" s="985" t="s">
        <v>211</v>
      </c>
      <c r="E308" s="986" t="s">
        <v>212</v>
      </c>
      <c r="F308" s="986" t="s">
        <v>213</v>
      </c>
      <c r="G308" s="987" t="s">
        <v>214</v>
      </c>
      <c r="H308" s="987" t="s">
        <v>215</v>
      </c>
      <c r="I308" s="987" t="s">
        <v>216</v>
      </c>
      <c r="J308" s="988" t="s">
        <v>217</v>
      </c>
      <c r="K308" s="988" t="s">
        <v>218</v>
      </c>
      <c r="L308" s="988" t="s">
        <v>219</v>
      </c>
      <c r="M308" s="988" t="s">
        <v>220</v>
      </c>
      <c r="N308" s="988" t="s">
        <v>221</v>
      </c>
      <c r="O308" s="988" t="s">
        <v>222</v>
      </c>
      <c r="P308" s="988" t="s">
        <v>223</v>
      </c>
      <c r="Q308" s="988" t="s">
        <v>213</v>
      </c>
      <c r="R308" s="988" t="s">
        <v>224</v>
      </c>
      <c r="S308" s="988" t="s">
        <v>31</v>
      </c>
      <c r="T308" s="988" t="s">
        <v>225</v>
      </c>
      <c r="U308" s="989">
        <v>40</v>
      </c>
    </row>
    <row r="309" spans="1:21" ht="16" thickBot="1" x14ac:dyDescent="0.25">
      <c r="A309" s="982">
        <f>+'Take Off'!BI3</f>
        <v>0</v>
      </c>
      <c r="B309" s="712">
        <f>+A308</f>
        <v>0</v>
      </c>
      <c r="C309" s="991"/>
      <c r="D309" s="1008"/>
      <c r="E309" s="993"/>
      <c r="F309" s="994"/>
      <c r="G309" s="995"/>
      <c r="H309" s="996"/>
      <c r="I309" s="995"/>
      <c r="J309" s="712">
        <f>IF(C309=0,0,B309/C309)</f>
        <v>0</v>
      </c>
      <c r="K309" s="714">
        <f>IF($G309="x",'Labor Calc'!$E$43,'Labor Calc'!$E$31)</f>
        <v>58.06944444444445</v>
      </c>
      <c r="L309" s="714">
        <f>IF($G309="x",'Labor Calc'!$F$43,'Labor Calc'!$F$31)</f>
        <v>62.358333333333327</v>
      </c>
      <c r="M309" s="714">
        <f>IF($G309="x",'Labor Calc'!$G$43,'Labor Calc'!$G$31)</f>
        <v>65.217592592592595</v>
      </c>
      <c r="N309" s="714">
        <f>IF(H309=40,K309,0)+IF(H309=50,L309,0)+IF(H309=60,M309,0)</f>
        <v>0</v>
      </c>
      <c r="O309" s="712">
        <f>IF(E309=0,0,B309/E309)</f>
        <v>0</v>
      </c>
      <c r="P309" s="715">
        <f>+J309*N309</f>
        <v>0</v>
      </c>
      <c r="Q309" s="715">
        <f>(+O309*F309)/(1-'OH&amp;P'!$C$5)</f>
        <v>0</v>
      </c>
      <c r="R309" s="715">
        <f>IF(I309="x",(J309*'Admin Set Up'!$B$17)/(1-'OH&amp;P'!$C$5),0)</f>
        <v>0</v>
      </c>
      <c r="S309" s="716">
        <f>SUM(P309:R309)</f>
        <v>0</v>
      </c>
      <c r="T309" s="717">
        <f>IF(B309=0,0,S309/B309)</f>
        <v>0</v>
      </c>
      <c r="U309" s="984"/>
    </row>
    <row r="310" spans="1:21" ht="16" hidden="1" thickBot="1" x14ac:dyDescent="0.25">
      <c r="A310" s="999"/>
      <c r="B310" s="712">
        <f>+B309</f>
        <v>0</v>
      </c>
      <c r="C310" s="991"/>
      <c r="D310" s="1008"/>
      <c r="E310" s="998"/>
      <c r="F310" s="994"/>
      <c r="G310" s="995"/>
      <c r="H310" s="996"/>
      <c r="I310" s="995"/>
      <c r="J310" s="712"/>
      <c r="K310" s="714">
        <f>IF($G310="x",'Labor Calc'!$E$43,'Labor Calc'!$E$31)</f>
        <v>58.06944444444445</v>
      </c>
      <c r="L310" s="714">
        <f>IF($G310="x",'Labor Calc'!$F$43,'Labor Calc'!$F$31)</f>
        <v>62.358333333333327</v>
      </c>
      <c r="M310" s="714">
        <f>IF($G310="x",'Labor Calc'!$G$43,'Labor Calc'!$G$31)</f>
        <v>65.217592592592595</v>
      </c>
      <c r="N310" s="714">
        <f>IF(H310=40,K310,0)+IF(H310=50,L310,0)+IF(H310=60,M310,0)</f>
        <v>0</v>
      </c>
      <c r="O310" s="712">
        <f>IF(E310=0,0,B310/E310)</f>
        <v>0</v>
      </c>
      <c r="P310" s="715">
        <f>+J310*N310</f>
        <v>0</v>
      </c>
      <c r="Q310" s="715">
        <f>(+O310*F310)/(1-'OH&amp;P'!$C$5)</f>
        <v>0</v>
      </c>
      <c r="R310" s="715">
        <f>IF(I310="x",(J310*'Admin Set Up'!$B$17)/(1-'OH&amp;P'!$C$5),0)</f>
        <v>0</v>
      </c>
      <c r="S310" s="716">
        <f>SUM(P310:R310)</f>
        <v>0</v>
      </c>
      <c r="T310" s="717">
        <f>IF(B310=0,0,S310/B310)</f>
        <v>0</v>
      </c>
      <c r="U310" s="984"/>
    </row>
    <row r="311" spans="1:21" ht="16" thickBot="1" x14ac:dyDescent="0.25">
      <c r="A311" s="1003"/>
      <c r="B311" s="1004" t="s">
        <v>226</v>
      </c>
      <c r="C311" s="719"/>
      <c r="D311" s="1005" t="s">
        <v>227</v>
      </c>
      <c r="E311" s="1006"/>
      <c r="F311" s="1006"/>
      <c r="G311" s="1092" t="s">
        <v>101</v>
      </c>
      <c r="H311" s="1092"/>
      <c r="I311" s="1092"/>
      <c r="J311" s="718">
        <f>SUM(J309:J310)</f>
        <v>0</v>
      </c>
      <c r="K311" s="719"/>
      <c r="L311" s="719"/>
      <c r="M311" s="719"/>
      <c r="N311" s="719"/>
      <c r="O311" s="720">
        <f t="shared" ref="O311:T311" si="92">SUM(O309:O310)</f>
        <v>0</v>
      </c>
      <c r="P311" s="721">
        <f t="shared" si="92"/>
        <v>0</v>
      </c>
      <c r="Q311" s="721">
        <f t="shared" si="92"/>
        <v>0</v>
      </c>
      <c r="R311" s="721">
        <f t="shared" si="92"/>
        <v>0</v>
      </c>
      <c r="S311" s="722">
        <f t="shared" si="92"/>
        <v>0</v>
      </c>
      <c r="T311" s="723">
        <f t="shared" si="92"/>
        <v>0</v>
      </c>
      <c r="U311" s="1007"/>
    </row>
  </sheetData>
  <mergeCells count="81">
    <mergeCell ref="B289:F289"/>
    <mergeCell ref="B295:F295"/>
    <mergeCell ref="B301:F301"/>
    <mergeCell ref="B307:F307"/>
    <mergeCell ref="B246:F246"/>
    <mergeCell ref="B256:F256"/>
    <mergeCell ref="B265:F265"/>
    <mergeCell ref="B271:F271"/>
    <mergeCell ref="B277:F277"/>
    <mergeCell ref="B283:F283"/>
    <mergeCell ref="B239:F239"/>
    <mergeCell ref="B147:F147"/>
    <mergeCell ref="B157:F157"/>
    <mergeCell ref="B165:F165"/>
    <mergeCell ref="B174:F174"/>
    <mergeCell ref="B182:F182"/>
    <mergeCell ref="B190:F190"/>
    <mergeCell ref="B198:F198"/>
    <mergeCell ref="B207:F207"/>
    <mergeCell ref="B215:F215"/>
    <mergeCell ref="B223:F223"/>
    <mergeCell ref="B231:F231"/>
    <mergeCell ref="B138:F138"/>
    <mergeCell ref="B54:F54"/>
    <mergeCell ref="B60:F60"/>
    <mergeCell ref="B68:F68"/>
    <mergeCell ref="B76:F76"/>
    <mergeCell ref="B82:F82"/>
    <mergeCell ref="B89:F89"/>
    <mergeCell ref="B97:F97"/>
    <mergeCell ref="B105:F105"/>
    <mergeCell ref="B114:F114"/>
    <mergeCell ref="B122:F122"/>
    <mergeCell ref="B130:F130"/>
    <mergeCell ref="B21:F21"/>
    <mergeCell ref="B29:F29"/>
    <mergeCell ref="B38:F38"/>
    <mergeCell ref="B46:F46"/>
    <mergeCell ref="A2:U2"/>
    <mergeCell ref="B4:F4"/>
    <mergeCell ref="B13:F13"/>
    <mergeCell ref="G11:I11"/>
    <mergeCell ref="G19:I19"/>
    <mergeCell ref="G27:I27"/>
    <mergeCell ref="G36:I36"/>
    <mergeCell ref="G44:I44"/>
    <mergeCell ref="G52:I52"/>
    <mergeCell ref="G58:I58"/>
    <mergeCell ref="G66:I66"/>
    <mergeCell ref="G74:I74"/>
    <mergeCell ref="G80:I80"/>
    <mergeCell ref="G87:I87"/>
    <mergeCell ref="G95:I95"/>
    <mergeCell ref="G103:I103"/>
    <mergeCell ref="G112:I112"/>
    <mergeCell ref="G120:I120"/>
    <mergeCell ref="G128:I128"/>
    <mergeCell ref="G136:I136"/>
    <mergeCell ref="G145:I145"/>
    <mergeCell ref="G155:I155"/>
    <mergeCell ref="G163:I163"/>
    <mergeCell ref="G172:I172"/>
    <mergeCell ref="G180:I180"/>
    <mergeCell ref="G188:I188"/>
    <mergeCell ref="G196:I196"/>
    <mergeCell ref="G205:I205"/>
    <mergeCell ref="G213:I213"/>
    <mergeCell ref="G221:I221"/>
    <mergeCell ref="G229:I229"/>
    <mergeCell ref="G237:I237"/>
    <mergeCell ref="G244:I244"/>
    <mergeCell ref="G254:I254"/>
    <mergeCell ref="G263:I263"/>
    <mergeCell ref="G269:I269"/>
    <mergeCell ref="G275:I275"/>
    <mergeCell ref="G281:I281"/>
    <mergeCell ref="G287:I287"/>
    <mergeCell ref="G293:I293"/>
    <mergeCell ref="G299:I299"/>
    <mergeCell ref="G305:I305"/>
    <mergeCell ref="G311:I311"/>
  </mergeCells>
  <dataValidations count="3">
    <dataValidation type="list" allowBlank="1" showInputMessage="1" showErrorMessage="1" sqref="D56:D57 D62:D65 D48:D51 D78:D79 D84:D86 D91:D94 D70:D73 D107:D111 D99:D102 D116:D119 D124:D127 D140:D144 D225:D228 D132:D135 D167:D171 D176:D179 D184:D187 D192:D195 D200:D204 D209:D212 D217:D220 D159:D162 D241:D243 D248:D253 D233:D236 D267:D268 D273:D274 D279:D280 D285:D286 D291:D292 D297:D298 D303:D304 D309:D310 D15:D18 D6:D10 D23:D26 D40:D43 D31:D35 D258:D262 D149:D154">
      <formula1>material</formula1>
    </dataValidation>
    <dataValidation type="list" allowBlank="1" showInputMessage="1" showErrorMessage="1" promptTitle="WW" prompt="Select Work Week" sqref="H10 H18 H26 H35 H43 H51 H57 H65 H73 H79 H86 H94 H102 H111 H119 H127 H135 H144 H154 H162 H171 H179 H187 H195 H204 H212 H220 H228 H236 H243">
      <formula1>ww</formula1>
    </dataValidation>
    <dataValidation type="list" allowBlank="1" showInputMessage="1" showErrorMessage="1" promptTitle="Shift Type" prompt="Select Work Week" sqref="H6:H9 H309:H310 H15:H17 H23:H25 H40:H42 H31:H34 H56 H62:H64 H48:H50 H78 H84:H85 H91:H93 H70:H72 H107:H110 H99:H101 H116:H118 H124:H126 H140:H143 H149:H153 H225:H227 H132:H134 H167:H170 H176:H178 H184:H186 H192:H194 H200:H203 H209:H211 H217:H219 H159:H161 H241:H242 H248:H253 H233:H235 H267:H268 H273:H274 H279:H280 H285:H286 H291:H292 H297:H298 H303:H304 H258:H262">
      <formula1>ww</formula1>
    </dataValidation>
  </dataValidations>
  <pageMargins left="0.75" right="0.75" top="1" bottom="1" header="0.5" footer="0.5"/>
  <pageSetup orientation="portrait" horizontalDpi="4294967292" verticalDpi="4294967292"/>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enableFormatConditionsCalculation="0">
    <tabColor rgb="FFA14D07"/>
  </sheetPr>
  <dimension ref="A1:V193"/>
  <sheetViews>
    <sheetView topLeftCell="B10" zoomScale="120" zoomScaleNormal="120" zoomScalePageLayoutView="120" workbookViewId="0">
      <selection activeCell="W27" sqref="W27"/>
    </sheetView>
  </sheetViews>
  <sheetFormatPr baseColWidth="10" defaultColWidth="11.5" defaultRowHeight="15" x14ac:dyDescent="0.2"/>
  <cols>
    <col min="1" max="1" width="11.5" style="10" hidden="1" customWidth="1"/>
    <col min="2" max="2" width="11" style="10" customWidth="1"/>
    <col min="3" max="3" width="7.1640625" style="10" customWidth="1"/>
    <col min="4" max="4" width="18" style="10" customWidth="1"/>
    <col min="5" max="5" width="6.1640625" style="10" customWidth="1"/>
    <col min="6" max="6" width="7" style="10" customWidth="1"/>
    <col min="7" max="7" width="3" style="10" customWidth="1"/>
    <col min="8" max="8" width="5.5" style="10" customWidth="1"/>
    <col min="9" max="9" width="3" style="10" customWidth="1"/>
    <col min="10" max="10" width="5.6640625" style="10" customWidth="1"/>
    <col min="11" max="14" width="6.83203125" style="10" hidden="1" customWidth="1"/>
    <col min="15" max="15" width="7.5" style="10" customWidth="1"/>
    <col min="16" max="17" width="7.6640625" style="10" customWidth="1"/>
    <col min="18" max="18" width="6.6640625" style="10" customWidth="1"/>
    <col min="19" max="19" width="9.6640625" style="10" customWidth="1"/>
    <col min="20" max="20" width="8.6640625" style="10" customWidth="1"/>
    <col min="21" max="16384" width="11.5" style="10"/>
  </cols>
  <sheetData>
    <row r="1" spans="1:22" ht="7.5" customHeight="1" x14ac:dyDescent="0.2"/>
    <row r="2" spans="1:22" ht="33.75" customHeight="1" x14ac:dyDescent="0.2">
      <c r="A2" s="1100" t="s">
        <v>381</v>
      </c>
      <c r="B2" s="1100"/>
      <c r="C2" s="1100"/>
      <c r="D2" s="1100"/>
      <c r="E2" s="1100"/>
      <c r="F2" s="1100"/>
      <c r="G2" s="1100"/>
      <c r="H2" s="1100"/>
      <c r="I2" s="1100"/>
      <c r="J2" s="1100"/>
      <c r="K2" s="1100"/>
      <c r="L2" s="1100"/>
      <c r="M2" s="1100"/>
      <c r="N2" s="1100"/>
      <c r="O2" s="1100"/>
      <c r="P2" s="1100"/>
      <c r="Q2" s="1100"/>
      <c r="R2" s="1100"/>
      <c r="S2" s="1100"/>
      <c r="T2" s="1100"/>
      <c r="U2" s="1100"/>
    </row>
    <row r="3" spans="1:22" ht="9" customHeight="1" x14ac:dyDescent="0.2">
      <c r="A3" s="494"/>
      <c r="B3" s="494"/>
      <c r="C3" s="494"/>
      <c r="D3" s="494"/>
      <c r="E3" s="494"/>
      <c r="F3" s="494"/>
      <c r="G3" s="494"/>
      <c r="H3" s="494"/>
      <c r="I3" s="494"/>
      <c r="J3" s="494"/>
      <c r="K3" s="494"/>
      <c r="L3" s="494"/>
      <c r="M3" s="494"/>
      <c r="N3" s="494"/>
      <c r="O3" s="494"/>
      <c r="P3" s="494"/>
      <c r="Q3" s="494"/>
      <c r="R3" s="494"/>
      <c r="S3" s="494"/>
      <c r="T3" s="494"/>
      <c r="U3" s="494"/>
    </row>
    <row r="4" spans="1:22" ht="15" customHeight="1" x14ac:dyDescent="0.2">
      <c r="A4" s="110" t="str">
        <f>+'Take Off'!V1290</f>
        <v>Mech Screen Framing</v>
      </c>
      <c r="B4" s="1099" t="str">
        <f>+A4</f>
        <v>Mech Screen Framing</v>
      </c>
      <c r="C4" s="1099"/>
      <c r="D4" s="1099"/>
      <c r="E4" s="1099"/>
      <c r="F4" s="1099"/>
      <c r="G4" s="135">
        <f>+A5</f>
        <v>123028.96</v>
      </c>
      <c r="H4" s="111">
        <f>+A6</f>
        <v>0</v>
      </c>
      <c r="I4" s="91"/>
      <c r="J4" s="91"/>
      <c r="K4" s="91"/>
      <c r="L4" s="91"/>
      <c r="M4" s="91"/>
      <c r="N4" s="91"/>
      <c r="O4" s="91"/>
      <c r="P4" s="91"/>
      <c r="Q4" s="91"/>
      <c r="R4" s="92"/>
      <c r="S4" s="92"/>
      <c r="T4" s="92"/>
      <c r="U4" s="92"/>
    </row>
    <row r="5" spans="1:22" ht="51.75" customHeight="1" thickBot="1" x14ac:dyDescent="0.25">
      <c r="A5" s="110">
        <f>+'Take Off'!V1291</f>
        <v>123028.96</v>
      </c>
      <c r="B5" s="93" t="s">
        <v>209</v>
      </c>
      <c r="C5" s="94" t="s">
        <v>210</v>
      </c>
      <c r="D5" s="93" t="s">
        <v>211</v>
      </c>
      <c r="E5" s="94" t="s">
        <v>212</v>
      </c>
      <c r="F5" s="94" t="s">
        <v>213</v>
      </c>
      <c r="G5" s="104" t="s">
        <v>214</v>
      </c>
      <c r="H5" s="104" t="s">
        <v>215</v>
      </c>
      <c r="I5" s="104" t="s">
        <v>216</v>
      </c>
      <c r="J5" s="95" t="s">
        <v>217</v>
      </c>
      <c r="K5" s="95" t="s">
        <v>218</v>
      </c>
      <c r="L5" s="95" t="s">
        <v>219</v>
      </c>
      <c r="M5" s="95" t="s">
        <v>220</v>
      </c>
      <c r="N5" s="95" t="s">
        <v>221</v>
      </c>
      <c r="O5" s="95" t="s">
        <v>222</v>
      </c>
      <c r="P5" s="95" t="s">
        <v>223</v>
      </c>
      <c r="Q5" s="95" t="s">
        <v>213</v>
      </c>
      <c r="R5" s="95" t="s">
        <v>224</v>
      </c>
      <c r="S5" s="95" t="s">
        <v>31</v>
      </c>
      <c r="T5" s="95" t="s">
        <v>225</v>
      </c>
      <c r="U5" s="547" t="s">
        <v>382</v>
      </c>
      <c r="V5" s="466"/>
    </row>
    <row r="6" spans="1:22" ht="16" thickBot="1" x14ac:dyDescent="0.25">
      <c r="A6" s="110">
        <f>+'Take Off'!V1292</f>
        <v>0</v>
      </c>
      <c r="B6" s="100">
        <f>+A5</f>
        <v>123028.96</v>
      </c>
      <c r="C6" s="81">
        <v>300</v>
      </c>
      <c r="D6" s="467" t="s">
        <v>1019</v>
      </c>
      <c r="E6" s="82">
        <v>130</v>
      </c>
      <c r="F6" s="83">
        <v>40</v>
      </c>
      <c r="G6" s="84"/>
      <c r="H6" s="88">
        <v>40</v>
      </c>
      <c r="I6" s="84" t="s">
        <v>1013</v>
      </c>
      <c r="J6" s="100">
        <f t="shared" ref="J6:J9" si="0">IF(C6=0,0,B6/C6)</f>
        <v>410.09653333333335</v>
      </c>
      <c r="K6" s="101">
        <f>IF($G6="x",'Labor Calc'!$E$43,'Labor Calc'!$E$31)</f>
        <v>58.06944444444445</v>
      </c>
      <c r="L6" s="101">
        <f>IF($G6="x",'Labor Calc'!$F$43,'Labor Calc'!$F$31)</f>
        <v>62.358333333333327</v>
      </c>
      <c r="M6" s="101">
        <f>IF($G6="x",'Labor Calc'!$G$43,'Labor Calc'!$G$31)</f>
        <v>65.217592592592595</v>
      </c>
      <c r="N6" s="101">
        <f t="shared" ref="N6:N9" si="1">IF(H6=40,K6,0)+IF(H6=50,L6,0)+IF(H6=60,M6,0)</f>
        <v>58.06944444444445</v>
      </c>
      <c r="O6" s="100">
        <f t="shared" ref="O6:O9" si="2">IF(E6=0,0,B6/E6)</f>
        <v>946.37661538461543</v>
      </c>
      <c r="P6" s="108">
        <f t="shared" ref="P6:P9" si="3">+J6*N6</f>
        <v>23814.077859259261</v>
      </c>
      <c r="Q6" s="108">
        <f>(+O6*F6)/(1-'OH&amp;P'!$C$5)</f>
        <v>46734.647673314343</v>
      </c>
      <c r="R6" s="108">
        <f>IF(I6="x",(J6*'Admin Set Up'!$B$17)/(1-'OH&amp;P'!$C$5),0)</f>
        <v>1012.5840329218107</v>
      </c>
      <c r="S6" s="106">
        <f t="shared" ref="S6:S9" si="4">SUM(P6:R6)</f>
        <v>71561.309565495409</v>
      </c>
      <c r="T6" s="102">
        <f t="shared" ref="T6:T9" si="5">IF(B6=0,0,S6/B6)</f>
        <v>0.58166231402342505</v>
      </c>
      <c r="U6" s="92"/>
      <c r="V6" s="13"/>
    </row>
    <row r="7" spans="1:22" ht="16" thickBot="1" x14ac:dyDescent="0.25">
      <c r="A7" s="110"/>
      <c r="B7" s="100">
        <f>+B6</f>
        <v>123028.96</v>
      </c>
      <c r="C7" s="81">
        <v>200</v>
      </c>
      <c r="D7" s="467" t="s">
        <v>1071</v>
      </c>
      <c r="E7" s="1057">
        <v>300</v>
      </c>
      <c r="F7" s="83">
        <v>60</v>
      </c>
      <c r="G7" s="84"/>
      <c r="H7" s="88">
        <v>40</v>
      </c>
      <c r="I7" s="84" t="s">
        <v>1013</v>
      </c>
      <c r="J7" s="100">
        <f t="shared" ref="J7" si="6">IF(C7=0,0,B7/C7)</f>
        <v>615.14480000000003</v>
      </c>
      <c r="K7" s="101">
        <f>IF($G7="x",'Labor Calc'!$E$43,'Labor Calc'!$E$31)</f>
        <v>58.06944444444445</v>
      </c>
      <c r="L7" s="101">
        <f>IF($G7="x",'Labor Calc'!$F$43,'Labor Calc'!$F$31)</f>
        <v>62.358333333333327</v>
      </c>
      <c r="M7" s="101">
        <f>IF($G7="x",'Labor Calc'!$G$43,'Labor Calc'!$G$31)</f>
        <v>65.217592592592595</v>
      </c>
      <c r="N7" s="101">
        <f t="shared" ref="N7" si="7">IF(H7=40,K7,0)+IF(H7=50,L7,0)+IF(H7=60,M7,0)</f>
        <v>58.06944444444445</v>
      </c>
      <c r="O7" s="100">
        <f t="shared" ref="O7" si="8">IF(E7=0,0,B7/E7)</f>
        <v>410.09653333333335</v>
      </c>
      <c r="P7" s="108">
        <f t="shared" ref="P7" si="9">+J7*N7</f>
        <v>35721.116788888896</v>
      </c>
      <c r="Q7" s="108">
        <f>(+O7*F7)/(1-'OH&amp;P'!$C$5)</f>
        <v>30377.520987654319</v>
      </c>
      <c r="R7" s="108">
        <f>IF(I7="x",(J7*'Admin Set Up'!$B$17)/(1-'OH&amp;P'!$C$5),0)</f>
        <v>1518.876049382716</v>
      </c>
      <c r="S7" s="106">
        <f t="shared" ref="S7" si="10">SUM(P7:R7)</f>
        <v>67617.513825925926</v>
      </c>
      <c r="T7" s="102">
        <f t="shared" ref="T7" si="11">IF(B7=0,0,S7/B7)</f>
        <v>0.5496064814814815</v>
      </c>
      <c r="U7" s="92"/>
      <c r="V7" s="13"/>
    </row>
    <row r="8" spans="1:22" ht="16" thickBot="1" x14ac:dyDescent="0.25">
      <c r="A8" s="110"/>
      <c r="B8" s="100">
        <f>+B7</f>
        <v>123028.96</v>
      </c>
      <c r="C8" s="81">
        <v>200</v>
      </c>
      <c r="D8" s="467" t="s">
        <v>1071</v>
      </c>
      <c r="E8" s="1057">
        <v>300</v>
      </c>
      <c r="F8" s="83">
        <v>60</v>
      </c>
      <c r="G8" s="84"/>
      <c r="H8" s="88">
        <v>40</v>
      </c>
      <c r="I8" s="84" t="s">
        <v>1013</v>
      </c>
      <c r="J8" s="100">
        <f t="shared" ref="J8" si="12">IF(C8=0,0,B8/C8)</f>
        <v>615.14480000000003</v>
      </c>
      <c r="K8" s="101">
        <f>IF($G8="x",'Labor Calc'!$E$43,'Labor Calc'!$E$31)</f>
        <v>58.06944444444445</v>
      </c>
      <c r="L8" s="101">
        <f>IF($G8="x",'Labor Calc'!$F$43,'Labor Calc'!$F$31)</f>
        <v>62.358333333333327</v>
      </c>
      <c r="M8" s="101">
        <f>IF($G8="x",'Labor Calc'!$G$43,'Labor Calc'!$G$31)</f>
        <v>65.217592592592595</v>
      </c>
      <c r="N8" s="101">
        <f t="shared" ref="N8" si="13">IF(H8=40,K8,0)+IF(H8=50,L8,0)+IF(H8=60,M8,0)</f>
        <v>58.06944444444445</v>
      </c>
      <c r="O8" s="100">
        <f t="shared" ref="O8" si="14">IF(E8=0,0,B8/E8)</f>
        <v>410.09653333333335</v>
      </c>
      <c r="P8" s="108">
        <f t="shared" ref="P8" si="15">+J8*N8</f>
        <v>35721.116788888896</v>
      </c>
      <c r="Q8" s="108">
        <f>(+O8*F8)/(1-'OH&amp;P'!$C$5)</f>
        <v>30377.520987654319</v>
      </c>
      <c r="R8" s="108">
        <f>IF(I8="x",(J8*'Admin Set Up'!$B$17)/(1-'OH&amp;P'!$C$5),0)</f>
        <v>1518.876049382716</v>
      </c>
      <c r="S8" s="106">
        <f t="shared" ref="S8" si="16">SUM(P8:R8)</f>
        <v>67617.513825925926</v>
      </c>
      <c r="T8" s="102">
        <f t="shared" ref="T8" si="17">IF(B8=0,0,S8/B8)</f>
        <v>0.5496064814814815</v>
      </c>
      <c r="U8" s="92"/>
      <c r="V8" s="13"/>
    </row>
    <row r="9" spans="1:22" ht="16" hidden="1" thickBot="1" x14ac:dyDescent="0.25">
      <c r="A9" s="80"/>
      <c r="B9" s="103">
        <f>+B6</f>
        <v>123028.96</v>
      </c>
      <c r="C9" s="81"/>
      <c r="D9" s="79"/>
      <c r="E9" s="85"/>
      <c r="F9" s="86"/>
      <c r="G9" s="84"/>
      <c r="H9" s="88"/>
      <c r="I9" s="84"/>
      <c r="J9" s="100">
        <f t="shared" si="0"/>
        <v>0</v>
      </c>
      <c r="K9" s="101">
        <f>IF($G9="x",'Labor Calc'!$E$43,'Labor Calc'!$E$31)</f>
        <v>58.06944444444445</v>
      </c>
      <c r="L9" s="101">
        <f>IF($G9="x",'Labor Calc'!$F$43,'Labor Calc'!$F$31)</f>
        <v>62.358333333333327</v>
      </c>
      <c r="M9" s="101">
        <f>IF($G9="x",'Labor Calc'!$G$43,'Labor Calc'!$G$31)</f>
        <v>65.217592592592595</v>
      </c>
      <c r="N9" s="101">
        <f t="shared" si="1"/>
        <v>0</v>
      </c>
      <c r="O9" s="100">
        <f t="shared" si="2"/>
        <v>0</v>
      </c>
      <c r="P9" s="108">
        <f t="shared" si="3"/>
        <v>0</v>
      </c>
      <c r="Q9" s="108">
        <f>(+O9*F9)/(1-'OH&amp;P'!$C$5)</f>
        <v>0</v>
      </c>
      <c r="R9" s="108">
        <f>IF(I9="x",(J9*'Admin Set Up'!$B$17)/(1-'OH&amp;P'!$C$5),0)</f>
        <v>0</v>
      </c>
      <c r="S9" s="106">
        <f t="shared" si="4"/>
        <v>0</v>
      </c>
      <c r="T9" s="102">
        <f t="shared" si="5"/>
        <v>0</v>
      </c>
      <c r="U9" s="92"/>
    </row>
    <row r="10" spans="1:22" ht="16" thickBot="1" x14ac:dyDescent="0.25">
      <c r="A10" s="87"/>
      <c r="B10" s="105" t="s">
        <v>226</v>
      </c>
      <c r="C10" s="90"/>
      <c r="D10" s="89" t="s">
        <v>227</v>
      </c>
      <c r="E10" s="96"/>
      <c r="F10" s="96"/>
      <c r="G10" s="1101" t="s">
        <v>101</v>
      </c>
      <c r="H10" s="1101"/>
      <c r="I10" s="1101"/>
      <c r="J10" s="97">
        <f>SUM(J6:J9)</f>
        <v>1640.3861333333334</v>
      </c>
      <c r="K10" s="90"/>
      <c r="L10" s="90"/>
      <c r="M10" s="90"/>
      <c r="N10" s="90"/>
      <c r="O10" s="98">
        <f t="shared" ref="O10:T10" si="18">SUM(O6:O9)</f>
        <v>1766.5696820512821</v>
      </c>
      <c r="P10" s="109">
        <f t="shared" si="18"/>
        <v>95256.311437037046</v>
      </c>
      <c r="Q10" s="109">
        <f t="shared" si="18"/>
        <v>107489.68964862298</v>
      </c>
      <c r="R10" s="109">
        <f t="shared" si="18"/>
        <v>4050.3361316872424</v>
      </c>
      <c r="S10" s="107">
        <f t="shared" si="18"/>
        <v>206796.33721734729</v>
      </c>
      <c r="T10" s="99">
        <f t="shared" si="18"/>
        <v>1.6808752769863879</v>
      </c>
      <c r="U10" s="32"/>
    </row>
    <row r="11" spans="1:22" ht="3" customHeight="1" x14ac:dyDescent="0.2">
      <c r="A11" s="87"/>
      <c r="B11" s="536"/>
      <c r="C11" s="143"/>
      <c r="D11" s="537"/>
      <c r="E11" s="538"/>
      <c r="F11" s="538"/>
      <c r="G11" s="520"/>
      <c r="H11" s="520"/>
      <c r="I11" s="520"/>
      <c r="J11" s="521"/>
      <c r="K11" s="143"/>
      <c r="L11" s="143"/>
      <c r="M11" s="143"/>
      <c r="N11" s="143"/>
      <c r="O11" s="522"/>
      <c r="P11" s="523"/>
      <c r="Q11" s="523"/>
      <c r="R11" s="523"/>
      <c r="S11" s="529"/>
      <c r="T11" s="525"/>
      <c r="U11" s="32"/>
    </row>
    <row r="12" spans="1:22" ht="26.25" customHeight="1" x14ac:dyDescent="0.2">
      <c r="A12" s="87"/>
      <c r="B12" s="1102" t="s">
        <v>359</v>
      </c>
      <c r="C12" s="1102"/>
      <c r="D12" s="526" t="s">
        <v>169</v>
      </c>
      <c r="E12" s="527" t="s">
        <v>85</v>
      </c>
      <c r="F12" s="528" t="s">
        <v>19</v>
      </c>
      <c r="G12" s="1103" t="s">
        <v>170</v>
      </c>
      <c r="H12" s="1103"/>
      <c r="I12" s="502"/>
      <c r="J12" s="503"/>
      <c r="K12" s="28"/>
      <c r="L12" s="28"/>
      <c r="M12" s="28"/>
      <c r="N12" s="28"/>
      <c r="O12" s="504"/>
      <c r="P12" s="505"/>
      <c r="Q12" s="505"/>
      <c r="R12" s="505"/>
      <c r="S12" s="506" t="s">
        <v>392</v>
      </c>
      <c r="T12" s="507"/>
      <c r="U12" s="32"/>
    </row>
    <row r="13" spans="1:22" ht="13.5" customHeight="1" thickBot="1" x14ac:dyDescent="0.25">
      <c r="A13" s="87"/>
      <c r="B13" s="497"/>
      <c r="C13" s="260"/>
      <c r="D13" s="530"/>
      <c r="E13" s="531"/>
      <c r="F13" s="531"/>
      <c r="G13" s="1096"/>
      <c r="H13" s="1096"/>
      <c r="I13" s="496"/>
      <c r="J13" s="97"/>
      <c r="K13" s="28"/>
      <c r="L13" s="28"/>
      <c r="M13" s="28"/>
      <c r="N13" s="28"/>
      <c r="O13" s="98"/>
      <c r="P13" s="109"/>
      <c r="Q13" s="109"/>
      <c r="R13" s="109"/>
      <c r="S13" s="498">
        <f>+(E13*F13*G13)/(1-'OH&amp;P'!$D$5)</f>
        <v>0</v>
      </c>
      <c r="T13" s="99"/>
      <c r="U13" s="32"/>
    </row>
    <row r="14" spans="1:22" ht="13.5" hidden="1" customHeight="1" thickBot="1" x14ac:dyDescent="0.25">
      <c r="A14" s="87"/>
      <c r="B14" s="497"/>
      <c r="C14" s="260"/>
      <c r="D14" s="532"/>
      <c r="E14" s="533"/>
      <c r="F14" s="533"/>
      <c r="G14" s="1104"/>
      <c r="H14" s="1104"/>
      <c r="I14" s="496"/>
      <c r="J14" s="97"/>
      <c r="K14" s="28"/>
      <c r="L14" s="28"/>
      <c r="M14" s="28"/>
      <c r="N14" s="28"/>
      <c r="O14" s="98"/>
      <c r="P14" s="109"/>
      <c r="Q14" s="109"/>
      <c r="R14" s="109"/>
      <c r="S14" s="498">
        <f>+(E14*F14*G14)/(1-'OH&amp;P'!$D$5)</f>
        <v>0</v>
      </c>
      <c r="T14" s="99"/>
      <c r="U14" s="32"/>
    </row>
    <row r="15" spans="1:22" ht="13.5" customHeight="1" thickTop="1" thickBot="1" x14ac:dyDescent="0.25">
      <c r="A15" s="87"/>
      <c r="B15" s="497"/>
      <c r="C15" s="539" t="s">
        <v>398</v>
      </c>
      <c r="D15" s="499"/>
      <c r="E15" s="542" t="s">
        <v>400</v>
      </c>
      <c r="F15" s="500"/>
      <c r="G15" s="501"/>
      <c r="H15" s="501"/>
      <c r="I15" s="496"/>
      <c r="J15" s="97"/>
      <c r="K15" s="28"/>
      <c r="L15" s="28"/>
      <c r="M15" s="28"/>
      <c r="N15" s="28"/>
      <c r="O15" s="1106" t="s">
        <v>394</v>
      </c>
      <c r="P15" s="1106"/>
      <c r="Q15" s="1106"/>
      <c r="R15" s="1106"/>
      <c r="S15" s="510">
        <f>SUM(S13:S14)</f>
        <v>0</v>
      </c>
      <c r="T15" s="99"/>
      <c r="U15" s="32"/>
    </row>
    <row r="16" spans="1:22" ht="3" customHeight="1" thickTop="1" x14ac:dyDescent="0.2">
      <c r="A16" s="87"/>
      <c r="B16" s="1107"/>
      <c r="C16" s="1107"/>
      <c r="D16" s="517"/>
      <c r="E16" s="518"/>
      <c r="F16" s="518"/>
      <c r="G16" s="519"/>
      <c r="H16" s="519"/>
      <c r="I16" s="520"/>
      <c r="J16" s="521"/>
      <c r="K16" s="28"/>
      <c r="L16" s="28"/>
      <c r="M16" s="28"/>
      <c r="N16" s="28"/>
      <c r="O16" s="522"/>
      <c r="P16" s="523"/>
      <c r="Q16" s="523"/>
      <c r="R16" s="523"/>
      <c r="S16" s="524"/>
      <c r="T16" s="525"/>
      <c r="U16" s="32"/>
    </row>
    <row r="17" spans="1:22" x14ac:dyDescent="0.2">
      <c r="A17" s="87"/>
      <c r="B17" s="1110" t="s">
        <v>151</v>
      </c>
      <c r="C17" s="1110"/>
      <c r="D17" s="1108" t="s">
        <v>393</v>
      </c>
      <c r="E17" s="1108"/>
      <c r="F17" s="511" t="s">
        <v>20</v>
      </c>
      <c r="G17" s="512" t="s">
        <v>1</v>
      </c>
      <c r="H17" s="508"/>
      <c r="I17" s="515"/>
      <c r="J17" s="516"/>
      <c r="K17" s="28"/>
      <c r="L17" s="28"/>
      <c r="M17" s="28"/>
      <c r="N17" s="28"/>
      <c r="O17" s="545"/>
      <c r="P17" s="546"/>
      <c r="Q17" s="546"/>
      <c r="R17" s="546"/>
      <c r="S17" s="498">
        <f>IF(G17="yes",S10*Summary!$M$47,0)</f>
        <v>37086.22577938137</v>
      </c>
      <c r="T17" s="99"/>
      <c r="U17" s="32"/>
    </row>
    <row r="18" spans="1:22" ht="10.5" customHeight="1" x14ac:dyDescent="0.2">
      <c r="A18" s="87"/>
      <c r="B18" s="497"/>
      <c r="C18" s="1109" t="s">
        <v>169</v>
      </c>
      <c r="D18" s="1109"/>
      <c r="E18" s="513" t="s">
        <v>85</v>
      </c>
      <c r="F18" s="1105" t="s">
        <v>170</v>
      </c>
      <c r="G18" s="1105"/>
      <c r="H18" s="514" t="s">
        <v>395</v>
      </c>
      <c r="I18" s="496"/>
      <c r="J18" s="97"/>
      <c r="K18" s="28"/>
      <c r="L18" s="28"/>
      <c r="M18" s="28"/>
      <c r="N18" s="28"/>
      <c r="O18" s="98"/>
      <c r="P18" s="109"/>
      <c r="Q18" s="109"/>
      <c r="R18" s="109"/>
      <c r="S18" s="498"/>
      <c r="T18" s="99"/>
      <c r="U18" s="32"/>
    </row>
    <row r="19" spans="1:22" ht="13.5" customHeight="1" thickBot="1" x14ac:dyDescent="0.25">
      <c r="A19" s="87"/>
      <c r="B19" s="497"/>
      <c r="C19" s="1095"/>
      <c r="D19" s="1095"/>
      <c r="E19" s="530"/>
      <c r="F19" s="1096"/>
      <c r="G19" s="1096"/>
      <c r="H19" s="534"/>
      <c r="I19" s="496"/>
      <c r="J19" s="97"/>
      <c r="K19" s="28"/>
      <c r="L19" s="28"/>
      <c r="M19" s="28"/>
      <c r="N19" s="28"/>
      <c r="O19" s="98"/>
      <c r="P19" s="109"/>
      <c r="Q19" s="109"/>
      <c r="R19" s="109"/>
      <c r="S19" s="498">
        <f>IF(H19="s",(E19*F19)/(1-'OH&amp;P'!$E$5),0)+IF(H19="sc",(E19*F19)/(1-'OH&amp;P'!$F$5),0)</f>
        <v>0</v>
      </c>
      <c r="T19" s="99"/>
      <c r="U19" s="32"/>
    </row>
    <row r="20" spans="1:22" ht="13.5" hidden="1" customHeight="1" thickBot="1" x14ac:dyDescent="0.25">
      <c r="A20" s="87"/>
      <c r="B20" s="497"/>
      <c r="C20" s="1097"/>
      <c r="D20" s="1098"/>
      <c r="E20" s="532"/>
      <c r="F20" s="1104"/>
      <c r="G20" s="1104"/>
      <c r="H20" s="535"/>
      <c r="I20" s="496"/>
      <c r="J20" s="97"/>
      <c r="K20" s="28"/>
      <c r="L20" s="28"/>
      <c r="M20" s="28"/>
      <c r="N20" s="28"/>
      <c r="O20" s="98"/>
      <c r="P20" s="109"/>
      <c r="Q20" s="109"/>
      <c r="R20" s="109"/>
      <c r="S20" s="498">
        <f>IF(H20="s",(E20*F20)/(1-'OH&amp;P'!$E$5),0)+IF(H20="sc",(E20*F20)/(1-'OH&amp;P'!$F$5),0)</f>
        <v>0</v>
      </c>
      <c r="T20" s="99"/>
      <c r="U20" s="32"/>
    </row>
    <row r="21" spans="1:22" ht="13.5" customHeight="1" thickTop="1" thickBot="1" x14ac:dyDescent="0.25">
      <c r="A21" s="87"/>
      <c r="B21" s="497"/>
      <c r="C21" s="544" t="s">
        <v>399</v>
      </c>
      <c r="D21" s="509"/>
      <c r="E21" s="542" t="s">
        <v>401</v>
      </c>
      <c r="F21" s="501"/>
      <c r="G21" s="501"/>
      <c r="H21" s="501"/>
      <c r="I21" s="496"/>
      <c r="J21" s="97"/>
      <c r="K21" s="28"/>
      <c r="L21" s="28"/>
      <c r="M21" s="28"/>
      <c r="N21" s="28"/>
      <c r="O21" s="1106" t="s">
        <v>397</v>
      </c>
      <c r="P21" s="1106"/>
      <c r="Q21" s="1106"/>
      <c r="R21" s="1106"/>
      <c r="S21" s="510">
        <f>SUM(S17:S20)</f>
        <v>37086.22577938137</v>
      </c>
      <c r="T21" s="99"/>
      <c r="U21" s="32"/>
    </row>
    <row r="22" spans="1:22" ht="13.5" customHeight="1" thickTop="1" x14ac:dyDescent="0.2">
      <c r="A22" s="87"/>
      <c r="B22" s="497"/>
      <c r="C22" s="543"/>
      <c r="D22" s="509"/>
      <c r="E22" s="499"/>
      <c r="F22" s="501"/>
      <c r="G22" s="501"/>
      <c r="H22" s="501"/>
      <c r="I22" s="496"/>
      <c r="J22" s="97"/>
      <c r="K22" s="28"/>
      <c r="L22" s="28"/>
      <c r="M22" s="28"/>
      <c r="N22" s="28"/>
      <c r="O22" s="1111"/>
      <c r="P22" s="1111"/>
      <c r="Q22" s="540"/>
      <c r="R22" s="541" t="s">
        <v>171</v>
      </c>
      <c r="S22" s="107" t="str">
        <f>+U5</f>
        <v>Alt 1</v>
      </c>
      <c r="T22" s="107">
        <f>+S10+S15+S21</f>
        <v>243882.56299672867</v>
      </c>
      <c r="U22" s="32"/>
    </row>
    <row r="24" spans="1:22" x14ac:dyDescent="0.2">
      <c r="A24" s="110" t="str">
        <f>+'Take Off'!W1290</f>
        <v>Alt 15 - SC-1 @ Stairs</v>
      </c>
      <c r="B24" s="1099" t="str">
        <f>+A24</f>
        <v>Alt 15 - SC-1 @ Stairs</v>
      </c>
      <c r="C24" s="1099"/>
      <c r="D24" s="1099"/>
      <c r="E24" s="1099"/>
      <c r="F24" s="1099"/>
      <c r="G24" s="135">
        <f>+A25</f>
        <v>12870</v>
      </c>
      <c r="H24" s="111">
        <f>+A26</f>
        <v>0</v>
      </c>
      <c r="I24" s="91"/>
      <c r="J24" s="91"/>
      <c r="K24" s="91"/>
      <c r="L24" s="91"/>
      <c r="M24" s="91"/>
      <c r="N24" s="91"/>
      <c r="O24" s="91"/>
      <c r="P24" s="91"/>
      <c r="Q24" s="91"/>
      <c r="R24" s="92"/>
      <c r="S24" s="92"/>
      <c r="T24" s="92"/>
      <c r="U24" s="92"/>
    </row>
    <row r="25" spans="1:22" ht="53" thickBot="1" x14ac:dyDescent="0.25">
      <c r="A25" s="110">
        <f>+'Take Off'!W1291</f>
        <v>12870</v>
      </c>
      <c r="B25" s="93" t="s">
        <v>209</v>
      </c>
      <c r="C25" s="94" t="s">
        <v>210</v>
      </c>
      <c r="D25" s="93" t="s">
        <v>211</v>
      </c>
      <c r="E25" s="94" t="s">
        <v>212</v>
      </c>
      <c r="F25" s="94" t="s">
        <v>213</v>
      </c>
      <c r="G25" s="104" t="s">
        <v>214</v>
      </c>
      <c r="H25" s="104" t="s">
        <v>215</v>
      </c>
      <c r="I25" s="104" t="s">
        <v>216</v>
      </c>
      <c r="J25" s="95" t="s">
        <v>217</v>
      </c>
      <c r="K25" s="95" t="s">
        <v>218</v>
      </c>
      <c r="L25" s="95" t="s">
        <v>219</v>
      </c>
      <c r="M25" s="95" t="s">
        <v>220</v>
      </c>
      <c r="N25" s="95" t="s">
        <v>221</v>
      </c>
      <c r="O25" s="95" t="s">
        <v>222</v>
      </c>
      <c r="P25" s="95" t="s">
        <v>223</v>
      </c>
      <c r="Q25" s="95" t="s">
        <v>213</v>
      </c>
      <c r="R25" s="95" t="s">
        <v>224</v>
      </c>
      <c r="S25" s="95" t="s">
        <v>31</v>
      </c>
      <c r="T25" s="95" t="s">
        <v>225</v>
      </c>
      <c r="U25" s="547" t="s">
        <v>383</v>
      </c>
    </row>
    <row r="26" spans="1:22" ht="16" thickBot="1" x14ac:dyDescent="0.25">
      <c r="A26" s="110">
        <f>+'Take Off'!W1292</f>
        <v>0</v>
      </c>
      <c r="B26" s="100">
        <f>+A25</f>
        <v>12870</v>
      </c>
      <c r="C26" s="81">
        <v>300</v>
      </c>
      <c r="D26" s="467" t="str">
        <f>+'Base Estimate'!D70</f>
        <v>Prep</v>
      </c>
      <c r="E26" s="467">
        <f>+'Base Estimate'!E70</f>
        <v>500</v>
      </c>
      <c r="F26" s="83">
        <f>+'Base Estimate'!F70</f>
        <v>15</v>
      </c>
      <c r="G26" s="84"/>
      <c r="H26" s="88">
        <v>40</v>
      </c>
      <c r="I26" s="84" t="s">
        <v>1013</v>
      </c>
      <c r="J26" s="100">
        <f t="shared" ref="J26:J29" si="19">IF(C26=0,0,B26/C26)</f>
        <v>42.9</v>
      </c>
      <c r="K26" s="101">
        <f>IF($G26="x",'Labor Calc'!$E$43,'Labor Calc'!$E$31)</f>
        <v>58.06944444444445</v>
      </c>
      <c r="L26" s="101">
        <f>IF($G26="x",'Labor Calc'!$F$43,'Labor Calc'!$F$31)</f>
        <v>62.358333333333327</v>
      </c>
      <c r="M26" s="101">
        <f>IF($G26="x",'Labor Calc'!$G$43,'Labor Calc'!$G$31)</f>
        <v>65.217592592592595</v>
      </c>
      <c r="N26" s="101">
        <f t="shared" ref="N26:N29" si="20">IF(H26=40,K26,0)+IF(H26=50,L26,0)+IF(H26=60,M26,0)</f>
        <v>58.06944444444445</v>
      </c>
      <c r="O26" s="100">
        <f t="shared" ref="O26:O29" si="21">IF(E26=0,0,B26/E26)</f>
        <v>25.74</v>
      </c>
      <c r="P26" s="108">
        <f t="shared" ref="P26:P29" si="22">+J26*N26</f>
        <v>2491.1791666666668</v>
      </c>
      <c r="Q26" s="108">
        <f>(+O26*F26)/(1-'OH&amp;P'!$C$5)</f>
        <v>476.66666666666657</v>
      </c>
      <c r="R26" s="108">
        <f>IF(I26="x",(J26*'Admin Set Up'!$B$17)/(1-'OH&amp;P'!$C$5),0)</f>
        <v>105.92592592592591</v>
      </c>
      <c r="S26" s="106">
        <f t="shared" ref="S26:S29" si="23">SUM(P26:R26)</f>
        <v>3073.7717592592594</v>
      </c>
      <c r="T26" s="102">
        <f t="shared" ref="T26:T29" si="24">IF(B26=0,0,S26/B26)</f>
        <v>0.23883230452674897</v>
      </c>
      <c r="U26" s="92"/>
      <c r="V26" s="13"/>
    </row>
    <row r="27" spans="1:22" ht="16" thickBot="1" x14ac:dyDescent="0.25">
      <c r="A27" s="110"/>
      <c r="B27" s="100">
        <f>+B26</f>
        <v>12870</v>
      </c>
      <c r="C27" s="81">
        <v>200</v>
      </c>
      <c r="D27" s="467" t="str">
        <f>+'Base Estimate'!D71</f>
        <v>Shercrete</v>
      </c>
      <c r="E27" s="467">
        <f>+'Base Estimate'!E71</f>
        <v>300</v>
      </c>
      <c r="F27" s="83">
        <f>+'Base Estimate'!F71</f>
        <v>25</v>
      </c>
      <c r="G27" s="84"/>
      <c r="H27" s="88">
        <v>40</v>
      </c>
      <c r="I27" s="84" t="s">
        <v>1013</v>
      </c>
      <c r="J27" s="100">
        <f t="shared" ref="J27" si="25">IF(C27=0,0,B27/C27)</f>
        <v>64.349999999999994</v>
      </c>
      <c r="K27" s="101">
        <f>IF($G27="x",'Labor Calc'!$E$43,'Labor Calc'!$E$31)</f>
        <v>58.06944444444445</v>
      </c>
      <c r="L27" s="101">
        <f>IF($G27="x",'Labor Calc'!$F$43,'Labor Calc'!$F$31)</f>
        <v>62.358333333333327</v>
      </c>
      <c r="M27" s="101">
        <f>IF($G27="x",'Labor Calc'!$G$43,'Labor Calc'!$G$31)</f>
        <v>65.217592592592595</v>
      </c>
      <c r="N27" s="101">
        <f t="shared" ref="N27" si="26">IF(H27=40,K27,0)+IF(H27=50,L27,0)+IF(H27=60,M27,0)</f>
        <v>58.06944444444445</v>
      </c>
      <c r="O27" s="100">
        <f t="shared" ref="O27" si="27">IF(E27=0,0,B27/E27)</f>
        <v>42.9</v>
      </c>
      <c r="P27" s="108">
        <f t="shared" ref="P27" si="28">+J27*N27</f>
        <v>3736.7687500000002</v>
      </c>
      <c r="Q27" s="108">
        <f>(+O27*F27)/(1-'OH&amp;P'!$C$5)</f>
        <v>1324.0740740740739</v>
      </c>
      <c r="R27" s="108">
        <f>IF(I27="x",(J27*'Admin Set Up'!$B$17)/(1-'OH&amp;P'!$C$5),0)</f>
        <v>158.88888888888886</v>
      </c>
      <c r="S27" s="106">
        <f t="shared" ref="S27" si="29">SUM(P27:R27)</f>
        <v>5219.7317129629628</v>
      </c>
      <c r="T27" s="102">
        <f t="shared" ref="T27" si="30">IF(B27=0,0,S27/B27)</f>
        <v>0.4055735596707819</v>
      </c>
      <c r="U27" s="92"/>
      <c r="V27" s="13"/>
    </row>
    <row r="28" spans="1:22" ht="16" thickBot="1" x14ac:dyDescent="0.25">
      <c r="A28" s="110"/>
      <c r="B28" s="100">
        <f>+B27</f>
        <v>12870</v>
      </c>
      <c r="C28" s="81">
        <v>100</v>
      </c>
      <c r="D28" s="467" t="str">
        <f>+'Base Estimate'!D72</f>
        <v>Shercrete</v>
      </c>
      <c r="E28" s="467">
        <f>+'Base Estimate'!E72</f>
        <v>300</v>
      </c>
      <c r="F28" s="83">
        <f>+'Base Estimate'!F72</f>
        <v>25</v>
      </c>
      <c r="G28" s="84"/>
      <c r="H28" s="88">
        <v>40</v>
      </c>
      <c r="I28" s="84" t="s">
        <v>1013</v>
      </c>
      <c r="J28" s="100">
        <f t="shared" ref="J28" si="31">IF(C28=0,0,B28/C28)</f>
        <v>128.69999999999999</v>
      </c>
      <c r="K28" s="101">
        <f>IF($G28="x",'Labor Calc'!$E$43,'Labor Calc'!$E$31)</f>
        <v>58.06944444444445</v>
      </c>
      <c r="L28" s="101">
        <f>IF($G28="x",'Labor Calc'!$F$43,'Labor Calc'!$F$31)</f>
        <v>62.358333333333327</v>
      </c>
      <c r="M28" s="101">
        <f>IF($G28="x",'Labor Calc'!$G$43,'Labor Calc'!$G$31)</f>
        <v>65.217592592592595</v>
      </c>
      <c r="N28" s="101">
        <f t="shared" ref="N28" si="32">IF(H28=40,K28,0)+IF(H28=50,L28,0)+IF(H28=60,M28,0)</f>
        <v>58.06944444444445</v>
      </c>
      <c r="O28" s="100">
        <f t="shared" ref="O28" si="33">IF(E28=0,0,B28/E28)</f>
        <v>42.9</v>
      </c>
      <c r="P28" s="108">
        <f t="shared" ref="P28" si="34">+J28*N28</f>
        <v>7473.5375000000004</v>
      </c>
      <c r="Q28" s="108">
        <f>(+O28*F28)/(1-'OH&amp;P'!$C$5)</f>
        <v>1324.0740740740739</v>
      </c>
      <c r="R28" s="108">
        <f>IF(I28="x",(J28*'Admin Set Up'!$B$17)/(1-'OH&amp;P'!$C$5),0)</f>
        <v>317.77777777777771</v>
      </c>
      <c r="S28" s="106">
        <f t="shared" ref="S28" si="35">SUM(P28:R28)</f>
        <v>9115.3893518518526</v>
      </c>
      <c r="T28" s="102">
        <f t="shared" ref="T28" si="36">IF(B28=0,0,S28/B28)</f>
        <v>0.70826646090534984</v>
      </c>
      <c r="U28" s="92"/>
      <c r="V28" s="13"/>
    </row>
    <row r="29" spans="1:22" ht="16" hidden="1" thickBot="1" x14ac:dyDescent="0.25">
      <c r="A29" s="110">
        <f>+'Take Off'!W4</f>
        <v>0</v>
      </c>
      <c r="B29" s="103">
        <f>+B26</f>
        <v>12870</v>
      </c>
      <c r="C29" s="81"/>
      <c r="D29" s="79"/>
      <c r="E29" s="85"/>
      <c r="F29" s="86"/>
      <c r="G29" s="84"/>
      <c r="H29" s="88"/>
      <c r="I29" s="84"/>
      <c r="J29" s="100">
        <f t="shared" si="19"/>
        <v>0</v>
      </c>
      <c r="K29" s="101">
        <f>IF($G29="x",'Labor Calc'!$E$43,'Labor Calc'!$E$31)</f>
        <v>58.06944444444445</v>
      </c>
      <c r="L29" s="101">
        <f>IF($G29="x",'Labor Calc'!$F$43,'Labor Calc'!$F$31)</f>
        <v>62.358333333333327</v>
      </c>
      <c r="M29" s="101">
        <f>IF($G29="x",'Labor Calc'!$G$43,'Labor Calc'!$G$31)</f>
        <v>65.217592592592595</v>
      </c>
      <c r="N29" s="101">
        <f t="shared" si="20"/>
        <v>0</v>
      </c>
      <c r="O29" s="100">
        <f t="shared" si="21"/>
        <v>0</v>
      </c>
      <c r="P29" s="108">
        <f t="shared" si="22"/>
        <v>0</v>
      </c>
      <c r="Q29" s="108">
        <f>(+O29*F29)/(1-'OH&amp;P'!$C$5)</f>
        <v>0</v>
      </c>
      <c r="R29" s="108">
        <f>IF(I29="x",(J29*'Admin Set Up'!$B$17)/(1-'OH&amp;P'!$C$5),0)</f>
        <v>0</v>
      </c>
      <c r="S29" s="106">
        <f t="shared" si="23"/>
        <v>0</v>
      </c>
      <c r="T29" s="102">
        <f t="shared" si="24"/>
        <v>0</v>
      </c>
      <c r="U29" s="92"/>
    </row>
    <row r="30" spans="1:22" ht="16" thickBot="1" x14ac:dyDescent="0.25">
      <c r="A30" s="87"/>
      <c r="B30" s="105" t="s">
        <v>226</v>
      </c>
      <c r="C30" s="90"/>
      <c r="D30" s="89" t="s">
        <v>227</v>
      </c>
      <c r="E30" s="96"/>
      <c r="F30" s="96"/>
      <c r="G30" s="1101" t="s">
        <v>101</v>
      </c>
      <c r="H30" s="1101"/>
      <c r="I30" s="1101"/>
      <c r="J30" s="97">
        <f>SUM(J26:J29)</f>
        <v>235.95</v>
      </c>
      <c r="K30" s="90"/>
      <c r="L30" s="90"/>
      <c r="M30" s="90"/>
      <c r="N30" s="90"/>
      <c r="O30" s="98">
        <f t="shared" ref="O30:T30" si="37">SUM(O26:O29)</f>
        <v>111.53999999999999</v>
      </c>
      <c r="P30" s="109">
        <f t="shared" si="37"/>
        <v>13701.485416666666</v>
      </c>
      <c r="Q30" s="109">
        <f t="shared" si="37"/>
        <v>3124.8148148148143</v>
      </c>
      <c r="R30" s="109">
        <f t="shared" si="37"/>
        <v>582.5925925925925</v>
      </c>
      <c r="S30" s="107">
        <f t="shared" si="37"/>
        <v>17408.892824074075</v>
      </c>
      <c r="T30" s="99">
        <f t="shared" si="37"/>
        <v>1.3526723251028807</v>
      </c>
      <c r="U30" s="32"/>
    </row>
    <row r="31" spans="1:22" ht="3" customHeight="1" x14ac:dyDescent="0.2">
      <c r="B31" s="536"/>
      <c r="C31" s="143"/>
      <c r="D31" s="537"/>
      <c r="E31" s="538"/>
      <c r="F31" s="538"/>
      <c r="G31" s="520"/>
      <c r="H31" s="520"/>
      <c r="I31" s="520"/>
      <c r="J31" s="521"/>
      <c r="K31" s="143"/>
      <c r="L31" s="143"/>
      <c r="M31" s="143"/>
      <c r="N31" s="143"/>
      <c r="O31" s="522"/>
      <c r="P31" s="523"/>
      <c r="Q31" s="523"/>
      <c r="R31" s="523"/>
      <c r="S31" s="529"/>
      <c r="T31" s="525"/>
    </row>
    <row r="32" spans="1:22" ht="26.25" customHeight="1" x14ac:dyDescent="0.2">
      <c r="B32" s="1102" t="s">
        <v>359</v>
      </c>
      <c r="C32" s="1102"/>
      <c r="D32" s="526" t="s">
        <v>169</v>
      </c>
      <c r="E32" s="527" t="s">
        <v>85</v>
      </c>
      <c r="F32" s="528" t="s">
        <v>19</v>
      </c>
      <c r="G32" s="1103" t="s">
        <v>170</v>
      </c>
      <c r="H32" s="1103"/>
      <c r="I32" s="502"/>
      <c r="J32" s="503"/>
      <c r="K32" s="28"/>
      <c r="L32" s="28"/>
      <c r="M32" s="28"/>
      <c r="N32" s="28"/>
      <c r="O32" s="504"/>
      <c r="P32" s="505"/>
      <c r="Q32" s="505"/>
      <c r="R32" s="505"/>
      <c r="S32" s="506" t="s">
        <v>392</v>
      </c>
      <c r="T32" s="507"/>
    </row>
    <row r="33" spans="1:21" ht="13.5" customHeight="1" thickBot="1" x14ac:dyDescent="0.25">
      <c r="B33" s="497"/>
      <c r="C33" s="260"/>
      <c r="D33" s="530"/>
      <c r="E33" s="531"/>
      <c r="F33" s="531"/>
      <c r="G33" s="1096"/>
      <c r="H33" s="1096"/>
      <c r="I33" s="496"/>
      <c r="J33" s="97"/>
      <c r="K33" s="28"/>
      <c r="L33" s="28"/>
      <c r="M33" s="28"/>
      <c r="N33" s="28"/>
      <c r="O33" s="98"/>
      <c r="P33" s="109"/>
      <c r="Q33" s="109"/>
      <c r="R33" s="109"/>
      <c r="S33" s="498">
        <f>+(E33*F33*G33)/(1-'OH&amp;P'!$D$5)</f>
        <v>0</v>
      </c>
      <c r="T33" s="99"/>
    </row>
    <row r="34" spans="1:21" ht="13.5" hidden="1" customHeight="1" thickBot="1" x14ac:dyDescent="0.25">
      <c r="B34" s="497"/>
      <c r="C34" s="260"/>
      <c r="D34" s="532"/>
      <c r="E34" s="533"/>
      <c r="F34" s="533"/>
      <c r="G34" s="1104"/>
      <c r="H34" s="1104"/>
      <c r="I34" s="496"/>
      <c r="J34" s="97"/>
      <c r="K34" s="28"/>
      <c r="L34" s="28"/>
      <c r="M34" s="28"/>
      <c r="N34" s="28"/>
      <c r="O34" s="98"/>
      <c r="P34" s="109"/>
      <c r="Q34" s="109"/>
      <c r="R34" s="109"/>
      <c r="S34" s="498">
        <f>+(E34*F34*G34)/(1-'OH&amp;P'!$D$5)</f>
        <v>0</v>
      </c>
      <c r="T34" s="99"/>
    </row>
    <row r="35" spans="1:21" ht="13.5" customHeight="1" thickTop="1" thickBot="1" x14ac:dyDescent="0.25">
      <c r="B35" s="497"/>
      <c r="C35" s="539" t="s">
        <v>398</v>
      </c>
      <c r="D35" s="499"/>
      <c r="E35" s="542" t="s">
        <v>400</v>
      </c>
      <c r="F35" s="500"/>
      <c r="G35" s="501"/>
      <c r="H35" s="501"/>
      <c r="I35" s="496"/>
      <c r="J35" s="97"/>
      <c r="K35" s="28"/>
      <c r="L35" s="28"/>
      <c r="M35" s="28"/>
      <c r="N35" s="28"/>
      <c r="O35" s="1106" t="s">
        <v>394</v>
      </c>
      <c r="P35" s="1106"/>
      <c r="Q35" s="1106"/>
      <c r="R35" s="1106"/>
      <c r="S35" s="510">
        <f>SUM(S33:S34)</f>
        <v>0</v>
      </c>
      <c r="T35" s="99"/>
    </row>
    <row r="36" spans="1:21" ht="3" customHeight="1" thickTop="1" x14ac:dyDescent="0.2">
      <c r="B36" s="1107"/>
      <c r="C36" s="1107"/>
      <c r="D36" s="517"/>
      <c r="E36" s="518"/>
      <c r="F36" s="518"/>
      <c r="G36" s="519"/>
      <c r="H36" s="519"/>
      <c r="I36" s="520"/>
      <c r="J36" s="521"/>
      <c r="K36" s="28"/>
      <c r="L36" s="28"/>
      <c r="M36" s="28"/>
      <c r="N36" s="28"/>
      <c r="O36" s="522"/>
      <c r="P36" s="523"/>
      <c r="Q36" s="523"/>
      <c r="R36" s="523"/>
      <c r="S36" s="524"/>
      <c r="T36" s="525"/>
    </row>
    <row r="37" spans="1:21" x14ac:dyDescent="0.2">
      <c r="B37" s="1110" t="s">
        <v>151</v>
      </c>
      <c r="C37" s="1110"/>
      <c r="D37" s="1108" t="s">
        <v>393</v>
      </c>
      <c r="E37" s="1108"/>
      <c r="F37" s="511" t="s">
        <v>20</v>
      </c>
      <c r="G37" s="512" t="s">
        <v>1</v>
      </c>
      <c r="H37" s="508"/>
      <c r="I37" s="515"/>
      <c r="J37" s="516"/>
      <c r="K37" s="28"/>
      <c r="L37" s="28"/>
      <c r="M37" s="28"/>
      <c r="N37" s="28"/>
      <c r="O37" s="545"/>
      <c r="P37" s="546"/>
      <c r="Q37" s="546"/>
      <c r="R37" s="546"/>
      <c r="S37" s="498">
        <f>IF(G37="yes",S30*Summary!$M$47,0)</f>
        <v>3122.057859100727</v>
      </c>
      <c r="T37" s="99"/>
    </row>
    <row r="38" spans="1:21" ht="10.5" customHeight="1" x14ac:dyDescent="0.2">
      <c r="B38" s="497"/>
      <c r="C38" s="1109" t="s">
        <v>169</v>
      </c>
      <c r="D38" s="1109"/>
      <c r="E38" s="513" t="s">
        <v>85</v>
      </c>
      <c r="F38" s="1105" t="s">
        <v>170</v>
      </c>
      <c r="G38" s="1105"/>
      <c r="H38" s="514" t="s">
        <v>395</v>
      </c>
      <c r="I38" s="496"/>
      <c r="J38" s="97"/>
      <c r="K38" s="28"/>
      <c r="L38" s="28"/>
      <c r="M38" s="28"/>
      <c r="N38" s="28"/>
      <c r="O38" s="98"/>
      <c r="P38" s="109"/>
      <c r="Q38" s="109"/>
      <c r="R38" s="109"/>
      <c r="S38" s="498"/>
      <c r="T38" s="99"/>
    </row>
    <row r="39" spans="1:21" ht="13.5" customHeight="1" thickBot="1" x14ac:dyDescent="0.25">
      <c r="B39" s="497"/>
      <c r="C39" s="1095"/>
      <c r="D39" s="1095"/>
      <c r="E39" s="530"/>
      <c r="F39" s="1096"/>
      <c r="G39" s="1096"/>
      <c r="H39" s="534"/>
      <c r="I39" s="496"/>
      <c r="J39" s="97"/>
      <c r="K39" s="28"/>
      <c r="L39" s="28"/>
      <c r="M39" s="28"/>
      <c r="N39" s="28"/>
      <c r="O39" s="98"/>
      <c r="P39" s="109"/>
      <c r="Q39" s="109"/>
      <c r="R39" s="109"/>
      <c r="S39" s="498">
        <f>IF(H39="s",(E39*F39)/(1-'OH&amp;P'!$E$5),0)+IF(H39="sc",(E39*F39)/(1-'OH&amp;P'!$F$5),0)</f>
        <v>0</v>
      </c>
      <c r="T39" s="99"/>
    </row>
    <row r="40" spans="1:21" ht="13.5" hidden="1" customHeight="1" thickBot="1" x14ac:dyDescent="0.25">
      <c r="B40" s="497"/>
      <c r="C40" s="1097"/>
      <c r="D40" s="1098"/>
      <c r="E40" s="532"/>
      <c r="F40" s="1104"/>
      <c r="G40" s="1104"/>
      <c r="H40" s="535"/>
      <c r="I40" s="496"/>
      <c r="J40" s="97"/>
      <c r="K40" s="28"/>
      <c r="L40" s="28"/>
      <c r="M40" s="28"/>
      <c r="N40" s="28"/>
      <c r="O40" s="98"/>
      <c r="P40" s="109"/>
      <c r="Q40" s="109"/>
      <c r="R40" s="109"/>
      <c r="S40" s="498">
        <f>IF(H40="s",(E40*F40)/(1-'OH&amp;P'!$E$5),0)+IF(H40="sc",(E40*F40)/(1-'OH&amp;P'!$F$5),0)</f>
        <v>0</v>
      </c>
      <c r="T40" s="99"/>
    </row>
    <row r="41" spans="1:21" ht="13.5" customHeight="1" thickTop="1" thickBot="1" x14ac:dyDescent="0.25">
      <c r="B41" s="497"/>
      <c r="C41" s="544" t="s">
        <v>399</v>
      </c>
      <c r="D41" s="509"/>
      <c r="E41" s="542" t="s">
        <v>401</v>
      </c>
      <c r="F41" s="501"/>
      <c r="G41" s="501"/>
      <c r="H41" s="501"/>
      <c r="I41" s="496"/>
      <c r="J41" s="97"/>
      <c r="K41" s="28"/>
      <c r="L41" s="28"/>
      <c r="M41" s="28"/>
      <c r="N41" s="28"/>
      <c r="O41" s="1106" t="s">
        <v>397</v>
      </c>
      <c r="P41" s="1106"/>
      <c r="Q41" s="1106"/>
      <c r="R41" s="1106"/>
      <c r="S41" s="510">
        <f>SUM(S37:S40)</f>
        <v>3122.057859100727</v>
      </c>
      <c r="T41" s="99"/>
    </row>
    <row r="42" spans="1:21" ht="13.5" customHeight="1" thickTop="1" x14ac:dyDescent="0.2">
      <c r="B42" s="497"/>
      <c r="C42" s="543"/>
      <c r="D42" s="509"/>
      <c r="E42" s="499"/>
      <c r="F42" s="501"/>
      <c r="G42" s="501"/>
      <c r="H42" s="501"/>
      <c r="I42" s="496"/>
      <c r="J42" s="97"/>
      <c r="K42" s="28"/>
      <c r="L42" s="28"/>
      <c r="M42" s="28"/>
      <c r="N42" s="28"/>
      <c r="O42" s="1111"/>
      <c r="P42" s="1111"/>
      <c r="Q42" s="540"/>
      <c r="R42" s="541" t="s">
        <v>171</v>
      </c>
      <c r="S42" s="107" t="str">
        <f>+U25</f>
        <v>Alt 2</v>
      </c>
      <c r="T42" s="107">
        <f>+S30+S35+S41</f>
        <v>20530.9506831748</v>
      </c>
    </row>
    <row r="44" spans="1:21" x14ac:dyDescent="0.2">
      <c r="A44" s="110" t="str">
        <f>+'Take Off'!X1290</f>
        <v>Alt 17 Conf/Office Wood to GWB</v>
      </c>
      <c r="B44" s="1099" t="str">
        <f>+A44</f>
        <v>Alt 17 Conf/Office Wood to GWB</v>
      </c>
      <c r="C44" s="1099"/>
      <c r="D44" s="1099"/>
      <c r="E44" s="1099"/>
      <c r="F44" s="1099"/>
      <c r="G44" s="135">
        <f>+A45</f>
        <v>5079.8</v>
      </c>
      <c r="H44" s="111">
        <f>+A46</f>
        <v>0</v>
      </c>
      <c r="I44" s="91"/>
      <c r="J44" s="91"/>
      <c r="K44" s="91"/>
      <c r="L44" s="91"/>
      <c r="M44" s="91"/>
      <c r="N44" s="91"/>
      <c r="O44" s="91"/>
      <c r="P44" s="91"/>
      <c r="Q44" s="91"/>
      <c r="R44" s="92"/>
      <c r="S44" s="92"/>
      <c r="T44" s="92"/>
      <c r="U44" s="92"/>
    </row>
    <row r="45" spans="1:21" ht="53" thickBot="1" x14ac:dyDescent="0.25">
      <c r="A45" s="110">
        <f>+'Take Off'!X1291</f>
        <v>5079.8</v>
      </c>
      <c r="B45" s="93" t="s">
        <v>209</v>
      </c>
      <c r="C45" s="94" t="s">
        <v>210</v>
      </c>
      <c r="D45" s="93" t="s">
        <v>211</v>
      </c>
      <c r="E45" s="94" t="s">
        <v>212</v>
      </c>
      <c r="F45" s="94" t="s">
        <v>213</v>
      </c>
      <c r="G45" s="104" t="s">
        <v>214</v>
      </c>
      <c r="H45" s="104" t="s">
        <v>215</v>
      </c>
      <c r="I45" s="104" t="s">
        <v>216</v>
      </c>
      <c r="J45" s="95" t="s">
        <v>217</v>
      </c>
      <c r="K45" s="95" t="s">
        <v>218</v>
      </c>
      <c r="L45" s="95" t="s">
        <v>219</v>
      </c>
      <c r="M45" s="95" t="s">
        <v>220</v>
      </c>
      <c r="N45" s="95" t="s">
        <v>221</v>
      </c>
      <c r="O45" s="95" t="s">
        <v>222</v>
      </c>
      <c r="P45" s="95" t="s">
        <v>223</v>
      </c>
      <c r="Q45" s="95" t="s">
        <v>213</v>
      </c>
      <c r="R45" s="95" t="s">
        <v>224</v>
      </c>
      <c r="S45" s="95" t="s">
        <v>31</v>
      </c>
      <c r="T45" s="95" t="s">
        <v>225</v>
      </c>
      <c r="U45" s="547" t="s">
        <v>384</v>
      </c>
    </row>
    <row r="46" spans="1:21" ht="16" thickBot="1" x14ac:dyDescent="0.25">
      <c r="A46" s="110">
        <f>+'Take Off'!X1292</f>
        <v>0</v>
      </c>
      <c r="B46" s="100">
        <f>+A45</f>
        <v>5079.8</v>
      </c>
      <c r="C46" s="81">
        <v>400</v>
      </c>
      <c r="D46" s="495" t="s">
        <v>1011</v>
      </c>
      <c r="E46" s="82">
        <v>300</v>
      </c>
      <c r="F46" s="83">
        <v>12</v>
      </c>
      <c r="G46" s="84"/>
      <c r="H46" s="88">
        <v>40</v>
      </c>
      <c r="I46" s="84" t="s">
        <v>1013</v>
      </c>
      <c r="J46" s="100">
        <f>IF(C46=0,0,B46/C46)</f>
        <v>12.6995</v>
      </c>
      <c r="K46" s="101">
        <f>IF($G46="x",'Labor Calc'!$E$43,'Labor Calc'!$E$31)</f>
        <v>58.06944444444445</v>
      </c>
      <c r="L46" s="101">
        <f>IF($G46="x",'Labor Calc'!$F$43,'Labor Calc'!$F$31)</f>
        <v>62.358333333333327</v>
      </c>
      <c r="M46" s="101">
        <f>IF($G46="x",'Labor Calc'!$G$43,'Labor Calc'!$G$31)</f>
        <v>65.217592592592595</v>
      </c>
      <c r="N46" s="101">
        <f>IF(H46=40,K46,0)+IF(H46=50,L46,0)+IF(H46=60,M46,0)</f>
        <v>58.06944444444445</v>
      </c>
      <c r="O46" s="100">
        <f>IF(E46=0,0,B46/E46)</f>
        <v>16.932666666666666</v>
      </c>
      <c r="P46" s="108">
        <f>+J46*N46</f>
        <v>737.45290972222233</v>
      </c>
      <c r="Q46" s="108">
        <f>(+O46*F46)/(1-'OH&amp;P'!$C$5)</f>
        <v>250.85432098765432</v>
      </c>
      <c r="R46" s="108">
        <f>IF(I46="x",(J46*'Admin Set Up'!$B$17)/(1-'OH&amp;P'!$C$5),0)</f>
        <v>31.35679012345679</v>
      </c>
      <c r="S46" s="106">
        <f>SUM(P46:R46)</f>
        <v>1019.6640208333334</v>
      </c>
      <c r="T46" s="102">
        <f>IF(B46=0,0,S46/B46)</f>
        <v>0.20072916666666668</v>
      </c>
      <c r="U46" s="92"/>
    </row>
    <row r="47" spans="1:21" ht="16" thickBot="1" x14ac:dyDescent="0.25">
      <c r="A47" s="110"/>
      <c r="B47" s="100">
        <f>+B46</f>
        <v>5079.8</v>
      </c>
      <c r="C47" s="81">
        <v>300</v>
      </c>
      <c r="D47" s="1058" t="s">
        <v>1012</v>
      </c>
      <c r="E47" s="1057">
        <v>300</v>
      </c>
      <c r="F47" s="83">
        <v>16</v>
      </c>
      <c r="G47" s="84"/>
      <c r="H47" s="88">
        <v>40</v>
      </c>
      <c r="I47" s="84" t="s">
        <v>1013</v>
      </c>
      <c r="J47" s="100">
        <f>IF(C47=0,0,B47/C47)</f>
        <v>16.932666666666666</v>
      </c>
      <c r="K47" s="101">
        <f>IF($G47="x",'Labor Calc'!$E$43,'Labor Calc'!$E$31)</f>
        <v>58.06944444444445</v>
      </c>
      <c r="L47" s="101">
        <f>IF($G47="x",'Labor Calc'!$F$43,'Labor Calc'!$F$31)</f>
        <v>62.358333333333327</v>
      </c>
      <c r="M47" s="101">
        <f>IF($G47="x",'Labor Calc'!$G$43,'Labor Calc'!$G$31)</f>
        <v>65.217592592592595</v>
      </c>
      <c r="N47" s="101">
        <f>IF(H47=40,K47,0)+IF(H47=50,L47,0)+IF(H47=60,M47,0)</f>
        <v>58.06944444444445</v>
      </c>
      <c r="O47" s="100">
        <f>IF(E47=0,0,B47/E47)</f>
        <v>16.932666666666666</v>
      </c>
      <c r="P47" s="108">
        <f>+J47*N47</f>
        <v>983.2705462962964</v>
      </c>
      <c r="Q47" s="108">
        <f>(+O47*F47)/(1-'OH&amp;P'!$C$5)</f>
        <v>334.47242798353903</v>
      </c>
      <c r="R47" s="108">
        <f>IF(I47="x",(J47*'Admin Set Up'!$B$17)/(1-'OH&amp;P'!$C$5),0)</f>
        <v>41.809053497942379</v>
      </c>
      <c r="S47" s="106">
        <f>SUM(P47:R47)</f>
        <v>1359.5520277777778</v>
      </c>
      <c r="T47" s="102">
        <f>IF(B47=0,0,S47/B47)</f>
        <v>0.26763888888888887</v>
      </c>
      <c r="U47" s="92"/>
    </row>
    <row r="48" spans="1:21" ht="16" thickBot="1" x14ac:dyDescent="0.25">
      <c r="A48" s="110"/>
      <c r="B48" s="100">
        <f>+B47</f>
        <v>5079.8</v>
      </c>
      <c r="C48" s="81">
        <v>200</v>
      </c>
      <c r="D48" s="1058" t="s">
        <v>1012</v>
      </c>
      <c r="E48" s="1057">
        <v>300</v>
      </c>
      <c r="F48" s="83">
        <v>16</v>
      </c>
      <c r="G48" s="84"/>
      <c r="H48" s="88">
        <v>40</v>
      </c>
      <c r="I48" s="84" t="s">
        <v>1013</v>
      </c>
      <c r="J48" s="100">
        <f>IF(C48=0,0,B48/C48)</f>
        <v>25.399000000000001</v>
      </c>
      <c r="K48" s="101">
        <f>IF($G48="x",'Labor Calc'!$E$43,'Labor Calc'!$E$31)</f>
        <v>58.06944444444445</v>
      </c>
      <c r="L48" s="101">
        <f>IF($G48="x",'Labor Calc'!$F$43,'Labor Calc'!$F$31)</f>
        <v>62.358333333333327</v>
      </c>
      <c r="M48" s="101">
        <f>IF($G48="x",'Labor Calc'!$G$43,'Labor Calc'!$G$31)</f>
        <v>65.217592592592595</v>
      </c>
      <c r="N48" s="101">
        <f>IF(H48=40,K48,0)+IF(H48=50,L48,0)+IF(H48=60,M48,0)</f>
        <v>58.06944444444445</v>
      </c>
      <c r="O48" s="100">
        <f>IF(E48=0,0,B48/E48)</f>
        <v>16.932666666666666</v>
      </c>
      <c r="P48" s="108">
        <f>+J48*N48</f>
        <v>1474.9058194444447</v>
      </c>
      <c r="Q48" s="108">
        <f>(+O48*F48)/(1-'OH&amp;P'!$C$5)</f>
        <v>334.47242798353903</v>
      </c>
      <c r="R48" s="108">
        <f>IF(I48="x",(J48*'Admin Set Up'!$B$17)/(1-'OH&amp;P'!$C$5),0)</f>
        <v>62.71358024691358</v>
      </c>
      <c r="S48" s="106">
        <f>SUM(P48:R48)</f>
        <v>1872.0918276748973</v>
      </c>
      <c r="T48" s="102">
        <f>IF(B48=0,0,S48/B48)</f>
        <v>0.36853652263374487</v>
      </c>
      <c r="U48" s="92"/>
    </row>
    <row r="49" spans="1:21" ht="16" hidden="1" thickBot="1" x14ac:dyDescent="0.25">
      <c r="A49" s="80"/>
      <c r="B49" s="103">
        <f>+B46</f>
        <v>5079.8</v>
      </c>
      <c r="C49" s="81"/>
      <c r="D49" s="79"/>
      <c r="E49" s="85"/>
      <c r="F49" s="86"/>
      <c r="G49" s="84"/>
      <c r="H49" s="88"/>
      <c r="I49" s="84"/>
      <c r="J49" s="100">
        <f>IF(C49=0,0,B49/C49)</f>
        <v>0</v>
      </c>
      <c r="K49" s="101">
        <f>IF($G49="x",'Labor Calc'!$E$43,'Labor Calc'!$E$31)</f>
        <v>58.06944444444445</v>
      </c>
      <c r="L49" s="101">
        <f>IF($G49="x",'Labor Calc'!$F$43,'Labor Calc'!$F$31)</f>
        <v>62.358333333333327</v>
      </c>
      <c r="M49" s="101">
        <f>IF($G49="x",'Labor Calc'!$G$43,'Labor Calc'!$G$31)</f>
        <v>65.217592592592595</v>
      </c>
      <c r="N49" s="101">
        <f>IF(H49=40,K49,0)+IF(H49=50,L49,0)+IF(H49=60,M49,0)</f>
        <v>0</v>
      </c>
      <c r="O49" s="100">
        <f>IF(E49=0,0,B49/E49)</f>
        <v>0</v>
      </c>
      <c r="P49" s="108">
        <f>+J49*N49</f>
        <v>0</v>
      </c>
      <c r="Q49" s="108">
        <f>(+O49*F49)/(1-'OH&amp;P'!$C$5)</f>
        <v>0</v>
      </c>
      <c r="R49" s="108">
        <f>IF(I49="x",(J49*'Admin Set Up'!$B$17)/(1-'OH&amp;P'!$C$5),0)</f>
        <v>0</v>
      </c>
      <c r="S49" s="106">
        <f>SUM(P49:R49)</f>
        <v>0</v>
      </c>
      <c r="T49" s="102">
        <f>IF(B49=0,0,S49/B49)</f>
        <v>0</v>
      </c>
      <c r="U49" s="92"/>
    </row>
    <row r="50" spans="1:21" ht="16" thickBot="1" x14ac:dyDescent="0.25">
      <c r="A50" s="87"/>
      <c r="B50" s="105" t="s">
        <v>226</v>
      </c>
      <c r="C50" s="90"/>
      <c r="D50" s="89" t="s">
        <v>227</v>
      </c>
      <c r="E50" s="96"/>
      <c r="F50" s="96"/>
      <c r="G50" s="1101" t="s">
        <v>101</v>
      </c>
      <c r="H50" s="1101"/>
      <c r="I50" s="1101"/>
      <c r="J50" s="97">
        <f>SUM(J46:J49)</f>
        <v>55.031166666666664</v>
      </c>
      <c r="K50" s="90"/>
      <c r="L50" s="90"/>
      <c r="M50" s="90"/>
      <c r="N50" s="90"/>
      <c r="O50" s="98">
        <f t="shared" ref="O50:T50" si="38">SUM(O46:O49)</f>
        <v>50.798000000000002</v>
      </c>
      <c r="P50" s="109">
        <f t="shared" si="38"/>
        <v>3195.6292754629635</v>
      </c>
      <c r="Q50" s="109">
        <f t="shared" si="38"/>
        <v>919.7991769547325</v>
      </c>
      <c r="R50" s="109">
        <f t="shared" si="38"/>
        <v>135.87942386831276</v>
      </c>
      <c r="S50" s="107">
        <f t="shared" si="38"/>
        <v>4251.3078762860086</v>
      </c>
      <c r="T50" s="99">
        <f t="shared" si="38"/>
        <v>0.83690457818930042</v>
      </c>
      <c r="U50" s="32"/>
    </row>
    <row r="51" spans="1:21" ht="3" customHeight="1" x14ac:dyDescent="0.2">
      <c r="B51" s="536"/>
      <c r="C51" s="143"/>
      <c r="D51" s="537"/>
      <c r="E51" s="538"/>
      <c r="F51" s="538"/>
      <c r="G51" s="520"/>
      <c r="H51" s="520"/>
      <c r="I51" s="520"/>
      <c r="J51" s="521"/>
      <c r="K51" s="143"/>
      <c r="L51" s="143"/>
      <c r="M51" s="143"/>
      <c r="N51" s="143"/>
      <c r="O51" s="522"/>
      <c r="P51" s="523"/>
      <c r="Q51" s="523"/>
      <c r="R51" s="523"/>
      <c r="S51" s="529"/>
      <c r="T51" s="525"/>
    </row>
    <row r="52" spans="1:21" ht="20" x14ac:dyDescent="0.2">
      <c r="B52" s="1102" t="s">
        <v>359</v>
      </c>
      <c r="C52" s="1102"/>
      <c r="D52" s="526" t="s">
        <v>169</v>
      </c>
      <c r="E52" s="527" t="s">
        <v>85</v>
      </c>
      <c r="F52" s="528" t="s">
        <v>19</v>
      </c>
      <c r="G52" s="1103" t="s">
        <v>170</v>
      </c>
      <c r="H52" s="1103"/>
      <c r="I52" s="502"/>
      <c r="J52" s="503"/>
      <c r="K52" s="28"/>
      <c r="L52" s="28"/>
      <c r="M52" s="28"/>
      <c r="N52" s="28"/>
      <c r="O52" s="504"/>
      <c r="P52" s="505"/>
      <c r="Q52" s="505"/>
      <c r="R52" s="505"/>
      <c r="S52" s="506" t="s">
        <v>392</v>
      </c>
      <c r="T52" s="507"/>
    </row>
    <row r="53" spans="1:21" ht="13.5" customHeight="1" thickBot="1" x14ac:dyDescent="0.25">
      <c r="B53" s="497"/>
      <c r="C53" s="260"/>
      <c r="D53" s="530"/>
      <c r="E53" s="531"/>
      <c r="F53" s="531"/>
      <c r="G53" s="1096"/>
      <c r="H53" s="1096"/>
      <c r="I53" s="496"/>
      <c r="J53" s="97"/>
      <c r="K53" s="28"/>
      <c r="L53" s="28"/>
      <c r="M53" s="28"/>
      <c r="N53" s="28"/>
      <c r="O53" s="98"/>
      <c r="P53" s="109"/>
      <c r="Q53" s="109"/>
      <c r="R53" s="109"/>
      <c r="S53" s="498">
        <f>+(E53*F53*G53)/(1-'OH&amp;P'!$D$5)</f>
        <v>0</v>
      </c>
      <c r="T53" s="99"/>
    </row>
    <row r="54" spans="1:21" ht="13.5" hidden="1" customHeight="1" thickBot="1" x14ac:dyDescent="0.25">
      <c r="B54" s="497"/>
      <c r="C54" s="260"/>
      <c r="D54" s="532"/>
      <c r="E54" s="533"/>
      <c r="F54" s="533"/>
      <c r="G54" s="1104"/>
      <c r="H54" s="1104"/>
      <c r="I54" s="496"/>
      <c r="J54" s="97"/>
      <c r="K54" s="28"/>
      <c r="L54" s="28"/>
      <c r="M54" s="28"/>
      <c r="N54" s="28"/>
      <c r="O54" s="98"/>
      <c r="P54" s="109"/>
      <c r="Q54" s="109"/>
      <c r="R54" s="109"/>
      <c r="S54" s="498">
        <f>+(E54*F54*G54)/(1-'OH&amp;P'!$D$5)</f>
        <v>0</v>
      </c>
      <c r="T54" s="99"/>
    </row>
    <row r="55" spans="1:21" ht="13.5" customHeight="1" thickTop="1" thickBot="1" x14ac:dyDescent="0.25">
      <c r="B55" s="497"/>
      <c r="C55" s="539" t="s">
        <v>398</v>
      </c>
      <c r="D55" s="499"/>
      <c r="E55" s="542" t="s">
        <v>400</v>
      </c>
      <c r="F55" s="500"/>
      <c r="G55" s="501"/>
      <c r="H55" s="501"/>
      <c r="I55" s="496"/>
      <c r="J55" s="97"/>
      <c r="K55" s="28"/>
      <c r="L55" s="28"/>
      <c r="M55" s="28"/>
      <c r="N55" s="28"/>
      <c r="O55" s="1106" t="s">
        <v>394</v>
      </c>
      <c r="P55" s="1106"/>
      <c r="Q55" s="1106"/>
      <c r="R55" s="1106"/>
      <c r="S55" s="510">
        <f>SUM(S53:S54)</f>
        <v>0</v>
      </c>
      <c r="T55" s="99"/>
    </row>
    <row r="56" spans="1:21" ht="3" customHeight="1" thickTop="1" x14ac:dyDescent="0.2">
      <c r="B56" s="1107"/>
      <c r="C56" s="1107"/>
      <c r="D56" s="517"/>
      <c r="E56" s="518"/>
      <c r="F56" s="518"/>
      <c r="G56" s="519"/>
      <c r="H56" s="519"/>
      <c r="I56" s="520"/>
      <c r="J56" s="521"/>
      <c r="K56" s="28"/>
      <c r="L56" s="28"/>
      <c r="M56" s="28"/>
      <c r="N56" s="28"/>
      <c r="O56" s="522"/>
      <c r="P56" s="523"/>
      <c r="Q56" s="523"/>
      <c r="R56" s="523"/>
      <c r="S56" s="524"/>
      <c r="T56" s="525"/>
    </row>
    <row r="57" spans="1:21" x14ac:dyDescent="0.2">
      <c r="B57" s="1110" t="s">
        <v>151</v>
      </c>
      <c r="C57" s="1110"/>
      <c r="D57" s="1108" t="s">
        <v>393</v>
      </c>
      <c r="E57" s="1108"/>
      <c r="F57" s="511" t="s">
        <v>20</v>
      </c>
      <c r="G57" s="512" t="s">
        <v>1</v>
      </c>
      <c r="H57" s="508"/>
      <c r="I57" s="515"/>
      <c r="J57" s="516"/>
      <c r="K57" s="28"/>
      <c r="L57" s="28"/>
      <c r="M57" s="28"/>
      <c r="N57" s="28"/>
      <c r="O57" s="545"/>
      <c r="P57" s="546"/>
      <c r="Q57" s="546"/>
      <c r="R57" s="546"/>
      <c r="S57" s="498">
        <f>IF(G57="yes",S50*Summary!$M$47,0)</f>
        <v>762.41661665359209</v>
      </c>
      <c r="T57" s="99"/>
    </row>
    <row r="58" spans="1:21" ht="10.5" customHeight="1" x14ac:dyDescent="0.2">
      <c r="B58" s="497"/>
      <c r="C58" s="1109" t="s">
        <v>169</v>
      </c>
      <c r="D58" s="1109"/>
      <c r="E58" s="513" t="s">
        <v>85</v>
      </c>
      <c r="F58" s="1105" t="s">
        <v>170</v>
      </c>
      <c r="G58" s="1105"/>
      <c r="H58" s="514" t="s">
        <v>395</v>
      </c>
      <c r="I58" s="496"/>
      <c r="J58" s="97"/>
      <c r="K58" s="28"/>
      <c r="L58" s="28"/>
      <c r="M58" s="28"/>
      <c r="N58" s="28"/>
      <c r="O58" s="98"/>
      <c r="P58" s="109"/>
      <c r="Q58" s="109"/>
      <c r="R58" s="109"/>
      <c r="S58" s="498"/>
      <c r="T58" s="99"/>
    </row>
    <row r="59" spans="1:21" ht="13.5" customHeight="1" thickBot="1" x14ac:dyDescent="0.25">
      <c r="B59" s="497"/>
      <c r="C59" s="1095"/>
      <c r="D59" s="1095"/>
      <c r="E59" s="530"/>
      <c r="F59" s="1096"/>
      <c r="G59" s="1096"/>
      <c r="H59" s="534"/>
      <c r="I59" s="496"/>
      <c r="J59" s="97"/>
      <c r="K59" s="28"/>
      <c r="L59" s="28"/>
      <c r="M59" s="28"/>
      <c r="N59" s="28"/>
      <c r="O59" s="98"/>
      <c r="P59" s="109"/>
      <c r="Q59" s="109"/>
      <c r="R59" s="109"/>
      <c r="S59" s="498">
        <f>IF(H59="s",(E59*F59)/(1-'OH&amp;P'!$E$5),0)+IF(H59="sc",(E59*F59)/(1-'OH&amp;P'!$F$5),0)</f>
        <v>0</v>
      </c>
      <c r="T59" s="99"/>
    </row>
    <row r="60" spans="1:21" ht="13.5" hidden="1" customHeight="1" thickBot="1" x14ac:dyDescent="0.25">
      <c r="B60" s="497"/>
      <c r="C60" s="1097"/>
      <c r="D60" s="1098"/>
      <c r="E60" s="532"/>
      <c r="F60" s="1104"/>
      <c r="G60" s="1104"/>
      <c r="H60" s="535"/>
      <c r="I60" s="496"/>
      <c r="J60" s="97"/>
      <c r="K60" s="28"/>
      <c r="L60" s="28"/>
      <c r="M60" s="28"/>
      <c r="N60" s="28"/>
      <c r="O60" s="98"/>
      <c r="P60" s="109"/>
      <c r="Q60" s="109"/>
      <c r="R60" s="109"/>
      <c r="S60" s="498">
        <f>IF(H60="s",(E60*F60)/(1-'OH&amp;P'!$E$5),0)+IF(H60="sc",(E60*F60)/(1-'OH&amp;P'!$F$5),0)</f>
        <v>0</v>
      </c>
      <c r="T60" s="99"/>
    </row>
    <row r="61" spans="1:21" ht="13.5" customHeight="1" thickTop="1" thickBot="1" x14ac:dyDescent="0.25">
      <c r="B61" s="497"/>
      <c r="C61" s="544" t="s">
        <v>399</v>
      </c>
      <c r="D61" s="509"/>
      <c r="E61" s="542" t="s">
        <v>401</v>
      </c>
      <c r="F61" s="501"/>
      <c r="G61" s="501"/>
      <c r="H61" s="501"/>
      <c r="I61" s="496"/>
      <c r="J61" s="97"/>
      <c r="K61" s="28"/>
      <c r="L61" s="28"/>
      <c r="M61" s="28"/>
      <c r="N61" s="28"/>
      <c r="O61" s="1106" t="s">
        <v>397</v>
      </c>
      <c r="P61" s="1106"/>
      <c r="Q61" s="1106"/>
      <c r="R61" s="1106"/>
      <c r="S61" s="510">
        <f>SUM(S57:S60)</f>
        <v>762.41661665359209</v>
      </c>
      <c r="T61" s="99"/>
    </row>
    <row r="62" spans="1:21" ht="13.5" customHeight="1" thickTop="1" x14ac:dyDescent="0.2">
      <c r="B62" s="497"/>
      <c r="C62" s="543"/>
      <c r="D62" s="509"/>
      <c r="E62" s="499"/>
      <c r="F62" s="501"/>
      <c r="G62" s="501"/>
      <c r="H62" s="501"/>
      <c r="I62" s="496"/>
      <c r="J62" s="97"/>
      <c r="K62" s="28"/>
      <c r="L62" s="28"/>
      <c r="M62" s="28"/>
      <c r="N62" s="28"/>
      <c r="O62" s="1111"/>
      <c r="P62" s="1111"/>
      <c r="Q62" s="540"/>
      <c r="R62" s="541" t="s">
        <v>171</v>
      </c>
      <c r="S62" s="107" t="str">
        <f>+U45</f>
        <v>Alt 3</v>
      </c>
      <c r="T62" s="107">
        <f>+S50+S55+S61</f>
        <v>5013.7244929396011</v>
      </c>
    </row>
    <row r="64" spans="1:21" x14ac:dyDescent="0.2">
      <c r="A64" s="110" t="str">
        <f>+'Take Off'!Y1290</f>
        <v>Alt 20 - Lobby RR Walls to GWB</v>
      </c>
      <c r="B64" s="1099" t="str">
        <f>+A64</f>
        <v>Alt 20 - Lobby RR Walls to GWB</v>
      </c>
      <c r="C64" s="1099"/>
      <c r="D64" s="1099"/>
      <c r="E64" s="1099"/>
      <c r="F64" s="1099"/>
      <c r="G64" s="135">
        <f>+A65</f>
        <v>0</v>
      </c>
      <c r="H64" s="111">
        <f>+A66</f>
        <v>0</v>
      </c>
      <c r="I64" s="91"/>
      <c r="J64" s="91"/>
      <c r="K64" s="91"/>
      <c r="L64" s="91"/>
      <c r="M64" s="91"/>
      <c r="N64" s="91"/>
      <c r="O64" s="91"/>
      <c r="P64" s="91"/>
      <c r="Q64" s="91"/>
      <c r="R64" s="92"/>
      <c r="S64" s="92"/>
      <c r="T64" s="92"/>
      <c r="U64" s="92"/>
    </row>
    <row r="65" spans="1:21" ht="53" thickBot="1" x14ac:dyDescent="0.25">
      <c r="A65" s="110">
        <f>+'Take Off'!Y1291</f>
        <v>0</v>
      </c>
      <c r="B65" s="93" t="s">
        <v>209</v>
      </c>
      <c r="C65" s="94" t="s">
        <v>210</v>
      </c>
      <c r="D65" s="93" t="s">
        <v>211</v>
      </c>
      <c r="E65" s="94" t="s">
        <v>212</v>
      </c>
      <c r="F65" s="94" t="s">
        <v>213</v>
      </c>
      <c r="G65" s="104" t="s">
        <v>214</v>
      </c>
      <c r="H65" s="104" t="s">
        <v>215</v>
      </c>
      <c r="I65" s="104" t="s">
        <v>216</v>
      </c>
      <c r="J65" s="95" t="s">
        <v>217</v>
      </c>
      <c r="K65" s="95" t="s">
        <v>218</v>
      </c>
      <c r="L65" s="95" t="s">
        <v>219</v>
      </c>
      <c r="M65" s="95" t="s">
        <v>220</v>
      </c>
      <c r="N65" s="95" t="s">
        <v>221</v>
      </c>
      <c r="O65" s="95" t="s">
        <v>222</v>
      </c>
      <c r="P65" s="95" t="s">
        <v>223</v>
      </c>
      <c r="Q65" s="95" t="s">
        <v>213</v>
      </c>
      <c r="R65" s="95" t="s">
        <v>224</v>
      </c>
      <c r="S65" s="95" t="s">
        <v>31</v>
      </c>
      <c r="T65" s="95" t="s">
        <v>225</v>
      </c>
      <c r="U65" s="547" t="s">
        <v>385</v>
      </c>
    </row>
    <row r="66" spans="1:21" ht="16" thickBot="1" x14ac:dyDescent="0.25">
      <c r="A66" s="110">
        <f>+'Take Off'!Y1292</f>
        <v>0</v>
      </c>
      <c r="B66" s="100">
        <v>18</v>
      </c>
      <c r="C66" s="81">
        <v>0.5</v>
      </c>
      <c r="D66" s="495" t="s">
        <v>1104</v>
      </c>
      <c r="E66" s="82">
        <v>2</v>
      </c>
      <c r="F66" s="83">
        <v>25</v>
      </c>
      <c r="G66" s="84"/>
      <c r="H66" s="88">
        <v>40</v>
      </c>
      <c r="I66" s="84" t="s">
        <v>1013</v>
      </c>
      <c r="J66" s="100">
        <f>IF(C66=0,0,B66/C66)</f>
        <v>36</v>
      </c>
      <c r="K66" s="101">
        <f>IF($G66="x",'Labor Calc'!$E$43,'Labor Calc'!$E$31)</f>
        <v>58.06944444444445</v>
      </c>
      <c r="L66" s="101">
        <f>IF($G66="x",'Labor Calc'!$F$43,'Labor Calc'!$F$31)</f>
        <v>62.358333333333327</v>
      </c>
      <c r="M66" s="101">
        <f>IF($G66="x",'Labor Calc'!$G$43,'Labor Calc'!$G$31)</f>
        <v>65.217592592592595</v>
      </c>
      <c r="N66" s="101">
        <f>IF(H66=40,K66,0)+IF(H66=50,L66,0)+IF(H66=60,M66,0)</f>
        <v>58.06944444444445</v>
      </c>
      <c r="O66" s="100">
        <f>IF(E66=0,0,B66/E66)</f>
        <v>9</v>
      </c>
      <c r="P66" s="108">
        <f>+J66*N66</f>
        <v>2090.5</v>
      </c>
      <c r="Q66" s="108">
        <f>(+O66*F66)/(1-'OH&amp;P'!$C$5)</f>
        <v>277.77777777777777</v>
      </c>
      <c r="R66" s="108">
        <f>IF(I66="x",(J66*'Admin Set Up'!$B$17)/(1-'OH&amp;P'!$C$5),0)</f>
        <v>88.888888888888886</v>
      </c>
      <c r="S66" s="106">
        <f>SUM(P66:R66)</f>
        <v>2457.1666666666665</v>
      </c>
      <c r="T66" s="102">
        <f>IF(B66=0,0,S66/B66)</f>
        <v>136.50925925925924</v>
      </c>
      <c r="U66" s="92"/>
    </row>
    <row r="67" spans="1:21" ht="16" thickBot="1" x14ac:dyDescent="0.25">
      <c r="A67" s="110"/>
      <c r="B67" s="100">
        <v>1440</v>
      </c>
      <c r="C67" s="81">
        <v>75</v>
      </c>
      <c r="D67" s="1058" t="s">
        <v>1103</v>
      </c>
      <c r="E67" s="1057">
        <v>100</v>
      </c>
      <c r="F67" s="83">
        <v>16</v>
      </c>
      <c r="G67" s="84"/>
      <c r="H67" s="88">
        <v>40</v>
      </c>
      <c r="I67" s="84" t="s">
        <v>1013</v>
      </c>
      <c r="J67" s="100">
        <f>IF(C67=0,0,B67/C67)</f>
        <v>19.2</v>
      </c>
      <c r="K67" s="101">
        <f>IF($G67="x",'Labor Calc'!$E$43,'Labor Calc'!$E$31)</f>
        <v>58.06944444444445</v>
      </c>
      <c r="L67" s="101">
        <f>IF($G67="x",'Labor Calc'!$F$43,'Labor Calc'!$F$31)</f>
        <v>62.358333333333327</v>
      </c>
      <c r="M67" s="101">
        <f>IF($G67="x",'Labor Calc'!$G$43,'Labor Calc'!$G$31)</f>
        <v>65.217592592592595</v>
      </c>
      <c r="N67" s="101">
        <f>IF(H67=40,K67,0)+IF(H67=50,L67,0)+IF(H67=60,M67,0)</f>
        <v>58.06944444444445</v>
      </c>
      <c r="O67" s="100">
        <f>IF(E67=0,0,B67/E67)</f>
        <v>14.4</v>
      </c>
      <c r="P67" s="108">
        <f>+J67*N67</f>
        <v>1114.9333333333334</v>
      </c>
      <c r="Q67" s="108">
        <f>(+O67*F67)/(1-'OH&amp;P'!$C$5)</f>
        <v>284.44444444444446</v>
      </c>
      <c r="R67" s="108">
        <f>IF(I67="x",(J67*'Admin Set Up'!$B$17)/(1-'OH&amp;P'!$C$5),0)</f>
        <v>47.407407407407405</v>
      </c>
      <c r="S67" s="106">
        <f>SUM(P67:R67)</f>
        <v>1446.7851851851851</v>
      </c>
      <c r="T67" s="102">
        <f>IF(B67=0,0,S67/B67)</f>
        <v>1.0047119341563786</v>
      </c>
      <c r="U67" s="92"/>
    </row>
    <row r="68" spans="1:21" ht="16" hidden="1" thickBot="1" x14ac:dyDescent="0.25">
      <c r="A68" s="110">
        <f>+'Take Off'!Y1293</f>
        <v>0</v>
      </c>
      <c r="B68" s="103">
        <f>+B66</f>
        <v>18</v>
      </c>
      <c r="C68" s="81"/>
      <c r="D68" s="79"/>
      <c r="E68" s="85"/>
      <c r="F68" s="86"/>
      <c r="G68" s="84"/>
      <c r="H68" s="88"/>
      <c r="I68" s="84"/>
      <c r="J68" s="100">
        <f>IF(C68=0,0,B68/C68)</f>
        <v>0</v>
      </c>
      <c r="K68" s="101">
        <f>IF($G68="x",'Labor Calc'!$E$43,'Labor Calc'!$E$31)</f>
        <v>58.06944444444445</v>
      </c>
      <c r="L68" s="101">
        <f>IF($G68="x",'Labor Calc'!$F$43,'Labor Calc'!$F$31)</f>
        <v>62.358333333333327</v>
      </c>
      <c r="M68" s="101">
        <f>IF($G68="x",'Labor Calc'!$G$43,'Labor Calc'!$G$31)</f>
        <v>65.217592592592595</v>
      </c>
      <c r="N68" s="101">
        <f>IF(H68=40,K68,0)+IF(H68=50,L68,0)+IF(H68=60,M68,0)</f>
        <v>0</v>
      </c>
      <c r="O68" s="100">
        <f>IF(E68=0,0,B68/E68)</f>
        <v>0</v>
      </c>
      <c r="P68" s="108">
        <f>+J68*N68</f>
        <v>0</v>
      </c>
      <c r="Q68" s="108">
        <f>(+O68*F68)/(1-'OH&amp;P'!$C$5)</f>
        <v>0</v>
      </c>
      <c r="R68" s="108">
        <f>IF(I68="x",(J68*'Admin Set Up'!$B$17)/(1-'OH&amp;P'!$C$5),0)</f>
        <v>0</v>
      </c>
      <c r="S68" s="106">
        <f>SUM(P68:R68)</f>
        <v>0</v>
      </c>
      <c r="T68" s="102">
        <f>IF(B68=0,0,S68/B68)</f>
        <v>0</v>
      </c>
      <c r="U68" s="92"/>
    </row>
    <row r="69" spans="1:21" ht="16" thickBot="1" x14ac:dyDescent="0.25">
      <c r="A69" s="87"/>
      <c r="B69" s="105" t="s">
        <v>226</v>
      </c>
      <c r="C69" s="90"/>
      <c r="D69" s="89" t="s">
        <v>227</v>
      </c>
      <c r="E69" s="96"/>
      <c r="F69" s="96"/>
      <c r="G69" s="1101" t="s">
        <v>101</v>
      </c>
      <c r="H69" s="1101"/>
      <c r="I69" s="1101"/>
      <c r="J69" s="97">
        <f>SUM(J66:J68)</f>
        <v>55.2</v>
      </c>
      <c r="K69" s="90"/>
      <c r="L69" s="90"/>
      <c r="M69" s="90"/>
      <c r="N69" s="90"/>
      <c r="O69" s="98">
        <f t="shared" ref="O69:T69" si="39">SUM(O66:O68)</f>
        <v>23.4</v>
      </c>
      <c r="P69" s="109">
        <f t="shared" si="39"/>
        <v>3205.4333333333334</v>
      </c>
      <c r="Q69" s="109">
        <f t="shared" si="39"/>
        <v>562.22222222222217</v>
      </c>
      <c r="R69" s="109">
        <f t="shared" si="39"/>
        <v>136.2962962962963</v>
      </c>
      <c r="S69" s="107">
        <f t="shared" si="39"/>
        <v>3903.9518518518516</v>
      </c>
      <c r="T69" s="99">
        <f t="shared" si="39"/>
        <v>137.51397119341561</v>
      </c>
      <c r="U69" s="32"/>
    </row>
    <row r="70" spans="1:21" ht="3" customHeight="1" x14ac:dyDescent="0.2">
      <c r="B70" s="536"/>
      <c r="C70" s="143"/>
      <c r="D70" s="537"/>
      <c r="E70" s="538"/>
      <c r="F70" s="538"/>
      <c r="G70" s="520"/>
      <c r="H70" s="520"/>
      <c r="I70" s="520"/>
      <c r="J70" s="521"/>
      <c r="K70" s="143"/>
      <c r="L70" s="143"/>
      <c r="M70" s="143"/>
      <c r="N70" s="143"/>
      <c r="O70" s="522"/>
      <c r="P70" s="523"/>
      <c r="Q70" s="523"/>
      <c r="R70" s="523"/>
      <c r="S70" s="529"/>
      <c r="T70" s="525"/>
    </row>
    <row r="71" spans="1:21" ht="24.75" customHeight="1" x14ac:dyDescent="0.2">
      <c r="B71" s="1102" t="s">
        <v>359</v>
      </c>
      <c r="C71" s="1102"/>
      <c r="D71" s="526" t="s">
        <v>169</v>
      </c>
      <c r="E71" s="527" t="s">
        <v>85</v>
      </c>
      <c r="F71" s="528" t="s">
        <v>19</v>
      </c>
      <c r="G71" s="1103" t="s">
        <v>170</v>
      </c>
      <c r="H71" s="1103"/>
      <c r="I71" s="502"/>
      <c r="J71" s="503"/>
      <c r="K71" s="28"/>
      <c r="L71" s="28"/>
      <c r="M71" s="28"/>
      <c r="N71" s="28"/>
      <c r="O71" s="504"/>
      <c r="P71" s="505"/>
      <c r="Q71" s="505"/>
      <c r="R71" s="505"/>
      <c r="S71" s="506" t="s">
        <v>392</v>
      </c>
      <c r="T71" s="507"/>
    </row>
    <row r="72" spans="1:21" ht="13.5" customHeight="1" thickBot="1" x14ac:dyDescent="0.25">
      <c r="B72" s="497"/>
      <c r="C72" s="260"/>
      <c r="D72" s="530"/>
      <c r="E72" s="531"/>
      <c r="F72" s="531"/>
      <c r="G72" s="1096"/>
      <c r="H72" s="1096"/>
      <c r="I72" s="496"/>
      <c r="J72" s="97"/>
      <c r="K72" s="28"/>
      <c r="L72" s="28"/>
      <c r="M72" s="28"/>
      <c r="N72" s="28"/>
      <c r="O72" s="98"/>
      <c r="P72" s="109"/>
      <c r="Q72" s="109"/>
      <c r="R72" s="109"/>
      <c r="S72" s="498">
        <f>+(E72*F72*G72)/(1-'OH&amp;P'!$D$5)</f>
        <v>0</v>
      </c>
      <c r="T72" s="99"/>
    </row>
    <row r="73" spans="1:21" ht="13.5" hidden="1" customHeight="1" thickBot="1" x14ac:dyDescent="0.25">
      <c r="B73" s="497"/>
      <c r="C73" s="260"/>
      <c r="D73" s="532"/>
      <c r="E73" s="533"/>
      <c r="F73" s="533"/>
      <c r="G73" s="1104"/>
      <c r="H73" s="1104"/>
      <c r="I73" s="496"/>
      <c r="J73" s="97"/>
      <c r="K73" s="28"/>
      <c r="L73" s="28"/>
      <c r="M73" s="28"/>
      <c r="N73" s="28"/>
      <c r="O73" s="98"/>
      <c r="P73" s="109"/>
      <c r="Q73" s="109"/>
      <c r="R73" s="109"/>
      <c r="S73" s="498">
        <f>+(E73*F73*G73)/(1-'OH&amp;P'!$D$5)</f>
        <v>0</v>
      </c>
      <c r="T73" s="99"/>
    </row>
    <row r="74" spans="1:21" ht="13.5" customHeight="1" thickTop="1" thickBot="1" x14ac:dyDescent="0.25">
      <c r="B74" s="497"/>
      <c r="C74" s="539" t="s">
        <v>398</v>
      </c>
      <c r="D74" s="499"/>
      <c r="E74" s="542" t="s">
        <v>400</v>
      </c>
      <c r="F74" s="500"/>
      <c r="G74" s="501"/>
      <c r="H74" s="501"/>
      <c r="I74" s="496"/>
      <c r="J74" s="97"/>
      <c r="K74" s="28"/>
      <c r="L74" s="28"/>
      <c r="M74" s="28"/>
      <c r="N74" s="28"/>
      <c r="O74" s="1106" t="s">
        <v>394</v>
      </c>
      <c r="P74" s="1106"/>
      <c r="Q74" s="1106"/>
      <c r="R74" s="1106"/>
      <c r="S74" s="510">
        <f>SUM(S72:S73)</f>
        <v>0</v>
      </c>
      <c r="T74" s="99"/>
    </row>
    <row r="75" spans="1:21" ht="3" customHeight="1" thickTop="1" x14ac:dyDescent="0.2">
      <c r="B75" s="1107"/>
      <c r="C75" s="1107"/>
      <c r="D75" s="517"/>
      <c r="E75" s="518"/>
      <c r="F75" s="518"/>
      <c r="G75" s="519"/>
      <c r="H75" s="519"/>
      <c r="I75" s="520"/>
      <c r="J75" s="521"/>
      <c r="K75" s="28"/>
      <c r="L75" s="28"/>
      <c r="M75" s="28"/>
      <c r="N75" s="28"/>
      <c r="O75" s="522"/>
      <c r="P75" s="523"/>
      <c r="Q75" s="523"/>
      <c r="R75" s="523"/>
      <c r="S75" s="524"/>
      <c r="T75" s="525"/>
    </row>
    <row r="76" spans="1:21" x14ac:dyDescent="0.2">
      <c r="B76" s="1110" t="s">
        <v>151</v>
      </c>
      <c r="C76" s="1110"/>
      <c r="D76" s="1108" t="s">
        <v>393</v>
      </c>
      <c r="E76" s="1108"/>
      <c r="F76" s="511" t="s">
        <v>20</v>
      </c>
      <c r="G76" s="512" t="s">
        <v>1</v>
      </c>
      <c r="H76" s="508"/>
      <c r="I76" s="515"/>
      <c r="J76" s="516"/>
      <c r="K76" s="28"/>
      <c r="L76" s="28"/>
      <c r="M76" s="28"/>
      <c r="N76" s="28"/>
      <c r="O76" s="545"/>
      <c r="P76" s="546"/>
      <c r="Q76" s="546"/>
      <c r="R76" s="546"/>
      <c r="S76" s="498">
        <f>IF(G76="yes",S69*Summary!$M$47,0)</f>
        <v>700.12284432988758</v>
      </c>
      <c r="T76" s="99"/>
    </row>
    <row r="77" spans="1:21" ht="10.5" customHeight="1" x14ac:dyDescent="0.2">
      <c r="B77" s="497"/>
      <c r="C77" s="1109" t="s">
        <v>169</v>
      </c>
      <c r="D77" s="1109"/>
      <c r="E77" s="513" t="s">
        <v>85</v>
      </c>
      <c r="F77" s="1105" t="s">
        <v>170</v>
      </c>
      <c r="G77" s="1105"/>
      <c r="H77" s="514" t="s">
        <v>395</v>
      </c>
      <c r="I77" s="496"/>
      <c r="J77" s="97"/>
      <c r="K77" s="28"/>
      <c r="L77" s="28"/>
      <c r="M77" s="28"/>
      <c r="N77" s="28"/>
      <c r="O77" s="98"/>
      <c r="P77" s="109"/>
      <c r="Q77" s="109"/>
      <c r="R77" s="109"/>
      <c r="S77" s="498"/>
      <c r="T77" s="99"/>
    </row>
    <row r="78" spans="1:21" ht="13.5" customHeight="1" thickBot="1" x14ac:dyDescent="0.25">
      <c r="B78" s="497"/>
      <c r="C78" s="1095"/>
      <c r="D78" s="1095"/>
      <c r="E78" s="530"/>
      <c r="F78" s="1096"/>
      <c r="G78" s="1096"/>
      <c r="H78" s="534"/>
      <c r="I78" s="496"/>
      <c r="J78" s="97"/>
      <c r="K78" s="28"/>
      <c r="L78" s="28"/>
      <c r="M78" s="28"/>
      <c r="N78" s="28"/>
      <c r="O78" s="98"/>
      <c r="P78" s="109"/>
      <c r="Q78" s="109"/>
      <c r="R78" s="109"/>
      <c r="S78" s="498">
        <f>IF(H78="s",(E78*F78)/(1-'OH&amp;P'!$E$5),0)+IF(H78="sc",(E78*F78)/(1-'OH&amp;P'!$F$5),0)</f>
        <v>0</v>
      </c>
      <c r="T78" s="99"/>
    </row>
    <row r="79" spans="1:21" ht="13.5" hidden="1" customHeight="1" thickBot="1" x14ac:dyDescent="0.25">
      <c r="B79" s="497"/>
      <c r="C79" s="1097"/>
      <c r="D79" s="1098"/>
      <c r="E79" s="532"/>
      <c r="F79" s="1104"/>
      <c r="G79" s="1104"/>
      <c r="H79" s="535"/>
      <c r="I79" s="496"/>
      <c r="J79" s="97"/>
      <c r="K79" s="28"/>
      <c r="L79" s="28"/>
      <c r="M79" s="28"/>
      <c r="N79" s="28"/>
      <c r="O79" s="98"/>
      <c r="P79" s="109"/>
      <c r="Q79" s="109"/>
      <c r="R79" s="109"/>
      <c r="S79" s="498">
        <f>IF(H79="s",(E79*F79)/(1-'OH&amp;P'!$E$5),0)+IF(H79="sc",(E79*F79)/(1-'OH&amp;P'!$F$5),0)</f>
        <v>0</v>
      </c>
      <c r="T79" s="99"/>
    </row>
    <row r="80" spans="1:21" ht="13.5" customHeight="1" thickTop="1" thickBot="1" x14ac:dyDescent="0.25">
      <c r="B80" s="497"/>
      <c r="C80" s="544" t="s">
        <v>399</v>
      </c>
      <c r="D80" s="509"/>
      <c r="E80" s="542" t="s">
        <v>401</v>
      </c>
      <c r="F80" s="501"/>
      <c r="G80" s="501"/>
      <c r="H80" s="501"/>
      <c r="I80" s="496"/>
      <c r="J80" s="97"/>
      <c r="K80" s="28"/>
      <c r="L80" s="28"/>
      <c r="M80" s="28"/>
      <c r="N80" s="28"/>
      <c r="O80" s="1106" t="s">
        <v>397</v>
      </c>
      <c r="P80" s="1106"/>
      <c r="Q80" s="1106"/>
      <c r="R80" s="1106"/>
      <c r="S80" s="510">
        <f>SUM(S76:S79)</f>
        <v>700.12284432988758</v>
      </c>
      <c r="T80" s="99"/>
    </row>
    <row r="81" spans="1:21" ht="13.5" customHeight="1" thickTop="1" x14ac:dyDescent="0.2">
      <c r="B81" s="497"/>
      <c r="C81" s="543"/>
      <c r="D81" s="509"/>
      <c r="E81" s="499"/>
      <c r="F81" s="501"/>
      <c r="G81" s="501"/>
      <c r="H81" s="501"/>
      <c r="I81" s="496"/>
      <c r="J81" s="97"/>
      <c r="K81" s="28"/>
      <c r="L81" s="28"/>
      <c r="M81" s="28"/>
      <c r="N81" s="28"/>
      <c r="O81" s="1111"/>
      <c r="P81" s="1111"/>
      <c r="Q81" s="540"/>
      <c r="R81" s="541" t="s">
        <v>171</v>
      </c>
      <c r="S81" s="107" t="str">
        <f>+U65</f>
        <v>Alt 4</v>
      </c>
      <c r="T81" s="107">
        <f>+S69+S74+S80</f>
        <v>4604.0746961817395</v>
      </c>
    </row>
    <row r="83" spans="1:21" x14ac:dyDescent="0.2">
      <c r="A83" s="110" t="str">
        <f>+'Take Off'!Z1290</f>
        <v>Alt 26 - Reduce Bridge 33%</v>
      </c>
      <c r="B83" s="1099" t="str">
        <f>+A83</f>
        <v>Alt 26 - Reduce Bridge 33%</v>
      </c>
      <c r="C83" s="1099"/>
      <c r="D83" s="1099"/>
      <c r="E83" s="1099"/>
      <c r="F83" s="1099"/>
      <c r="G83" s="135">
        <f>+A84</f>
        <v>3968</v>
      </c>
      <c r="H83" s="111">
        <f>+A85</f>
        <v>0</v>
      </c>
      <c r="I83" s="91"/>
      <c r="J83" s="91"/>
      <c r="K83" s="91"/>
      <c r="L83" s="91"/>
      <c r="M83" s="91"/>
      <c r="N83" s="91"/>
      <c r="O83" s="91"/>
      <c r="P83" s="91"/>
      <c r="Q83" s="91"/>
      <c r="R83" s="92"/>
      <c r="S83" s="92"/>
      <c r="T83" s="92"/>
      <c r="U83" s="92"/>
    </row>
    <row r="84" spans="1:21" ht="51" thickBot="1" x14ac:dyDescent="0.25">
      <c r="A84" s="110">
        <f>+'Take Off'!Z1291</f>
        <v>3968</v>
      </c>
      <c r="B84" s="93" t="s">
        <v>209</v>
      </c>
      <c r="C84" s="94" t="s">
        <v>210</v>
      </c>
      <c r="D84" s="93" t="s">
        <v>211</v>
      </c>
      <c r="E84" s="94" t="s">
        <v>212</v>
      </c>
      <c r="F84" s="94" t="s">
        <v>213</v>
      </c>
      <c r="G84" s="104" t="s">
        <v>214</v>
      </c>
      <c r="H84" s="104" t="s">
        <v>215</v>
      </c>
      <c r="I84" s="104" t="s">
        <v>216</v>
      </c>
      <c r="J84" s="95" t="s">
        <v>217</v>
      </c>
      <c r="K84" s="95" t="s">
        <v>218</v>
      </c>
      <c r="L84" s="95" t="s">
        <v>219</v>
      </c>
      <c r="M84" s="95" t="s">
        <v>220</v>
      </c>
      <c r="N84" s="95" t="s">
        <v>221</v>
      </c>
      <c r="O84" s="95" t="s">
        <v>222</v>
      </c>
      <c r="P84" s="95" t="s">
        <v>223</v>
      </c>
      <c r="Q84" s="95" t="s">
        <v>213</v>
      </c>
      <c r="R84" s="95" t="s">
        <v>224</v>
      </c>
      <c r="S84" s="95" t="s">
        <v>31</v>
      </c>
      <c r="T84" s="95" t="s">
        <v>225</v>
      </c>
      <c r="U84" s="547" t="s">
        <v>386</v>
      </c>
    </row>
    <row r="85" spans="1:21" ht="16" thickBot="1" x14ac:dyDescent="0.25">
      <c r="A85" s="110">
        <f>+'Take Off'!Z1292</f>
        <v>0</v>
      </c>
      <c r="B85" s="100">
        <f>+A84</f>
        <v>3968</v>
      </c>
      <c r="C85" s="81">
        <v>-300</v>
      </c>
      <c r="D85" s="81" t="str">
        <f>+'Base Estimate'!D248</f>
        <v>Epoxy Primer</v>
      </c>
      <c r="E85" s="81">
        <f>-+'Base Estimate'!E248</f>
        <v>-200</v>
      </c>
      <c r="F85" s="81">
        <f>+'Base Estimate'!F248</f>
        <v>40</v>
      </c>
      <c r="G85" s="81">
        <f>+'Base Estimate'!G248</f>
        <v>0</v>
      </c>
      <c r="H85" s="81">
        <f>+'Base Estimate'!H248</f>
        <v>40</v>
      </c>
      <c r="I85" s="81" t="str">
        <f>+'Base Estimate'!I248</f>
        <v>x</v>
      </c>
      <c r="J85" s="100">
        <f t="shared" ref="J85:J90" si="40">IF(C85=0,0,B85/C85)</f>
        <v>-13.226666666666667</v>
      </c>
      <c r="K85" s="101">
        <f>IF($G85="x",'Labor Calc'!$E$43,'Labor Calc'!$E$31)</f>
        <v>58.06944444444445</v>
      </c>
      <c r="L85" s="101">
        <f>IF($G85="x",'Labor Calc'!$F$43,'Labor Calc'!$F$31)</f>
        <v>62.358333333333327</v>
      </c>
      <c r="M85" s="101">
        <f>IF($G85="x",'Labor Calc'!$G$43,'Labor Calc'!$G$31)</f>
        <v>65.217592592592595</v>
      </c>
      <c r="N85" s="101">
        <f t="shared" ref="N85:N90" si="41">IF(H85=40,K85,0)+IF(H85=50,L85,0)+IF(H85=60,M85,0)</f>
        <v>58.06944444444445</v>
      </c>
      <c r="O85" s="100">
        <f t="shared" ref="O85:O90" si="42">IF(E85=0,0,B85/E85)</f>
        <v>-19.84</v>
      </c>
      <c r="P85" s="108">
        <f t="shared" ref="P85:P90" si="43">+J85*N85</f>
        <v>-768.06518518518521</v>
      </c>
      <c r="Q85" s="108">
        <f>(+O85*F85)/(1-'OH&amp;P'!$C$5)</f>
        <v>-979.753086419753</v>
      </c>
      <c r="R85" s="108">
        <f>IF(I85="x",(J85*'Admin Set Up'!$B$17)/(1-'OH&amp;P'!$C$5),0)</f>
        <v>-32.65843621399177</v>
      </c>
      <c r="S85" s="106">
        <f t="shared" ref="S85:S90" si="44">SUM(P85:R85)</f>
        <v>-1780.47670781893</v>
      </c>
      <c r="T85" s="102">
        <f t="shared" ref="T85:T90" si="45">IF(B85=0,0,S85/B85)</f>
        <v>-0.4487088477366255</v>
      </c>
      <c r="U85" s="92"/>
    </row>
    <row r="86" spans="1:21" ht="16" thickBot="1" x14ac:dyDescent="0.25">
      <c r="A86" s="110"/>
      <c r="B86" s="100">
        <f>+B85</f>
        <v>3968</v>
      </c>
      <c r="C86" s="81">
        <v>-300</v>
      </c>
      <c r="D86" s="81" t="str">
        <f>+'Base Estimate'!D249</f>
        <v>Epoxy Intermediate</v>
      </c>
      <c r="E86" s="81">
        <f>-+'Base Estimate'!E249</f>
        <v>-200</v>
      </c>
      <c r="F86" s="81">
        <f>+'Base Estimate'!F249</f>
        <v>40</v>
      </c>
      <c r="G86" s="81">
        <f>+'Base Estimate'!G249</f>
        <v>0</v>
      </c>
      <c r="H86" s="81">
        <f>+'Base Estimate'!H249</f>
        <v>40</v>
      </c>
      <c r="I86" s="81" t="str">
        <f>+'Base Estimate'!I249</f>
        <v>x</v>
      </c>
      <c r="J86" s="100">
        <f t="shared" si="40"/>
        <v>-13.226666666666667</v>
      </c>
      <c r="K86" s="101">
        <f>IF($G86="x",'Labor Calc'!$E$43,'Labor Calc'!$E$31)</f>
        <v>58.06944444444445</v>
      </c>
      <c r="L86" s="101">
        <f>IF($G86="x",'Labor Calc'!$F$43,'Labor Calc'!$F$31)</f>
        <v>62.358333333333327</v>
      </c>
      <c r="M86" s="101">
        <f>IF($G86="x",'Labor Calc'!$G$43,'Labor Calc'!$G$31)</f>
        <v>65.217592592592595</v>
      </c>
      <c r="N86" s="101">
        <f t="shared" si="41"/>
        <v>58.06944444444445</v>
      </c>
      <c r="O86" s="100">
        <f t="shared" si="42"/>
        <v>-19.84</v>
      </c>
      <c r="P86" s="108">
        <f t="shared" si="43"/>
        <v>-768.06518518518521</v>
      </c>
      <c r="Q86" s="108">
        <f>(+O86*F86)/(1-'OH&amp;P'!$C$5)</f>
        <v>-979.753086419753</v>
      </c>
      <c r="R86" s="108">
        <f>IF(I86="x",(J86*'Admin Set Up'!$B$17)/(1-'OH&amp;P'!$C$5),0)</f>
        <v>-32.65843621399177</v>
      </c>
      <c r="S86" s="106">
        <f t="shared" si="44"/>
        <v>-1780.47670781893</v>
      </c>
      <c r="T86" s="102">
        <f t="shared" si="45"/>
        <v>-0.4487088477366255</v>
      </c>
      <c r="U86" s="92"/>
    </row>
    <row r="87" spans="1:21" ht="16" thickBot="1" x14ac:dyDescent="0.25">
      <c r="A87" s="110"/>
      <c r="B87" s="100">
        <f>+B86</f>
        <v>3968</v>
      </c>
      <c r="C87" s="81">
        <v>-175</v>
      </c>
      <c r="D87" s="81" t="str">
        <f>+'Base Estimate'!D250</f>
        <v>HS Poly</v>
      </c>
      <c r="E87" s="81">
        <f>-+'Base Estimate'!E250</f>
        <v>-200</v>
      </c>
      <c r="F87" s="81">
        <f>+'Base Estimate'!F250</f>
        <v>60</v>
      </c>
      <c r="G87" s="81">
        <f>+'Base Estimate'!G250</f>
        <v>0</v>
      </c>
      <c r="H87" s="81">
        <f>+'Base Estimate'!H250</f>
        <v>40</v>
      </c>
      <c r="I87" s="81" t="str">
        <f>+'Base Estimate'!I250</f>
        <v>x</v>
      </c>
      <c r="J87" s="100">
        <f t="shared" si="40"/>
        <v>-22.674285714285713</v>
      </c>
      <c r="K87" s="101">
        <f>IF($G87="x",'Labor Calc'!$E$43,'Labor Calc'!$E$31)</f>
        <v>58.06944444444445</v>
      </c>
      <c r="L87" s="101">
        <f>IF($G87="x",'Labor Calc'!$F$43,'Labor Calc'!$F$31)</f>
        <v>62.358333333333327</v>
      </c>
      <c r="M87" s="101">
        <f>IF($G87="x",'Labor Calc'!$G$43,'Labor Calc'!$G$31)</f>
        <v>65.217592592592595</v>
      </c>
      <c r="N87" s="101">
        <f t="shared" si="41"/>
        <v>58.06944444444445</v>
      </c>
      <c r="O87" s="100">
        <f t="shared" si="42"/>
        <v>-19.84</v>
      </c>
      <c r="P87" s="108">
        <f t="shared" si="43"/>
        <v>-1316.6831746031746</v>
      </c>
      <c r="Q87" s="108">
        <f>(+O87*F87)/(1-'OH&amp;P'!$C$5)</f>
        <v>-1469.6296296296296</v>
      </c>
      <c r="R87" s="108">
        <f>IF(I87="x",(J87*'Admin Set Up'!$B$17)/(1-'OH&amp;P'!$C$5),0)</f>
        <v>-55.985890652557309</v>
      </c>
      <c r="S87" s="106">
        <f t="shared" si="44"/>
        <v>-2842.2986948853618</v>
      </c>
      <c r="T87" s="102">
        <f t="shared" si="45"/>
        <v>-0.71630511463844804</v>
      </c>
      <c r="U87" s="92"/>
    </row>
    <row r="88" spans="1:21" ht="16" thickBot="1" x14ac:dyDescent="0.25">
      <c r="A88" s="110"/>
      <c r="B88" s="100">
        <f>+B87</f>
        <v>3968</v>
      </c>
      <c r="C88" s="81">
        <v>-175</v>
      </c>
      <c r="D88" s="81" t="str">
        <f>+'Base Estimate'!D251</f>
        <v>HS Poly</v>
      </c>
      <c r="E88" s="81">
        <f>-+'Base Estimate'!E251</f>
        <v>-200</v>
      </c>
      <c r="F88" s="81">
        <f>+'Base Estimate'!F251</f>
        <v>60</v>
      </c>
      <c r="G88" s="81">
        <f>+'Base Estimate'!G251</f>
        <v>0</v>
      </c>
      <c r="H88" s="81">
        <f>+'Base Estimate'!H251</f>
        <v>40</v>
      </c>
      <c r="I88" s="81" t="str">
        <f>+'Base Estimate'!I251</f>
        <v>x</v>
      </c>
      <c r="J88" s="100">
        <f t="shared" si="40"/>
        <v>-22.674285714285713</v>
      </c>
      <c r="K88" s="101">
        <f>IF($G88="x",'Labor Calc'!$E$43,'Labor Calc'!$E$31)</f>
        <v>58.06944444444445</v>
      </c>
      <c r="L88" s="101">
        <f>IF($G88="x",'Labor Calc'!$F$43,'Labor Calc'!$F$31)</f>
        <v>62.358333333333327</v>
      </c>
      <c r="M88" s="101">
        <f>IF($G88="x",'Labor Calc'!$G$43,'Labor Calc'!$G$31)</f>
        <v>65.217592592592595</v>
      </c>
      <c r="N88" s="101">
        <f t="shared" si="41"/>
        <v>58.06944444444445</v>
      </c>
      <c r="O88" s="100">
        <f t="shared" si="42"/>
        <v>-19.84</v>
      </c>
      <c r="P88" s="108">
        <f t="shared" si="43"/>
        <v>-1316.6831746031746</v>
      </c>
      <c r="Q88" s="108">
        <f>(+O88*F88)/(1-'OH&amp;P'!$C$5)</f>
        <v>-1469.6296296296296</v>
      </c>
      <c r="R88" s="108">
        <f>IF(I88="x",(J88*'Admin Set Up'!$B$17)/(1-'OH&amp;P'!$C$5),0)</f>
        <v>-55.985890652557309</v>
      </c>
      <c r="S88" s="106">
        <f t="shared" si="44"/>
        <v>-2842.2986948853618</v>
      </c>
      <c r="T88" s="102">
        <f t="shared" si="45"/>
        <v>-0.71630511463844804</v>
      </c>
      <c r="U88" s="92"/>
    </row>
    <row r="89" spans="1:21" ht="16" thickBot="1" x14ac:dyDescent="0.25">
      <c r="A89" s="110"/>
      <c r="B89" s="100">
        <f>+B88</f>
        <v>3968</v>
      </c>
      <c r="C89" s="81">
        <v>-250</v>
      </c>
      <c r="D89" s="81" t="str">
        <f>+'Base Estimate'!D252</f>
        <v>Containment</v>
      </c>
      <c r="E89" s="81">
        <f>-+'Base Estimate'!E252</f>
        <v>-500</v>
      </c>
      <c r="F89" s="81">
        <f>+'Base Estimate'!F252</f>
        <v>50</v>
      </c>
      <c r="G89" s="81">
        <f>+'Base Estimate'!G252</f>
        <v>0</v>
      </c>
      <c r="H89" s="81">
        <f>+'Base Estimate'!H252</f>
        <v>40</v>
      </c>
      <c r="I89" s="81" t="str">
        <f>+'Base Estimate'!I252</f>
        <v>x</v>
      </c>
      <c r="J89" s="100">
        <f t="shared" si="40"/>
        <v>-15.872</v>
      </c>
      <c r="K89" s="101">
        <f>IF($G89="x",'Labor Calc'!$E$43,'Labor Calc'!$E$31)</f>
        <v>58.06944444444445</v>
      </c>
      <c r="L89" s="101">
        <f>IF($G89="x",'Labor Calc'!$F$43,'Labor Calc'!$F$31)</f>
        <v>62.358333333333327</v>
      </c>
      <c r="M89" s="101">
        <f>IF($G89="x",'Labor Calc'!$G$43,'Labor Calc'!$G$31)</f>
        <v>65.217592592592595</v>
      </c>
      <c r="N89" s="101">
        <f t="shared" si="41"/>
        <v>58.06944444444445</v>
      </c>
      <c r="O89" s="100">
        <f t="shared" si="42"/>
        <v>-7.9359999999999999</v>
      </c>
      <c r="P89" s="108">
        <f t="shared" si="43"/>
        <v>-921.6782222222223</v>
      </c>
      <c r="Q89" s="108">
        <f>(+O89*F89)/(1-'OH&amp;P'!$C$5)</f>
        <v>-489.8765432098765</v>
      </c>
      <c r="R89" s="108">
        <f>IF(I89="x",(J89*'Admin Set Up'!$B$17)/(1-'OH&amp;P'!$C$5),0)</f>
        <v>-39.190123456790118</v>
      </c>
      <c r="S89" s="106">
        <f t="shared" si="44"/>
        <v>-1450.7448888888889</v>
      </c>
      <c r="T89" s="102">
        <f t="shared" si="45"/>
        <v>-0.36561111111111111</v>
      </c>
      <c r="U89" s="92"/>
    </row>
    <row r="90" spans="1:21" ht="15.75" hidden="1" customHeight="1" thickTop="1" x14ac:dyDescent="0.2">
      <c r="A90" s="110">
        <f>+'Take Off'!Z1293</f>
        <v>0</v>
      </c>
      <c r="B90" s="103">
        <f>+B85</f>
        <v>3968</v>
      </c>
      <c r="C90" s="81"/>
      <c r="D90" s="79"/>
      <c r="E90" s="85"/>
      <c r="F90" s="86"/>
      <c r="G90" s="84"/>
      <c r="H90" s="88"/>
      <c r="I90" s="84"/>
      <c r="J90" s="100">
        <f t="shared" si="40"/>
        <v>0</v>
      </c>
      <c r="K90" s="101">
        <f>IF($G90="x",'Labor Calc'!$E$43,'Labor Calc'!$E$31)</f>
        <v>58.06944444444445</v>
      </c>
      <c r="L90" s="101">
        <f>IF($G90="x",'Labor Calc'!$F$43,'Labor Calc'!$F$31)</f>
        <v>62.358333333333327</v>
      </c>
      <c r="M90" s="101">
        <f>IF($G90="x",'Labor Calc'!$G$43,'Labor Calc'!$G$31)</f>
        <v>65.217592592592595</v>
      </c>
      <c r="N90" s="101">
        <f t="shared" si="41"/>
        <v>0</v>
      </c>
      <c r="O90" s="100">
        <f t="shared" si="42"/>
        <v>0</v>
      </c>
      <c r="P90" s="108">
        <f t="shared" si="43"/>
        <v>0</v>
      </c>
      <c r="Q90" s="108">
        <f>(+O90*F90)/(1-'OH&amp;P'!$C$5)</f>
        <v>0</v>
      </c>
      <c r="R90" s="108">
        <f>IF(I90="x",(J90*'Admin Set Up'!$B$17)/(1-'OH&amp;P'!$C$5),0)</f>
        <v>0</v>
      </c>
      <c r="S90" s="106">
        <f t="shared" si="44"/>
        <v>0</v>
      </c>
      <c r="T90" s="102">
        <f t="shared" si="45"/>
        <v>0</v>
      </c>
      <c r="U90" s="92"/>
    </row>
    <row r="91" spans="1:21" ht="16" thickBot="1" x14ac:dyDescent="0.25">
      <c r="A91" s="87"/>
      <c r="B91" s="105" t="s">
        <v>226</v>
      </c>
      <c r="C91" s="90"/>
      <c r="D91" s="89" t="s">
        <v>227</v>
      </c>
      <c r="E91" s="96"/>
      <c r="F91" s="96"/>
      <c r="G91" s="1101" t="s">
        <v>101</v>
      </c>
      <c r="H91" s="1101"/>
      <c r="I91" s="1101"/>
      <c r="J91" s="97">
        <f>SUM(J85:J90)</f>
        <v>-87.673904761904765</v>
      </c>
      <c r="K91" s="90"/>
      <c r="L91" s="90"/>
      <c r="M91" s="90"/>
      <c r="N91" s="90"/>
      <c r="O91" s="98">
        <f t="shared" ref="O91:T91" si="46">SUM(O85:O90)</f>
        <v>-87.295999999999992</v>
      </c>
      <c r="P91" s="109">
        <f t="shared" si="46"/>
        <v>-5091.1749417989413</v>
      </c>
      <c r="Q91" s="109">
        <f t="shared" si="46"/>
        <v>-5388.6419753086411</v>
      </c>
      <c r="R91" s="109">
        <f t="shared" si="46"/>
        <v>-216.47877718988826</v>
      </c>
      <c r="S91" s="107">
        <f t="shared" si="46"/>
        <v>-10696.295694297472</v>
      </c>
      <c r="T91" s="99">
        <f t="shared" si="46"/>
        <v>-2.6956390358612579</v>
      </c>
      <c r="U91" s="32"/>
    </row>
    <row r="92" spans="1:21" ht="3" customHeight="1" x14ac:dyDescent="0.2">
      <c r="B92" s="536"/>
      <c r="C92" s="143"/>
      <c r="D92" s="537"/>
      <c r="E92" s="538"/>
      <c r="F92" s="538"/>
      <c r="G92" s="520"/>
      <c r="H92" s="520"/>
      <c r="I92" s="520"/>
      <c r="J92" s="521"/>
      <c r="K92" s="143"/>
      <c r="L92" s="143"/>
      <c r="M92" s="143"/>
      <c r="N92" s="143"/>
      <c r="O92" s="522"/>
      <c r="P92" s="523"/>
      <c r="Q92" s="523"/>
      <c r="R92" s="523"/>
      <c r="S92" s="529"/>
      <c r="T92" s="525"/>
    </row>
    <row r="93" spans="1:21" ht="20" x14ac:dyDescent="0.2">
      <c r="B93" s="1102" t="s">
        <v>359</v>
      </c>
      <c r="C93" s="1102"/>
      <c r="D93" s="526" t="s">
        <v>169</v>
      </c>
      <c r="E93" s="527" t="s">
        <v>85</v>
      </c>
      <c r="F93" s="528" t="s">
        <v>19</v>
      </c>
      <c r="G93" s="1103" t="s">
        <v>170</v>
      </c>
      <c r="H93" s="1103"/>
      <c r="I93" s="502"/>
      <c r="J93" s="503"/>
      <c r="K93" s="28"/>
      <c r="L93" s="28"/>
      <c r="M93" s="28"/>
      <c r="N93" s="28"/>
      <c r="O93" s="504"/>
      <c r="P93" s="505"/>
      <c r="Q93" s="505"/>
      <c r="R93" s="505"/>
      <c r="S93" s="506" t="s">
        <v>392</v>
      </c>
      <c r="T93" s="507"/>
    </row>
    <row r="94" spans="1:21" ht="13.5" customHeight="1" thickBot="1" x14ac:dyDescent="0.25">
      <c r="B94" s="497"/>
      <c r="C94" s="260"/>
      <c r="D94" s="530"/>
      <c r="E94" s="531"/>
      <c r="F94" s="531"/>
      <c r="G94" s="1096"/>
      <c r="H94" s="1096"/>
      <c r="I94" s="496"/>
      <c r="J94" s="97"/>
      <c r="K94" s="28"/>
      <c r="L94" s="28"/>
      <c r="M94" s="28"/>
      <c r="N94" s="28"/>
      <c r="O94" s="98"/>
      <c r="P94" s="109"/>
      <c r="Q94" s="109"/>
      <c r="R94" s="109"/>
      <c r="S94" s="498">
        <f>+(E94*F94*G94)/(1-'OH&amp;P'!$D$5)</f>
        <v>0</v>
      </c>
      <c r="T94" s="99"/>
    </row>
    <row r="95" spans="1:21" ht="13.5" hidden="1" customHeight="1" thickBot="1" x14ac:dyDescent="0.25">
      <c r="B95" s="497"/>
      <c r="C95" s="260"/>
      <c r="D95" s="532"/>
      <c r="E95" s="533"/>
      <c r="F95" s="533"/>
      <c r="G95" s="1104"/>
      <c r="H95" s="1104"/>
      <c r="I95" s="496"/>
      <c r="J95" s="97"/>
      <c r="K95" s="28"/>
      <c r="L95" s="28"/>
      <c r="M95" s="28"/>
      <c r="N95" s="28"/>
      <c r="O95" s="98"/>
      <c r="P95" s="109"/>
      <c r="Q95" s="109"/>
      <c r="R95" s="109"/>
      <c r="S95" s="498">
        <f>+(E95*F95*G95)/(1-'OH&amp;P'!$D$5)</f>
        <v>0</v>
      </c>
      <c r="T95" s="99"/>
    </row>
    <row r="96" spans="1:21" ht="13.5" customHeight="1" thickTop="1" thickBot="1" x14ac:dyDescent="0.25">
      <c r="B96" s="497"/>
      <c r="C96" s="539" t="s">
        <v>398</v>
      </c>
      <c r="D96" s="499"/>
      <c r="E96" s="542" t="s">
        <v>400</v>
      </c>
      <c r="F96" s="500"/>
      <c r="G96" s="501"/>
      <c r="H96" s="501"/>
      <c r="I96" s="496"/>
      <c r="J96" s="97"/>
      <c r="K96" s="28"/>
      <c r="L96" s="28"/>
      <c r="M96" s="28"/>
      <c r="N96" s="28"/>
      <c r="O96" s="1106" t="s">
        <v>394</v>
      </c>
      <c r="P96" s="1106"/>
      <c r="Q96" s="1106"/>
      <c r="R96" s="1106"/>
      <c r="S96" s="510">
        <f>SUM(S94:S95)</f>
        <v>0</v>
      </c>
      <c r="T96" s="99"/>
    </row>
    <row r="97" spans="1:21" ht="3" customHeight="1" thickTop="1" x14ac:dyDescent="0.2">
      <c r="B97" s="1107"/>
      <c r="C97" s="1107"/>
      <c r="D97" s="517"/>
      <c r="E97" s="518"/>
      <c r="F97" s="518"/>
      <c r="G97" s="519"/>
      <c r="H97" s="519"/>
      <c r="I97" s="520"/>
      <c r="J97" s="521"/>
      <c r="K97" s="28"/>
      <c r="L97" s="28"/>
      <c r="M97" s="28"/>
      <c r="N97" s="28"/>
      <c r="O97" s="522"/>
      <c r="P97" s="523"/>
      <c r="Q97" s="523"/>
      <c r="R97" s="523"/>
      <c r="S97" s="524"/>
      <c r="T97" s="525"/>
    </row>
    <row r="98" spans="1:21" x14ac:dyDescent="0.2">
      <c r="B98" s="1110" t="s">
        <v>151</v>
      </c>
      <c r="C98" s="1110"/>
      <c r="D98" s="1108" t="s">
        <v>393</v>
      </c>
      <c r="E98" s="1108"/>
      <c r="F98" s="511" t="s">
        <v>20</v>
      </c>
      <c r="G98" s="512" t="s">
        <v>1</v>
      </c>
      <c r="H98" s="508"/>
      <c r="I98" s="515"/>
      <c r="J98" s="516"/>
      <c r="K98" s="28"/>
      <c r="L98" s="28"/>
      <c r="M98" s="28"/>
      <c r="N98" s="28"/>
      <c r="O98" s="545"/>
      <c r="P98" s="546"/>
      <c r="Q98" s="546"/>
      <c r="R98" s="546"/>
      <c r="S98" s="498">
        <f>IF(G98="yes",S91*Summary!$M$47,0)</f>
        <v>-1918.2411180949321</v>
      </c>
      <c r="T98" s="99"/>
    </row>
    <row r="99" spans="1:21" ht="10.5" customHeight="1" x14ac:dyDescent="0.2">
      <c r="B99" s="497"/>
      <c r="C99" s="1109" t="s">
        <v>169</v>
      </c>
      <c r="D99" s="1109"/>
      <c r="E99" s="513" t="s">
        <v>85</v>
      </c>
      <c r="F99" s="1105" t="s">
        <v>170</v>
      </c>
      <c r="G99" s="1105"/>
      <c r="H99" s="514" t="s">
        <v>395</v>
      </c>
      <c r="I99" s="496"/>
      <c r="J99" s="97"/>
      <c r="K99" s="28"/>
      <c r="L99" s="28"/>
      <c r="M99" s="28"/>
      <c r="N99" s="28"/>
      <c r="O99" s="98"/>
      <c r="P99" s="109"/>
      <c r="Q99" s="109"/>
      <c r="R99" s="109"/>
      <c r="S99" s="498"/>
      <c r="T99" s="99"/>
    </row>
    <row r="100" spans="1:21" ht="13.5" customHeight="1" thickBot="1" x14ac:dyDescent="0.25">
      <c r="B100" s="497"/>
      <c r="C100" s="1095"/>
      <c r="D100" s="1095"/>
      <c r="E100" s="530"/>
      <c r="F100" s="1096"/>
      <c r="G100" s="1096"/>
      <c r="H100" s="534"/>
      <c r="I100" s="496"/>
      <c r="J100" s="97"/>
      <c r="K100" s="28"/>
      <c r="L100" s="28"/>
      <c r="M100" s="28"/>
      <c r="N100" s="28"/>
      <c r="O100" s="98"/>
      <c r="P100" s="109"/>
      <c r="Q100" s="109"/>
      <c r="R100" s="109"/>
      <c r="S100" s="498">
        <f>IF(H100="s",(E100*F100)/(1-'OH&amp;P'!$E$5),0)+IF(H100="sc",(E100*F100)/(1-'OH&amp;P'!$F$5),0)</f>
        <v>0</v>
      </c>
      <c r="T100" s="99"/>
    </row>
    <row r="101" spans="1:21" ht="13.5" hidden="1" customHeight="1" thickBot="1" x14ac:dyDescent="0.25">
      <c r="B101" s="497"/>
      <c r="C101" s="1097"/>
      <c r="D101" s="1098"/>
      <c r="E101" s="532"/>
      <c r="F101" s="1104"/>
      <c r="G101" s="1104"/>
      <c r="H101" s="535"/>
      <c r="I101" s="496"/>
      <c r="J101" s="97"/>
      <c r="K101" s="28"/>
      <c r="L101" s="28"/>
      <c r="M101" s="28"/>
      <c r="N101" s="28"/>
      <c r="O101" s="98"/>
      <c r="P101" s="109"/>
      <c r="Q101" s="109"/>
      <c r="R101" s="109"/>
      <c r="S101" s="498">
        <f>IF(H101="s",(E101*F101)/(1-'OH&amp;P'!$E$5),0)+IF(H101="sc",(E101*F101)/(1-'OH&amp;P'!$F$5),0)</f>
        <v>0</v>
      </c>
      <c r="T101" s="99"/>
    </row>
    <row r="102" spans="1:21" ht="13.5" customHeight="1" thickTop="1" thickBot="1" x14ac:dyDescent="0.25">
      <c r="B102" s="497"/>
      <c r="C102" s="544" t="s">
        <v>399</v>
      </c>
      <c r="D102" s="509"/>
      <c r="E102" s="542" t="s">
        <v>401</v>
      </c>
      <c r="F102" s="501"/>
      <c r="G102" s="501"/>
      <c r="H102" s="501"/>
      <c r="I102" s="496"/>
      <c r="J102" s="97"/>
      <c r="K102" s="28"/>
      <c r="L102" s="28"/>
      <c r="M102" s="28"/>
      <c r="N102" s="28"/>
      <c r="O102" s="1106" t="s">
        <v>397</v>
      </c>
      <c r="P102" s="1106"/>
      <c r="Q102" s="1106"/>
      <c r="R102" s="1106"/>
      <c r="S102" s="510">
        <f>SUM(S98:S101)</f>
        <v>-1918.2411180949321</v>
      </c>
      <c r="T102" s="99"/>
    </row>
    <row r="103" spans="1:21" ht="13.5" customHeight="1" thickTop="1" x14ac:dyDescent="0.2">
      <c r="B103" s="497"/>
      <c r="C103" s="543"/>
      <c r="D103" s="509"/>
      <c r="E103" s="499"/>
      <c r="F103" s="501"/>
      <c r="G103" s="501"/>
      <c r="H103" s="501"/>
      <c r="I103" s="496"/>
      <c r="J103" s="97"/>
      <c r="K103" s="28"/>
      <c r="L103" s="28"/>
      <c r="M103" s="28"/>
      <c r="N103" s="28"/>
      <c r="O103" s="1111"/>
      <c r="P103" s="1111"/>
      <c r="Q103" s="540"/>
      <c r="R103" s="541" t="s">
        <v>171</v>
      </c>
      <c r="S103" s="107" t="str">
        <f>+U84</f>
        <v>Alt 5</v>
      </c>
      <c r="T103" s="107">
        <f>+S91+S96+S102</f>
        <v>-12614.536812392405</v>
      </c>
    </row>
    <row r="105" spans="1:21" x14ac:dyDescent="0.2">
      <c r="A105" s="110" t="str">
        <f>+'Take Off'!AA1290</f>
        <v>A6</v>
      </c>
      <c r="B105" s="1099" t="str">
        <f>+A105</f>
        <v>A6</v>
      </c>
      <c r="C105" s="1099"/>
      <c r="D105" s="1099"/>
      <c r="E105" s="1099"/>
      <c r="F105" s="1099"/>
      <c r="G105" s="135">
        <f>+A106</f>
        <v>0</v>
      </c>
      <c r="H105" s="111">
        <f>+A107</f>
        <v>0</v>
      </c>
      <c r="I105" s="91"/>
      <c r="J105" s="91"/>
      <c r="K105" s="91"/>
      <c r="L105" s="91"/>
      <c r="M105" s="91"/>
      <c r="N105" s="91"/>
      <c r="O105" s="91"/>
      <c r="P105" s="91"/>
      <c r="Q105" s="91"/>
      <c r="R105" s="92"/>
      <c r="S105" s="92"/>
      <c r="T105" s="92"/>
      <c r="U105" s="92"/>
    </row>
    <row r="106" spans="1:21" ht="51" thickBot="1" x14ac:dyDescent="0.25">
      <c r="A106" s="110">
        <f>+'Take Off'!AA1291</f>
        <v>0</v>
      </c>
      <c r="B106" s="93" t="s">
        <v>209</v>
      </c>
      <c r="C106" s="94" t="s">
        <v>210</v>
      </c>
      <c r="D106" s="93" t="s">
        <v>211</v>
      </c>
      <c r="E106" s="94" t="s">
        <v>212</v>
      </c>
      <c r="F106" s="94" t="s">
        <v>213</v>
      </c>
      <c r="G106" s="104" t="s">
        <v>214</v>
      </c>
      <c r="H106" s="104" t="s">
        <v>215</v>
      </c>
      <c r="I106" s="104" t="s">
        <v>216</v>
      </c>
      <c r="J106" s="95" t="s">
        <v>217</v>
      </c>
      <c r="K106" s="95" t="s">
        <v>218</v>
      </c>
      <c r="L106" s="95" t="s">
        <v>219</v>
      </c>
      <c r="M106" s="95" t="s">
        <v>220</v>
      </c>
      <c r="N106" s="95" t="s">
        <v>221</v>
      </c>
      <c r="O106" s="95" t="s">
        <v>222</v>
      </c>
      <c r="P106" s="95" t="s">
        <v>223</v>
      </c>
      <c r="Q106" s="95" t="s">
        <v>213</v>
      </c>
      <c r="R106" s="95" t="s">
        <v>224</v>
      </c>
      <c r="S106" s="95" t="s">
        <v>31</v>
      </c>
      <c r="T106" s="95" t="s">
        <v>225</v>
      </c>
      <c r="U106" s="547" t="s">
        <v>387</v>
      </c>
    </row>
    <row r="107" spans="1:21" ht="16" thickBot="1" x14ac:dyDescent="0.25">
      <c r="A107" s="110">
        <f>+'Take Off'!AA1292</f>
        <v>0</v>
      </c>
      <c r="B107" s="100">
        <f>+A106</f>
        <v>0</v>
      </c>
      <c r="C107" s="81"/>
      <c r="D107" s="495"/>
      <c r="E107" s="82"/>
      <c r="F107" s="83"/>
      <c r="G107" s="84"/>
      <c r="H107" s="88"/>
      <c r="I107" s="84"/>
      <c r="J107" s="100">
        <f>IF(C107=0,0,B107/C107)</f>
        <v>0</v>
      </c>
      <c r="K107" s="101">
        <f>IF($G107="x",'Labor Calc'!$E$43,'Labor Calc'!$E$31)</f>
        <v>58.06944444444445</v>
      </c>
      <c r="L107" s="101">
        <f>IF($G107="x",'Labor Calc'!$F$43,'Labor Calc'!$F$31)</f>
        <v>62.358333333333327</v>
      </c>
      <c r="M107" s="101">
        <f>IF($G107="x",'Labor Calc'!$G$43,'Labor Calc'!$G$31)</f>
        <v>65.217592592592595</v>
      </c>
      <c r="N107" s="101">
        <f>IF(H107=40,K107,0)+IF(H107=50,L107,0)+IF(H107=60,M107,0)</f>
        <v>0</v>
      </c>
      <c r="O107" s="100">
        <f>IF(E107=0,0,B107/E107)</f>
        <v>0</v>
      </c>
      <c r="P107" s="108">
        <f>+J107*N107</f>
        <v>0</v>
      </c>
      <c r="Q107" s="108">
        <f>(+O107*F107)/(1-'OH&amp;P'!$C$5)</f>
        <v>0</v>
      </c>
      <c r="R107" s="108">
        <f>IF(I107="x",(J107*'Admin Set Up'!$B$17)/(1-'OH&amp;P'!$C$5),0)</f>
        <v>0</v>
      </c>
      <c r="S107" s="106">
        <f>SUM(P107:R107)</f>
        <v>0</v>
      </c>
      <c r="T107" s="102">
        <f>IF(B107=0,0,S107/B107)</f>
        <v>0</v>
      </c>
      <c r="U107" s="92"/>
    </row>
    <row r="108" spans="1:21" ht="15.75" hidden="1" customHeight="1" thickTop="1" x14ac:dyDescent="0.2">
      <c r="A108" s="110">
        <f>+'Take Off'!AA1293</f>
        <v>0</v>
      </c>
      <c r="B108" s="103">
        <f>+B107</f>
        <v>0</v>
      </c>
      <c r="C108" s="81"/>
      <c r="D108" s="79"/>
      <c r="E108" s="85"/>
      <c r="F108" s="86"/>
      <c r="G108" s="84"/>
      <c r="H108" s="88"/>
      <c r="I108" s="84"/>
      <c r="J108" s="100">
        <f>IF(C108=0,0,B108/C108)</f>
        <v>0</v>
      </c>
      <c r="K108" s="101">
        <f>IF($G108="x",'Labor Calc'!$E$43,'Labor Calc'!$E$31)</f>
        <v>58.06944444444445</v>
      </c>
      <c r="L108" s="101">
        <f>IF($G108="x",'Labor Calc'!$F$43,'Labor Calc'!$F$31)</f>
        <v>62.358333333333327</v>
      </c>
      <c r="M108" s="101">
        <f>IF($G108="x",'Labor Calc'!$G$43,'Labor Calc'!$G$31)</f>
        <v>65.217592592592595</v>
      </c>
      <c r="N108" s="101">
        <f>IF(H108=40,K108,0)+IF(H108=50,L108,0)+IF(H108=60,M108,0)</f>
        <v>0</v>
      </c>
      <c r="O108" s="100">
        <f>IF(E108=0,0,B108/E108)</f>
        <v>0</v>
      </c>
      <c r="P108" s="108">
        <f>+J108*N108</f>
        <v>0</v>
      </c>
      <c r="Q108" s="108">
        <f>(+O108*F108)/(1-'OH&amp;P'!$C$5)</f>
        <v>0</v>
      </c>
      <c r="R108" s="108">
        <f>IF(I108="x",(J108*'Admin Set Up'!$B$17)/(1-'OH&amp;P'!$C$5),0)</f>
        <v>0</v>
      </c>
      <c r="S108" s="106">
        <f>SUM(P108:R108)</f>
        <v>0</v>
      </c>
      <c r="T108" s="102">
        <f>IF(B108=0,0,S108/B108)</f>
        <v>0</v>
      </c>
      <c r="U108" s="92"/>
    </row>
    <row r="109" spans="1:21" ht="16" thickBot="1" x14ac:dyDescent="0.25">
      <c r="A109" s="87"/>
      <c r="B109" s="105" t="s">
        <v>226</v>
      </c>
      <c r="C109" s="90"/>
      <c r="D109" s="89" t="s">
        <v>227</v>
      </c>
      <c r="E109" s="96"/>
      <c r="F109" s="96"/>
      <c r="G109" s="1101" t="s">
        <v>101</v>
      </c>
      <c r="H109" s="1101"/>
      <c r="I109" s="1101"/>
      <c r="J109" s="97">
        <f>SUM(J107:J108)</f>
        <v>0</v>
      </c>
      <c r="K109" s="90"/>
      <c r="L109" s="90"/>
      <c r="M109" s="90"/>
      <c r="N109" s="90"/>
      <c r="O109" s="98">
        <f t="shared" ref="O109:T109" si="47">SUM(O107:O108)</f>
        <v>0</v>
      </c>
      <c r="P109" s="109">
        <f t="shared" si="47"/>
        <v>0</v>
      </c>
      <c r="Q109" s="109">
        <f t="shared" si="47"/>
        <v>0</v>
      </c>
      <c r="R109" s="109">
        <f t="shared" si="47"/>
        <v>0</v>
      </c>
      <c r="S109" s="107">
        <f t="shared" si="47"/>
        <v>0</v>
      </c>
      <c r="T109" s="99">
        <f t="shared" si="47"/>
        <v>0</v>
      </c>
      <c r="U109" s="32"/>
    </row>
    <row r="110" spans="1:21" ht="3" customHeight="1" x14ac:dyDescent="0.2">
      <c r="B110" s="536"/>
      <c r="C110" s="143"/>
      <c r="D110" s="537"/>
      <c r="E110" s="538"/>
      <c r="F110" s="538"/>
      <c r="G110" s="520"/>
      <c r="H110" s="520"/>
      <c r="I110" s="520"/>
      <c r="J110" s="521"/>
      <c r="K110" s="143"/>
      <c r="L110" s="143"/>
      <c r="M110" s="143"/>
      <c r="N110" s="143"/>
      <c r="O110" s="522"/>
      <c r="P110" s="523"/>
      <c r="Q110" s="523"/>
      <c r="R110" s="523"/>
      <c r="S110" s="529"/>
      <c r="T110" s="525"/>
    </row>
    <row r="111" spans="1:21" ht="20" x14ac:dyDescent="0.2">
      <c r="B111" s="1102" t="s">
        <v>359</v>
      </c>
      <c r="C111" s="1102"/>
      <c r="D111" s="526" t="s">
        <v>169</v>
      </c>
      <c r="E111" s="527" t="s">
        <v>85</v>
      </c>
      <c r="F111" s="528" t="s">
        <v>19</v>
      </c>
      <c r="G111" s="1103" t="s">
        <v>170</v>
      </c>
      <c r="H111" s="1103"/>
      <c r="I111" s="502"/>
      <c r="J111" s="503"/>
      <c r="K111" s="28"/>
      <c r="L111" s="28"/>
      <c r="M111" s="28"/>
      <c r="N111" s="28"/>
      <c r="O111" s="504"/>
      <c r="P111" s="505"/>
      <c r="Q111" s="505"/>
      <c r="R111" s="505"/>
      <c r="S111" s="506" t="s">
        <v>392</v>
      </c>
      <c r="T111" s="507"/>
    </row>
    <row r="112" spans="1:21" ht="13.5" customHeight="1" thickBot="1" x14ac:dyDescent="0.25">
      <c r="B112" s="497"/>
      <c r="C112" s="260"/>
      <c r="D112" s="530"/>
      <c r="E112" s="531"/>
      <c r="F112" s="531"/>
      <c r="G112" s="1096"/>
      <c r="H112" s="1096"/>
      <c r="I112" s="496"/>
      <c r="J112" s="97"/>
      <c r="K112" s="28"/>
      <c r="L112" s="28"/>
      <c r="M112" s="28"/>
      <c r="N112" s="28"/>
      <c r="O112" s="98"/>
      <c r="P112" s="109"/>
      <c r="Q112" s="109"/>
      <c r="R112" s="109"/>
      <c r="S112" s="498">
        <f>+(E112*F112*G112)/(1-'OH&amp;P'!$D$5)</f>
        <v>0</v>
      </c>
      <c r="T112" s="99"/>
    </row>
    <row r="113" spans="1:21" ht="13.5" hidden="1" customHeight="1" thickBot="1" x14ac:dyDescent="0.25">
      <c r="B113" s="497"/>
      <c r="C113" s="260"/>
      <c r="D113" s="532"/>
      <c r="E113" s="533"/>
      <c r="F113" s="533"/>
      <c r="G113" s="1104"/>
      <c r="H113" s="1104"/>
      <c r="I113" s="496"/>
      <c r="J113" s="97"/>
      <c r="K113" s="28"/>
      <c r="L113" s="28"/>
      <c r="M113" s="28"/>
      <c r="N113" s="28"/>
      <c r="O113" s="98"/>
      <c r="P113" s="109"/>
      <c r="Q113" s="109"/>
      <c r="R113" s="109"/>
      <c r="S113" s="498">
        <f>+(E113*F113*G113)/(1-'OH&amp;P'!$D$5)</f>
        <v>0</v>
      </c>
      <c r="T113" s="99"/>
    </row>
    <row r="114" spans="1:21" ht="13.5" customHeight="1" thickTop="1" thickBot="1" x14ac:dyDescent="0.25">
      <c r="B114" s="497"/>
      <c r="C114" s="539" t="s">
        <v>398</v>
      </c>
      <c r="D114" s="499"/>
      <c r="E114" s="542" t="s">
        <v>400</v>
      </c>
      <c r="F114" s="500"/>
      <c r="G114" s="501"/>
      <c r="H114" s="501"/>
      <c r="I114" s="496"/>
      <c r="J114" s="97"/>
      <c r="K114" s="28"/>
      <c r="L114" s="28"/>
      <c r="M114" s="28"/>
      <c r="N114" s="28"/>
      <c r="O114" s="1106" t="s">
        <v>394</v>
      </c>
      <c r="P114" s="1106"/>
      <c r="Q114" s="1106"/>
      <c r="R114" s="1106"/>
      <c r="S114" s="510">
        <f>SUM(S112:S113)</f>
        <v>0</v>
      </c>
      <c r="T114" s="99"/>
    </row>
    <row r="115" spans="1:21" ht="3" customHeight="1" thickTop="1" x14ac:dyDescent="0.2">
      <c r="B115" s="1107"/>
      <c r="C115" s="1107"/>
      <c r="D115" s="517"/>
      <c r="E115" s="518"/>
      <c r="F115" s="518"/>
      <c r="G115" s="519"/>
      <c r="H115" s="519"/>
      <c r="I115" s="520"/>
      <c r="J115" s="521"/>
      <c r="K115" s="28"/>
      <c r="L115" s="28"/>
      <c r="M115" s="28"/>
      <c r="N115" s="28"/>
      <c r="O115" s="522"/>
      <c r="P115" s="523"/>
      <c r="Q115" s="523"/>
      <c r="R115" s="523"/>
      <c r="S115" s="524"/>
      <c r="T115" s="525"/>
    </row>
    <row r="116" spans="1:21" x14ac:dyDescent="0.2">
      <c r="B116" s="1110" t="s">
        <v>151</v>
      </c>
      <c r="C116" s="1110"/>
      <c r="D116" s="1108" t="s">
        <v>393</v>
      </c>
      <c r="E116" s="1108"/>
      <c r="F116" s="511" t="s">
        <v>20</v>
      </c>
      <c r="G116" s="512"/>
      <c r="H116" s="508"/>
      <c r="I116" s="515"/>
      <c r="J116" s="516"/>
      <c r="K116" s="28"/>
      <c r="L116" s="28"/>
      <c r="M116" s="28"/>
      <c r="N116" s="28"/>
      <c r="O116" s="545"/>
      <c r="P116" s="546"/>
      <c r="Q116" s="546"/>
      <c r="R116" s="546"/>
      <c r="S116" s="498">
        <f>IF(G116="yes",S109*Summary!$M$47,0)</f>
        <v>0</v>
      </c>
      <c r="T116" s="99"/>
    </row>
    <row r="117" spans="1:21" ht="10.5" customHeight="1" x14ac:dyDescent="0.2">
      <c r="B117" s="497"/>
      <c r="C117" s="1109" t="s">
        <v>169</v>
      </c>
      <c r="D117" s="1109"/>
      <c r="E117" s="513" t="s">
        <v>85</v>
      </c>
      <c r="F117" s="1105" t="s">
        <v>170</v>
      </c>
      <c r="G117" s="1105"/>
      <c r="H117" s="514" t="s">
        <v>395</v>
      </c>
      <c r="I117" s="496"/>
      <c r="J117" s="97"/>
      <c r="K117" s="28"/>
      <c r="L117" s="28"/>
      <c r="M117" s="28"/>
      <c r="N117" s="28"/>
      <c r="O117" s="98"/>
      <c r="P117" s="109"/>
      <c r="Q117" s="109"/>
      <c r="R117" s="109"/>
      <c r="S117" s="498"/>
      <c r="T117" s="99"/>
    </row>
    <row r="118" spans="1:21" ht="13.5" customHeight="1" thickBot="1" x14ac:dyDescent="0.25">
      <c r="B118" s="497"/>
      <c r="C118" s="1095"/>
      <c r="D118" s="1095"/>
      <c r="E118" s="530"/>
      <c r="F118" s="1096"/>
      <c r="G118" s="1096"/>
      <c r="H118" s="534"/>
      <c r="I118" s="496"/>
      <c r="J118" s="97"/>
      <c r="K118" s="28"/>
      <c r="L118" s="28"/>
      <c r="M118" s="28"/>
      <c r="N118" s="28"/>
      <c r="O118" s="98"/>
      <c r="P118" s="109"/>
      <c r="Q118" s="109"/>
      <c r="R118" s="109"/>
      <c r="S118" s="498">
        <f>IF(H118="s",(E118*F118)/(1-'OH&amp;P'!$E$5),0)+IF(H118="sc",(E118*F118)/(1-'OH&amp;P'!$F$5),0)</f>
        <v>0</v>
      </c>
      <c r="T118" s="99"/>
    </row>
    <row r="119" spans="1:21" ht="13.5" hidden="1" customHeight="1" thickBot="1" x14ac:dyDescent="0.25">
      <c r="B119" s="497"/>
      <c r="C119" s="1097"/>
      <c r="D119" s="1098"/>
      <c r="E119" s="532"/>
      <c r="F119" s="1104"/>
      <c r="G119" s="1104"/>
      <c r="H119" s="535"/>
      <c r="I119" s="496"/>
      <c r="J119" s="97"/>
      <c r="K119" s="28"/>
      <c r="L119" s="28"/>
      <c r="M119" s="28"/>
      <c r="N119" s="28"/>
      <c r="O119" s="98"/>
      <c r="P119" s="109"/>
      <c r="Q119" s="109"/>
      <c r="R119" s="109"/>
      <c r="S119" s="498">
        <f>IF(H119="s",(E119*F119)/(1-'OH&amp;P'!$E$5),0)+IF(H119="sc",(E119*F119)/(1-'OH&amp;P'!$F$5),0)</f>
        <v>0</v>
      </c>
      <c r="T119" s="99"/>
    </row>
    <row r="120" spans="1:21" ht="13.5" customHeight="1" thickTop="1" thickBot="1" x14ac:dyDescent="0.25">
      <c r="B120" s="497"/>
      <c r="C120" s="544" t="s">
        <v>399</v>
      </c>
      <c r="D120" s="509"/>
      <c r="E120" s="542" t="s">
        <v>401</v>
      </c>
      <c r="F120" s="501"/>
      <c r="G120" s="501"/>
      <c r="H120" s="501"/>
      <c r="I120" s="496"/>
      <c r="J120" s="97"/>
      <c r="K120" s="28"/>
      <c r="L120" s="28"/>
      <c r="M120" s="28"/>
      <c r="N120" s="28"/>
      <c r="O120" s="1106" t="s">
        <v>397</v>
      </c>
      <c r="P120" s="1106"/>
      <c r="Q120" s="1106"/>
      <c r="R120" s="1106"/>
      <c r="S120" s="510">
        <f>SUM(S116:S119)</f>
        <v>0</v>
      </c>
      <c r="T120" s="99"/>
    </row>
    <row r="121" spans="1:21" ht="13.5" customHeight="1" thickTop="1" x14ac:dyDescent="0.2">
      <c r="B121" s="497"/>
      <c r="C121" s="543"/>
      <c r="D121" s="509"/>
      <c r="E121" s="499"/>
      <c r="F121" s="501"/>
      <c r="G121" s="501"/>
      <c r="H121" s="501"/>
      <c r="I121" s="496"/>
      <c r="J121" s="97"/>
      <c r="K121" s="28"/>
      <c r="L121" s="28"/>
      <c r="M121" s="28"/>
      <c r="N121" s="28"/>
      <c r="O121" s="1111"/>
      <c r="P121" s="1111"/>
      <c r="Q121" s="540"/>
      <c r="R121" s="541" t="s">
        <v>171</v>
      </c>
      <c r="S121" s="107" t="str">
        <f>+U106</f>
        <v>Alt 6</v>
      </c>
      <c r="T121" s="107">
        <f>+S109+S114+S120</f>
        <v>0</v>
      </c>
    </row>
    <row r="123" spans="1:21" x14ac:dyDescent="0.2">
      <c r="A123" s="110" t="str">
        <f>+'Take Off'!AB1290</f>
        <v>A7</v>
      </c>
      <c r="B123" s="1099" t="str">
        <f>+A123</f>
        <v>A7</v>
      </c>
      <c r="C123" s="1099"/>
      <c r="D123" s="1099"/>
      <c r="E123" s="1099"/>
      <c r="F123" s="1099"/>
      <c r="G123" s="135">
        <f>+A124</f>
        <v>0</v>
      </c>
      <c r="H123" s="111">
        <f>+A125</f>
        <v>0</v>
      </c>
      <c r="I123" s="91"/>
      <c r="J123" s="91"/>
      <c r="K123" s="91"/>
      <c r="L123" s="91"/>
      <c r="M123" s="91"/>
      <c r="N123" s="91"/>
      <c r="O123" s="91"/>
      <c r="P123" s="91"/>
      <c r="Q123" s="91"/>
      <c r="R123" s="92"/>
      <c r="S123" s="92"/>
      <c r="T123" s="92"/>
      <c r="U123" s="92"/>
    </row>
    <row r="124" spans="1:21" ht="53" thickBot="1" x14ac:dyDescent="0.25">
      <c r="A124" s="110">
        <f>+'Take Off'!AB1291</f>
        <v>0</v>
      </c>
      <c r="B124" s="93" t="s">
        <v>209</v>
      </c>
      <c r="C124" s="94" t="s">
        <v>210</v>
      </c>
      <c r="D124" s="93" t="s">
        <v>211</v>
      </c>
      <c r="E124" s="94" t="s">
        <v>212</v>
      </c>
      <c r="F124" s="94" t="s">
        <v>213</v>
      </c>
      <c r="G124" s="104" t="s">
        <v>214</v>
      </c>
      <c r="H124" s="104" t="s">
        <v>215</v>
      </c>
      <c r="I124" s="104" t="s">
        <v>216</v>
      </c>
      <c r="J124" s="95" t="s">
        <v>217</v>
      </c>
      <c r="K124" s="95" t="s">
        <v>218</v>
      </c>
      <c r="L124" s="95" t="s">
        <v>219</v>
      </c>
      <c r="M124" s="95" t="s">
        <v>220</v>
      </c>
      <c r="N124" s="95" t="s">
        <v>221</v>
      </c>
      <c r="O124" s="95" t="s">
        <v>222</v>
      </c>
      <c r="P124" s="95" t="s">
        <v>223</v>
      </c>
      <c r="Q124" s="95" t="s">
        <v>213</v>
      </c>
      <c r="R124" s="95" t="s">
        <v>224</v>
      </c>
      <c r="S124" s="95" t="s">
        <v>31</v>
      </c>
      <c r="T124" s="95" t="s">
        <v>225</v>
      </c>
      <c r="U124" s="547" t="s">
        <v>388</v>
      </c>
    </row>
    <row r="125" spans="1:21" ht="16" thickBot="1" x14ac:dyDescent="0.25">
      <c r="A125" s="110">
        <f>+'Take Off'!AB1292</f>
        <v>0</v>
      </c>
      <c r="B125" s="100">
        <f>+A124</f>
        <v>0</v>
      </c>
      <c r="C125" s="81"/>
      <c r="D125" s="495"/>
      <c r="E125" s="82"/>
      <c r="F125" s="83"/>
      <c r="G125" s="84"/>
      <c r="H125" s="88"/>
      <c r="I125" s="84"/>
      <c r="J125" s="100">
        <f>IF(C125=0,0,B125/C125)</f>
        <v>0</v>
      </c>
      <c r="K125" s="101">
        <f>IF($G125="x",'Labor Calc'!$E$43,'Labor Calc'!$E$31)</f>
        <v>58.06944444444445</v>
      </c>
      <c r="L125" s="101">
        <f>IF($G125="x",'Labor Calc'!$F$43,'Labor Calc'!$F$31)</f>
        <v>62.358333333333327</v>
      </c>
      <c r="M125" s="101">
        <f>IF($G125="x",'Labor Calc'!$G$43,'Labor Calc'!$G$31)</f>
        <v>65.217592592592595</v>
      </c>
      <c r="N125" s="101">
        <f>IF(H125=40,K125,0)+IF(H125=50,L125,0)+IF(H125=60,M125,0)</f>
        <v>0</v>
      </c>
      <c r="O125" s="100">
        <f>IF(E125=0,0,B125/E125)</f>
        <v>0</v>
      </c>
      <c r="P125" s="108">
        <f>+J125*N125</f>
        <v>0</v>
      </c>
      <c r="Q125" s="108">
        <f>(+O125*F125)/(1-'OH&amp;P'!$C$5)</f>
        <v>0</v>
      </c>
      <c r="R125" s="108">
        <f>IF(I125="x",(J125*'Admin Set Up'!$B$17)/(1-'OH&amp;P'!$C$5),0)</f>
        <v>0</v>
      </c>
      <c r="S125" s="106">
        <f>SUM(P125:R125)</f>
        <v>0</v>
      </c>
      <c r="T125" s="102">
        <f>IF(B125=0,0,S125/B125)</f>
        <v>0</v>
      </c>
      <c r="U125" s="92"/>
    </row>
    <row r="126" spans="1:21" ht="16" hidden="1" thickBot="1" x14ac:dyDescent="0.25">
      <c r="A126" s="80"/>
      <c r="B126" s="103">
        <f>+B125</f>
        <v>0</v>
      </c>
      <c r="C126" s="81"/>
      <c r="D126" s="79"/>
      <c r="E126" s="85"/>
      <c r="F126" s="86"/>
      <c r="G126" s="84"/>
      <c r="H126" s="88"/>
      <c r="I126" s="84"/>
      <c r="J126" s="100">
        <f>IF(C126=0,0,B126/C126)</f>
        <v>0</v>
      </c>
      <c r="K126" s="101">
        <f>IF($G126="x",'Labor Calc'!$E$43,'Labor Calc'!$E$31)</f>
        <v>58.06944444444445</v>
      </c>
      <c r="L126" s="101">
        <f>IF($G126="x",'Labor Calc'!$F$43,'Labor Calc'!$F$31)</f>
        <v>62.358333333333327</v>
      </c>
      <c r="M126" s="101">
        <f>IF($G126="x",'Labor Calc'!$G$43,'Labor Calc'!$G$31)</f>
        <v>65.217592592592595</v>
      </c>
      <c r="N126" s="101">
        <f>IF(H126=40,K126,0)+IF(H126=50,L126,0)+IF(H126=60,M126,0)</f>
        <v>0</v>
      </c>
      <c r="O126" s="100">
        <f>IF(E126=0,0,B126/E126)</f>
        <v>0</v>
      </c>
      <c r="P126" s="108">
        <f>+J126*N126</f>
        <v>0</v>
      </c>
      <c r="Q126" s="108">
        <f>(+O126*F126)/(1-'OH&amp;P'!$C$5)</f>
        <v>0</v>
      </c>
      <c r="R126" s="108">
        <f>IF(I126="x",(J126*'Admin Set Up'!$B$17)/(1-'OH&amp;P'!$C$5),0)</f>
        <v>0</v>
      </c>
      <c r="S126" s="106">
        <f>SUM(P126:R126)</f>
        <v>0</v>
      </c>
      <c r="T126" s="102">
        <f>IF(B126=0,0,S126/B126)</f>
        <v>0</v>
      </c>
      <c r="U126" s="92"/>
    </row>
    <row r="127" spans="1:21" ht="16" thickBot="1" x14ac:dyDescent="0.25">
      <c r="A127" s="87"/>
      <c r="B127" s="105" t="s">
        <v>226</v>
      </c>
      <c r="C127" s="90"/>
      <c r="D127" s="89" t="s">
        <v>227</v>
      </c>
      <c r="E127" s="96"/>
      <c r="F127" s="96"/>
      <c r="G127" s="1101" t="s">
        <v>101</v>
      </c>
      <c r="H127" s="1101"/>
      <c r="I127" s="1101"/>
      <c r="J127" s="97">
        <f>SUM(J125:J126)</f>
        <v>0</v>
      </c>
      <c r="K127" s="90"/>
      <c r="L127" s="90"/>
      <c r="M127" s="90"/>
      <c r="N127" s="90"/>
      <c r="O127" s="98">
        <f t="shared" ref="O127:T127" si="48">SUM(O125:O126)</f>
        <v>0</v>
      </c>
      <c r="P127" s="109">
        <f t="shared" si="48"/>
        <v>0</v>
      </c>
      <c r="Q127" s="109">
        <f t="shared" si="48"/>
        <v>0</v>
      </c>
      <c r="R127" s="109">
        <f t="shared" si="48"/>
        <v>0</v>
      </c>
      <c r="S127" s="107">
        <f t="shared" si="48"/>
        <v>0</v>
      </c>
      <c r="T127" s="99">
        <f t="shared" si="48"/>
        <v>0</v>
      </c>
      <c r="U127" s="32"/>
    </row>
    <row r="128" spans="1:21" ht="3" customHeight="1" x14ac:dyDescent="0.2">
      <c r="B128" s="536"/>
      <c r="C128" s="143"/>
      <c r="D128" s="537"/>
      <c r="E128" s="538"/>
      <c r="F128" s="538"/>
      <c r="G128" s="520"/>
      <c r="H128" s="520"/>
      <c r="I128" s="520"/>
      <c r="J128" s="521"/>
      <c r="K128" s="143"/>
      <c r="L128" s="143"/>
      <c r="M128" s="143"/>
      <c r="N128" s="143"/>
      <c r="O128" s="522"/>
      <c r="P128" s="523"/>
      <c r="Q128" s="523"/>
      <c r="R128" s="523"/>
      <c r="S128" s="529"/>
      <c r="T128" s="525"/>
    </row>
    <row r="129" spans="1:21" ht="24.75" customHeight="1" x14ac:dyDescent="0.2">
      <c r="B129" s="1102" t="s">
        <v>359</v>
      </c>
      <c r="C129" s="1102"/>
      <c r="D129" s="526" t="s">
        <v>169</v>
      </c>
      <c r="E129" s="527" t="s">
        <v>85</v>
      </c>
      <c r="F129" s="528" t="s">
        <v>19</v>
      </c>
      <c r="G129" s="1103" t="s">
        <v>170</v>
      </c>
      <c r="H129" s="1103"/>
      <c r="I129" s="502"/>
      <c r="J129" s="503"/>
      <c r="K129" s="28"/>
      <c r="L129" s="28"/>
      <c r="M129" s="28"/>
      <c r="N129" s="28"/>
      <c r="O129" s="504"/>
      <c r="P129" s="505"/>
      <c r="Q129" s="505"/>
      <c r="R129" s="505"/>
      <c r="S129" s="506" t="s">
        <v>392</v>
      </c>
      <c r="T129" s="507"/>
    </row>
    <row r="130" spans="1:21" ht="13.5" customHeight="1" thickBot="1" x14ac:dyDescent="0.25">
      <c r="B130" s="497"/>
      <c r="C130" s="260"/>
      <c r="D130" s="530"/>
      <c r="E130" s="531"/>
      <c r="F130" s="531"/>
      <c r="G130" s="1096"/>
      <c r="H130" s="1096"/>
      <c r="I130" s="496"/>
      <c r="J130" s="97"/>
      <c r="K130" s="28"/>
      <c r="L130" s="28"/>
      <c r="M130" s="28"/>
      <c r="N130" s="28"/>
      <c r="O130" s="98"/>
      <c r="P130" s="109"/>
      <c r="Q130" s="109"/>
      <c r="R130" s="109"/>
      <c r="S130" s="498">
        <f>+(E130*F130*G130)/(1-'OH&amp;P'!$D$5)</f>
        <v>0</v>
      </c>
      <c r="T130" s="99"/>
    </row>
    <row r="131" spans="1:21" ht="13.5" hidden="1" customHeight="1" thickBot="1" x14ac:dyDescent="0.25">
      <c r="B131" s="497"/>
      <c r="C131" s="260"/>
      <c r="D131" s="532"/>
      <c r="E131" s="533"/>
      <c r="F131" s="533"/>
      <c r="G131" s="1104"/>
      <c r="H131" s="1104"/>
      <c r="I131" s="496"/>
      <c r="J131" s="97"/>
      <c r="K131" s="28"/>
      <c r="L131" s="28"/>
      <c r="M131" s="28"/>
      <c r="N131" s="28"/>
      <c r="O131" s="98"/>
      <c r="P131" s="109"/>
      <c r="Q131" s="109"/>
      <c r="R131" s="109"/>
      <c r="S131" s="498">
        <f>+(E131*F131*G131)/(1-'OH&amp;P'!$D$5)</f>
        <v>0</v>
      </c>
      <c r="T131" s="99"/>
    </row>
    <row r="132" spans="1:21" ht="13.5" customHeight="1" thickTop="1" thickBot="1" x14ac:dyDescent="0.25">
      <c r="B132" s="497"/>
      <c r="C132" s="539" t="s">
        <v>398</v>
      </c>
      <c r="D132" s="499"/>
      <c r="E132" s="542" t="s">
        <v>400</v>
      </c>
      <c r="F132" s="500"/>
      <c r="G132" s="501"/>
      <c r="H132" s="501"/>
      <c r="I132" s="496"/>
      <c r="J132" s="97"/>
      <c r="K132" s="28"/>
      <c r="L132" s="28"/>
      <c r="M132" s="28"/>
      <c r="N132" s="28"/>
      <c r="O132" s="1106" t="s">
        <v>394</v>
      </c>
      <c r="P132" s="1106"/>
      <c r="Q132" s="1106"/>
      <c r="R132" s="1106"/>
      <c r="S132" s="510">
        <f>SUM(S130:S131)</f>
        <v>0</v>
      </c>
      <c r="T132" s="99"/>
    </row>
    <row r="133" spans="1:21" ht="3" customHeight="1" thickTop="1" x14ac:dyDescent="0.2">
      <c r="B133" s="1107"/>
      <c r="C133" s="1107"/>
      <c r="D133" s="517"/>
      <c r="E133" s="518"/>
      <c r="F133" s="518"/>
      <c r="G133" s="519"/>
      <c r="H133" s="519"/>
      <c r="I133" s="520"/>
      <c r="J133" s="521"/>
      <c r="K133" s="28"/>
      <c r="L133" s="28"/>
      <c r="M133" s="28"/>
      <c r="N133" s="28"/>
      <c r="O133" s="522"/>
      <c r="P133" s="523"/>
      <c r="Q133" s="523"/>
      <c r="R133" s="523"/>
      <c r="S133" s="524"/>
      <c r="T133" s="525"/>
    </row>
    <row r="134" spans="1:21" x14ac:dyDescent="0.2">
      <c r="B134" s="1110" t="s">
        <v>151</v>
      </c>
      <c r="C134" s="1110"/>
      <c r="D134" s="1108" t="s">
        <v>393</v>
      </c>
      <c r="E134" s="1108"/>
      <c r="F134" s="511" t="s">
        <v>20</v>
      </c>
      <c r="G134" s="512"/>
      <c r="H134" s="508"/>
      <c r="I134" s="515"/>
      <c r="J134" s="516"/>
      <c r="K134" s="28"/>
      <c r="L134" s="28"/>
      <c r="M134" s="28"/>
      <c r="N134" s="28"/>
      <c r="O134" s="545"/>
      <c r="P134" s="546"/>
      <c r="Q134" s="546"/>
      <c r="R134" s="546"/>
      <c r="S134" s="498">
        <f>IF(G134="yes",S127*Summary!$M$47,0)</f>
        <v>0</v>
      </c>
      <c r="T134" s="99"/>
    </row>
    <row r="135" spans="1:21" ht="10.5" customHeight="1" x14ac:dyDescent="0.2">
      <c r="B135" s="497"/>
      <c r="C135" s="1109" t="s">
        <v>169</v>
      </c>
      <c r="D135" s="1109"/>
      <c r="E135" s="513" t="s">
        <v>85</v>
      </c>
      <c r="F135" s="1105" t="s">
        <v>170</v>
      </c>
      <c r="G135" s="1105"/>
      <c r="H135" s="514" t="s">
        <v>395</v>
      </c>
      <c r="I135" s="496"/>
      <c r="J135" s="97"/>
      <c r="K135" s="28"/>
      <c r="L135" s="28"/>
      <c r="M135" s="28"/>
      <c r="N135" s="28"/>
      <c r="O135" s="98"/>
      <c r="P135" s="109"/>
      <c r="Q135" s="109"/>
      <c r="R135" s="109"/>
      <c r="S135" s="498"/>
      <c r="T135" s="99"/>
    </row>
    <row r="136" spans="1:21" ht="13.5" customHeight="1" thickBot="1" x14ac:dyDescent="0.25">
      <c r="B136" s="497"/>
      <c r="C136" s="1095"/>
      <c r="D136" s="1095"/>
      <c r="E136" s="530"/>
      <c r="F136" s="1096"/>
      <c r="G136" s="1096"/>
      <c r="H136" s="534"/>
      <c r="I136" s="496"/>
      <c r="J136" s="97"/>
      <c r="K136" s="28"/>
      <c r="L136" s="28"/>
      <c r="M136" s="28"/>
      <c r="N136" s="28"/>
      <c r="O136" s="98"/>
      <c r="P136" s="109"/>
      <c r="Q136" s="109"/>
      <c r="R136" s="109"/>
      <c r="S136" s="498">
        <f>IF(H136="s",(E136*F136)/(1-'OH&amp;P'!$E$5),0)+IF(H136="sc",(E136*F136)/(1-'OH&amp;P'!$F$5),0)</f>
        <v>0</v>
      </c>
      <c r="T136" s="99"/>
    </row>
    <row r="137" spans="1:21" ht="13.5" hidden="1" customHeight="1" thickBot="1" x14ac:dyDescent="0.25">
      <c r="B137" s="497"/>
      <c r="C137" s="1097"/>
      <c r="D137" s="1098"/>
      <c r="E137" s="532"/>
      <c r="F137" s="1104"/>
      <c r="G137" s="1104"/>
      <c r="H137" s="535"/>
      <c r="I137" s="496"/>
      <c r="J137" s="97"/>
      <c r="K137" s="28"/>
      <c r="L137" s="28"/>
      <c r="M137" s="28"/>
      <c r="N137" s="28"/>
      <c r="O137" s="98"/>
      <c r="P137" s="109"/>
      <c r="Q137" s="109"/>
      <c r="R137" s="109"/>
      <c r="S137" s="498">
        <f>IF(H137="s",(E137*F137)/(1-'OH&amp;P'!$E$5),0)+IF(H137="sc",(E137*F137)/(1-'OH&amp;P'!$F$5),0)</f>
        <v>0</v>
      </c>
      <c r="T137" s="99"/>
    </row>
    <row r="138" spans="1:21" ht="13.5" customHeight="1" thickTop="1" thickBot="1" x14ac:dyDescent="0.25">
      <c r="B138" s="497"/>
      <c r="C138" s="544" t="s">
        <v>399</v>
      </c>
      <c r="D138" s="509"/>
      <c r="E138" s="542" t="s">
        <v>401</v>
      </c>
      <c r="F138" s="501"/>
      <c r="G138" s="501"/>
      <c r="H138" s="501"/>
      <c r="I138" s="496"/>
      <c r="J138" s="97"/>
      <c r="K138" s="28"/>
      <c r="L138" s="28"/>
      <c r="M138" s="28"/>
      <c r="N138" s="28"/>
      <c r="O138" s="1106" t="s">
        <v>397</v>
      </c>
      <c r="P138" s="1106"/>
      <c r="Q138" s="1106"/>
      <c r="R138" s="1106"/>
      <c r="S138" s="510">
        <f>SUM(S134:S137)</f>
        <v>0</v>
      </c>
      <c r="T138" s="99"/>
    </row>
    <row r="139" spans="1:21" ht="13.5" customHeight="1" thickTop="1" x14ac:dyDescent="0.2">
      <c r="B139" s="497"/>
      <c r="C139" s="543"/>
      <c r="D139" s="509"/>
      <c r="E139" s="499"/>
      <c r="F139" s="501"/>
      <c r="G139" s="501"/>
      <c r="H139" s="501"/>
      <c r="I139" s="496"/>
      <c r="J139" s="97"/>
      <c r="K139" s="28"/>
      <c r="L139" s="28"/>
      <c r="M139" s="28"/>
      <c r="N139" s="28"/>
      <c r="O139" s="1111"/>
      <c r="P139" s="1111"/>
      <c r="Q139" s="540"/>
      <c r="R139" s="541" t="s">
        <v>171</v>
      </c>
      <c r="S139" s="107" t="str">
        <f>+U124</f>
        <v>Alt 7</v>
      </c>
      <c r="T139" s="107">
        <f>+S127+S132+S138</f>
        <v>0</v>
      </c>
    </row>
    <row r="141" spans="1:21" x14ac:dyDescent="0.2">
      <c r="A141" s="110" t="str">
        <f>+'Take Off'!AC1290</f>
        <v>A8</v>
      </c>
      <c r="B141" s="1099" t="str">
        <f>+A141</f>
        <v>A8</v>
      </c>
      <c r="C141" s="1099"/>
      <c r="D141" s="1099"/>
      <c r="E141" s="1099"/>
      <c r="F141" s="1099"/>
      <c r="G141" s="135">
        <f>+A142</f>
        <v>0</v>
      </c>
      <c r="H141" s="111">
        <f>+A143</f>
        <v>0</v>
      </c>
      <c r="I141" s="91"/>
      <c r="J141" s="91"/>
      <c r="K141" s="91"/>
      <c r="L141" s="91"/>
      <c r="M141" s="91"/>
      <c r="N141" s="91"/>
      <c r="O141" s="91"/>
      <c r="P141" s="91"/>
      <c r="Q141" s="91"/>
      <c r="R141" s="92"/>
      <c r="S141" s="92"/>
      <c r="T141" s="92"/>
      <c r="U141" s="92"/>
    </row>
    <row r="142" spans="1:21" ht="53" thickBot="1" x14ac:dyDescent="0.25">
      <c r="A142" s="110">
        <f>+'Take Off'!AC1291</f>
        <v>0</v>
      </c>
      <c r="B142" s="93" t="s">
        <v>209</v>
      </c>
      <c r="C142" s="94" t="s">
        <v>210</v>
      </c>
      <c r="D142" s="93" t="s">
        <v>211</v>
      </c>
      <c r="E142" s="94" t="s">
        <v>212</v>
      </c>
      <c r="F142" s="94" t="s">
        <v>213</v>
      </c>
      <c r="G142" s="104" t="s">
        <v>214</v>
      </c>
      <c r="H142" s="104" t="s">
        <v>215</v>
      </c>
      <c r="I142" s="104" t="s">
        <v>216</v>
      </c>
      <c r="J142" s="95" t="s">
        <v>217</v>
      </c>
      <c r="K142" s="95" t="s">
        <v>218</v>
      </c>
      <c r="L142" s="95" t="s">
        <v>219</v>
      </c>
      <c r="M142" s="95" t="s">
        <v>220</v>
      </c>
      <c r="N142" s="95" t="s">
        <v>221</v>
      </c>
      <c r="O142" s="95" t="s">
        <v>222</v>
      </c>
      <c r="P142" s="95" t="s">
        <v>223</v>
      </c>
      <c r="Q142" s="95" t="s">
        <v>213</v>
      </c>
      <c r="R142" s="95" t="s">
        <v>224</v>
      </c>
      <c r="S142" s="95" t="s">
        <v>31</v>
      </c>
      <c r="T142" s="95" t="s">
        <v>225</v>
      </c>
      <c r="U142" s="547" t="s">
        <v>389</v>
      </c>
    </row>
    <row r="143" spans="1:21" ht="16" thickBot="1" x14ac:dyDescent="0.25">
      <c r="A143" s="110">
        <f>+'Take Off'!AC1292</f>
        <v>0</v>
      </c>
      <c r="B143" s="100">
        <f>+A142</f>
        <v>0</v>
      </c>
      <c r="C143" s="81"/>
      <c r="D143" s="495"/>
      <c r="E143" s="82"/>
      <c r="F143" s="83"/>
      <c r="G143" s="84"/>
      <c r="H143" s="88"/>
      <c r="I143" s="84"/>
      <c r="J143" s="100">
        <f>IF(C143=0,0,B143/C143)</f>
        <v>0</v>
      </c>
      <c r="K143" s="101">
        <f>IF($G143="x",'Labor Calc'!$E$43,'Labor Calc'!$E$31)</f>
        <v>58.06944444444445</v>
      </c>
      <c r="L143" s="101">
        <f>IF($G143="x",'Labor Calc'!$F$43,'Labor Calc'!$F$31)</f>
        <v>62.358333333333327</v>
      </c>
      <c r="M143" s="101">
        <f>IF($G143="x",'Labor Calc'!$G$43,'Labor Calc'!$G$31)</f>
        <v>65.217592592592595</v>
      </c>
      <c r="N143" s="101">
        <f>IF(H143=40,K143,0)+IF(H143=50,L143,0)+IF(H143=60,M143,0)</f>
        <v>0</v>
      </c>
      <c r="O143" s="100">
        <f>IF(E143=0,0,B143/E143)</f>
        <v>0</v>
      </c>
      <c r="P143" s="108">
        <f>+J143*N143</f>
        <v>0</v>
      </c>
      <c r="Q143" s="108">
        <f>(+O143*F143)/(1-'OH&amp;P'!$C$5)</f>
        <v>0</v>
      </c>
      <c r="R143" s="108">
        <f>IF(I143="x",(J143*'Admin Set Up'!$B$17)/(1-'OH&amp;P'!$C$5),0)</f>
        <v>0</v>
      </c>
      <c r="S143" s="106">
        <f>SUM(P143:R143)</f>
        <v>0</v>
      </c>
      <c r="T143" s="102">
        <f>IF(B143=0,0,S143/B143)</f>
        <v>0</v>
      </c>
      <c r="U143" s="92"/>
    </row>
    <row r="144" spans="1:21" ht="16" hidden="1" thickBot="1" x14ac:dyDescent="0.25">
      <c r="A144" s="80"/>
      <c r="B144" s="103">
        <f>+B143</f>
        <v>0</v>
      </c>
      <c r="C144" s="81"/>
      <c r="D144" s="79"/>
      <c r="E144" s="85"/>
      <c r="F144" s="86"/>
      <c r="G144" s="84"/>
      <c r="H144" s="88"/>
      <c r="I144" s="84"/>
      <c r="J144" s="100">
        <f>IF(C144=0,0,B144/C144)</f>
        <v>0</v>
      </c>
      <c r="K144" s="101">
        <f>IF($G144="x",'Labor Calc'!$E$43,'Labor Calc'!$E$31)</f>
        <v>58.06944444444445</v>
      </c>
      <c r="L144" s="101">
        <f>IF($G144="x",'Labor Calc'!$F$43,'Labor Calc'!$F$31)</f>
        <v>62.358333333333327</v>
      </c>
      <c r="M144" s="101">
        <f>IF($G144="x",'Labor Calc'!$G$43,'Labor Calc'!$G$31)</f>
        <v>65.217592592592595</v>
      </c>
      <c r="N144" s="101">
        <f>IF(H144=40,K144,0)+IF(H144=50,L144,0)+IF(H144=60,M144,0)</f>
        <v>0</v>
      </c>
      <c r="O144" s="100">
        <f>IF(E144=0,0,B144/E144)</f>
        <v>0</v>
      </c>
      <c r="P144" s="108">
        <f>+J144*N144</f>
        <v>0</v>
      </c>
      <c r="Q144" s="108">
        <f>(+O144*F144)/(1-'OH&amp;P'!$C$5)</f>
        <v>0</v>
      </c>
      <c r="R144" s="108">
        <f>IF(I144="x",(J144*'Admin Set Up'!$B$17)/(1-'OH&amp;P'!$C$5),0)</f>
        <v>0</v>
      </c>
      <c r="S144" s="106">
        <f>SUM(P144:R144)</f>
        <v>0</v>
      </c>
      <c r="T144" s="102">
        <f>IF(B144=0,0,S144/B144)</f>
        <v>0</v>
      </c>
      <c r="U144" s="92"/>
    </row>
    <row r="145" spans="1:21" ht="16" thickBot="1" x14ac:dyDescent="0.25">
      <c r="A145" s="87"/>
      <c r="B145" s="105" t="s">
        <v>226</v>
      </c>
      <c r="C145" s="90"/>
      <c r="D145" s="89" t="s">
        <v>227</v>
      </c>
      <c r="E145" s="96"/>
      <c r="F145" s="96"/>
      <c r="G145" s="1101" t="s">
        <v>101</v>
      </c>
      <c r="H145" s="1101"/>
      <c r="I145" s="1101"/>
      <c r="J145" s="97">
        <f>SUM(J143:J144)</f>
        <v>0</v>
      </c>
      <c r="K145" s="90"/>
      <c r="L145" s="90"/>
      <c r="M145" s="90"/>
      <c r="N145" s="90"/>
      <c r="O145" s="98">
        <f t="shared" ref="O145:T145" si="49">SUM(O143:O144)</f>
        <v>0</v>
      </c>
      <c r="P145" s="109">
        <f t="shared" si="49"/>
        <v>0</v>
      </c>
      <c r="Q145" s="109">
        <f t="shared" si="49"/>
        <v>0</v>
      </c>
      <c r="R145" s="109">
        <f t="shared" si="49"/>
        <v>0</v>
      </c>
      <c r="S145" s="107">
        <f t="shared" si="49"/>
        <v>0</v>
      </c>
      <c r="T145" s="99">
        <f t="shared" si="49"/>
        <v>0</v>
      </c>
      <c r="U145" s="32"/>
    </row>
    <row r="146" spans="1:21" ht="3" customHeight="1" x14ac:dyDescent="0.2">
      <c r="B146" s="536"/>
      <c r="C146" s="143"/>
      <c r="D146" s="537"/>
      <c r="E146" s="538"/>
      <c r="F146" s="538"/>
      <c r="G146" s="520"/>
      <c r="H146" s="520"/>
      <c r="I146" s="520"/>
      <c r="J146" s="521"/>
      <c r="K146" s="143"/>
      <c r="L146" s="143"/>
      <c r="M146" s="143"/>
      <c r="N146" s="143"/>
      <c r="O146" s="522"/>
      <c r="P146" s="523"/>
      <c r="Q146" s="523"/>
      <c r="R146" s="523"/>
      <c r="S146" s="529"/>
      <c r="T146" s="525"/>
    </row>
    <row r="147" spans="1:21" ht="24.75" customHeight="1" x14ac:dyDescent="0.2">
      <c r="B147" s="1102" t="s">
        <v>359</v>
      </c>
      <c r="C147" s="1102"/>
      <c r="D147" s="526" t="s">
        <v>169</v>
      </c>
      <c r="E147" s="527" t="s">
        <v>85</v>
      </c>
      <c r="F147" s="528" t="s">
        <v>19</v>
      </c>
      <c r="G147" s="1103" t="s">
        <v>170</v>
      </c>
      <c r="H147" s="1103"/>
      <c r="I147" s="502"/>
      <c r="J147" s="503"/>
      <c r="K147" s="28"/>
      <c r="L147" s="28"/>
      <c r="M147" s="28"/>
      <c r="N147" s="28"/>
      <c r="O147" s="504"/>
      <c r="P147" s="505"/>
      <c r="Q147" s="505"/>
      <c r="R147" s="505"/>
      <c r="S147" s="506" t="s">
        <v>392</v>
      </c>
      <c r="T147" s="507"/>
    </row>
    <row r="148" spans="1:21" ht="13.5" customHeight="1" thickBot="1" x14ac:dyDescent="0.25">
      <c r="B148" s="497"/>
      <c r="C148" s="260"/>
      <c r="D148" s="530"/>
      <c r="E148" s="531"/>
      <c r="F148" s="531"/>
      <c r="G148" s="1096"/>
      <c r="H148" s="1096"/>
      <c r="I148" s="496"/>
      <c r="J148" s="97"/>
      <c r="K148" s="28"/>
      <c r="L148" s="28"/>
      <c r="M148" s="28"/>
      <c r="N148" s="28"/>
      <c r="O148" s="98"/>
      <c r="P148" s="109"/>
      <c r="Q148" s="109"/>
      <c r="R148" s="109"/>
      <c r="S148" s="498">
        <f>+(E148*F148*G148)/(1-'OH&amp;P'!$D$5)</f>
        <v>0</v>
      </c>
      <c r="T148" s="99"/>
    </row>
    <row r="149" spans="1:21" ht="13.5" hidden="1" customHeight="1" thickBot="1" x14ac:dyDescent="0.25">
      <c r="B149" s="497"/>
      <c r="C149" s="260"/>
      <c r="D149" s="532"/>
      <c r="E149" s="533"/>
      <c r="F149" s="533"/>
      <c r="G149" s="1104"/>
      <c r="H149" s="1104"/>
      <c r="I149" s="496"/>
      <c r="J149" s="97"/>
      <c r="K149" s="28"/>
      <c r="L149" s="28"/>
      <c r="M149" s="28"/>
      <c r="N149" s="28"/>
      <c r="O149" s="98"/>
      <c r="P149" s="109"/>
      <c r="Q149" s="109"/>
      <c r="R149" s="109"/>
      <c r="S149" s="498">
        <f>+(E149*F149*G149)/(1-'OH&amp;P'!$D$5)</f>
        <v>0</v>
      </c>
      <c r="T149" s="99"/>
    </row>
    <row r="150" spans="1:21" ht="13.5" customHeight="1" thickTop="1" thickBot="1" x14ac:dyDescent="0.25">
      <c r="B150" s="497"/>
      <c r="C150" s="539" t="s">
        <v>398</v>
      </c>
      <c r="D150" s="499"/>
      <c r="E150" s="542" t="s">
        <v>400</v>
      </c>
      <c r="F150" s="500"/>
      <c r="G150" s="501"/>
      <c r="H150" s="501"/>
      <c r="I150" s="496"/>
      <c r="J150" s="97"/>
      <c r="K150" s="28"/>
      <c r="L150" s="28"/>
      <c r="M150" s="28"/>
      <c r="N150" s="28"/>
      <c r="O150" s="1106" t="s">
        <v>394</v>
      </c>
      <c r="P150" s="1106"/>
      <c r="Q150" s="1106"/>
      <c r="R150" s="1106"/>
      <c r="S150" s="510">
        <f>SUM(S148:S149)</f>
        <v>0</v>
      </c>
      <c r="T150" s="99"/>
    </row>
    <row r="151" spans="1:21" ht="3" customHeight="1" thickTop="1" x14ac:dyDescent="0.2">
      <c r="B151" s="1107"/>
      <c r="C151" s="1107"/>
      <c r="D151" s="517"/>
      <c r="E151" s="518"/>
      <c r="F151" s="518"/>
      <c r="G151" s="519"/>
      <c r="H151" s="519"/>
      <c r="I151" s="520"/>
      <c r="J151" s="521"/>
      <c r="K151" s="28"/>
      <c r="L151" s="28"/>
      <c r="M151" s="28"/>
      <c r="N151" s="28"/>
      <c r="O151" s="522"/>
      <c r="P151" s="523"/>
      <c r="Q151" s="523"/>
      <c r="R151" s="523"/>
      <c r="S151" s="524"/>
      <c r="T151" s="525"/>
    </row>
    <row r="152" spans="1:21" x14ac:dyDescent="0.2">
      <c r="B152" s="1110" t="s">
        <v>151</v>
      </c>
      <c r="C152" s="1110"/>
      <c r="D152" s="1108" t="s">
        <v>393</v>
      </c>
      <c r="E152" s="1108"/>
      <c r="F152" s="511" t="s">
        <v>20</v>
      </c>
      <c r="G152" s="512"/>
      <c r="H152" s="508"/>
      <c r="I152" s="515"/>
      <c r="J152" s="516"/>
      <c r="K152" s="28"/>
      <c r="L152" s="28"/>
      <c r="M152" s="28"/>
      <c r="N152" s="28"/>
      <c r="O152" s="545"/>
      <c r="P152" s="546"/>
      <c r="Q152" s="546"/>
      <c r="R152" s="546"/>
      <c r="S152" s="498">
        <f>IF(G152="yes",S145*Summary!$M$47,0)</f>
        <v>0</v>
      </c>
      <c r="T152" s="99"/>
    </row>
    <row r="153" spans="1:21" ht="10.5" customHeight="1" x14ac:dyDescent="0.2">
      <c r="B153" s="497"/>
      <c r="C153" s="1109" t="s">
        <v>169</v>
      </c>
      <c r="D153" s="1109"/>
      <c r="E153" s="513" t="s">
        <v>85</v>
      </c>
      <c r="F153" s="1105" t="s">
        <v>170</v>
      </c>
      <c r="G153" s="1105"/>
      <c r="H153" s="514" t="s">
        <v>395</v>
      </c>
      <c r="I153" s="496"/>
      <c r="J153" s="97"/>
      <c r="K153" s="28"/>
      <c r="L153" s="28"/>
      <c r="M153" s="28"/>
      <c r="N153" s="28"/>
      <c r="O153" s="98"/>
      <c r="P153" s="109"/>
      <c r="Q153" s="109"/>
      <c r="R153" s="109"/>
      <c r="S153" s="498"/>
      <c r="T153" s="99"/>
    </row>
    <row r="154" spans="1:21" ht="13.5" customHeight="1" thickBot="1" x14ac:dyDescent="0.25">
      <c r="B154" s="497"/>
      <c r="C154" s="1095"/>
      <c r="D154" s="1095"/>
      <c r="E154" s="530"/>
      <c r="F154" s="1096"/>
      <c r="G154" s="1096"/>
      <c r="H154" s="534"/>
      <c r="I154" s="496"/>
      <c r="J154" s="97"/>
      <c r="K154" s="28"/>
      <c r="L154" s="28"/>
      <c r="M154" s="28"/>
      <c r="N154" s="28"/>
      <c r="O154" s="98"/>
      <c r="P154" s="109"/>
      <c r="Q154" s="109"/>
      <c r="R154" s="109"/>
      <c r="S154" s="498">
        <f>IF(H154="s",(E154*F154)/(1-'OH&amp;P'!$E$5),0)+IF(H154="sc",(E154*F154)/(1-'OH&amp;P'!$F$5),0)</f>
        <v>0</v>
      </c>
      <c r="T154" s="99"/>
    </row>
    <row r="155" spans="1:21" ht="13.5" hidden="1" customHeight="1" thickBot="1" x14ac:dyDescent="0.25">
      <c r="B155" s="497"/>
      <c r="C155" s="1097"/>
      <c r="D155" s="1098"/>
      <c r="E155" s="532"/>
      <c r="F155" s="1104"/>
      <c r="G155" s="1104"/>
      <c r="H155" s="535"/>
      <c r="I155" s="496"/>
      <c r="J155" s="97"/>
      <c r="K155" s="28"/>
      <c r="L155" s="28"/>
      <c r="M155" s="28"/>
      <c r="N155" s="28"/>
      <c r="O155" s="98"/>
      <c r="P155" s="109"/>
      <c r="Q155" s="109"/>
      <c r="R155" s="109"/>
      <c r="S155" s="498">
        <f>IF(H155="s",(E155*F155)/(1-'OH&amp;P'!$E$5),0)+IF(H155="sc",(E155*F155)/(1-'OH&amp;P'!$F$5),0)</f>
        <v>0</v>
      </c>
      <c r="T155" s="99"/>
    </row>
    <row r="156" spans="1:21" ht="13.5" customHeight="1" thickTop="1" thickBot="1" x14ac:dyDescent="0.25">
      <c r="B156" s="497"/>
      <c r="C156" s="544" t="s">
        <v>399</v>
      </c>
      <c r="D156" s="509"/>
      <c r="E156" s="542" t="s">
        <v>401</v>
      </c>
      <c r="F156" s="501"/>
      <c r="G156" s="501"/>
      <c r="H156" s="501"/>
      <c r="I156" s="496"/>
      <c r="J156" s="97"/>
      <c r="K156" s="28"/>
      <c r="L156" s="28"/>
      <c r="M156" s="28"/>
      <c r="N156" s="28"/>
      <c r="O156" s="1106" t="s">
        <v>397</v>
      </c>
      <c r="P156" s="1106"/>
      <c r="Q156" s="1106"/>
      <c r="R156" s="1106"/>
      <c r="S156" s="510">
        <f>SUM(S152:S155)</f>
        <v>0</v>
      </c>
      <c r="T156" s="99"/>
    </row>
    <row r="157" spans="1:21" ht="13.5" customHeight="1" thickTop="1" x14ac:dyDescent="0.2">
      <c r="B157" s="497"/>
      <c r="C157" s="543"/>
      <c r="D157" s="509"/>
      <c r="E157" s="499"/>
      <c r="F157" s="501"/>
      <c r="G157" s="501"/>
      <c r="H157" s="501"/>
      <c r="I157" s="496"/>
      <c r="J157" s="97"/>
      <c r="K157" s="28"/>
      <c r="L157" s="28"/>
      <c r="M157" s="28"/>
      <c r="N157" s="28"/>
      <c r="O157" s="1111"/>
      <c r="P157" s="1111"/>
      <c r="Q157" s="540"/>
      <c r="R157" s="541" t="s">
        <v>171</v>
      </c>
      <c r="S157" s="107" t="str">
        <f>+U142</f>
        <v>Alt 8</v>
      </c>
      <c r="T157" s="107">
        <f>+S145+S150+S156</f>
        <v>0</v>
      </c>
    </row>
    <row r="159" spans="1:21" x14ac:dyDescent="0.2">
      <c r="A159" s="110" t="str">
        <f>+'Take Off'!AD1290</f>
        <v>A9</v>
      </c>
      <c r="B159" s="1099" t="str">
        <f>+A159</f>
        <v>A9</v>
      </c>
      <c r="C159" s="1099"/>
      <c r="D159" s="1099"/>
      <c r="E159" s="1099"/>
      <c r="F159" s="1099"/>
      <c r="G159" s="135">
        <f>+A160</f>
        <v>0</v>
      </c>
      <c r="H159" s="111">
        <f>+A161</f>
        <v>0</v>
      </c>
      <c r="I159" s="91"/>
      <c r="J159" s="91"/>
      <c r="K159" s="91"/>
      <c r="L159" s="91"/>
      <c r="M159" s="91"/>
      <c r="N159" s="91"/>
      <c r="O159" s="91"/>
      <c r="P159" s="91"/>
      <c r="Q159" s="91"/>
      <c r="R159" s="92"/>
      <c r="S159" s="92"/>
      <c r="T159" s="92"/>
      <c r="U159" s="92"/>
    </row>
    <row r="160" spans="1:21" ht="53" thickBot="1" x14ac:dyDescent="0.25">
      <c r="A160" s="110">
        <f>+'Take Off'!AD1291</f>
        <v>0</v>
      </c>
      <c r="B160" s="93" t="s">
        <v>209</v>
      </c>
      <c r="C160" s="94" t="s">
        <v>210</v>
      </c>
      <c r="D160" s="93" t="s">
        <v>211</v>
      </c>
      <c r="E160" s="94" t="s">
        <v>212</v>
      </c>
      <c r="F160" s="94" t="s">
        <v>213</v>
      </c>
      <c r="G160" s="104" t="s">
        <v>214</v>
      </c>
      <c r="H160" s="104" t="s">
        <v>215</v>
      </c>
      <c r="I160" s="104" t="s">
        <v>216</v>
      </c>
      <c r="J160" s="95" t="s">
        <v>217</v>
      </c>
      <c r="K160" s="95" t="s">
        <v>218</v>
      </c>
      <c r="L160" s="95" t="s">
        <v>219</v>
      </c>
      <c r="M160" s="95" t="s">
        <v>220</v>
      </c>
      <c r="N160" s="95" t="s">
        <v>221</v>
      </c>
      <c r="O160" s="95" t="s">
        <v>222</v>
      </c>
      <c r="P160" s="95" t="s">
        <v>223</v>
      </c>
      <c r="Q160" s="95" t="s">
        <v>213</v>
      </c>
      <c r="R160" s="95" t="s">
        <v>224</v>
      </c>
      <c r="S160" s="95" t="s">
        <v>31</v>
      </c>
      <c r="T160" s="95" t="s">
        <v>225</v>
      </c>
      <c r="U160" s="547" t="s">
        <v>390</v>
      </c>
    </row>
    <row r="161" spans="1:21" ht="16" thickBot="1" x14ac:dyDescent="0.25">
      <c r="A161" s="110">
        <f>+'Take Off'!AD1292</f>
        <v>0</v>
      </c>
      <c r="B161" s="100">
        <f>+A160</f>
        <v>0</v>
      </c>
      <c r="C161" s="81"/>
      <c r="D161" s="495"/>
      <c r="E161" s="82"/>
      <c r="F161" s="83"/>
      <c r="G161" s="84"/>
      <c r="H161" s="88"/>
      <c r="I161" s="84"/>
      <c r="J161" s="100">
        <f>IF(C161=0,0,B161/C161)</f>
        <v>0</v>
      </c>
      <c r="K161" s="101">
        <f>IF($G161="x",'Labor Calc'!$E$43,'Labor Calc'!$E$31)</f>
        <v>58.06944444444445</v>
      </c>
      <c r="L161" s="101">
        <f>IF($G161="x",'Labor Calc'!$F$43,'Labor Calc'!$F$31)</f>
        <v>62.358333333333327</v>
      </c>
      <c r="M161" s="101">
        <f>IF($G161="x",'Labor Calc'!$G$43,'Labor Calc'!$G$31)</f>
        <v>65.217592592592595</v>
      </c>
      <c r="N161" s="101">
        <f>IF(H161=40,K161,0)+IF(H161=50,L161,0)+IF(H161=60,M161,0)</f>
        <v>0</v>
      </c>
      <c r="O161" s="100">
        <f>IF(E161=0,0,B161/E161)</f>
        <v>0</v>
      </c>
      <c r="P161" s="108">
        <f>+J161*N161</f>
        <v>0</v>
      </c>
      <c r="Q161" s="108">
        <f>(+O161*F161)/(1-'OH&amp;P'!$C$5)</f>
        <v>0</v>
      </c>
      <c r="R161" s="108">
        <f>IF(I161="x",(J161*'Admin Set Up'!$B$17)/(1-'OH&amp;P'!$C$5),0)</f>
        <v>0</v>
      </c>
      <c r="S161" s="106">
        <f>SUM(P161:R161)</f>
        <v>0</v>
      </c>
      <c r="T161" s="102">
        <f>IF(B161=0,0,S161/B161)</f>
        <v>0</v>
      </c>
      <c r="U161" s="92"/>
    </row>
    <row r="162" spans="1:21" ht="16" hidden="1" thickBot="1" x14ac:dyDescent="0.25">
      <c r="A162" s="80"/>
      <c r="B162" s="103">
        <f>+B161</f>
        <v>0</v>
      </c>
      <c r="C162" s="81"/>
      <c r="D162" s="79"/>
      <c r="E162" s="85"/>
      <c r="F162" s="86"/>
      <c r="G162" s="84"/>
      <c r="H162" s="88"/>
      <c r="I162" s="84"/>
      <c r="J162" s="100">
        <f>IF(C162=0,0,B162/C162)</f>
        <v>0</v>
      </c>
      <c r="K162" s="101">
        <f>IF($G162="x",'Labor Calc'!$E$43,'Labor Calc'!$E$31)</f>
        <v>58.06944444444445</v>
      </c>
      <c r="L162" s="101">
        <f>IF($G162="x",'Labor Calc'!$F$43,'Labor Calc'!$F$31)</f>
        <v>62.358333333333327</v>
      </c>
      <c r="M162" s="101">
        <f>IF($G162="x",'Labor Calc'!$G$43,'Labor Calc'!$G$31)</f>
        <v>65.217592592592595</v>
      </c>
      <c r="N162" s="101">
        <f>IF(H162=40,K162,0)+IF(H162=50,L162,0)+IF(H162=60,M162,0)</f>
        <v>0</v>
      </c>
      <c r="O162" s="100">
        <f>IF(E162=0,0,B162/E162)</f>
        <v>0</v>
      </c>
      <c r="P162" s="108">
        <f>+J162*N162</f>
        <v>0</v>
      </c>
      <c r="Q162" s="108">
        <f>(+O162*F162)/(1-'OH&amp;P'!$C$5)</f>
        <v>0</v>
      </c>
      <c r="R162" s="108">
        <f>IF(I162="x",(J162*'Admin Set Up'!$B$17)/(1-'OH&amp;P'!$C$5),0)</f>
        <v>0</v>
      </c>
      <c r="S162" s="106">
        <f>SUM(P162:R162)</f>
        <v>0</v>
      </c>
      <c r="T162" s="102">
        <f>IF(B162=0,0,S162/B162)</f>
        <v>0</v>
      </c>
      <c r="U162" s="92"/>
    </row>
    <row r="163" spans="1:21" ht="16" thickBot="1" x14ac:dyDescent="0.25">
      <c r="A163" s="87"/>
      <c r="B163" s="105" t="s">
        <v>226</v>
      </c>
      <c r="C163" s="90"/>
      <c r="D163" s="89" t="s">
        <v>227</v>
      </c>
      <c r="E163" s="96"/>
      <c r="F163" s="96"/>
      <c r="G163" s="1101" t="s">
        <v>101</v>
      </c>
      <c r="H163" s="1101"/>
      <c r="I163" s="1101"/>
      <c r="J163" s="97">
        <f>SUM(J161:J162)</f>
        <v>0</v>
      </c>
      <c r="K163" s="90"/>
      <c r="L163" s="90"/>
      <c r="M163" s="90"/>
      <c r="N163" s="90"/>
      <c r="O163" s="98">
        <f t="shared" ref="O163:T163" si="50">SUM(O161:O162)</f>
        <v>0</v>
      </c>
      <c r="P163" s="109">
        <f t="shared" si="50"/>
        <v>0</v>
      </c>
      <c r="Q163" s="109">
        <f t="shared" si="50"/>
        <v>0</v>
      </c>
      <c r="R163" s="109">
        <f t="shared" si="50"/>
        <v>0</v>
      </c>
      <c r="S163" s="107">
        <f t="shared" si="50"/>
        <v>0</v>
      </c>
      <c r="T163" s="99">
        <f t="shared" si="50"/>
        <v>0</v>
      </c>
      <c r="U163" s="32"/>
    </row>
    <row r="164" spans="1:21" ht="3" customHeight="1" x14ac:dyDescent="0.2">
      <c r="B164" s="536"/>
      <c r="C164" s="143"/>
      <c r="D164" s="537"/>
      <c r="E164" s="538"/>
      <c r="F164" s="538"/>
      <c r="G164" s="520"/>
      <c r="H164" s="520"/>
      <c r="I164" s="520"/>
      <c r="J164" s="521"/>
      <c r="K164" s="143"/>
      <c r="L164" s="143"/>
      <c r="M164" s="143"/>
      <c r="N164" s="143"/>
      <c r="O164" s="522"/>
      <c r="P164" s="523"/>
      <c r="Q164" s="523"/>
      <c r="R164" s="523"/>
      <c r="S164" s="529"/>
      <c r="T164" s="525"/>
    </row>
    <row r="165" spans="1:21" ht="20" x14ac:dyDescent="0.2">
      <c r="B165" s="1102" t="s">
        <v>359</v>
      </c>
      <c r="C165" s="1102"/>
      <c r="D165" s="526" t="s">
        <v>169</v>
      </c>
      <c r="E165" s="527" t="s">
        <v>85</v>
      </c>
      <c r="F165" s="528" t="s">
        <v>19</v>
      </c>
      <c r="G165" s="1103" t="s">
        <v>170</v>
      </c>
      <c r="H165" s="1103"/>
      <c r="I165" s="502"/>
      <c r="J165" s="503"/>
      <c r="K165" s="28"/>
      <c r="L165" s="28"/>
      <c r="M165" s="28"/>
      <c r="N165" s="28"/>
      <c r="O165" s="504"/>
      <c r="P165" s="505"/>
      <c r="Q165" s="505"/>
      <c r="R165" s="505"/>
      <c r="S165" s="506" t="s">
        <v>392</v>
      </c>
      <c r="T165" s="507"/>
    </row>
    <row r="166" spans="1:21" ht="13.5" customHeight="1" thickBot="1" x14ac:dyDescent="0.25">
      <c r="B166" s="497"/>
      <c r="C166" s="260"/>
      <c r="D166" s="530"/>
      <c r="E166" s="531"/>
      <c r="F166" s="531"/>
      <c r="G166" s="1096"/>
      <c r="H166" s="1096"/>
      <c r="I166" s="496"/>
      <c r="J166" s="97"/>
      <c r="K166" s="28"/>
      <c r="L166" s="28"/>
      <c r="M166" s="28"/>
      <c r="N166" s="28"/>
      <c r="O166" s="98"/>
      <c r="P166" s="109"/>
      <c r="Q166" s="109"/>
      <c r="R166" s="109"/>
      <c r="S166" s="498">
        <f>+(E166*F166*G166)/(1-'OH&amp;P'!$D$5)</f>
        <v>0</v>
      </c>
      <c r="T166" s="99"/>
    </row>
    <row r="167" spans="1:21" ht="13.5" hidden="1" customHeight="1" thickBot="1" x14ac:dyDescent="0.25">
      <c r="B167" s="497"/>
      <c r="C167" s="260"/>
      <c r="D167" s="532"/>
      <c r="E167" s="533"/>
      <c r="F167" s="533"/>
      <c r="G167" s="1104"/>
      <c r="H167" s="1104"/>
      <c r="I167" s="496"/>
      <c r="J167" s="97"/>
      <c r="K167" s="28"/>
      <c r="L167" s="28"/>
      <c r="M167" s="28"/>
      <c r="N167" s="28"/>
      <c r="O167" s="98"/>
      <c r="P167" s="109"/>
      <c r="Q167" s="109"/>
      <c r="R167" s="109"/>
      <c r="S167" s="498">
        <f>+(E167*F167*G167)/(1-'OH&amp;P'!$D$5)</f>
        <v>0</v>
      </c>
      <c r="T167" s="99"/>
    </row>
    <row r="168" spans="1:21" ht="13.5" customHeight="1" thickTop="1" thickBot="1" x14ac:dyDescent="0.25">
      <c r="B168" s="497"/>
      <c r="C168" s="539" t="s">
        <v>398</v>
      </c>
      <c r="D168" s="499"/>
      <c r="E168" s="542" t="s">
        <v>400</v>
      </c>
      <c r="F168" s="500"/>
      <c r="G168" s="501"/>
      <c r="H168" s="501"/>
      <c r="I168" s="496"/>
      <c r="J168" s="97"/>
      <c r="K168" s="28"/>
      <c r="L168" s="28"/>
      <c r="M168" s="28"/>
      <c r="N168" s="28"/>
      <c r="O168" s="1106" t="s">
        <v>394</v>
      </c>
      <c r="P168" s="1106"/>
      <c r="Q168" s="1106"/>
      <c r="R168" s="1106"/>
      <c r="S168" s="510">
        <f>SUM(S166:S167)</f>
        <v>0</v>
      </c>
      <c r="T168" s="99"/>
    </row>
    <row r="169" spans="1:21" ht="3" customHeight="1" thickTop="1" x14ac:dyDescent="0.2">
      <c r="B169" s="1107"/>
      <c r="C169" s="1107"/>
      <c r="D169" s="517"/>
      <c r="E169" s="518"/>
      <c r="F169" s="518"/>
      <c r="G169" s="519"/>
      <c r="H169" s="519"/>
      <c r="I169" s="520"/>
      <c r="J169" s="521"/>
      <c r="K169" s="28"/>
      <c r="L169" s="28"/>
      <c r="M169" s="28"/>
      <c r="N169" s="28"/>
      <c r="O169" s="522"/>
      <c r="P169" s="523"/>
      <c r="Q169" s="523"/>
      <c r="R169" s="523"/>
      <c r="S169" s="524"/>
      <c r="T169" s="525"/>
    </row>
    <row r="170" spans="1:21" x14ac:dyDescent="0.2">
      <c r="B170" s="1110" t="s">
        <v>151</v>
      </c>
      <c r="C170" s="1110"/>
      <c r="D170" s="1108" t="s">
        <v>393</v>
      </c>
      <c r="E170" s="1108"/>
      <c r="F170" s="511" t="s">
        <v>20</v>
      </c>
      <c r="G170" s="512"/>
      <c r="H170" s="508"/>
      <c r="I170" s="515"/>
      <c r="J170" s="516"/>
      <c r="K170" s="28"/>
      <c r="L170" s="28"/>
      <c r="M170" s="28"/>
      <c r="N170" s="28"/>
      <c r="O170" s="545"/>
      <c r="P170" s="546"/>
      <c r="Q170" s="546"/>
      <c r="R170" s="546"/>
      <c r="S170" s="498">
        <f>IF(G170="yes",S163*Summary!$M$47,0)</f>
        <v>0</v>
      </c>
      <c r="T170" s="99"/>
    </row>
    <row r="171" spans="1:21" ht="10.5" customHeight="1" x14ac:dyDescent="0.2">
      <c r="B171" s="497"/>
      <c r="C171" s="1109" t="s">
        <v>169</v>
      </c>
      <c r="D171" s="1109"/>
      <c r="E171" s="513" t="s">
        <v>85</v>
      </c>
      <c r="F171" s="1105" t="s">
        <v>170</v>
      </c>
      <c r="G171" s="1105"/>
      <c r="H171" s="514" t="s">
        <v>395</v>
      </c>
      <c r="I171" s="496"/>
      <c r="J171" s="97"/>
      <c r="K171" s="28"/>
      <c r="L171" s="28"/>
      <c r="M171" s="28"/>
      <c r="N171" s="28"/>
      <c r="O171" s="98"/>
      <c r="P171" s="109"/>
      <c r="Q171" s="109"/>
      <c r="R171" s="109"/>
      <c r="S171" s="498"/>
      <c r="T171" s="99"/>
    </row>
    <row r="172" spans="1:21" ht="13.5" customHeight="1" thickBot="1" x14ac:dyDescent="0.25">
      <c r="B172" s="497"/>
      <c r="C172" s="1095"/>
      <c r="D172" s="1095"/>
      <c r="E172" s="530"/>
      <c r="F172" s="1096"/>
      <c r="G172" s="1096"/>
      <c r="H172" s="534"/>
      <c r="I172" s="496"/>
      <c r="J172" s="97"/>
      <c r="K172" s="28"/>
      <c r="L172" s="28"/>
      <c r="M172" s="28"/>
      <c r="N172" s="28"/>
      <c r="O172" s="98"/>
      <c r="P172" s="109"/>
      <c r="Q172" s="109"/>
      <c r="R172" s="109"/>
      <c r="S172" s="498">
        <f>IF(H172="s",(E172*F172)/(1-'OH&amp;P'!$E$5),0)+IF(H172="sc",(E172*F172)/(1-'OH&amp;P'!$F$5),0)</f>
        <v>0</v>
      </c>
      <c r="T172" s="99"/>
    </row>
    <row r="173" spans="1:21" ht="13.5" hidden="1" customHeight="1" thickBot="1" x14ac:dyDescent="0.25">
      <c r="B173" s="497"/>
      <c r="C173" s="1097"/>
      <c r="D173" s="1098"/>
      <c r="E173" s="532"/>
      <c r="F173" s="1104"/>
      <c r="G173" s="1104"/>
      <c r="H173" s="535"/>
      <c r="I173" s="496"/>
      <c r="J173" s="97"/>
      <c r="K173" s="28"/>
      <c r="L173" s="28"/>
      <c r="M173" s="28"/>
      <c r="N173" s="28"/>
      <c r="O173" s="98"/>
      <c r="P173" s="109"/>
      <c r="Q173" s="109"/>
      <c r="R173" s="109"/>
      <c r="S173" s="498">
        <f>IF(H173="s",(E173*F173)/(1-'OH&amp;P'!$E$5),0)+IF(H173="sc",(E173*F173)/(1-'OH&amp;P'!$F$5),0)</f>
        <v>0</v>
      </c>
      <c r="T173" s="99"/>
    </row>
    <row r="174" spans="1:21" ht="13.5" customHeight="1" thickTop="1" thickBot="1" x14ac:dyDescent="0.25">
      <c r="B174" s="497"/>
      <c r="C174" s="544" t="s">
        <v>399</v>
      </c>
      <c r="D174" s="509"/>
      <c r="E174" s="542" t="s">
        <v>401</v>
      </c>
      <c r="F174" s="501"/>
      <c r="G174" s="501"/>
      <c r="H174" s="501"/>
      <c r="I174" s="496"/>
      <c r="J174" s="97"/>
      <c r="K174" s="28"/>
      <c r="L174" s="28"/>
      <c r="M174" s="28"/>
      <c r="N174" s="28"/>
      <c r="O174" s="1106" t="s">
        <v>397</v>
      </c>
      <c r="P174" s="1106"/>
      <c r="Q174" s="1106"/>
      <c r="R174" s="1106"/>
      <c r="S174" s="510">
        <f>SUM(S170:S173)</f>
        <v>0</v>
      </c>
      <c r="T174" s="99"/>
    </row>
    <row r="175" spans="1:21" ht="13.5" customHeight="1" thickTop="1" x14ac:dyDescent="0.2">
      <c r="B175" s="497"/>
      <c r="C175" s="543"/>
      <c r="D175" s="509"/>
      <c r="E175" s="499"/>
      <c r="F175" s="501"/>
      <c r="G175" s="501"/>
      <c r="H175" s="501"/>
      <c r="I175" s="496"/>
      <c r="J175" s="97"/>
      <c r="K175" s="28"/>
      <c r="L175" s="28"/>
      <c r="M175" s="28"/>
      <c r="N175" s="28"/>
      <c r="O175" s="1111"/>
      <c r="P175" s="1111"/>
      <c r="Q175" s="540"/>
      <c r="R175" s="541" t="s">
        <v>171</v>
      </c>
      <c r="S175" s="107" t="str">
        <f>+U160</f>
        <v>Alt 9</v>
      </c>
      <c r="T175" s="107">
        <f>+S163+S168+S174</f>
        <v>0</v>
      </c>
    </row>
    <row r="177" spans="1:21" x14ac:dyDescent="0.2">
      <c r="A177" s="110" t="str">
        <f>+'Take Off'!AE1290</f>
        <v>A10</v>
      </c>
      <c r="B177" s="1099" t="str">
        <f>+A177</f>
        <v>A10</v>
      </c>
      <c r="C177" s="1099"/>
      <c r="D177" s="1099"/>
      <c r="E177" s="1099"/>
      <c r="F177" s="1099"/>
      <c r="G177" s="135">
        <f>+A178</f>
        <v>0</v>
      </c>
      <c r="H177" s="111">
        <f>+A179</f>
        <v>0</v>
      </c>
      <c r="I177" s="91"/>
      <c r="J177" s="91"/>
      <c r="K177" s="91"/>
      <c r="L177" s="91"/>
      <c r="M177" s="91"/>
      <c r="N177" s="91"/>
      <c r="O177" s="91"/>
      <c r="P177" s="91"/>
      <c r="Q177" s="91"/>
      <c r="R177" s="92"/>
      <c r="S177" s="92"/>
      <c r="T177" s="92"/>
      <c r="U177" s="92"/>
    </row>
    <row r="178" spans="1:21" ht="53" thickBot="1" x14ac:dyDescent="0.25">
      <c r="A178" s="110">
        <f>+'Take Off'!AE1291</f>
        <v>0</v>
      </c>
      <c r="B178" s="93" t="s">
        <v>209</v>
      </c>
      <c r="C178" s="94" t="s">
        <v>210</v>
      </c>
      <c r="D178" s="93" t="s">
        <v>211</v>
      </c>
      <c r="E178" s="94" t="s">
        <v>212</v>
      </c>
      <c r="F178" s="94" t="s">
        <v>213</v>
      </c>
      <c r="G178" s="104" t="s">
        <v>214</v>
      </c>
      <c r="H178" s="104" t="s">
        <v>215</v>
      </c>
      <c r="I178" s="104" t="s">
        <v>216</v>
      </c>
      <c r="J178" s="95" t="s">
        <v>217</v>
      </c>
      <c r="K178" s="95" t="s">
        <v>218</v>
      </c>
      <c r="L178" s="95" t="s">
        <v>219</v>
      </c>
      <c r="M178" s="95" t="s">
        <v>220</v>
      </c>
      <c r="N178" s="95" t="s">
        <v>221</v>
      </c>
      <c r="O178" s="95" t="s">
        <v>222</v>
      </c>
      <c r="P178" s="95" t="s">
        <v>223</v>
      </c>
      <c r="Q178" s="95" t="s">
        <v>213</v>
      </c>
      <c r="R178" s="95" t="s">
        <v>224</v>
      </c>
      <c r="S178" s="95" t="s">
        <v>31</v>
      </c>
      <c r="T178" s="95" t="s">
        <v>225</v>
      </c>
      <c r="U178" s="547" t="s">
        <v>391</v>
      </c>
    </row>
    <row r="179" spans="1:21" ht="16" thickBot="1" x14ac:dyDescent="0.25">
      <c r="A179" s="110">
        <f>+'Take Off'!AE1292</f>
        <v>0</v>
      </c>
      <c r="B179" s="100">
        <f>+A178</f>
        <v>0</v>
      </c>
      <c r="C179" s="81"/>
      <c r="D179" s="495"/>
      <c r="E179" s="82"/>
      <c r="F179" s="83"/>
      <c r="G179" s="84"/>
      <c r="H179" s="88"/>
      <c r="I179" s="84"/>
      <c r="J179" s="100">
        <f>IF(C179=0,0,B179/C179)</f>
        <v>0</v>
      </c>
      <c r="K179" s="101">
        <f>IF($G179="x",'Labor Calc'!$E$43,'Labor Calc'!$E$31)</f>
        <v>58.06944444444445</v>
      </c>
      <c r="L179" s="101">
        <f>IF($G179="x",'Labor Calc'!$F$43,'Labor Calc'!$F$31)</f>
        <v>62.358333333333327</v>
      </c>
      <c r="M179" s="101">
        <f>IF($G179="x",'Labor Calc'!$G$43,'Labor Calc'!$G$31)</f>
        <v>65.217592592592595</v>
      </c>
      <c r="N179" s="101">
        <f>IF(H179=40,K179,0)+IF(H179=50,L179,0)+IF(H179=60,M179,0)</f>
        <v>0</v>
      </c>
      <c r="O179" s="100">
        <f>IF(E179=0,0,B179/E179)</f>
        <v>0</v>
      </c>
      <c r="P179" s="108">
        <f>+J179*N179</f>
        <v>0</v>
      </c>
      <c r="Q179" s="108">
        <f>(+O179*F179)/(1-'OH&amp;P'!$C$5)</f>
        <v>0</v>
      </c>
      <c r="R179" s="108">
        <f>IF(I179="x",(J179*'Admin Set Up'!$B$17)/(1-'OH&amp;P'!$C$5),0)</f>
        <v>0</v>
      </c>
      <c r="S179" s="106">
        <f>SUM(P179:R179)</f>
        <v>0</v>
      </c>
      <c r="T179" s="102">
        <f>IF(B179=0,0,S179/B179)</f>
        <v>0</v>
      </c>
      <c r="U179" s="92"/>
    </row>
    <row r="180" spans="1:21" ht="16" hidden="1" thickBot="1" x14ac:dyDescent="0.25">
      <c r="A180" s="80"/>
      <c r="B180" s="103">
        <f>+B179</f>
        <v>0</v>
      </c>
      <c r="C180" s="81"/>
      <c r="D180" s="79"/>
      <c r="E180" s="85"/>
      <c r="F180" s="86"/>
      <c r="G180" s="84"/>
      <c r="H180" s="88"/>
      <c r="I180" s="84"/>
      <c r="J180" s="100">
        <f>IF(C180=0,0,B180/C180)</f>
        <v>0</v>
      </c>
      <c r="K180" s="101">
        <f>IF($G180="x",'Labor Calc'!$E$43,'Labor Calc'!$E$31)</f>
        <v>58.06944444444445</v>
      </c>
      <c r="L180" s="101">
        <f>IF($G180="x",'Labor Calc'!$F$43,'Labor Calc'!$F$31)</f>
        <v>62.358333333333327</v>
      </c>
      <c r="M180" s="101">
        <f>IF($G180="x",'Labor Calc'!$G$43,'Labor Calc'!$G$31)</f>
        <v>65.217592592592595</v>
      </c>
      <c r="N180" s="101">
        <f>IF(H180=40,K180,0)+IF(H180=50,L180,0)+IF(H180=60,M180,0)</f>
        <v>0</v>
      </c>
      <c r="O180" s="100">
        <f>IF(E180=0,0,B180/E180)</f>
        <v>0</v>
      </c>
      <c r="P180" s="108">
        <f>+J180*N180</f>
        <v>0</v>
      </c>
      <c r="Q180" s="108">
        <f>(+O180*F180)/(1-'OH&amp;P'!$C$5)</f>
        <v>0</v>
      </c>
      <c r="R180" s="108">
        <f>IF(I180="x",(J180*'Admin Set Up'!$B$17)/(1-'OH&amp;P'!$C$5),0)</f>
        <v>0</v>
      </c>
      <c r="S180" s="106">
        <f>SUM(P180:R180)</f>
        <v>0</v>
      </c>
      <c r="T180" s="102">
        <f>IF(B180=0,0,S180/B180)</f>
        <v>0</v>
      </c>
      <c r="U180" s="92"/>
    </row>
    <row r="181" spans="1:21" ht="16" thickBot="1" x14ac:dyDescent="0.25">
      <c r="A181" s="87"/>
      <c r="B181" s="105" t="s">
        <v>226</v>
      </c>
      <c r="C181" s="90"/>
      <c r="D181" s="89" t="s">
        <v>227</v>
      </c>
      <c r="E181" s="96"/>
      <c r="F181" s="96"/>
      <c r="G181" s="1101" t="s">
        <v>101</v>
      </c>
      <c r="H181" s="1101"/>
      <c r="I181" s="1101"/>
      <c r="J181" s="97">
        <f>SUM(J179:J180)</f>
        <v>0</v>
      </c>
      <c r="K181" s="90"/>
      <c r="L181" s="90"/>
      <c r="M181" s="90"/>
      <c r="N181" s="90"/>
      <c r="O181" s="98">
        <f t="shared" ref="O181:T181" si="51">SUM(O179:O180)</f>
        <v>0</v>
      </c>
      <c r="P181" s="109">
        <f t="shared" si="51"/>
        <v>0</v>
      </c>
      <c r="Q181" s="109">
        <f t="shared" si="51"/>
        <v>0</v>
      </c>
      <c r="R181" s="109">
        <f t="shared" si="51"/>
        <v>0</v>
      </c>
      <c r="S181" s="107">
        <f t="shared" si="51"/>
        <v>0</v>
      </c>
      <c r="T181" s="99">
        <f t="shared" si="51"/>
        <v>0</v>
      </c>
      <c r="U181" s="32"/>
    </row>
    <row r="182" spans="1:21" ht="3" customHeight="1" x14ac:dyDescent="0.2">
      <c r="B182" s="536"/>
      <c r="C182" s="143"/>
      <c r="D182" s="537"/>
      <c r="E182" s="538"/>
      <c r="F182" s="538"/>
      <c r="G182" s="520"/>
      <c r="H182" s="520"/>
      <c r="I182" s="520"/>
      <c r="J182" s="521"/>
      <c r="K182" s="143"/>
      <c r="L182" s="143"/>
      <c r="M182" s="143"/>
      <c r="N182" s="143"/>
      <c r="O182" s="522"/>
      <c r="P182" s="523"/>
      <c r="Q182" s="523"/>
      <c r="R182" s="523"/>
      <c r="S182" s="529"/>
      <c r="T182" s="525"/>
    </row>
    <row r="183" spans="1:21" ht="24.75" customHeight="1" x14ac:dyDescent="0.2">
      <c r="B183" s="1102" t="s">
        <v>359</v>
      </c>
      <c r="C183" s="1102"/>
      <c r="D183" s="526" t="s">
        <v>169</v>
      </c>
      <c r="E183" s="527" t="s">
        <v>85</v>
      </c>
      <c r="F183" s="528" t="s">
        <v>19</v>
      </c>
      <c r="G183" s="1103" t="s">
        <v>170</v>
      </c>
      <c r="H183" s="1103"/>
      <c r="I183" s="502"/>
      <c r="J183" s="503"/>
      <c r="K183" s="28"/>
      <c r="L183" s="28"/>
      <c r="M183" s="28"/>
      <c r="N183" s="28"/>
      <c r="O183" s="504"/>
      <c r="P183" s="505"/>
      <c r="Q183" s="505"/>
      <c r="R183" s="505"/>
      <c r="S183" s="506" t="s">
        <v>392</v>
      </c>
      <c r="T183" s="507"/>
    </row>
    <row r="184" spans="1:21" ht="13.5" customHeight="1" thickBot="1" x14ac:dyDescent="0.25">
      <c r="B184" s="497"/>
      <c r="C184" s="260"/>
      <c r="D184" s="530"/>
      <c r="E184" s="531"/>
      <c r="F184" s="531"/>
      <c r="G184" s="1096"/>
      <c r="H184" s="1096"/>
      <c r="I184" s="496"/>
      <c r="J184" s="97"/>
      <c r="K184" s="28"/>
      <c r="L184" s="28"/>
      <c r="M184" s="28"/>
      <c r="N184" s="28"/>
      <c r="O184" s="98"/>
      <c r="P184" s="109"/>
      <c r="Q184" s="109"/>
      <c r="R184" s="109"/>
      <c r="S184" s="498">
        <f>+(E184*F184*G184)/(1-'OH&amp;P'!$D$5)</f>
        <v>0</v>
      </c>
      <c r="T184" s="99"/>
    </row>
    <row r="185" spans="1:21" ht="13.5" hidden="1" customHeight="1" thickBot="1" x14ac:dyDescent="0.25">
      <c r="B185" s="497"/>
      <c r="C185" s="260"/>
      <c r="D185" s="532"/>
      <c r="E185" s="533"/>
      <c r="F185" s="533"/>
      <c r="G185" s="1104"/>
      <c r="H185" s="1104"/>
      <c r="I185" s="496"/>
      <c r="J185" s="97"/>
      <c r="K185" s="28"/>
      <c r="L185" s="28"/>
      <c r="M185" s="28"/>
      <c r="N185" s="28"/>
      <c r="O185" s="98"/>
      <c r="P185" s="109"/>
      <c r="Q185" s="109"/>
      <c r="R185" s="109"/>
      <c r="S185" s="498">
        <f>+(E185*F185*G185)/(1-'OH&amp;P'!$D$5)</f>
        <v>0</v>
      </c>
      <c r="T185" s="99"/>
    </row>
    <row r="186" spans="1:21" ht="13.5" customHeight="1" thickTop="1" thickBot="1" x14ac:dyDescent="0.25">
      <c r="B186" s="497"/>
      <c r="C186" s="539" t="s">
        <v>398</v>
      </c>
      <c r="D186" s="499"/>
      <c r="E186" s="542" t="s">
        <v>400</v>
      </c>
      <c r="F186" s="500"/>
      <c r="G186" s="501"/>
      <c r="H186" s="501"/>
      <c r="I186" s="496"/>
      <c r="J186" s="97"/>
      <c r="K186" s="28"/>
      <c r="L186" s="28"/>
      <c r="M186" s="28"/>
      <c r="N186" s="28"/>
      <c r="O186" s="1106" t="s">
        <v>394</v>
      </c>
      <c r="P186" s="1106"/>
      <c r="Q186" s="1106"/>
      <c r="R186" s="1106"/>
      <c r="S186" s="510">
        <f>SUM(S184:S185)</f>
        <v>0</v>
      </c>
      <c r="T186" s="99"/>
    </row>
    <row r="187" spans="1:21" ht="3" customHeight="1" thickTop="1" x14ac:dyDescent="0.2">
      <c r="B187" s="1107"/>
      <c r="C187" s="1107"/>
      <c r="D187" s="517"/>
      <c r="E187" s="518"/>
      <c r="F187" s="518"/>
      <c r="G187" s="519"/>
      <c r="H187" s="519"/>
      <c r="I187" s="520"/>
      <c r="J187" s="521"/>
      <c r="K187" s="28"/>
      <c r="L187" s="28"/>
      <c r="M187" s="28"/>
      <c r="N187" s="28"/>
      <c r="O187" s="522"/>
      <c r="P187" s="523"/>
      <c r="Q187" s="523"/>
      <c r="R187" s="523"/>
      <c r="S187" s="524"/>
      <c r="T187" s="525"/>
    </row>
    <row r="188" spans="1:21" x14ac:dyDescent="0.2">
      <c r="B188" s="1110" t="s">
        <v>151</v>
      </c>
      <c r="C188" s="1110"/>
      <c r="D188" s="1108" t="s">
        <v>393</v>
      </c>
      <c r="E188" s="1108"/>
      <c r="F188" s="511" t="s">
        <v>20</v>
      </c>
      <c r="G188" s="512"/>
      <c r="H188" s="508"/>
      <c r="I188" s="515"/>
      <c r="J188" s="516"/>
      <c r="K188" s="28"/>
      <c r="L188" s="28"/>
      <c r="M188" s="28"/>
      <c r="N188" s="28"/>
      <c r="O188" s="545"/>
      <c r="P188" s="546"/>
      <c r="Q188" s="546"/>
      <c r="R188" s="546"/>
      <c r="S188" s="498">
        <f>IF(G188="yes",S181*Summary!$M$47,0)</f>
        <v>0</v>
      </c>
      <c r="T188" s="99"/>
    </row>
    <row r="189" spans="1:21" ht="10.5" customHeight="1" x14ac:dyDescent="0.2">
      <c r="B189" s="497"/>
      <c r="C189" s="1109" t="s">
        <v>169</v>
      </c>
      <c r="D189" s="1109"/>
      <c r="E189" s="513" t="s">
        <v>85</v>
      </c>
      <c r="F189" s="1105" t="s">
        <v>170</v>
      </c>
      <c r="G189" s="1105"/>
      <c r="H189" s="514" t="s">
        <v>395</v>
      </c>
      <c r="I189" s="496"/>
      <c r="J189" s="97"/>
      <c r="K189" s="28"/>
      <c r="L189" s="28"/>
      <c r="M189" s="28"/>
      <c r="N189" s="28"/>
      <c r="O189" s="98"/>
      <c r="P189" s="109"/>
      <c r="Q189" s="109"/>
      <c r="R189" s="109"/>
      <c r="S189" s="498"/>
      <c r="T189" s="99"/>
    </row>
    <row r="190" spans="1:21" ht="13.5" customHeight="1" thickBot="1" x14ac:dyDescent="0.25">
      <c r="B190" s="497"/>
      <c r="C190" s="1095"/>
      <c r="D190" s="1095"/>
      <c r="E190" s="530"/>
      <c r="F190" s="1096"/>
      <c r="G190" s="1096"/>
      <c r="H190" s="534"/>
      <c r="I190" s="496"/>
      <c r="J190" s="97"/>
      <c r="K190" s="28"/>
      <c r="L190" s="28"/>
      <c r="M190" s="28"/>
      <c r="N190" s="28"/>
      <c r="O190" s="98"/>
      <c r="P190" s="109"/>
      <c r="Q190" s="109"/>
      <c r="R190" s="109"/>
      <c r="S190" s="498">
        <f>IF(H190="s",(E190*F190)/(1-'OH&amp;P'!$E$5),0)+IF(H190="sc",(E190*F190)/(1-'OH&amp;P'!$F$5),0)</f>
        <v>0</v>
      </c>
      <c r="T190" s="99"/>
    </row>
    <row r="191" spans="1:21" ht="13.5" hidden="1" customHeight="1" thickBot="1" x14ac:dyDescent="0.25">
      <c r="B191" s="497"/>
      <c r="C191" s="1097"/>
      <c r="D191" s="1098"/>
      <c r="E191" s="532"/>
      <c r="F191" s="1104"/>
      <c r="G191" s="1104"/>
      <c r="H191" s="535"/>
      <c r="I191" s="496"/>
      <c r="J191" s="97"/>
      <c r="K191" s="28"/>
      <c r="L191" s="28"/>
      <c r="M191" s="28"/>
      <c r="N191" s="28"/>
      <c r="O191" s="98"/>
      <c r="P191" s="109"/>
      <c r="Q191" s="109"/>
      <c r="R191" s="109"/>
      <c r="S191" s="498">
        <f>IF(H191="s",(E191*F191)/(1-'OH&amp;P'!$E$5),0)+IF(H191="sc",(E191*F191)/(1-'OH&amp;P'!$F$5),0)</f>
        <v>0</v>
      </c>
      <c r="T191" s="99"/>
    </row>
    <row r="192" spans="1:21" ht="13.5" customHeight="1" thickTop="1" thickBot="1" x14ac:dyDescent="0.25">
      <c r="B192" s="497"/>
      <c r="C192" s="544" t="s">
        <v>399</v>
      </c>
      <c r="D192" s="509"/>
      <c r="E192" s="542" t="s">
        <v>401</v>
      </c>
      <c r="F192" s="501"/>
      <c r="G192" s="501"/>
      <c r="H192" s="501"/>
      <c r="I192" s="496"/>
      <c r="J192" s="97"/>
      <c r="K192" s="28"/>
      <c r="L192" s="28"/>
      <c r="M192" s="28"/>
      <c r="N192" s="28"/>
      <c r="O192" s="1106" t="s">
        <v>397</v>
      </c>
      <c r="P192" s="1106"/>
      <c r="Q192" s="1106"/>
      <c r="R192" s="1106"/>
      <c r="S192" s="510">
        <f>SUM(S188:S191)</f>
        <v>0</v>
      </c>
      <c r="T192" s="99"/>
    </row>
    <row r="193" spans="2:20" ht="13.5" customHeight="1" thickTop="1" x14ac:dyDescent="0.2">
      <c r="B193" s="497"/>
      <c r="C193" s="543"/>
      <c r="D193" s="509"/>
      <c r="E193" s="499"/>
      <c r="F193" s="501"/>
      <c r="G193" s="501"/>
      <c r="H193" s="501"/>
      <c r="I193" s="496"/>
      <c r="J193" s="97"/>
      <c r="K193" s="28"/>
      <c r="L193" s="28"/>
      <c r="M193" s="28"/>
      <c r="N193" s="28"/>
      <c r="O193" s="1111"/>
      <c r="P193" s="1111"/>
      <c r="Q193" s="540"/>
      <c r="R193" s="541" t="s">
        <v>171</v>
      </c>
      <c r="S193" s="107" t="str">
        <f>+U178</f>
        <v>Alt 10</v>
      </c>
      <c r="T193" s="107">
        <f>+S181+S186+S192</f>
        <v>0</v>
      </c>
    </row>
  </sheetData>
  <mergeCells count="181">
    <mergeCell ref="O192:R192"/>
    <mergeCell ref="O193:P193"/>
    <mergeCell ref="C189:D189"/>
    <mergeCell ref="F189:G189"/>
    <mergeCell ref="C190:D190"/>
    <mergeCell ref="F190:G190"/>
    <mergeCell ref="C191:D191"/>
    <mergeCell ref="F191:G191"/>
    <mergeCell ref="G185:H185"/>
    <mergeCell ref="O186:R186"/>
    <mergeCell ref="B187:C187"/>
    <mergeCell ref="B188:C188"/>
    <mergeCell ref="D188:E188"/>
    <mergeCell ref="O174:R174"/>
    <mergeCell ref="O175:P175"/>
    <mergeCell ref="B183:C183"/>
    <mergeCell ref="G183:H183"/>
    <mergeCell ref="G184:H184"/>
    <mergeCell ref="C171:D171"/>
    <mergeCell ref="F171:G171"/>
    <mergeCell ref="C172:D172"/>
    <mergeCell ref="F172:G172"/>
    <mergeCell ref="C173:D173"/>
    <mergeCell ref="F173:G173"/>
    <mergeCell ref="B177:F177"/>
    <mergeCell ref="G181:I181"/>
    <mergeCell ref="G167:H167"/>
    <mergeCell ref="O168:R168"/>
    <mergeCell ref="B169:C169"/>
    <mergeCell ref="B170:C170"/>
    <mergeCell ref="D170:E170"/>
    <mergeCell ref="O156:R156"/>
    <mergeCell ref="O157:P157"/>
    <mergeCell ref="B165:C165"/>
    <mergeCell ref="G165:H165"/>
    <mergeCell ref="G166:H166"/>
    <mergeCell ref="B159:F159"/>
    <mergeCell ref="G163:I163"/>
    <mergeCell ref="C153:D153"/>
    <mergeCell ref="F153:G153"/>
    <mergeCell ref="C154:D154"/>
    <mergeCell ref="F154:G154"/>
    <mergeCell ref="C155:D155"/>
    <mergeCell ref="F155:G155"/>
    <mergeCell ref="G149:H149"/>
    <mergeCell ref="O150:R150"/>
    <mergeCell ref="B151:C151"/>
    <mergeCell ref="B152:C152"/>
    <mergeCell ref="D152:E152"/>
    <mergeCell ref="O138:R138"/>
    <mergeCell ref="O139:P139"/>
    <mergeCell ref="B147:C147"/>
    <mergeCell ref="G147:H147"/>
    <mergeCell ref="G148:H148"/>
    <mergeCell ref="C135:D135"/>
    <mergeCell ref="F135:G135"/>
    <mergeCell ref="C136:D136"/>
    <mergeCell ref="F136:G136"/>
    <mergeCell ref="C137:D137"/>
    <mergeCell ref="F137:G137"/>
    <mergeCell ref="B141:F141"/>
    <mergeCell ref="G145:I145"/>
    <mergeCell ref="G130:H130"/>
    <mergeCell ref="G131:H131"/>
    <mergeCell ref="O132:R132"/>
    <mergeCell ref="B133:C133"/>
    <mergeCell ref="B134:C134"/>
    <mergeCell ref="D134:E134"/>
    <mergeCell ref="F119:G119"/>
    <mergeCell ref="O120:R120"/>
    <mergeCell ref="O121:P121"/>
    <mergeCell ref="B129:C129"/>
    <mergeCell ref="G129:H129"/>
    <mergeCell ref="B123:F123"/>
    <mergeCell ref="G127:I127"/>
    <mergeCell ref="O114:R114"/>
    <mergeCell ref="B115:C115"/>
    <mergeCell ref="B116:C116"/>
    <mergeCell ref="D116:E116"/>
    <mergeCell ref="C117:D117"/>
    <mergeCell ref="F117:G117"/>
    <mergeCell ref="O102:R102"/>
    <mergeCell ref="O103:P103"/>
    <mergeCell ref="B111:C111"/>
    <mergeCell ref="G111:H111"/>
    <mergeCell ref="G112:H112"/>
    <mergeCell ref="G109:I109"/>
    <mergeCell ref="G113:H113"/>
    <mergeCell ref="C99:D99"/>
    <mergeCell ref="F99:G99"/>
    <mergeCell ref="C100:D100"/>
    <mergeCell ref="F100:G100"/>
    <mergeCell ref="C101:D101"/>
    <mergeCell ref="F101:G101"/>
    <mergeCell ref="G94:H94"/>
    <mergeCell ref="G95:H95"/>
    <mergeCell ref="O96:R96"/>
    <mergeCell ref="B97:C97"/>
    <mergeCell ref="B98:C98"/>
    <mergeCell ref="D98:E98"/>
    <mergeCell ref="G72:H72"/>
    <mergeCell ref="B71:C71"/>
    <mergeCell ref="G71:H71"/>
    <mergeCell ref="G93:H93"/>
    <mergeCell ref="B93:C93"/>
    <mergeCell ref="O80:R80"/>
    <mergeCell ref="O81:P81"/>
    <mergeCell ref="C77:D77"/>
    <mergeCell ref="F77:G77"/>
    <mergeCell ref="C78:D78"/>
    <mergeCell ref="F78:G78"/>
    <mergeCell ref="C79:D79"/>
    <mergeCell ref="F79:G79"/>
    <mergeCell ref="G73:H73"/>
    <mergeCell ref="O74:R74"/>
    <mergeCell ref="B75:C75"/>
    <mergeCell ref="B76:C76"/>
    <mergeCell ref="D76:E76"/>
    <mergeCell ref="G53:H53"/>
    <mergeCell ref="C38:D38"/>
    <mergeCell ref="F38:G38"/>
    <mergeCell ref="C39:D39"/>
    <mergeCell ref="F39:G39"/>
    <mergeCell ref="C40:D40"/>
    <mergeCell ref="F40:G40"/>
    <mergeCell ref="O61:R61"/>
    <mergeCell ref="O62:P62"/>
    <mergeCell ref="C58:D58"/>
    <mergeCell ref="F58:G58"/>
    <mergeCell ref="C59:D59"/>
    <mergeCell ref="F59:G59"/>
    <mergeCell ref="C60:D60"/>
    <mergeCell ref="F60:G60"/>
    <mergeCell ref="G54:H54"/>
    <mergeCell ref="O55:R55"/>
    <mergeCell ref="B56:C56"/>
    <mergeCell ref="B57:C57"/>
    <mergeCell ref="D57:E57"/>
    <mergeCell ref="B36:C36"/>
    <mergeCell ref="B37:C37"/>
    <mergeCell ref="D37:E37"/>
    <mergeCell ref="B32:C32"/>
    <mergeCell ref="G32:H32"/>
    <mergeCell ref="O22:P22"/>
    <mergeCell ref="O41:R41"/>
    <mergeCell ref="O42:P42"/>
    <mergeCell ref="B52:C52"/>
    <mergeCell ref="G52:H52"/>
    <mergeCell ref="B16:C16"/>
    <mergeCell ref="D17:E17"/>
    <mergeCell ref="O15:R15"/>
    <mergeCell ref="C18:D18"/>
    <mergeCell ref="C19:D19"/>
    <mergeCell ref="B17:C17"/>
    <mergeCell ref="G33:H33"/>
    <mergeCell ref="G34:H34"/>
    <mergeCell ref="O35:R35"/>
    <mergeCell ref="C118:D118"/>
    <mergeCell ref="F118:G118"/>
    <mergeCell ref="C119:D119"/>
    <mergeCell ref="B105:F105"/>
    <mergeCell ref="A2:U2"/>
    <mergeCell ref="B4:F4"/>
    <mergeCell ref="G10:I10"/>
    <mergeCell ref="B24:F24"/>
    <mergeCell ref="G30:I30"/>
    <mergeCell ref="B44:F44"/>
    <mergeCell ref="B12:C12"/>
    <mergeCell ref="G12:H12"/>
    <mergeCell ref="G13:H13"/>
    <mergeCell ref="G14:H14"/>
    <mergeCell ref="G50:I50"/>
    <mergeCell ref="B64:F64"/>
    <mergeCell ref="G69:I69"/>
    <mergeCell ref="B83:F83"/>
    <mergeCell ref="G91:I91"/>
    <mergeCell ref="C20:D20"/>
    <mergeCell ref="F18:G18"/>
    <mergeCell ref="F19:G19"/>
    <mergeCell ref="F20:G20"/>
    <mergeCell ref="O21:R21"/>
  </mergeCells>
  <dataValidations count="5">
    <dataValidation type="list" allowBlank="1" showInputMessage="1" showErrorMessage="1" promptTitle="Shift Type" prompt="Select Work Week" sqref="H6:H8 H46:H48 H66:H67 H26:H28 H107 H125 H143 H161 H179">
      <formula1>ww</formula1>
    </dataValidation>
    <dataValidation type="list" allowBlank="1" showInputMessage="1" showErrorMessage="1" promptTitle="WW" prompt="Select Work Week" sqref="H9 H29 H49 H68 H90 H108 H126 H144 H162 H180">
      <formula1>ww</formula1>
    </dataValidation>
    <dataValidation type="list" allowBlank="1" showInputMessage="1" showErrorMessage="1" sqref="D46:D49 D26:D29 D107:D108 D125:D126 D143:D144 D161:D162 D179:D180 D66:D68 E26:E28 D6:D9 D90">
      <formula1>material</formula1>
    </dataValidation>
    <dataValidation type="list" allowBlank="1" showInputMessage="1" showErrorMessage="1" sqref="G17 G37 G57 G76 G98 G116 G134 G152 G170 G188">
      <formula1>logic</formula1>
    </dataValidation>
    <dataValidation type="list" allowBlank="1" showInputMessage="1" showErrorMessage="1" sqref="H19:H22 H39:H42 H59:H62 H78:H81 H100:H103 H118:H121 H136:H139 H172:H175 H190:H193 H154:H157">
      <formula1>ABL</formula1>
    </dataValidation>
  </dataValidations>
  <pageMargins left="0.75" right="0.75" top="1" bottom="1" header="0.5" footer="0.5"/>
  <pageSetup orientation="portrait" horizontalDpi="4294967292" verticalDpi="4294967292" r:id="rId1"/>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39"/>
  <sheetViews>
    <sheetView topLeftCell="A22" zoomScale="125" zoomScaleNormal="125" zoomScalePageLayoutView="125" workbookViewId="0">
      <selection activeCell="C28" sqref="C28:D28"/>
    </sheetView>
  </sheetViews>
  <sheetFormatPr baseColWidth="10" defaultColWidth="11.5" defaultRowHeight="15" x14ac:dyDescent="0.2"/>
  <cols>
    <col min="1" max="1" width="25" style="571" customWidth="1"/>
    <col min="2" max="3" width="6.83203125" style="571" customWidth="1"/>
    <col min="4" max="4" width="11.5" style="571"/>
    <col min="5" max="5" width="9.1640625" style="571" customWidth="1"/>
    <col min="6" max="6" width="11.5" style="571"/>
    <col min="7" max="7" width="17.83203125" style="571" customWidth="1"/>
    <col min="8" max="16384" width="11.5" style="571"/>
  </cols>
  <sheetData>
    <row r="1" spans="1:11" ht="23" x14ac:dyDescent="0.25">
      <c r="A1" s="1120" t="s">
        <v>182</v>
      </c>
      <c r="B1" s="1120"/>
      <c r="C1" s="1120"/>
      <c r="D1" s="1120"/>
      <c r="E1" s="1120"/>
      <c r="F1" s="1120"/>
      <c r="G1" s="1120"/>
      <c r="H1" s="570"/>
      <c r="I1" s="570"/>
      <c r="J1" s="570"/>
      <c r="K1" s="570"/>
    </row>
    <row r="2" spans="1:11" x14ac:dyDescent="0.2">
      <c r="A2" s="570"/>
      <c r="B2" s="570"/>
      <c r="C2" s="570"/>
      <c r="D2" s="570"/>
      <c r="E2" s="570"/>
      <c r="F2" s="570"/>
      <c r="G2" s="570"/>
      <c r="H2" s="570"/>
      <c r="I2" s="570"/>
      <c r="J2" s="570"/>
      <c r="K2" s="570"/>
    </row>
    <row r="3" spans="1:11" x14ac:dyDescent="0.2">
      <c r="A3" s="1130" t="s">
        <v>183</v>
      </c>
      <c r="B3" s="1130"/>
      <c r="C3" s="1130"/>
      <c r="D3" s="1130"/>
      <c r="E3" s="1130"/>
      <c r="F3" s="1130"/>
      <c r="G3" s="570"/>
      <c r="H3" s="570"/>
      <c r="I3" s="570"/>
      <c r="J3" s="570"/>
      <c r="K3" s="570"/>
    </row>
    <row r="4" spans="1:11" ht="29" customHeight="1" thickBot="1" x14ac:dyDescent="0.25">
      <c r="A4" s="724" t="s">
        <v>169</v>
      </c>
      <c r="B4" s="724" t="s">
        <v>62</v>
      </c>
      <c r="C4" s="724" t="s">
        <v>85</v>
      </c>
      <c r="D4" s="724" t="s">
        <v>19</v>
      </c>
      <c r="E4" s="725" t="s">
        <v>190</v>
      </c>
      <c r="F4" s="724" t="s">
        <v>171</v>
      </c>
      <c r="G4" s="726"/>
      <c r="H4" s="726"/>
      <c r="I4" s="570"/>
      <c r="J4" s="570"/>
      <c r="K4" s="570"/>
    </row>
    <row r="5" spans="1:11" x14ac:dyDescent="0.2">
      <c r="A5" s="727" t="s">
        <v>186</v>
      </c>
      <c r="B5" s="728"/>
      <c r="C5" s="729"/>
      <c r="D5" s="758">
        <f>+B5*'Job Info'!$B$13</f>
        <v>0</v>
      </c>
      <c r="E5" s="759">
        <f>IF(A5="sprayer",Data!$B$21,0)+IF(A5="p-w",Data!$B$22,0)+IF(A5="hvlp",Data!$B$23,0)+IF(A5="truck",Data!$B$24,0)+IF(A5="trailer",Data!$B$25,0)+IF(A5="compressor",Data!$B$26,0)</f>
        <v>400</v>
      </c>
      <c r="F5" s="760">
        <f>+((D5*E5)*C5)/(1-'OH&amp;P'!$D$5)</f>
        <v>0</v>
      </c>
      <c r="G5" s="570"/>
      <c r="H5" s="617"/>
      <c r="I5" s="570"/>
      <c r="J5" s="570"/>
      <c r="K5" s="570"/>
    </row>
    <row r="6" spans="1:11" x14ac:dyDescent="0.2">
      <c r="A6" s="730"/>
      <c r="B6" s="731"/>
      <c r="C6" s="732"/>
      <c r="D6" s="761">
        <f>+B6*'Job Info'!$B$13</f>
        <v>0</v>
      </c>
      <c r="E6" s="762">
        <f>IF(A6="sprayer",Data!$B$21,0)+IF(A6="p-w",Data!$B$22,0)+IF(A6="hvlp",Data!$B$23,0)+IF(A6="truck",Data!$B$24,0)+IF(A6="trailer",Data!$B$25,0)+IF(A6="compressor",Data!$B$26,0)</f>
        <v>0</v>
      </c>
      <c r="F6" s="763">
        <f>+((D6*E6)*C6)/(1-'OH&amp;P'!$D$5)</f>
        <v>0</v>
      </c>
      <c r="G6" s="570"/>
      <c r="H6" s="617"/>
      <c r="I6" s="570"/>
      <c r="J6" s="570"/>
      <c r="K6" s="570"/>
    </row>
    <row r="7" spans="1:11" x14ac:dyDescent="0.2">
      <c r="A7" s="730"/>
      <c r="B7" s="731"/>
      <c r="C7" s="732"/>
      <c r="D7" s="761">
        <f>+B7*'Job Info'!$B$13</f>
        <v>0</v>
      </c>
      <c r="E7" s="762">
        <f>IF(A7="sprayer",Data!$B$21,0)+IF(A7="p-w",Data!$B$22,0)+IF(A7="hvlp",Data!$B$23,0)+IF(A7="truck",Data!$B$24,0)+IF(A7="trailer",Data!$B$25,0)+IF(A7="compressor",Data!$B$26,0)</f>
        <v>0</v>
      </c>
      <c r="F7" s="763">
        <f>+((D7*E7)*C7)/(1-'OH&amp;P'!$D$5)</f>
        <v>0</v>
      </c>
      <c r="G7" s="570"/>
      <c r="H7" s="570"/>
      <c r="I7" s="570"/>
      <c r="J7" s="570"/>
      <c r="K7" s="570"/>
    </row>
    <row r="8" spans="1:11" x14ac:dyDescent="0.2">
      <c r="A8" s="730"/>
      <c r="B8" s="731"/>
      <c r="C8" s="732"/>
      <c r="D8" s="761">
        <f>+B8*'Job Info'!$B$13</f>
        <v>0</v>
      </c>
      <c r="E8" s="762">
        <f>IF(A8="sprayer",Data!$B$21,0)+IF(A8="p-w",Data!$B$22,0)+IF(A8="hvlp",Data!$B$23,0)+IF(A8="truck",Data!$B$24,0)+IF(A8="trailer",Data!$B$25,0)+IF(A8="compressor",Data!$B$26,0)</f>
        <v>0</v>
      </c>
      <c r="F8" s="763">
        <f>+((D8*E8)*C8)/(1-'OH&amp;P'!$D$5)</f>
        <v>0</v>
      </c>
      <c r="G8" s="570"/>
      <c r="H8" s="570"/>
      <c r="I8" s="570"/>
      <c r="J8" s="570"/>
      <c r="K8" s="570"/>
    </row>
    <row r="9" spans="1:11" x14ac:dyDescent="0.2">
      <c r="A9" s="730"/>
      <c r="B9" s="731"/>
      <c r="C9" s="732"/>
      <c r="D9" s="761">
        <f>+B9*'Job Info'!$B$13</f>
        <v>0</v>
      </c>
      <c r="E9" s="762">
        <f>IF(A9="sprayer",Data!$B$21,0)+IF(A9="p-w",Data!$B$22,0)+IF(A9="hvlp",Data!$B$23,0)+IF(A9="truck",Data!$B$24,0)+IF(A9="trailer",Data!$B$25,0)+IF(A9="compressor",Data!$B$26,0)</f>
        <v>0</v>
      </c>
      <c r="F9" s="763">
        <f>+((D9*E9)*C9)/(1-'OH&amp;P'!$D$5)</f>
        <v>0</v>
      </c>
      <c r="G9" s="570"/>
      <c r="H9" s="570"/>
      <c r="I9" s="570"/>
      <c r="J9" s="570"/>
      <c r="K9" s="570"/>
    </row>
    <row r="10" spans="1:11" x14ac:dyDescent="0.2">
      <c r="A10" s="733" t="s">
        <v>10</v>
      </c>
      <c r="B10" s="731"/>
      <c r="C10" s="732"/>
      <c r="D10" s="761">
        <f>+B10*'Job Info'!$B$13</f>
        <v>0</v>
      </c>
      <c r="E10" s="734"/>
      <c r="F10" s="763">
        <f>+((D10*E10)*C10)/(1-'OH&amp;P'!$D$5)</f>
        <v>0</v>
      </c>
      <c r="G10" s="570"/>
      <c r="H10" s="570"/>
      <c r="I10" s="570"/>
      <c r="J10" s="570"/>
      <c r="K10" s="570"/>
    </row>
    <row r="11" spans="1:11" ht="16" thickBot="1" x14ac:dyDescent="0.25">
      <c r="A11" s="735" t="s">
        <v>10</v>
      </c>
      <c r="B11" s="736"/>
      <c r="C11" s="737"/>
      <c r="D11" s="764">
        <f>+B11*'Job Info'!$B$13</f>
        <v>0</v>
      </c>
      <c r="E11" s="738"/>
      <c r="F11" s="763">
        <f>+((D11*E11)*C11)/(1-'OH&amp;P'!$D$5)</f>
        <v>0</v>
      </c>
      <c r="G11" s="570"/>
      <c r="H11" s="570"/>
      <c r="I11" s="570"/>
      <c r="J11" s="570"/>
      <c r="K11" s="570"/>
    </row>
    <row r="12" spans="1:11" x14ac:dyDescent="0.2">
      <c r="A12" s="1119" t="s">
        <v>191</v>
      </c>
      <c r="B12" s="1119"/>
      <c r="C12" s="1119"/>
      <c r="D12" s="1119"/>
      <c r="E12" s="739"/>
      <c r="F12" s="765">
        <f>SUM(F5:F11)</f>
        <v>0</v>
      </c>
      <c r="G12" s="570"/>
      <c r="H12" s="570"/>
      <c r="I12" s="570"/>
      <c r="J12" s="570"/>
      <c r="K12" s="570"/>
    </row>
    <row r="13" spans="1:11" x14ac:dyDescent="0.2">
      <c r="A13" s="570"/>
      <c r="B13" s="570"/>
      <c r="C13" s="570"/>
      <c r="D13" s="570"/>
      <c r="E13" s="570"/>
      <c r="F13" s="570"/>
      <c r="G13" s="570"/>
      <c r="H13" s="570"/>
      <c r="I13" s="570"/>
      <c r="J13" s="570"/>
      <c r="K13" s="570"/>
    </row>
    <row r="14" spans="1:11" x14ac:dyDescent="0.2">
      <c r="A14" s="570"/>
      <c r="B14" s="570"/>
      <c r="C14" s="570"/>
      <c r="D14" s="570"/>
      <c r="E14" s="570"/>
      <c r="F14" s="570"/>
      <c r="G14" s="570"/>
      <c r="H14" s="570"/>
      <c r="I14" s="570"/>
      <c r="J14" s="570"/>
      <c r="K14" s="570"/>
    </row>
    <row r="15" spans="1:11" x14ac:dyDescent="0.2">
      <c r="A15" s="1130" t="s">
        <v>192</v>
      </c>
      <c r="B15" s="1130"/>
      <c r="C15" s="1130"/>
      <c r="D15" s="1130"/>
      <c r="E15" s="1130"/>
      <c r="F15" s="1130"/>
      <c r="G15" s="1130"/>
      <c r="H15" s="570"/>
      <c r="I15" s="570"/>
      <c r="J15" s="570"/>
      <c r="K15" s="570"/>
    </row>
    <row r="16" spans="1:11" ht="25" thickBot="1" x14ac:dyDescent="0.25">
      <c r="A16" s="724" t="s">
        <v>169</v>
      </c>
      <c r="B16" s="724" t="s">
        <v>62</v>
      </c>
      <c r="C16" s="724" t="s">
        <v>85</v>
      </c>
      <c r="D16" s="724" t="s">
        <v>19</v>
      </c>
      <c r="E16" s="725" t="s">
        <v>190</v>
      </c>
      <c r="F16" s="724" t="s">
        <v>171</v>
      </c>
      <c r="G16" s="740" t="s">
        <v>193</v>
      </c>
      <c r="H16" s="570"/>
      <c r="I16" s="570"/>
      <c r="J16" s="570"/>
      <c r="K16" s="570"/>
    </row>
    <row r="17" spans="1:11" x14ac:dyDescent="0.2">
      <c r="A17" s="741" t="s">
        <v>1025</v>
      </c>
      <c r="B17" s="742">
        <v>1</v>
      </c>
      <c r="C17" s="743">
        <v>2</v>
      </c>
      <c r="D17" s="758">
        <f>+B17*'Job Info'!$B$13</f>
        <v>14.633333333333333</v>
      </c>
      <c r="E17" s="744">
        <v>500</v>
      </c>
      <c r="F17" s="760">
        <f>+((D17*E17)*C17)/(1-'OH&amp;P'!$D$5)</f>
        <v>16214.219759926131</v>
      </c>
      <c r="G17" s="745"/>
      <c r="H17" s="570"/>
      <c r="I17" s="570"/>
      <c r="J17" s="570"/>
      <c r="K17" s="570"/>
    </row>
    <row r="18" spans="1:11" x14ac:dyDescent="0.2">
      <c r="A18" s="733"/>
      <c r="B18" s="582"/>
      <c r="C18" s="746"/>
      <c r="D18" s="761">
        <f>+B18*'Job Info'!$B$13</f>
        <v>0</v>
      </c>
      <c r="E18" s="747"/>
      <c r="F18" s="766">
        <f>+((D18*E18)*C18)/(1-'OH&amp;P'!$D$5)</f>
        <v>0</v>
      </c>
      <c r="G18" s="748"/>
      <c r="H18" s="570"/>
      <c r="I18" s="570"/>
      <c r="J18" s="570"/>
      <c r="K18" s="570"/>
    </row>
    <row r="19" spans="1:11" x14ac:dyDescent="0.2">
      <c r="A19" s="733"/>
      <c r="B19" s="582"/>
      <c r="C19" s="746"/>
      <c r="D19" s="761">
        <f>+B19*'Job Info'!$B$13</f>
        <v>0</v>
      </c>
      <c r="E19" s="747"/>
      <c r="F19" s="766">
        <f>+((D19*E19)*C19)/(1-'OH&amp;P'!$D$5)</f>
        <v>0</v>
      </c>
      <c r="G19" s="748"/>
      <c r="H19" s="570"/>
      <c r="I19" s="570"/>
      <c r="J19" s="570"/>
      <c r="K19" s="570"/>
    </row>
    <row r="20" spans="1:11" x14ac:dyDescent="0.2">
      <c r="A20" s="733"/>
      <c r="B20" s="582"/>
      <c r="C20" s="746"/>
      <c r="D20" s="761">
        <f>+B20*'Job Info'!$B$13</f>
        <v>0</v>
      </c>
      <c r="E20" s="747"/>
      <c r="F20" s="766">
        <f>+((D20*E20)*C20)/(1-'OH&amp;P'!$D$5)</f>
        <v>0</v>
      </c>
      <c r="G20" s="748"/>
      <c r="H20" s="570"/>
      <c r="I20" s="570"/>
      <c r="J20" s="570"/>
      <c r="K20" s="570"/>
    </row>
    <row r="21" spans="1:11" x14ac:dyDescent="0.2">
      <c r="A21" s="733"/>
      <c r="B21" s="582"/>
      <c r="C21" s="746"/>
      <c r="D21" s="761">
        <f>+B21*'Job Info'!$B$13</f>
        <v>0</v>
      </c>
      <c r="E21" s="747"/>
      <c r="F21" s="766">
        <f>+((D21*E21)*C21)/(1-'OH&amp;P'!$D$5)</f>
        <v>0</v>
      </c>
      <c r="G21" s="748"/>
      <c r="H21" s="570"/>
      <c r="I21" s="570"/>
      <c r="J21" s="570"/>
      <c r="K21" s="570"/>
    </row>
    <row r="22" spans="1:11" ht="16" thickBot="1" x14ac:dyDescent="0.25">
      <c r="A22" s="735"/>
      <c r="B22" s="749"/>
      <c r="C22" s="750"/>
      <c r="D22" s="764">
        <f>+B22*'Job Info'!$B$13</f>
        <v>0</v>
      </c>
      <c r="E22" s="751"/>
      <c r="F22" s="767">
        <f>+((D22*E22)*C22)/(1-'OH&amp;P'!$D$5)</f>
        <v>0</v>
      </c>
      <c r="G22" s="752"/>
      <c r="H22" s="570"/>
      <c r="I22" s="570"/>
      <c r="J22" s="570"/>
      <c r="K22" s="570"/>
    </row>
    <row r="23" spans="1:11" x14ac:dyDescent="0.2">
      <c r="A23" s="1119" t="s">
        <v>194</v>
      </c>
      <c r="B23" s="1119"/>
      <c r="C23" s="1119"/>
      <c r="D23" s="1119"/>
      <c r="E23" s="739"/>
      <c r="F23" s="765">
        <f>SUM(F17:F22)</f>
        <v>16214.219759926131</v>
      </c>
      <c r="G23" s="739"/>
      <c r="H23" s="570"/>
      <c r="I23" s="570"/>
      <c r="J23" s="570"/>
      <c r="K23" s="570"/>
    </row>
    <row r="24" spans="1:11" x14ac:dyDescent="0.2">
      <c r="A24" s="570"/>
      <c r="B24" s="570"/>
      <c r="C24" s="570"/>
      <c r="D24" s="570"/>
      <c r="E24" s="570"/>
      <c r="F24" s="570"/>
      <c r="G24" s="570"/>
      <c r="H24" s="570"/>
      <c r="I24" s="570"/>
      <c r="J24" s="570"/>
      <c r="K24" s="570"/>
    </row>
    <row r="25" spans="1:11" x14ac:dyDescent="0.2">
      <c r="A25" s="570"/>
      <c r="B25" s="570"/>
      <c r="C25" s="570"/>
      <c r="D25" s="570"/>
      <c r="E25" s="570"/>
      <c r="F25" s="570"/>
      <c r="G25" s="570"/>
      <c r="H25" s="570"/>
      <c r="I25" s="570"/>
      <c r="J25" s="570"/>
      <c r="K25" s="570"/>
    </row>
    <row r="26" spans="1:11" x14ac:dyDescent="0.2">
      <c r="A26" s="1130" t="s">
        <v>195</v>
      </c>
      <c r="B26" s="1130"/>
      <c r="C26" s="1130"/>
      <c r="D26" s="1130"/>
      <c r="E26" s="1130"/>
      <c r="F26" s="1130"/>
      <c r="G26" s="1130"/>
      <c r="H26" s="570"/>
      <c r="I26" s="570"/>
      <c r="J26" s="570"/>
      <c r="K26" s="570"/>
    </row>
    <row r="27" spans="1:11" ht="30" customHeight="1" thickBot="1" x14ac:dyDescent="0.25">
      <c r="A27" s="724" t="s">
        <v>169</v>
      </c>
      <c r="B27" s="753" t="s">
        <v>196</v>
      </c>
      <c r="C27" s="1112" t="s">
        <v>197</v>
      </c>
      <c r="D27" s="1112"/>
      <c r="E27" s="1123" t="s">
        <v>171</v>
      </c>
      <c r="F27" s="1123"/>
      <c r="G27" s="740" t="s">
        <v>193</v>
      </c>
      <c r="H27" s="570"/>
      <c r="I27" s="570"/>
      <c r="J27" s="570"/>
      <c r="K27" s="570"/>
    </row>
    <row r="28" spans="1:11" x14ac:dyDescent="0.2">
      <c r="A28" s="741" t="s">
        <v>1026</v>
      </c>
      <c r="B28" s="742">
        <v>1</v>
      </c>
      <c r="C28" s="1113">
        <v>6500</v>
      </c>
      <c r="D28" s="1114"/>
      <c r="E28" s="1124">
        <f>+(C28*B28)/(1-'OH&amp;P'!$D$5)</f>
        <v>7202.2160664819949</v>
      </c>
      <c r="F28" s="1125"/>
      <c r="G28" s="754"/>
      <c r="H28" s="617"/>
      <c r="I28" s="570"/>
      <c r="J28" s="570"/>
      <c r="K28" s="570"/>
    </row>
    <row r="29" spans="1:11" x14ac:dyDescent="0.2">
      <c r="A29" s="733"/>
      <c r="B29" s="582"/>
      <c r="C29" s="1115"/>
      <c r="D29" s="1116"/>
      <c r="E29" s="1126">
        <f>+(C29*B29)/(1-'OH&amp;P'!$D$5)</f>
        <v>0</v>
      </c>
      <c r="F29" s="1127"/>
      <c r="G29" s="755"/>
      <c r="H29" s="570"/>
      <c r="I29" s="570"/>
      <c r="J29" s="570"/>
      <c r="K29" s="570"/>
    </row>
    <row r="30" spans="1:11" x14ac:dyDescent="0.2">
      <c r="A30" s="733"/>
      <c r="B30" s="582"/>
      <c r="C30" s="1115"/>
      <c r="D30" s="1116"/>
      <c r="E30" s="1126">
        <f>+(C30*B30)/(1-'OH&amp;P'!$D$5)</f>
        <v>0</v>
      </c>
      <c r="F30" s="1127"/>
      <c r="G30" s="755"/>
      <c r="H30" s="570"/>
      <c r="I30" s="570"/>
      <c r="J30" s="570"/>
      <c r="K30" s="570"/>
    </row>
    <row r="31" spans="1:11" ht="16" thickBot="1" x14ac:dyDescent="0.25">
      <c r="A31" s="735"/>
      <c r="B31" s="749"/>
      <c r="C31" s="1121"/>
      <c r="D31" s="1122"/>
      <c r="E31" s="1128">
        <f>+(C31*B31)/(1-'OH&amp;P'!$D$5)</f>
        <v>0</v>
      </c>
      <c r="F31" s="1129"/>
      <c r="G31" s="756"/>
      <c r="H31" s="570"/>
      <c r="I31" s="570"/>
      <c r="J31" s="570"/>
      <c r="K31" s="570"/>
    </row>
    <row r="32" spans="1:11" x14ac:dyDescent="0.2">
      <c r="A32" s="1119" t="s">
        <v>233</v>
      </c>
      <c r="B32" s="1119"/>
      <c r="C32" s="1119"/>
      <c r="D32" s="1119"/>
      <c r="E32" s="1118">
        <f>SUM(E28:F31)</f>
        <v>7202.2160664819949</v>
      </c>
      <c r="F32" s="1118"/>
      <c r="G32" s="739"/>
      <c r="H32" s="570"/>
      <c r="I32" s="570"/>
      <c r="J32" s="570"/>
      <c r="K32" s="570"/>
    </row>
    <row r="33" spans="1:11" x14ac:dyDescent="0.2">
      <c r="A33" s="570"/>
      <c r="B33" s="570"/>
      <c r="C33" s="570"/>
      <c r="D33" s="570"/>
      <c r="E33" s="570"/>
      <c r="F33" s="570"/>
      <c r="G33" s="570"/>
      <c r="H33" s="570"/>
      <c r="I33" s="570"/>
      <c r="J33" s="570"/>
      <c r="K33" s="570"/>
    </row>
    <row r="34" spans="1:11" ht="17" x14ac:dyDescent="0.25">
      <c r="A34" s="1117" t="s">
        <v>260</v>
      </c>
      <c r="B34" s="1117"/>
      <c r="C34" s="1117"/>
      <c r="D34" s="1117"/>
      <c r="E34" s="757"/>
      <c r="F34" s="757"/>
      <c r="G34" s="768">
        <f>+F12+F23+E32</f>
        <v>23416.435826408124</v>
      </c>
      <c r="H34" s="570"/>
      <c r="I34" s="570"/>
      <c r="J34" s="570"/>
      <c r="K34" s="570"/>
    </row>
    <row r="35" spans="1:11" x14ac:dyDescent="0.2">
      <c r="A35" s="570"/>
      <c r="B35" s="570"/>
      <c r="C35" s="570"/>
      <c r="D35" s="570"/>
      <c r="E35" s="570"/>
      <c r="F35" s="570"/>
      <c r="G35" s="570"/>
      <c r="H35" s="570"/>
      <c r="I35" s="570"/>
      <c r="J35" s="570"/>
      <c r="K35" s="570"/>
    </row>
    <row r="36" spans="1:11" x14ac:dyDescent="0.2">
      <c r="A36" s="570"/>
      <c r="B36" s="570"/>
      <c r="C36" s="570"/>
      <c r="D36" s="570"/>
      <c r="E36" s="570"/>
      <c r="F36" s="570"/>
      <c r="G36" s="570"/>
      <c r="H36" s="570"/>
      <c r="I36" s="570"/>
      <c r="J36" s="570"/>
      <c r="K36" s="570"/>
    </row>
    <row r="37" spans="1:11" x14ac:dyDescent="0.2">
      <c r="A37" s="570"/>
      <c r="B37" s="570"/>
      <c r="C37" s="570"/>
      <c r="D37" s="570"/>
      <c r="E37" s="570"/>
      <c r="F37" s="570"/>
      <c r="G37" s="570"/>
      <c r="H37" s="570"/>
      <c r="I37" s="570"/>
      <c r="J37" s="570"/>
      <c r="K37" s="570"/>
    </row>
    <row r="38" spans="1:11" x14ac:dyDescent="0.2">
      <c r="A38" s="570"/>
      <c r="B38" s="570"/>
      <c r="C38" s="570"/>
      <c r="D38" s="570"/>
      <c r="E38" s="570"/>
      <c r="F38" s="570"/>
      <c r="G38" s="570"/>
      <c r="H38" s="570"/>
      <c r="I38" s="570"/>
      <c r="J38" s="570"/>
      <c r="K38" s="570"/>
    </row>
    <row r="39" spans="1:11" x14ac:dyDescent="0.2">
      <c r="A39" s="570"/>
      <c r="B39" s="570"/>
      <c r="C39" s="570"/>
      <c r="D39" s="570"/>
      <c r="E39" s="570"/>
      <c r="F39" s="570"/>
      <c r="G39" s="570"/>
      <c r="H39" s="570"/>
      <c r="I39" s="570"/>
      <c r="J39" s="570"/>
      <c r="K39" s="570"/>
    </row>
  </sheetData>
  <sheetProtection password="CC70" sheet="1" objects="1" scenarios="1"/>
  <mergeCells count="19">
    <mergeCell ref="A1:G1"/>
    <mergeCell ref="C30:D30"/>
    <mergeCell ref="C31:D31"/>
    <mergeCell ref="E27:F27"/>
    <mergeCell ref="E28:F28"/>
    <mergeCell ref="E29:F29"/>
    <mergeCell ref="E30:F30"/>
    <mergeCell ref="E31:F31"/>
    <mergeCell ref="A12:D12"/>
    <mergeCell ref="A15:G15"/>
    <mergeCell ref="A23:D23"/>
    <mergeCell ref="A3:F3"/>
    <mergeCell ref="A26:G26"/>
    <mergeCell ref="C27:D27"/>
    <mergeCell ref="C28:D28"/>
    <mergeCell ref="C29:D29"/>
    <mergeCell ref="A34:D34"/>
    <mergeCell ref="E32:F32"/>
    <mergeCell ref="A32:D32"/>
  </mergeCells>
  <dataValidations count="1">
    <dataValidation type="list" allowBlank="1" showInputMessage="1" showErrorMessage="1" sqref="A5:A9">
      <formula1>coe</formula1>
    </dataValidation>
  </dataValidations>
  <pageMargins left="0.75" right="0.75" top="1" bottom="1" header="0.5" footer="0.5"/>
  <pageSetup orientation="portrait" horizontalDpi="4294967292" verticalDpi="429496729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00B050"/>
  </sheetPr>
  <dimension ref="A1:X65"/>
  <sheetViews>
    <sheetView topLeftCell="A40" zoomScale="125" zoomScaleNormal="125" zoomScalePageLayoutView="125" workbookViewId="0">
      <selection activeCell="H47" sqref="H47"/>
    </sheetView>
  </sheetViews>
  <sheetFormatPr baseColWidth="10" defaultColWidth="8.83203125" defaultRowHeight="15" x14ac:dyDescent="0.2"/>
  <cols>
    <col min="1" max="1" width="23.1640625" style="571" customWidth="1"/>
    <col min="2" max="2" width="7" style="571" customWidth="1"/>
    <col min="3" max="3" width="11.83203125" style="571" customWidth="1"/>
    <col min="4" max="4" width="9.5" style="571" customWidth="1"/>
    <col min="5" max="5" width="12.83203125" style="571" customWidth="1"/>
    <col min="6" max="6" width="5.6640625" style="571" customWidth="1"/>
    <col min="7" max="16384" width="8.83203125" style="571"/>
  </cols>
  <sheetData>
    <row r="1" spans="1:24" ht="17" x14ac:dyDescent="0.25">
      <c r="A1" s="1135" t="s">
        <v>156</v>
      </c>
      <c r="B1" s="1135"/>
      <c r="C1" s="1135"/>
      <c r="D1" s="1135"/>
      <c r="E1" s="1135"/>
    </row>
    <row r="2" spans="1:24" x14ac:dyDescent="0.2">
      <c r="A2" s="570"/>
      <c r="B2" s="570"/>
      <c r="C2" s="570"/>
      <c r="D2" s="570"/>
      <c r="E2" s="570"/>
      <c r="F2" s="570"/>
      <c r="G2" s="570"/>
      <c r="H2" s="570"/>
      <c r="I2" s="570"/>
      <c r="J2" s="570"/>
      <c r="K2" s="570"/>
      <c r="L2" s="570"/>
      <c r="M2" s="570"/>
      <c r="N2" s="570"/>
      <c r="O2" s="570"/>
      <c r="P2" s="570"/>
      <c r="Q2" s="570"/>
      <c r="R2" s="570"/>
      <c r="S2" s="570"/>
      <c r="T2" s="570"/>
      <c r="U2" s="570"/>
      <c r="V2" s="570"/>
      <c r="W2" s="570"/>
      <c r="X2" s="570"/>
    </row>
    <row r="3" spans="1:24" x14ac:dyDescent="0.2">
      <c r="A3" s="1138" t="s">
        <v>3</v>
      </c>
      <c r="B3" s="1138"/>
      <c r="C3" s="1138"/>
      <c r="D3" s="769"/>
      <c r="E3" s="570"/>
      <c r="F3" s="570"/>
      <c r="G3" s="570"/>
      <c r="H3" s="570"/>
      <c r="I3" s="570"/>
      <c r="J3" s="570"/>
      <c r="K3" s="570"/>
      <c r="L3" s="570"/>
      <c r="M3" s="570"/>
      <c r="N3" s="570"/>
      <c r="O3" s="570"/>
      <c r="P3" s="570"/>
      <c r="Q3" s="570"/>
      <c r="R3" s="570"/>
      <c r="S3" s="570"/>
      <c r="T3" s="570"/>
      <c r="U3" s="570"/>
      <c r="V3" s="570"/>
      <c r="W3" s="570"/>
      <c r="X3" s="570"/>
    </row>
    <row r="4" spans="1:24" ht="31.5" customHeight="1" thickBot="1" x14ac:dyDescent="0.25">
      <c r="A4" s="770"/>
      <c r="B4" s="611" t="s">
        <v>7</v>
      </c>
      <c r="C4" s="611" t="s">
        <v>8</v>
      </c>
      <c r="D4" s="771"/>
      <c r="E4" s="570"/>
      <c r="F4" s="570"/>
      <c r="G4" s="570"/>
      <c r="H4" s="570"/>
      <c r="I4" s="570"/>
      <c r="J4" s="570"/>
      <c r="K4" s="570"/>
      <c r="L4" s="570"/>
      <c r="M4" s="570"/>
      <c r="N4" s="570"/>
      <c r="O4" s="570"/>
      <c r="P4" s="570"/>
      <c r="Q4" s="570"/>
      <c r="R4" s="570"/>
      <c r="S4" s="570"/>
      <c r="T4" s="570"/>
      <c r="U4" s="570"/>
      <c r="V4" s="570"/>
      <c r="W4" s="570"/>
      <c r="X4" s="570"/>
    </row>
    <row r="5" spans="1:24" x14ac:dyDescent="0.2">
      <c r="A5" s="772" t="s">
        <v>17</v>
      </c>
      <c r="B5" s="773">
        <v>8</v>
      </c>
      <c r="C5" s="815">
        <f>(+B5*'Labor Calc'!$E$30)/(1-'OH&amp;P'!$E$5)</f>
        <v>391.20467836257319</v>
      </c>
      <c r="D5" s="774"/>
      <c r="E5" s="570"/>
      <c r="F5" s="617"/>
      <c r="G5" s="617"/>
      <c r="H5" s="617"/>
      <c r="I5" s="617"/>
      <c r="J5" s="570"/>
      <c r="K5" s="775"/>
      <c r="L5" s="570"/>
      <c r="M5" s="570"/>
      <c r="N5" s="570"/>
      <c r="O5" s="570"/>
      <c r="P5" s="570"/>
      <c r="Q5" s="570"/>
      <c r="R5" s="570"/>
      <c r="S5" s="570"/>
      <c r="T5" s="570"/>
      <c r="U5" s="570"/>
      <c r="V5" s="570"/>
      <c r="W5" s="570"/>
      <c r="X5" s="570"/>
    </row>
    <row r="6" spans="1:24" x14ac:dyDescent="0.2">
      <c r="A6" s="776" t="s">
        <v>4</v>
      </c>
      <c r="B6" s="777">
        <v>40</v>
      </c>
      <c r="C6" s="816">
        <f>(+B6*'Labor Calc'!$E$30)/(1-'OH&amp;P'!$E$5)</f>
        <v>1956.0233918128658</v>
      </c>
      <c r="D6" s="774"/>
      <c r="E6" s="570"/>
      <c r="F6" s="617"/>
      <c r="G6" s="617"/>
      <c r="H6" s="617"/>
      <c r="I6" s="617"/>
      <c r="J6" s="570"/>
      <c r="K6" s="775"/>
      <c r="L6" s="570"/>
      <c r="M6" s="570"/>
      <c r="N6" s="570"/>
      <c r="O6" s="570"/>
      <c r="P6" s="570"/>
      <c r="Q6" s="570"/>
      <c r="R6" s="570"/>
      <c r="S6" s="570"/>
      <c r="T6" s="570"/>
      <c r="U6" s="570"/>
      <c r="V6" s="570"/>
      <c r="W6" s="570"/>
      <c r="X6" s="570"/>
    </row>
    <row r="7" spans="1:24" x14ac:dyDescent="0.2">
      <c r="A7" s="778" t="s">
        <v>5</v>
      </c>
      <c r="B7" s="581">
        <v>16</v>
      </c>
      <c r="C7" s="816">
        <f>(+B7*'Labor Calc'!$E$30)/(1-'OH&amp;P'!$E$5)</f>
        <v>782.40935672514638</v>
      </c>
      <c r="D7" s="774"/>
      <c r="E7" s="570"/>
      <c r="F7" s="617"/>
      <c r="G7" s="617"/>
      <c r="H7" s="617"/>
      <c r="I7" s="617"/>
      <c r="J7" s="570"/>
      <c r="K7" s="570"/>
      <c r="L7" s="570"/>
      <c r="M7" s="570"/>
      <c r="N7" s="570"/>
      <c r="O7" s="570"/>
      <c r="P7" s="570"/>
      <c r="Q7" s="570"/>
      <c r="R7" s="570"/>
      <c r="S7" s="570"/>
      <c r="T7" s="570"/>
      <c r="U7" s="570"/>
      <c r="V7" s="570"/>
      <c r="W7" s="570"/>
      <c r="X7" s="570"/>
    </row>
    <row r="8" spans="1:24" x14ac:dyDescent="0.2">
      <c r="A8" s="779" t="s">
        <v>6</v>
      </c>
      <c r="B8" s="591">
        <v>40</v>
      </c>
      <c r="C8" s="816">
        <f>(+B8*'Labor Calc'!$E$30)/(1-'OH&amp;P'!$E$5)</f>
        <v>1956.0233918128658</v>
      </c>
      <c r="D8" s="774"/>
      <c r="E8" s="570"/>
      <c r="F8" s="617"/>
      <c r="G8" s="617"/>
      <c r="H8" s="617"/>
      <c r="I8" s="617"/>
      <c r="J8" s="570"/>
      <c r="K8" s="570"/>
      <c r="L8" s="570"/>
      <c r="M8" s="570"/>
      <c r="N8" s="570"/>
      <c r="O8" s="570"/>
      <c r="P8" s="570"/>
      <c r="Q8" s="570"/>
      <c r="R8" s="570"/>
      <c r="S8" s="570"/>
      <c r="T8" s="570"/>
      <c r="U8" s="570"/>
      <c r="V8" s="570"/>
      <c r="W8" s="570"/>
      <c r="X8" s="570"/>
    </row>
    <row r="9" spans="1:24" x14ac:dyDescent="0.2">
      <c r="A9" s="780" t="s">
        <v>10</v>
      </c>
      <c r="B9" s="581"/>
      <c r="C9" s="816">
        <f>(+B9*'Labor Calc'!$E$30)/(1-'OH&amp;P'!$E$5)</f>
        <v>0</v>
      </c>
      <c r="D9" s="774"/>
      <c r="E9" s="570"/>
      <c r="F9" s="617"/>
      <c r="G9" s="617"/>
      <c r="H9" s="617"/>
      <c r="I9" s="617"/>
      <c r="J9" s="570"/>
      <c r="K9" s="570"/>
      <c r="L9" s="570"/>
      <c r="M9" s="570"/>
      <c r="N9" s="570"/>
      <c r="O9" s="570"/>
      <c r="P9" s="570"/>
      <c r="Q9" s="570"/>
      <c r="R9" s="570"/>
      <c r="S9" s="570"/>
      <c r="T9" s="570"/>
      <c r="U9" s="570"/>
      <c r="V9" s="570"/>
      <c r="W9" s="570"/>
      <c r="X9" s="570"/>
    </row>
    <row r="10" spans="1:24" ht="16" thickBot="1" x14ac:dyDescent="0.25">
      <c r="A10" s="781" t="s">
        <v>10</v>
      </c>
      <c r="B10" s="782"/>
      <c r="C10" s="817">
        <f>(+B10*'Labor Calc'!$E$30)/(1-'OH&amp;P'!$E$5)</f>
        <v>0</v>
      </c>
      <c r="D10" s="774"/>
      <c r="E10" s="570"/>
      <c r="F10" s="617"/>
      <c r="G10" s="617"/>
      <c r="H10" s="617"/>
      <c r="I10" s="617"/>
      <c r="J10" s="570"/>
      <c r="K10" s="570"/>
      <c r="L10" s="570"/>
      <c r="M10" s="570"/>
      <c r="N10" s="570"/>
      <c r="O10" s="570"/>
      <c r="P10" s="570"/>
      <c r="Q10" s="570"/>
      <c r="R10" s="570"/>
      <c r="S10" s="570"/>
      <c r="T10" s="570"/>
      <c r="U10" s="570"/>
      <c r="V10" s="570"/>
      <c r="W10" s="570"/>
      <c r="X10" s="570"/>
    </row>
    <row r="11" spans="1:24" x14ac:dyDescent="0.2">
      <c r="A11" s="1139" t="s">
        <v>9</v>
      </c>
      <c r="B11" s="1139"/>
      <c r="C11" s="818">
        <f>SUM(C5:C10)</f>
        <v>5085.6608187134516</v>
      </c>
      <c r="D11" s="783"/>
      <c r="E11" s="570"/>
      <c r="F11" s="617"/>
      <c r="G11" s="617"/>
      <c r="H11" s="617"/>
      <c r="I11" s="617"/>
      <c r="J11" s="570"/>
      <c r="K11" s="570"/>
      <c r="L11" s="570"/>
      <c r="M11" s="570"/>
      <c r="N11" s="570"/>
      <c r="O11" s="570"/>
      <c r="P11" s="570"/>
      <c r="Q11" s="570"/>
      <c r="R11" s="570"/>
      <c r="S11" s="570"/>
      <c r="T11" s="570"/>
      <c r="U11" s="570"/>
      <c r="V11" s="570"/>
      <c r="W11" s="570"/>
      <c r="X11" s="570"/>
    </row>
    <row r="12" spans="1:24" x14ac:dyDescent="0.2">
      <c r="A12" s="784"/>
      <c r="B12" s="784"/>
      <c r="C12" s="783"/>
      <c r="D12" s="783"/>
      <c r="E12" s="570"/>
      <c r="F12" s="617"/>
      <c r="G12" s="617"/>
      <c r="H12" s="617"/>
      <c r="I12" s="617"/>
      <c r="J12" s="570"/>
      <c r="K12" s="570"/>
      <c r="L12" s="570"/>
      <c r="M12" s="570"/>
      <c r="N12" s="570"/>
      <c r="O12" s="570"/>
      <c r="P12" s="570"/>
      <c r="Q12" s="570"/>
      <c r="R12" s="570"/>
      <c r="S12" s="570"/>
      <c r="T12" s="570"/>
      <c r="U12" s="570"/>
      <c r="V12" s="570"/>
      <c r="W12" s="570"/>
      <c r="X12" s="570"/>
    </row>
    <row r="13" spans="1:24" x14ac:dyDescent="0.2">
      <c r="A13" s="1131" t="s">
        <v>11</v>
      </c>
      <c r="B13" s="1131"/>
      <c r="C13" s="1131"/>
      <c r="D13" s="1131"/>
      <c r="E13" s="1131"/>
      <c r="F13" s="617"/>
      <c r="G13" s="617"/>
      <c r="H13" s="617"/>
      <c r="I13" s="617"/>
      <c r="J13" s="570"/>
      <c r="K13" s="570"/>
      <c r="L13" s="570"/>
      <c r="M13" s="570"/>
      <c r="N13" s="570"/>
      <c r="O13" s="570"/>
      <c r="P13" s="570"/>
      <c r="Q13" s="570"/>
      <c r="R13" s="570"/>
      <c r="S13" s="570"/>
      <c r="T13" s="570"/>
      <c r="U13" s="570"/>
      <c r="V13" s="570"/>
      <c r="W13" s="570"/>
      <c r="X13" s="570"/>
    </row>
    <row r="14" spans="1:24" ht="28.5" customHeight="1" thickBot="1" x14ac:dyDescent="0.25">
      <c r="A14" s="785"/>
      <c r="B14" s="786" t="s">
        <v>20</v>
      </c>
      <c r="C14" s="786" t="s">
        <v>19</v>
      </c>
      <c r="D14" s="786" t="s">
        <v>18</v>
      </c>
      <c r="E14" s="786" t="s">
        <v>8</v>
      </c>
      <c r="F14" s="617"/>
      <c r="G14" s="617"/>
      <c r="H14" s="617"/>
      <c r="I14" s="617"/>
      <c r="J14" s="570"/>
      <c r="K14" s="570"/>
      <c r="L14" s="570"/>
      <c r="M14" s="570"/>
      <c r="N14" s="570"/>
      <c r="O14" s="570"/>
      <c r="P14" s="570"/>
      <c r="Q14" s="570"/>
      <c r="R14" s="570"/>
      <c r="S14" s="570"/>
      <c r="T14" s="570"/>
      <c r="U14" s="570"/>
      <c r="V14" s="570"/>
      <c r="W14" s="570"/>
      <c r="X14" s="570"/>
    </row>
    <row r="15" spans="1:24" x14ac:dyDescent="0.2">
      <c r="A15" s="772" t="s">
        <v>13</v>
      </c>
      <c r="B15" s="773"/>
      <c r="C15" s="819">
        <f>IF(B15="yes",'Job Info'!$B$13,0)</f>
        <v>0</v>
      </c>
      <c r="D15" s="787">
        <v>0</v>
      </c>
      <c r="E15" s="822">
        <f>(+C15*D15)/(1-'OH&amp;P'!$E$5)</f>
        <v>0</v>
      </c>
      <c r="F15" s="617"/>
      <c r="G15" s="617"/>
      <c r="H15" s="617"/>
      <c r="I15" s="617"/>
      <c r="J15" s="570"/>
      <c r="K15" s="570"/>
      <c r="L15" s="570"/>
      <c r="M15" s="570"/>
      <c r="N15" s="570"/>
      <c r="O15" s="570"/>
      <c r="P15" s="570"/>
      <c r="Q15" s="570"/>
      <c r="R15" s="570"/>
      <c r="S15" s="570"/>
      <c r="T15" s="570"/>
      <c r="U15" s="570"/>
      <c r="V15" s="570"/>
      <c r="W15" s="570"/>
      <c r="X15" s="570"/>
    </row>
    <row r="16" spans="1:24" x14ac:dyDescent="0.2">
      <c r="A16" s="778" t="s">
        <v>14</v>
      </c>
      <c r="B16" s="581"/>
      <c r="C16" s="820">
        <f>IF(B16="yes",'Job Info'!$B$13,0)</f>
        <v>0</v>
      </c>
      <c r="D16" s="788"/>
      <c r="E16" s="823">
        <f>(+C16*D16)/(1-'OH&amp;P'!$E$5)</f>
        <v>0</v>
      </c>
      <c r="F16" s="617"/>
      <c r="G16" s="617"/>
      <c r="H16" s="617"/>
      <c r="I16" s="617"/>
      <c r="J16" s="570"/>
      <c r="K16" s="570"/>
      <c r="L16" s="570"/>
      <c r="M16" s="570"/>
      <c r="N16" s="570"/>
      <c r="O16" s="570"/>
      <c r="P16" s="570"/>
      <c r="Q16" s="570"/>
      <c r="R16" s="570"/>
      <c r="S16" s="570"/>
      <c r="T16" s="570"/>
      <c r="U16" s="570"/>
      <c r="V16" s="570"/>
      <c r="W16" s="570"/>
      <c r="X16" s="570"/>
    </row>
    <row r="17" spans="1:24" x14ac:dyDescent="0.2">
      <c r="A17" s="778" t="s">
        <v>15</v>
      </c>
      <c r="B17" s="581" t="s">
        <v>1</v>
      </c>
      <c r="C17" s="820">
        <f>IF(B17="yes",'Job Info'!$B$13,0)</f>
        <v>14.633333333333333</v>
      </c>
      <c r="D17" s="788">
        <v>250</v>
      </c>
      <c r="E17" s="823">
        <f>(+C17*D17)/(1-'OH&amp;P'!$E$5)</f>
        <v>4278.7524366471735</v>
      </c>
      <c r="F17" s="617"/>
      <c r="G17" s="617"/>
      <c r="H17" s="617"/>
      <c r="I17" s="617"/>
      <c r="J17" s="570"/>
      <c r="K17" s="570"/>
      <c r="L17" s="570"/>
      <c r="M17" s="570"/>
      <c r="N17" s="570"/>
      <c r="O17" s="570"/>
      <c r="P17" s="570"/>
      <c r="Q17" s="570"/>
      <c r="R17" s="570"/>
      <c r="S17" s="570"/>
      <c r="T17" s="570"/>
      <c r="U17" s="570"/>
      <c r="V17" s="570"/>
      <c r="W17" s="570"/>
      <c r="X17" s="570"/>
    </row>
    <row r="18" spans="1:24" x14ac:dyDescent="0.2">
      <c r="A18" s="778" t="s">
        <v>12</v>
      </c>
      <c r="B18" s="581"/>
      <c r="C18" s="820">
        <f>IF(B18="yes",'Job Info'!$B$13,0)</f>
        <v>0</v>
      </c>
      <c r="D18" s="788"/>
      <c r="E18" s="823">
        <f>(+C18*D18)/(1-'OH&amp;P'!$E$5)</f>
        <v>0</v>
      </c>
      <c r="F18" s="617"/>
      <c r="G18" s="617"/>
      <c r="H18" s="617"/>
      <c r="I18" s="617"/>
      <c r="J18" s="570"/>
      <c r="K18" s="570"/>
      <c r="L18" s="570"/>
      <c r="M18" s="570"/>
      <c r="N18" s="570"/>
      <c r="O18" s="570"/>
      <c r="P18" s="570"/>
      <c r="Q18" s="570"/>
      <c r="R18" s="570"/>
      <c r="S18" s="570"/>
      <c r="T18" s="570"/>
      <c r="U18" s="570"/>
      <c r="V18" s="570"/>
      <c r="W18" s="570"/>
      <c r="X18" s="570"/>
    </row>
    <row r="19" spans="1:24" x14ac:dyDescent="0.2">
      <c r="A19" s="789" t="s">
        <v>10</v>
      </c>
      <c r="B19" s="581"/>
      <c r="C19" s="820">
        <f>IF(B19="yes",'Job Info'!$B$13,0)</f>
        <v>0</v>
      </c>
      <c r="D19" s="788"/>
      <c r="E19" s="823">
        <f>(+C19*D19)/(1-'OH&amp;P'!$E$5)</f>
        <v>0</v>
      </c>
      <c r="F19" s="617"/>
      <c r="G19" s="617"/>
      <c r="H19" s="617"/>
      <c r="I19" s="617"/>
      <c r="J19" s="570"/>
      <c r="K19" s="570"/>
      <c r="L19" s="570"/>
      <c r="M19" s="570"/>
      <c r="N19" s="570"/>
      <c r="O19" s="570"/>
      <c r="P19" s="570"/>
      <c r="Q19" s="570"/>
      <c r="R19" s="570"/>
      <c r="S19" s="570"/>
      <c r="T19" s="570"/>
      <c r="U19" s="570"/>
      <c r="V19" s="570"/>
      <c r="W19" s="570"/>
      <c r="X19" s="570"/>
    </row>
    <row r="20" spans="1:24" x14ac:dyDescent="0.2">
      <c r="A20" s="789" t="s">
        <v>10</v>
      </c>
      <c r="B20" s="581"/>
      <c r="C20" s="820">
        <f>IF(B20="yes",'Job Info'!$B$13,0)</f>
        <v>0</v>
      </c>
      <c r="D20" s="788"/>
      <c r="E20" s="823">
        <f>(+C20*D20)/(1-'OH&amp;P'!$E$5)</f>
        <v>0</v>
      </c>
      <c r="F20" s="617"/>
      <c r="G20" s="617"/>
      <c r="H20" s="617"/>
      <c r="I20" s="617"/>
      <c r="J20" s="570"/>
      <c r="K20" s="570"/>
      <c r="L20" s="570"/>
      <c r="M20" s="570"/>
      <c r="N20" s="570"/>
      <c r="O20" s="570"/>
      <c r="P20" s="570"/>
      <c r="Q20" s="570"/>
      <c r="R20" s="570"/>
      <c r="S20" s="570"/>
      <c r="T20" s="570"/>
      <c r="U20" s="570"/>
      <c r="V20" s="570"/>
      <c r="W20" s="570"/>
      <c r="X20" s="570"/>
    </row>
    <row r="21" spans="1:24" ht="16" thickBot="1" x14ac:dyDescent="0.25">
      <c r="A21" s="789" t="s">
        <v>10</v>
      </c>
      <c r="B21" s="581"/>
      <c r="C21" s="821">
        <f>IF(B21="yes",'Job Info'!$B$13,0)</f>
        <v>0</v>
      </c>
      <c r="D21" s="788"/>
      <c r="E21" s="824">
        <f>(+C21*D21)/(1-'OH&amp;P'!$E$5)</f>
        <v>0</v>
      </c>
      <c r="F21" s="617"/>
      <c r="G21" s="617"/>
      <c r="H21" s="617"/>
      <c r="I21" s="617"/>
      <c r="J21" s="570"/>
      <c r="K21" s="570"/>
      <c r="L21" s="570"/>
      <c r="M21" s="570"/>
      <c r="N21" s="570"/>
      <c r="O21" s="570"/>
      <c r="P21" s="570"/>
      <c r="Q21" s="570"/>
      <c r="R21" s="570"/>
      <c r="S21" s="570"/>
      <c r="T21" s="570"/>
      <c r="U21" s="570"/>
      <c r="V21" s="570"/>
      <c r="W21" s="570"/>
      <c r="X21" s="570"/>
    </row>
    <row r="22" spans="1:24" ht="16" thickBot="1" x14ac:dyDescent="0.25">
      <c r="A22" s="790"/>
      <c r="B22" s="1136" t="s">
        <v>21</v>
      </c>
      <c r="C22" s="1133"/>
      <c r="D22" s="1137"/>
      <c r="E22" s="825">
        <f>SUM(E15:E21)</f>
        <v>4278.7524366471735</v>
      </c>
      <c r="F22" s="617"/>
      <c r="G22" s="617"/>
      <c r="H22" s="617"/>
      <c r="I22" s="617"/>
      <c r="J22" s="570"/>
      <c r="K22" s="570"/>
      <c r="L22" s="570"/>
      <c r="M22" s="570"/>
      <c r="N22" s="570"/>
      <c r="O22" s="570"/>
      <c r="P22" s="570"/>
      <c r="Q22" s="570"/>
      <c r="R22" s="570"/>
      <c r="S22" s="570"/>
      <c r="T22" s="570"/>
      <c r="U22" s="570"/>
      <c r="V22" s="570"/>
      <c r="W22" s="570"/>
      <c r="X22" s="570"/>
    </row>
    <row r="23" spans="1:24" x14ac:dyDescent="0.2">
      <c r="A23" s="775"/>
      <c r="B23" s="570"/>
      <c r="C23" s="570"/>
      <c r="D23" s="570"/>
      <c r="E23" s="570"/>
      <c r="F23" s="617"/>
      <c r="G23" s="617"/>
      <c r="H23" s="617"/>
      <c r="I23" s="617"/>
      <c r="J23" s="570"/>
      <c r="K23" s="570"/>
      <c r="L23" s="570"/>
      <c r="M23" s="570"/>
      <c r="N23" s="570"/>
      <c r="O23" s="570"/>
      <c r="P23" s="570"/>
      <c r="Q23" s="570"/>
      <c r="R23" s="570"/>
      <c r="S23" s="570"/>
      <c r="T23" s="570"/>
      <c r="U23" s="570"/>
      <c r="V23" s="570"/>
      <c r="W23" s="570"/>
      <c r="X23" s="570"/>
    </row>
    <row r="24" spans="1:24" x14ac:dyDescent="0.2">
      <c r="A24" s="1131" t="s">
        <v>22</v>
      </c>
      <c r="B24" s="1131"/>
      <c r="C24" s="1131"/>
      <c r="D24" s="1131"/>
      <c r="E24" s="1131"/>
      <c r="F24" s="617"/>
      <c r="G24" s="617"/>
      <c r="H24" s="617"/>
      <c r="I24" s="617"/>
      <c r="J24" s="570"/>
      <c r="K24" s="570"/>
      <c r="L24" s="570"/>
      <c r="M24" s="570"/>
      <c r="N24" s="570"/>
      <c r="O24" s="570"/>
      <c r="P24" s="570"/>
      <c r="Q24" s="570"/>
      <c r="R24" s="570"/>
      <c r="S24" s="570"/>
      <c r="T24" s="570"/>
      <c r="U24" s="570"/>
      <c r="V24" s="570"/>
      <c r="W24" s="570"/>
      <c r="X24" s="570"/>
    </row>
    <row r="25" spans="1:24" ht="29.25" customHeight="1" thickBot="1" x14ac:dyDescent="0.25">
      <c r="A25" s="785"/>
      <c r="B25" s="791" t="s">
        <v>20</v>
      </c>
      <c r="C25" s="791" t="s">
        <v>19</v>
      </c>
      <c r="D25" s="792" t="s">
        <v>27</v>
      </c>
      <c r="E25" s="791" t="s">
        <v>8</v>
      </c>
      <c r="F25" s="617"/>
      <c r="G25" s="617"/>
      <c r="H25" s="617"/>
      <c r="I25" s="617"/>
      <c r="J25" s="570"/>
      <c r="K25" s="570"/>
      <c r="L25" s="570"/>
      <c r="M25" s="570"/>
      <c r="N25" s="570"/>
      <c r="O25" s="570"/>
      <c r="P25" s="570"/>
      <c r="Q25" s="570"/>
      <c r="R25" s="570"/>
      <c r="S25" s="570"/>
      <c r="T25" s="570"/>
      <c r="U25" s="570"/>
      <c r="V25" s="570"/>
      <c r="W25" s="570"/>
      <c r="X25" s="570"/>
    </row>
    <row r="26" spans="1:24" x14ac:dyDescent="0.2">
      <c r="A26" s="772" t="s">
        <v>23</v>
      </c>
      <c r="B26" s="773" t="s">
        <v>1</v>
      </c>
      <c r="C26" s="819">
        <f>IF(B26="yes",'Job Info'!$B$13,0)</f>
        <v>14.633333333333333</v>
      </c>
      <c r="D26" s="742">
        <v>0.1</v>
      </c>
      <c r="E26" s="822">
        <f>+(C26*D26)*('Admin Set Up'!D3/(1-'OH&amp;P'!$E$5))</f>
        <v>13207.995321637429</v>
      </c>
      <c r="F26" s="617"/>
      <c r="G26" s="617"/>
      <c r="H26" s="617"/>
      <c r="I26" s="617"/>
      <c r="J26" s="570"/>
      <c r="K26" s="570"/>
      <c r="L26" s="570"/>
      <c r="M26" s="570"/>
      <c r="N26" s="570"/>
      <c r="O26" s="570"/>
      <c r="P26" s="570"/>
      <c r="Q26" s="570"/>
      <c r="R26" s="570"/>
      <c r="S26" s="570"/>
      <c r="T26" s="570"/>
      <c r="U26" s="570"/>
      <c r="V26" s="570"/>
      <c r="W26" s="570"/>
      <c r="X26" s="570"/>
    </row>
    <row r="27" spans="1:24" x14ac:dyDescent="0.2">
      <c r="A27" s="778" t="s">
        <v>24</v>
      </c>
      <c r="B27" s="581" t="s">
        <v>1</v>
      </c>
      <c r="C27" s="820">
        <f>IF(B27="yes",'Job Info'!$B$13,0)</f>
        <v>14.633333333333333</v>
      </c>
      <c r="D27" s="582">
        <v>1</v>
      </c>
      <c r="E27" s="823">
        <f>+(C27*D27)*('Admin Set Up'!D4/(1-'OH&amp;P'!$E$5))</f>
        <v>88053.302144249523</v>
      </c>
      <c r="F27" s="617"/>
      <c r="G27" s="617"/>
      <c r="H27" s="617"/>
      <c r="I27" s="617"/>
      <c r="J27" s="570"/>
      <c r="K27" s="570"/>
      <c r="L27" s="570"/>
      <c r="M27" s="570"/>
      <c r="N27" s="570"/>
      <c r="O27" s="570"/>
      <c r="P27" s="570"/>
      <c r="Q27" s="570"/>
      <c r="R27" s="570"/>
      <c r="S27" s="570"/>
      <c r="T27" s="570"/>
      <c r="U27" s="570"/>
      <c r="V27" s="570"/>
      <c r="W27" s="570"/>
      <c r="X27" s="570"/>
    </row>
    <row r="28" spans="1:24" x14ac:dyDescent="0.2">
      <c r="A28" s="778" t="s">
        <v>25</v>
      </c>
      <c r="B28" s="581"/>
      <c r="C28" s="820">
        <f>IF(B28="yes",'Job Info'!$B$13,0)</f>
        <v>0</v>
      </c>
      <c r="D28" s="582"/>
      <c r="E28" s="823">
        <f>+(C28*D28)*('Admin Set Up'!D5/(1-'OH&amp;P'!$E$5))</f>
        <v>0</v>
      </c>
      <c r="F28" s="617"/>
      <c r="G28" s="617"/>
      <c r="H28" s="617"/>
      <c r="I28" s="617"/>
      <c r="J28" s="570"/>
      <c r="K28" s="570"/>
      <c r="L28" s="570"/>
      <c r="M28" s="570"/>
      <c r="N28" s="570"/>
      <c r="O28" s="570"/>
      <c r="P28" s="570"/>
      <c r="Q28" s="570"/>
      <c r="R28" s="570"/>
      <c r="S28" s="570"/>
      <c r="T28" s="570"/>
      <c r="U28" s="570"/>
      <c r="V28" s="570"/>
      <c r="W28" s="570"/>
      <c r="X28" s="570"/>
    </row>
    <row r="29" spans="1:24" x14ac:dyDescent="0.2">
      <c r="A29" s="778" t="s">
        <v>26</v>
      </c>
      <c r="B29" s="581"/>
      <c r="C29" s="820">
        <f>IF(B29="yes",'Job Info'!$B$13,0)</f>
        <v>0</v>
      </c>
      <c r="D29" s="582"/>
      <c r="E29" s="823">
        <f>+(C29*D29)*('Admin Set Up'!D6/(1-'OH&amp;P'!$E$5))</f>
        <v>0</v>
      </c>
      <c r="F29" s="617"/>
      <c r="G29" s="617"/>
      <c r="H29" s="617"/>
      <c r="I29" s="617"/>
      <c r="J29" s="570"/>
      <c r="K29" s="570"/>
      <c r="L29" s="570"/>
      <c r="M29" s="570"/>
      <c r="N29" s="570"/>
      <c r="O29" s="570"/>
      <c r="P29" s="570"/>
      <c r="Q29" s="570"/>
      <c r="R29" s="570"/>
      <c r="S29" s="570"/>
      <c r="T29" s="570"/>
      <c r="U29" s="570"/>
      <c r="V29" s="570"/>
      <c r="W29" s="570"/>
      <c r="X29" s="570"/>
    </row>
    <row r="30" spans="1:24" ht="16" thickBot="1" x14ac:dyDescent="0.25">
      <c r="A30" s="793" t="s">
        <v>32</v>
      </c>
      <c r="B30" s="581"/>
      <c r="C30" s="820">
        <f>IF(B30="yes",'Job Info'!$B$13,0)</f>
        <v>0</v>
      </c>
      <c r="D30" s="582"/>
      <c r="E30" s="824">
        <f>+(C30*D30)*('Admin Set Up'!D7/(1-'OH&amp;P'!$E$5))</f>
        <v>0</v>
      </c>
      <c r="F30" s="617"/>
      <c r="G30" s="617"/>
      <c r="H30" s="617"/>
      <c r="I30" s="617"/>
      <c r="J30" s="570"/>
      <c r="K30" s="570"/>
      <c r="L30" s="570"/>
      <c r="M30" s="570"/>
      <c r="N30" s="570"/>
      <c r="O30" s="570"/>
      <c r="P30" s="570"/>
      <c r="Q30" s="570"/>
      <c r="R30" s="570"/>
      <c r="S30" s="570"/>
      <c r="T30" s="570"/>
      <c r="U30" s="570"/>
      <c r="V30" s="570"/>
      <c r="W30" s="570"/>
      <c r="X30" s="570"/>
    </row>
    <row r="31" spans="1:24" ht="16" thickBot="1" x14ac:dyDescent="0.25">
      <c r="A31" s="790" t="s">
        <v>165</v>
      </c>
      <c r="B31" s="794"/>
      <c r="C31" s="826">
        <f>(+(C26*D26)+(C27*D27)+(C28*D28)+(C29*D29)+(C30*D30))/'Job Info'!B13</f>
        <v>1.1000000000000001</v>
      </c>
      <c r="D31" s="795"/>
      <c r="E31" s="827">
        <f>SUM(E26:E30)</f>
        <v>101261.29746588695</v>
      </c>
      <c r="F31" s="617"/>
      <c r="G31" s="617"/>
      <c r="H31" s="617"/>
      <c r="I31" s="617"/>
      <c r="J31" s="570"/>
      <c r="K31" s="570"/>
      <c r="L31" s="570"/>
      <c r="M31" s="570"/>
      <c r="N31" s="570"/>
      <c r="O31" s="570"/>
      <c r="P31" s="570"/>
      <c r="Q31" s="570"/>
      <c r="R31" s="570"/>
      <c r="S31" s="570"/>
      <c r="T31" s="570"/>
      <c r="U31" s="570"/>
      <c r="V31" s="570"/>
      <c r="W31" s="570"/>
      <c r="X31" s="570"/>
    </row>
    <row r="32" spans="1:24" x14ac:dyDescent="0.2">
      <c r="A32" s="775"/>
      <c r="B32" s="570"/>
      <c r="C32" s="570"/>
      <c r="D32" s="570"/>
      <c r="E32" s="570"/>
      <c r="F32" s="617"/>
      <c r="G32" s="617"/>
      <c r="H32" s="617"/>
      <c r="I32" s="617"/>
      <c r="J32" s="570"/>
      <c r="K32" s="570"/>
      <c r="L32" s="570"/>
      <c r="M32" s="570"/>
      <c r="N32" s="570"/>
      <c r="O32" s="570"/>
      <c r="P32" s="570"/>
      <c r="Q32" s="570"/>
      <c r="R32" s="570"/>
      <c r="S32" s="570"/>
      <c r="T32" s="570"/>
      <c r="U32" s="570"/>
      <c r="V32" s="570"/>
      <c r="W32" s="570"/>
      <c r="X32" s="570"/>
    </row>
    <row r="33" spans="1:24" x14ac:dyDescent="0.2">
      <c r="A33" s="1131" t="s">
        <v>82</v>
      </c>
      <c r="B33" s="1131"/>
      <c r="C33" s="1131"/>
      <c r="D33" s="1131"/>
      <c r="E33" s="1131"/>
      <c r="F33" s="617"/>
      <c r="G33" s="617"/>
      <c r="H33" s="617"/>
      <c r="I33" s="617"/>
      <c r="J33" s="570"/>
      <c r="K33" s="570"/>
      <c r="L33" s="570"/>
      <c r="M33" s="570"/>
      <c r="N33" s="570"/>
      <c r="O33" s="570"/>
      <c r="P33" s="570"/>
      <c r="Q33" s="570"/>
      <c r="R33" s="570"/>
      <c r="S33" s="570"/>
      <c r="T33" s="570"/>
      <c r="U33" s="570"/>
      <c r="V33" s="570"/>
      <c r="W33" s="570"/>
      <c r="X33" s="570"/>
    </row>
    <row r="34" spans="1:24" ht="16" thickBot="1" x14ac:dyDescent="0.25">
      <c r="A34" s="785"/>
      <c r="B34" s="791" t="s">
        <v>20</v>
      </c>
      <c r="C34" s="791" t="s">
        <v>85</v>
      </c>
      <c r="D34" s="792"/>
      <c r="E34" s="791" t="s">
        <v>8</v>
      </c>
      <c r="F34" s="617"/>
      <c r="G34" s="617"/>
      <c r="H34" s="617"/>
      <c r="I34" s="617"/>
      <c r="J34" s="570"/>
      <c r="K34" s="570"/>
      <c r="L34" s="570"/>
      <c r="M34" s="570"/>
      <c r="N34" s="570"/>
      <c r="O34" s="570"/>
      <c r="P34" s="570"/>
      <c r="Q34" s="570"/>
      <c r="R34" s="570"/>
      <c r="S34" s="570"/>
      <c r="T34" s="570"/>
      <c r="U34" s="570"/>
      <c r="V34" s="570"/>
      <c r="W34" s="570"/>
      <c r="X34" s="570"/>
    </row>
    <row r="35" spans="1:24" x14ac:dyDescent="0.2">
      <c r="A35" s="772" t="s">
        <v>83</v>
      </c>
      <c r="B35" s="773" t="s">
        <v>1</v>
      </c>
      <c r="C35" s="828">
        <f>IF(B35="yes",'Crew Builder'!$B$11,0)</f>
        <v>6.1</v>
      </c>
      <c r="D35" s="829"/>
      <c r="E35" s="830">
        <f>(+C35*'Admin Set Up'!B14)/(1-'OH&amp;P'!E5)</f>
        <v>3567.2514619883045</v>
      </c>
      <c r="F35" s="617"/>
      <c r="G35" s="617"/>
      <c r="H35" s="617"/>
      <c r="I35" s="617"/>
      <c r="J35" s="570"/>
      <c r="K35" s="570"/>
      <c r="L35" s="570"/>
      <c r="M35" s="570"/>
      <c r="N35" s="570"/>
      <c r="O35" s="570"/>
      <c r="P35" s="570"/>
      <c r="Q35" s="570"/>
      <c r="R35" s="570"/>
      <c r="S35" s="570"/>
      <c r="T35" s="570"/>
      <c r="U35" s="570"/>
      <c r="V35" s="570"/>
      <c r="W35" s="570"/>
      <c r="X35" s="570"/>
    </row>
    <row r="36" spans="1:24" x14ac:dyDescent="0.2">
      <c r="A36" s="778" t="s">
        <v>84</v>
      </c>
      <c r="B36" s="581" t="s">
        <v>1</v>
      </c>
      <c r="C36" s="831">
        <f>IF(B36="yes",'Crew Builder'!$B$11,0)</f>
        <v>6.1</v>
      </c>
      <c r="D36" s="832"/>
      <c r="E36" s="833">
        <f>+((C36*'Admin Set Up'!B15)*'Labor Calc'!E30)/(1-'OH&amp;P'!E5)</f>
        <v>1193.1742690058481</v>
      </c>
      <c r="F36" s="617"/>
      <c r="G36" s="617"/>
      <c r="H36" s="617"/>
      <c r="I36" s="617"/>
      <c r="J36" s="570"/>
      <c r="K36" s="570"/>
      <c r="L36" s="570"/>
      <c r="M36" s="570"/>
      <c r="N36" s="570"/>
      <c r="O36" s="570"/>
      <c r="P36" s="570"/>
      <c r="Q36" s="570"/>
      <c r="R36" s="570"/>
      <c r="S36" s="570"/>
      <c r="T36" s="570"/>
      <c r="U36" s="570"/>
      <c r="V36" s="570"/>
      <c r="W36" s="570"/>
      <c r="X36" s="570"/>
    </row>
    <row r="37" spans="1:24" ht="16" thickBot="1" x14ac:dyDescent="0.25">
      <c r="A37" s="778" t="s">
        <v>89</v>
      </c>
      <c r="B37" s="581" t="s">
        <v>1</v>
      </c>
      <c r="C37" s="834">
        <f>IF(B37="yes",'Crew Builder'!$B$11,0)</f>
        <v>6.1</v>
      </c>
      <c r="D37" s="832"/>
      <c r="E37" s="833">
        <f>(+C37*'Admin Set Up'!B16)/(1-'OH&amp;P'!E5)</f>
        <v>249.70760233918134</v>
      </c>
      <c r="F37" s="617"/>
      <c r="G37" s="617"/>
      <c r="H37" s="617"/>
      <c r="I37" s="617"/>
      <c r="J37" s="570"/>
      <c r="K37" s="570"/>
      <c r="L37" s="570"/>
      <c r="M37" s="570"/>
      <c r="N37" s="570"/>
      <c r="O37" s="570"/>
      <c r="P37" s="570"/>
      <c r="Q37" s="570"/>
      <c r="R37" s="570"/>
      <c r="S37" s="570"/>
      <c r="T37" s="570"/>
      <c r="U37" s="570"/>
      <c r="V37" s="570"/>
      <c r="W37" s="570"/>
      <c r="X37" s="570"/>
    </row>
    <row r="38" spans="1:24" ht="16" thickBot="1" x14ac:dyDescent="0.25">
      <c r="A38" s="790"/>
      <c r="B38" s="1136" t="s">
        <v>90</v>
      </c>
      <c r="C38" s="1133"/>
      <c r="D38" s="1137"/>
      <c r="E38" s="835">
        <f>SUM(E35:E37)</f>
        <v>5010.1333333333341</v>
      </c>
      <c r="F38" s="617"/>
      <c r="G38" s="617"/>
      <c r="H38" s="617"/>
      <c r="I38" s="617"/>
      <c r="J38" s="570"/>
      <c r="K38" s="570"/>
      <c r="L38" s="570"/>
      <c r="M38" s="570"/>
      <c r="N38" s="570"/>
      <c r="O38" s="570"/>
      <c r="P38" s="570"/>
      <c r="Q38" s="570"/>
      <c r="R38" s="570"/>
      <c r="S38" s="570"/>
      <c r="T38" s="570"/>
      <c r="U38" s="570"/>
      <c r="V38" s="570"/>
      <c r="W38" s="570"/>
      <c r="X38" s="570"/>
    </row>
    <row r="39" spans="1:24" x14ac:dyDescent="0.2">
      <c r="A39" s="570"/>
      <c r="B39" s="570"/>
      <c r="C39" s="570"/>
      <c r="D39" s="570"/>
      <c r="E39" s="570"/>
      <c r="F39" s="617"/>
      <c r="G39" s="617"/>
      <c r="H39" s="617"/>
      <c r="I39" s="617"/>
      <c r="J39" s="570"/>
      <c r="K39" s="570"/>
      <c r="L39" s="570"/>
      <c r="M39" s="570"/>
      <c r="N39" s="570"/>
      <c r="O39" s="570"/>
      <c r="P39" s="570"/>
      <c r="Q39" s="570"/>
      <c r="R39" s="570"/>
      <c r="S39" s="570"/>
      <c r="T39" s="570"/>
      <c r="U39" s="570"/>
      <c r="V39" s="570"/>
      <c r="W39" s="570"/>
      <c r="X39" s="570"/>
    </row>
    <row r="40" spans="1:24" x14ac:dyDescent="0.2">
      <c r="A40" s="1131" t="s">
        <v>157</v>
      </c>
      <c r="B40" s="1131"/>
      <c r="C40" s="1131"/>
      <c r="D40" s="1131"/>
      <c r="E40" s="1131"/>
      <c r="F40" s="709"/>
      <c r="G40" s="709"/>
      <c r="H40" s="709"/>
      <c r="I40" s="709"/>
    </row>
    <row r="41" spans="1:24" ht="30" customHeight="1" thickBot="1" x14ac:dyDescent="0.25">
      <c r="A41" s="785" t="s">
        <v>81</v>
      </c>
      <c r="B41" s="796">
        <f>IF('Job Info'!B14="yes",'Job Info'!B15,0)</f>
        <v>0.33</v>
      </c>
      <c r="C41" s="792" t="s">
        <v>159</v>
      </c>
      <c r="D41" s="792" t="s">
        <v>163</v>
      </c>
      <c r="E41" s="791" t="s">
        <v>8</v>
      </c>
      <c r="F41" s="709"/>
      <c r="G41" s="709"/>
      <c r="H41" s="617"/>
      <c r="I41" s="709"/>
    </row>
    <row r="42" spans="1:24" x14ac:dyDescent="0.2">
      <c r="A42" s="772" t="s">
        <v>160</v>
      </c>
      <c r="B42" s="797" t="s">
        <v>1</v>
      </c>
      <c r="C42" s="836">
        <f>IF(B42="yes",'Crew Builder'!$B$11*Support!$B$41,0)</f>
        <v>2.0129999999999999</v>
      </c>
      <c r="D42" s="798">
        <v>0</v>
      </c>
      <c r="E42" s="830">
        <f>+((((C42*D42)*'Job Info'!B13)*'Admin Set Up'!B22))/(1-'OH&amp;P'!E5)</f>
        <v>0</v>
      </c>
      <c r="F42" s="709"/>
      <c r="G42" s="709"/>
      <c r="H42" s="617"/>
      <c r="I42" s="709"/>
    </row>
    <row r="43" spans="1:24" x14ac:dyDescent="0.2">
      <c r="A43" s="778" t="s">
        <v>161</v>
      </c>
      <c r="B43" s="799" t="s">
        <v>1</v>
      </c>
      <c r="C43" s="837">
        <f>IF(B43="yes",'Crew Builder'!$B$11*Support!$B$41,0)</f>
        <v>2.0129999999999999</v>
      </c>
      <c r="D43" s="800">
        <v>20</v>
      </c>
      <c r="E43" s="833">
        <f>((((+C43*D43)*'Job Info'!$B$13)*'Admin Set Up'!$B$25))/(1-'OH&amp;P'!$E$5)</f>
        <v>24116.760233918129</v>
      </c>
      <c r="F43" s="709"/>
      <c r="G43" s="709"/>
      <c r="H43" s="617"/>
      <c r="I43" s="709"/>
    </row>
    <row r="44" spans="1:24" x14ac:dyDescent="0.2">
      <c r="A44" s="778" t="s">
        <v>162</v>
      </c>
      <c r="B44" s="799" t="s">
        <v>1</v>
      </c>
      <c r="C44" s="837">
        <f>IF(B44="yes",'Crew Builder'!$B$11*Support!$B$41,0)</f>
        <v>2.0129999999999999</v>
      </c>
      <c r="D44" s="800">
        <v>20</v>
      </c>
      <c r="E44" s="833">
        <f>+((((C44*D44)*'Job Info'!$B$13)*'Admin Set Up'!B23))/(1-'OH&amp;P'!$E$5)</f>
        <v>41343.017543859656</v>
      </c>
      <c r="F44" s="709"/>
      <c r="G44" s="709"/>
      <c r="H44" s="617"/>
      <c r="I44" s="709"/>
    </row>
    <row r="45" spans="1:24" x14ac:dyDescent="0.2">
      <c r="A45" s="801" t="s">
        <v>22</v>
      </c>
      <c r="B45" s="802"/>
      <c r="C45" s="838"/>
      <c r="D45" s="803"/>
      <c r="E45" s="840"/>
      <c r="F45" s="709"/>
      <c r="G45" s="709"/>
      <c r="H45" s="617"/>
      <c r="I45" s="709"/>
    </row>
    <row r="46" spans="1:24" x14ac:dyDescent="0.2">
      <c r="A46" s="778" t="s">
        <v>160</v>
      </c>
      <c r="B46" s="799"/>
      <c r="C46" s="839">
        <f>IF(B46="yes",$C$31,0)</f>
        <v>0</v>
      </c>
      <c r="D46" s="800"/>
      <c r="E46" s="833">
        <f>+(((C46*D46)*'Job Info'!B13)*'Admin Set Up'!B22)/(1-'OH&amp;P'!E5)</f>
        <v>0</v>
      </c>
      <c r="F46" s="709"/>
      <c r="G46" s="709"/>
      <c r="H46" s="617"/>
      <c r="I46" s="709"/>
    </row>
    <row r="47" spans="1:24" x14ac:dyDescent="0.2">
      <c r="A47" s="778" t="s">
        <v>161</v>
      </c>
      <c r="B47" s="799" t="s">
        <v>1</v>
      </c>
      <c r="C47" s="839">
        <f t="shared" ref="C47:C48" si="0">IF(B47="yes",$C$31,0)</f>
        <v>1.1000000000000001</v>
      </c>
      <c r="D47" s="800">
        <v>20</v>
      </c>
      <c r="E47" s="833">
        <f>((((+C47*D47)*'Job Info'!$B$13)*'Admin Set Up'!$B$25))/(1-'OH&amp;P'!$E$5)</f>
        <v>13178.557504873295</v>
      </c>
      <c r="F47" s="709"/>
      <c r="G47" s="709"/>
      <c r="H47" s="617"/>
      <c r="I47" s="709"/>
    </row>
    <row r="48" spans="1:24" x14ac:dyDescent="0.2">
      <c r="A48" s="793" t="s">
        <v>162</v>
      </c>
      <c r="B48" s="799" t="s">
        <v>1</v>
      </c>
      <c r="C48" s="839">
        <f t="shared" si="0"/>
        <v>1.1000000000000001</v>
      </c>
      <c r="D48" s="800">
        <v>20</v>
      </c>
      <c r="E48" s="833">
        <f>+((((C48*D48)*'Job Info'!$B$13)*'Admin Set Up'!B24))/(1-'OH&amp;P'!$E$5)</f>
        <v>22591.812865497079</v>
      </c>
      <c r="F48" s="709"/>
      <c r="G48" s="709"/>
      <c r="H48" s="617"/>
      <c r="I48" s="709"/>
    </row>
    <row r="49" spans="1:10" ht="16" thickBot="1" x14ac:dyDescent="0.25">
      <c r="A49" s="790"/>
      <c r="B49" s="1136" t="s">
        <v>158</v>
      </c>
      <c r="C49" s="1133"/>
      <c r="D49" s="1137"/>
      <c r="E49" s="841">
        <f>SUM(E42:E48)</f>
        <v>101230.14814814816</v>
      </c>
      <c r="F49" s="709"/>
      <c r="G49" s="709"/>
      <c r="H49" s="617"/>
      <c r="I49" s="709"/>
    </row>
    <row r="50" spans="1:10" x14ac:dyDescent="0.2">
      <c r="F50" s="709"/>
      <c r="G50" s="709"/>
      <c r="H50" s="617"/>
      <c r="I50" s="709"/>
    </row>
    <row r="51" spans="1:10" x14ac:dyDescent="0.2">
      <c r="A51" s="1131" t="s">
        <v>168</v>
      </c>
      <c r="B51" s="1131"/>
      <c r="C51" s="1131"/>
      <c r="D51" s="1131"/>
      <c r="E51" s="1131"/>
      <c r="F51" s="709"/>
      <c r="G51" s="709"/>
      <c r="H51" s="617"/>
      <c r="I51" s="709"/>
    </row>
    <row r="52" spans="1:10" ht="16" thickBot="1" x14ac:dyDescent="0.25">
      <c r="A52" s="1163" t="s">
        <v>169</v>
      </c>
      <c r="B52" s="1163"/>
      <c r="C52" s="805" t="s">
        <v>85</v>
      </c>
      <c r="D52" s="805" t="s">
        <v>170</v>
      </c>
      <c r="E52" s="791" t="s">
        <v>171</v>
      </c>
      <c r="F52" s="709"/>
      <c r="G52" s="709"/>
      <c r="H52" s="617"/>
      <c r="I52" s="709"/>
    </row>
    <row r="53" spans="1:10" x14ac:dyDescent="0.2">
      <c r="A53" s="1165"/>
      <c r="B53" s="1166"/>
      <c r="C53" s="806"/>
      <c r="D53" s="807"/>
      <c r="E53" s="842">
        <f>+(C53*D53)/(1-'OH&amp;P'!$E$5)</f>
        <v>0</v>
      </c>
      <c r="F53" s="709"/>
      <c r="G53" s="709"/>
      <c r="H53" s="617"/>
      <c r="I53" s="709"/>
    </row>
    <row r="54" spans="1:10" x14ac:dyDescent="0.2">
      <c r="A54" s="1167"/>
      <c r="B54" s="1168"/>
      <c r="C54" s="666"/>
      <c r="D54" s="809"/>
      <c r="E54" s="843">
        <f>+(C54*D54)/(1-'OH&amp;P'!$E$5)</f>
        <v>0</v>
      </c>
      <c r="F54" s="709"/>
      <c r="G54" s="709"/>
      <c r="H54" s="709"/>
      <c r="I54" s="709"/>
    </row>
    <row r="55" spans="1:10" ht="16" thickBot="1" x14ac:dyDescent="0.25">
      <c r="A55" s="1169"/>
      <c r="B55" s="1170"/>
      <c r="C55" s="810"/>
      <c r="D55" s="811"/>
      <c r="E55" s="844">
        <f>+(C55*D55)/(1-'OH&amp;P'!$E$5)</f>
        <v>0</v>
      </c>
      <c r="F55" s="709"/>
      <c r="G55" s="709"/>
      <c r="H55" s="709"/>
      <c r="I55" s="709"/>
    </row>
    <row r="56" spans="1:10" ht="16" thickBot="1" x14ac:dyDescent="0.25">
      <c r="A56" s="812"/>
      <c r="B56" s="1132" t="s">
        <v>90</v>
      </c>
      <c r="C56" s="1133"/>
      <c r="D56" s="1134"/>
      <c r="E56" s="841">
        <f>SUM(E53:E55)</f>
        <v>0</v>
      </c>
      <c r="F56" s="709"/>
      <c r="G56" s="709"/>
      <c r="H56" s="709"/>
      <c r="I56" s="709"/>
    </row>
    <row r="57" spans="1:10" ht="9" customHeight="1" x14ac:dyDescent="0.2">
      <c r="E57" s="845"/>
    </row>
    <row r="58" spans="1:10" ht="17" x14ac:dyDescent="0.25">
      <c r="A58" s="1117" t="s">
        <v>261</v>
      </c>
      <c r="B58" s="1117"/>
      <c r="C58" s="1117"/>
      <c r="D58" s="676"/>
      <c r="E58" s="846">
        <f>+C11+E22+E31+E38+E49+E56</f>
        <v>216865.99220272904</v>
      </c>
    </row>
    <row r="60" spans="1:10" x14ac:dyDescent="0.2">
      <c r="A60" s="1131" t="s">
        <v>177</v>
      </c>
      <c r="B60" s="1131"/>
      <c r="C60" s="1131"/>
      <c r="D60" s="1131"/>
      <c r="E60" s="1131"/>
      <c r="F60" s="1131"/>
      <c r="G60" s="1131"/>
      <c r="H60" s="1131"/>
      <c r="I60" s="1131"/>
    </row>
    <row r="61" spans="1:10" ht="16" thickBot="1" x14ac:dyDescent="0.25">
      <c r="A61" s="1163" t="s">
        <v>178</v>
      </c>
      <c r="B61" s="1163"/>
      <c r="C61" s="1163"/>
      <c r="D61" s="1164" t="s">
        <v>179</v>
      </c>
      <c r="E61" s="1164"/>
      <c r="F61" s="1144" t="s">
        <v>180</v>
      </c>
      <c r="G61" s="1144"/>
      <c r="H61" s="1144" t="s">
        <v>171</v>
      </c>
      <c r="I61" s="1144"/>
    </row>
    <row r="62" spans="1:10" x14ac:dyDescent="0.2">
      <c r="A62" s="1154"/>
      <c r="B62" s="1155"/>
      <c r="C62" s="1155"/>
      <c r="D62" s="1158"/>
      <c r="E62" s="1158"/>
      <c r="F62" s="1145"/>
      <c r="G62" s="1145"/>
      <c r="H62" s="1148">
        <f>+F62/(1-'OH&amp;P'!$F$5)</f>
        <v>0</v>
      </c>
      <c r="I62" s="1149"/>
      <c r="J62" s="709"/>
    </row>
    <row r="63" spans="1:10" x14ac:dyDescent="0.2">
      <c r="A63" s="1156"/>
      <c r="B63" s="1157"/>
      <c r="C63" s="1157"/>
      <c r="D63" s="1159"/>
      <c r="E63" s="1159"/>
      <c r="F63" s="1146"/>
      <c r="G63" s="1146"/>
      <c r="H63" s="1150">
        <f>+F63/(1-'OH&amp;P'!$F$5)</f>
        <v>0</v>
      </c>
      <c r="I63" s="1151"/>
      <c r="J63" s="709"/>
    </row>
    <row r="64" spans="1:10" ht="16" thickBot="1" x14ac:dyDescent="0.25">
      <c r="A64" s="1161"/>
      <c r="B64" s="1162"/>
      <c r="C64" s="1162"/>
      <c r="D64" s="1160"/>
      <c r="E64" s="1160"/>
      <c r="F64" s="1147"/>
      <c r="G64" s="1147"/>
      <c r="H64" s="1152">
        <f>+F64/(1-'OH&amp;P'!$F$5)</f>
        <v>0</v>
      </c>
      <c r="I64" s="1153"/>
      <c r="J64" s="709"/>
    </row>
    <row r="65" spans="1:9" ht="16" thickBot="1" x14ac:dyDescent="0.25">
      <c r="A65" s="812"/>
      <c r="B65" s="813"/>
      <c r="C65" s="814"/>
      <c r="D65" s="1142" t="s">
        <v>181</v>
      </c>
      <c r="E65" s="1142"/>
      <c r="F65" s="1143"/>
      <c r="G65" s="804"/>
      <c r="H65" s="1140">
        <f>SUM(H62:I64)</f>
        <v>0</v>
      </c>
      <c r="I65" s="1141"/>
    </row>
  </sheetData>
  <sheetProtection password="CC70" sheet="1" objects="1" scenarios="1"/>
  <mergeCells count="36">
    <mergeCell ref="A64:C64"/>
    <mergeCell ref="A61:C61"/>
    <mergeCell ref="D61:E61"/>
    <mergeCell ref="A52:B52"/>
    <mergeCell ref="A53:B53"/>
    <mergeCell ref="A54:B54"/>
    <mergeCell ref="A55:B55"/>
    <mergeCell ref="H65:I65"/>
    <mergeCell ref="D65:F65"/>
    <mergeCell ref="A60:I60"/>
    <mergeCell ref="F61:G61"/>
    <mergeCell ref="F62:G62"/>
    <mergeCell ref="F63:G63"/>
    <mergeCell ref="F64:G64"/>
    <mergeCell ref="H61:I61"/>
    <mergeCell ref="H62:I62"/>
    <mergeCell ref="H63:I63"/>
    <mergeCell ref="H64:I64"/>
    <mergeCell ref="A62:C62"/>
    <mergeCell ref="A63:C63"/>
    <mergeCell ref="D62:E62"/>
    <mergeCell ref="D63:E63"/>
    <mergeCell ref="D64:E64"/>
    <mergeCell ref="A51:E51"/>
    <mergeCell ref="B56:D56"/>
    <mergeCell ref="A58:C58"/>
    <mergeCell ref="A1:E1"/>
    <mergeCell ref="A40:E40"/>
    <mergeCell ref="B49:D49"/>
    <mergeCell ref="A33:E33"/>
    <mergeCell ref="B38:D38"/>
    <mergeCell ref="A3:C3"/>
    <mergeCell ref="A11:B11"/>
    <mergeCell ref="A13:E13"/>
    <mergeCell ref="B22:D22"/>
    <mergeCell ref="A24:E24"/>
  </mergeCells>
  <dataValidations count="1">
    <dataValidation type="list" allowBlank="1" showInputMessage="1" showErrorMessage="1" sqref="B15:B21 B26:B30 B35:B37 B42:B48">
      <formula1>logic</formula1>
    </dataValidation>
  </dataValidations>
  <pageMargins left="0.7" right="0.7" top="0.75" bottom="0.75" header="0.3" footer="0.3"/>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002060"/>
  </sheetPr>
  <dimension ref="A1:R50"/>
  <sheetViews>
    <sheetView showZeros="0" zoomScale="163" zoomScaleNormal="163" zoomScalePageLayoutView="163" workbookViewId="0">
      <selection activeCell="A21" sqref="A21:F21"/>
    </sheetView>
  </sheetViews>
  <sheetFormatPr baseColWidth="10" defaultColWidth="8.83203125" defaultRowHeight="15" x14ac:dyDescent="0.2"/>
  <cols>
    <col min="1" max="1" width="6.6640625" style="571" customWidth="1"/>
    <col min="2" max="2" width="11.5" style="571" customWidth="1"/>
    <col min="3" max="3" width="12.83203125" style="571" customWidth="1"/>
    <col min="4" max="4" width="4.33203125" style="571" customWidth="1"/>
    <col min="5" max="5" width="10.6640625" style="571" customWidth="1"/>
    <col min="6" max="6" width="14.33203125" style="571" customWidth="1"/>
    <col min="7" max="7" width="11.83203125" style="571" customWidth="1"/>
    <col min="8" max="8" width="10.6640625" style="571" customWidth="1"/>
    <col min="9" max="9" width="10.33203125" style="571" customWidth="1"/>
    <col min="10" max="12" width="8.5" style="571" customWidth="1"/>
    <col min="13" max="13" width="6.5" style="571" customWidth="1"/>
    <col min="14" max="14" width="6.6640625" style="571" customWidth="1"/>
    <col min="15" max="16384" width="8.83203125" style="571"/>
  </cols>
  <sheetData>
    <row r="1" spans="1:18" ht="16" x14ac:dyDescent="0.25">
      <c r="A1" s="1229">
        <f>+'Job Info'!B9</f>
        <v>42439</v>
      </c>
      <c r="B1" s="1229"/>
      <c r="C1" s="947"/>
      <c r="D1" s="947"/>
      <c r="E1" s="1171" t="s">
        <v>1136</v>
      </c>
      <c r="F1" s="1171"/>
      <c r="G1" s="1171"/>
      <c r="H1" s="1171"/>
      <c r="I1" s="1171"/>
      <c r="J1" s="947"/>
      <c r="K1" s="947"/>
      <c r="L1" s="947"/>
      <c r="M1" s="947"/>
      <c r="N1" s="947"/>
    </row>
    <row r="2" spans="1:18" ht="3.75" customHeight="1" thickBot="1" x14ac:dyDescent="0.25">
      <c r="A2" s="947"/>
      <c r="B2" s="947"/>
      <c r="C2" s="947"/>
      <c r="D2" s="947"/>
      <c r="E2" s="947"/>
      <c r="F2" s="947"/>
      <c r="G2" s="947"/>
      <c r="H2" s="947"/>
      <c r="I2" s="947"/>
      <c r="J2" s="947"/>
      <c r="K2" s="947"/>
      <c r="L2" s="947"/>
      <c r="M2" s="947"/>
      <c r="N2" s="947"/>
    </row>
    <row r="3" spans="1:18" ht="15" customHeight="1" thickTop="1" x14ac:dyDescent="0.2">
      <c r="A3" s="1246" t="s">
        <v>444</v>
      </c>
      <c r="B3" s="1247"/>
      <c r="C3" s="1248"/>
      <c r="D3" s="947"/>
      <c r="E3" s="1249" t="s">
        <v>34</v>
      </c>
      <c r="F3" s="1250"/>
      <c r="G3" s="1250"/>
      <c r="H3" s="1250"/>
      <c r="I3" s="1251"/>
      <c r="J3" s="947"/>
      <c r="K3" s="947"/>
      <c r="L3" s="947"/>
      <c r="M3" s="947"/>
      <c r="N3" s="947"/>
    </row>
    <row r="4" spans="1:18" ht="15" customHeight="1" x14ac:dyDescent="0.2">
      <c r="A4" s="1226" t="str">
        <f>+'Job Info'!B20</f>
        <v>Nathan Moroney</v>
      </c>
      <c r="B4" s="1227"/>
      <c r="C4" s="1228"/>
      <c r="D4" s="947"/>
      <c r="E4" s="948" t="s">
        <v>203</v>
      </c>
      <c r="F4" s="1237" t="str">
        <f>+'Job Info'!B4</f>
        <v>Nike WHQ Exp - Merchandising Bldg</v>
      </c>
      <c r="G4" s="1238"/>
      <c r="H4" s="1238"/>
      <c r="I4" s="1239"/>
      <c r="J4" s="947"/>
      <c r="K4" s="947"/>
      <c r="L4" s="947"/>
      <c r="M4" s="947"/>
      <c r="N4" s="947"/>
    </row>
    <row r="5" spans="1:18" ht="15" customHeight="1" x14ac:dyDescent="0.2">
      <c r="A5" s="1226" t="str">
        <f>+'Job Info'!A20</f>
        <v>Hoffman Construction Company</v>
      </c>
      <c r="B5" s="1227"/>
      <c r="C5" s="1228"/>
      <c r="D5" s="947"/>
      <c r="E5" s="949" t="s">
        <v>418</v>
      </c>
      <c r="F5" s="1240" t="str">
        <f>+'Job Info'!B5</f>
        <v>Bid Pkg #2 - All Other Work</v>
      </c>
      <c r="G5" s="1241"/>
      <c r="H5" s="1241"/>
      <c r="I5" s="1242"/>
      <c r="J5" s="947"/>
      <c r="K5" s="947"/>
      <c r="L5" s="947"/>
      <c r="M5" s="947"/>
      <c r="N5" s="947"/>
    </row>
    <row r="6" spans="1:18" ht="15" customHeight="1" x14ac:dyDescent="0.2">
      <c r="A6" s="1231" t="str">
        <f>+'Job Info'!C20</f>
        <v>805 SW Broadway, Suite 2100</v>
      </c>
      <c r="B6" s="1232"/>
      <c r="C6" s="1233"/>
      <c r="D6" s="947"/>
      <c r="E6" s="950" t="s">
        <v>424</v>
      </c>
      <c r="F6" s="951" t="s">
        <v>1132</v>
      </c>
      <c r="G6" s="952" t="s">
        <v>1135</v>
      </c>
      <c r="H6" s="952"/>
      <c r="I6" s="953"/>
      <c r="J6" s="947"/>
      <c r="K6" s="947"/>
      <c r="L6" s="947"/>
      <c r="M6" s="947"/>
      <c r="N6" s="947"/>
    </row>
    <row r="7" spans="1:18" ht="15" customHeight="1" thickBot="1" x14ac:dyDescent="0.3">
      <c r="A7" s="1234" t="str">
        <f>+'Job Info'!D20</f>
        <v>Portland, OR 97205</v>
      </c>
      <c r="B7" s="1235"/>
      <c r="C7" s="1236"/>
      <c r="D7" s="947"/>
      <c r="E7" s="954" t="s">
        <v>57</v>
      </c>
      <c r="F7" s="1243" t="s">
        <v>1131</v>
      </c>
      <c r="G7" s="1244"/>
      <c r="H7" s="1244"/>
      <c r="I7" s="1245"/>
      <c r="J7" s="947"/>
      <c r="K7" s="1252" t="s">
        <v>441</v>
      </c>
      <c r="L7" s="1252"/>
      <c r="M7" s="1252"/>
      <c r="N7" s="947"/>
    </row>
    <row r="8" spans="1:18" ht="4.5" customHeight="1" x14ac:dyDescent="0.2">
      <c r="A8" s="955"/>
      <c r="B8" s="955"/>
      <c r="C8" s="955"/>
      <c r="D8" s="955"/>
      <c r="E8" s="955"/>
      <c r="F8" s="955"/>
      <c r="G8" s="955"/>
      <c r="H8" s="955"/>
      <c r="I8" s="955"/>
      <c r="J8" s="955"/>
      <c r="K8" s="955"/>
      <c r="L8" s="955"/>
      <c r="M8" s="955"/>
      <c r="N8" s="955"/>
    </row>
    <row r="9" spans="1:18" ht="24.75" customHeight="1" x14ac:dyDescent="0.2">
      <c r="A9" s="1230" t="s">
        <v>417</v>
      </c>
      <c r="B9" s="1230"/>
      <c r="C9" s="1230"/>
      <c r="D9" s="1230"/>
      <c r="E9" s="1230"/>
      <c r="F9" s="1230"/>
      <c r="G9" s="1230"/>
      <c r="H9" s="1230"/>
      <c r="I9" s="1230"/>
      <c r="J9" s="1230"/>
      <c r="K9" s="1230"/>
      <c r="L9" s="1230"/>
      <c r="M9" s="1230"/>
      <c r="N9" s="1230"/>
    </row>
    <row r="10" spans="1:18" ht="3" customHeight="1" x14ac:dyDescent="0.2">
      <c r="A10" s="956"/>
      <c r="B10" s="956"/>
      <c r="C10" s="956"/>
      <c r="D10" s="956"/>
      <c r="E10" s="956"/>
      <c r="F10" s="956"/>
      <c r="G10" s="956"/>
      <c r="H10" s="956"/>
      <c r="I10" s="956"/>
      <c r="J10" s="956"/>
      <c r="K10" s="956"/>
      <c r="L10" s="956"/>
      <c r="M10" s="956"/>
      <c r="N10" s="956"/>
    </row>
    <row r="11" spans="1:18" ht="19" x14ac:dyDescent="0.3">
      <c r="A11" s="1207" t="s">
        <v>421</v>
      </c>
      <c r="B11" s="1207"/>
      <c r="C11" s="1207"/>
      <c r="D11" s="1207"/>
      <c r="E11" s="1207"/>
      <c r="F11" s="1207"/>
      <c r="G11" s="1207"/>
      <c r="H11" s="1207"/>
      <c r="I11" s="1207"/>
      <c r="J11" s="1207"/>
      <c r="K11" s="1207"/>
      <c r="L11" s="1207"/>
      <c r="M11" s="1207"/>
      <c r="N11" s="1207"/>
    </row>
    <row r="12" spans="1:18" ht="3.75" customHeight="1" thickBot="1" x14ac:dyDescent="0.25">
      <c r="A12" s="956"/>
      <c r="B12" s="956"/>
      <c r="C12" s="956"/>
      <c r="D12" s="956"/>
      <c r="E12" s="956"/>
      <c r="F12" s="956"/>
      <c r="G12" s="956"/>
      <c r="H12" s="956"/>
      <c r="I12" s="956"/>
      <c r="J12" s="956"/>
      <c r="K12" s="956"/>
      <c r="L12" s="956"/>
      <c r="M12" s="956"/>
      <c r="N12" s="956"/>
    </row>
    <row r="13" spans="1:18" ht="24" x14ac:dyDescent="0.2">
      <c r="A13" s="1253" t="s">
        <v>419</v>
      </c>
      <c r="B13" s="1194"/>
      <c r="C13" s="1194"/>
      <c r="D13" s="1194" t="s">
        <v>148</v>
      </c>
      <c r="E13" s="1194"/>
      <c r="F13" s="957" t="s">
        <v>149</v>
      </c>
      <c r="G13" s="957" t="s">
        <v>150</v>
      </c>
      <c r="H13" s="957" t="s">
        <v>151</v>
      </c>
      <c r="I13" s="958" t="s">
        <v>420</v>
      </c>
      <c r="J13" s="957" t="s">
        <v>297</v>
      </c>
      <c r="K13" s="957" t="s">
        <v>60</v>
      </c>
      <c r="L13" s="957" t="s">
        <v>429</v>
      </c>
      <c r="M13" s="1194" t="s">
        <v>171</v>
      </c>
      <c r="N13" s="1195"/>
    </row>
    <row r="14" spans="1:18" ht="16" x14ac:dyDescent="0.25">
      <c r="A14" s="1208" t="str">
        <f>+'Job Info'!B6</f>
        <v>Painting &amp; Coatings</v>
      </c>
      <c r="B14" s="1209"/>
      <c r="C14" s="1209"/>
      <c r="D14" s="1196">
        <f>+Summary!G46</f>
        <v>831670.59012067108</v>
      </c>
      <c r="E14" s="1196"/>
      <c r="F14" s="972">
        <f>+Summary!J46</f>
        <v>377594.89624390693</v>
      </c>
      <c r="G14" s="973">
        <f>+Summary!L46</f>
        <v>23416.435826408124</v>
      </c>
      <c r="H14" s="973">
        <f>+Summary!M46</f>
        <v>216865.99220272907</v>
      </c>
      <c r="I14" s="974">
        <f>+Summary!N45</f>
        <v>0</v>
      </c>
      <c r="J14" s="975">
        <f>IF('Admin Set Up'!$D$13="yes",-(Summary!E46*'Admin Set Up'!$B$13),0)</f>
        <v>0</v>
      </c>
      <c r="K14" s="974">
        <f>IF('Admin Set Up'!$D$11="yes",'Admin Set Up'!$B$11*('New Proposal'!D14+'New Proposal'!F14+'New Proposal'!G14+'New Proposal'!H14+'New Proposal'!I14+'New Proposal'!J14),0)</f>
        <v>0</v>
      </c>
      <c r="L14" s="974">
        <f>IF('Admin Set Up'!$D$12="yes",'Admin Set Up'!$B$12*('New Proposal'!D14+'New Proposal'!F14+'New Proposal'!G14+'New Proposal'!H14+'New Proposal'!I14+'New Proposal'!J14+'New Proposal'!K14),0)</f>
        <v>0</v>
      </c>
      <c r="M14" s="1196">
        <f>SUM(D14:L14)</f>
        <v>1449547.9143937151</v>
      </c>
      <c r="N14" s="1197"/>
      <c r="O14" s="959"/>
      <c r="Q14" s="1061">
        <f>+M14-500000</f>
        <v>949547.91439371509</v>
      </c>
      <c r="R14" s="571">
        <f>(+Q14/1000)*10</f>
        <v>9495.4791439371511</v>
      </c>
    </row>
    <row r="15" spans="1:18" x14ac:dyDescent="0.2">
      <c r="A15" s="1224" t="s">
        <v>1105</v>
      </c>
      <c r="B15" s="1225"/>
      <c r="C15" s="1225"/>
      <c r="D15" s="1214">
        <f>IF(A15=Data!A$68,Data!B$68,0)+IF(A15=Data!A$69,Data!B$69,0)+IF(A15=Data!A$70,Data!B$70,0)+IF(A15=Data!A$71,Data!B$71,0)+IF(A15=Data!A$72,Data!B$72,0)</f>
        <v>13701.485416666666</v>
      </c>
      <c r="E15" s="1214"/>
      <c r="F15" s="976">
        <f>IF($D$15=Data!$B$68,Data!C$68,0)+IF($D$15=Data!$B$69,Data!C$69,0)+IF($D$15=Data!$B$70,Data!C$70,0)+IF($D$15=Data!$B$71,Data!C$71,0)+IF($D$15=Data!$B$72,Data!C$72,0)</f>
        <v>3707.4074074074069</v>
      </c>
      <c r="G15" s="976">
        <f>IF($D$15=Data!$B$68,Data!D$68,0)+IF($D$15=Data!$B$69,Data!D$69,0)+IF($D$15=Data!$B$70,Data!D$70,0)+IF($D$15=Data!$B$71,Data!D$71,0)+IF($D$15=Data!$B$72,Data!D$72,0)</f>
        <v>0</v>
      </c>
      <c r="H15" s="976">
        <f>IF($D$15=Data!$B$68,Data!E$68,0)+IF($D$15=Data!$B$69,Data!E$69,0)+IF($D$15=Data!$B$70,Data!E$70,0)+IF($D$15=Data!$B$71,Data!E$71,0)+IF($D$15=Data!$B$72,Data!E$72,0)</f>
        <v>3122.057859100727</v>
      </c>
      <c r="I15" s="960"/>
      <c r="J15" s="978">
        <f>IF('Admin Set Up'!$D$13="yes",-(D15/(Summary!$G$61/Summary!$E$61)*'Admin Set Up'!$B$13),0)</f>
        <v>0</v>
      </c>
      <c r="K15" s="979">
        <f>IF('Admin Set Up'!$D$11="yes",'Admin Set Up'!$B$11*('New Proposal'!D15+'New Proposal'!F15+'New Proposal'!G15+'New Proposal'!H15+'New Proposal'!I15+'New Proposal'!J15),0)</f>
        <v>0</v>
      </c>
      <c r="L15" s="976">
        <f>IF('Admin Set Up'!$D$12="yes",'Admin Set Up'!$B$12*('New Proposal'!D15+'New Proposal'!F15+'New Proposal'!G15+'New Proposal'!H15+'New Proposal'!I15+'New Proposal'!J15+'New Proposal'!K15),0)</f>
        <v>0</v>
      </c>
      <c r="M15" s="1215">
        <f t="shared" ref="M15:M18" si="0">SUM(D15:L15)</f>
        <v>20530.9506831748</v>
      </c>
      <c r="N15" s="1216"/>
      <c r="O15" s="959"/>
    </row>
    <row r="16" spans="1:18" x14ac:dyDescent="0.2">
      <c r="A16" s="1211" t="s">
        <v>1106</v>
      </c>
      <c r="B16" s="1212"/>
      <c r="C16" s="1213"/>
      <c r="D16" s="1214">
        <f>IF(A16=Data!A$68,Data!B$68,0)+IF(A16=Data!A$69,Data!B$69,0)+IF(A16=Data!A$70,Data!B$70,0)+IF(A16=Data!A$71,Data!B$71,0)+IF(A16=Data!A$72,Data!B$72,0)</f>
        <v>3195.6292754629635</v>
      </c>
      <c r="E16" s="1214"/>
      <c r="F16" s="976">
        <f>IF($D$16=Data!$B$68,Data!C$68,0)+IF($D$16=Data!$B$69,Data!C$69,0)+IF($D$16=Data!$B$70,Data!C$70,0)+IF($D$16=Data!$B$71,Data!C$71,0)+IF($D$16=Data!$B$72,Data!C$72,0)</f>
        <v>1055.6786008230451</v>
      </c>
      <c r="G16" s="976">
        <f>IF($D$16=Data!$B$68,Data!D$68,0)+IF($D$16=Data!$B$69,Data!D$69,0)+IF($D$16=Data!$B$70,Data!D$70,0)+IF($D$16=Data!$B$71,Data!D$71,0)+IF($D$16=Data!$B$72,Data!D$72,0)</f>
        <v>0</v>
      </c>
      <c r="H16" s="976">
        <f>IF($D$16=Data!$B$68,Data!E$68,0)+IF($D$16=Data!$B$69,Data!E$69,0)+IF($D$16=Data!$B$70,Data!E$70,0)+IF($D$16=Data!$B$71,Data!E$71,0)+IF($D$16=Data!$B$72,Data!E$72,0)</f>
        <v>762.41661665359209</v>
      </c>
      <c r="I16" s="960"/>
      <c r="J16" s="978">
        <f>IF('Admin Set Up'!$D$13="yes",-(D16/(Summary!$G$61/Summary!$E$61)*'Admin Set Up'!$B$13),0)</f>
        <v>0</v>
      </c>
      <c r="K16" s="979">
        <f>IF('Admin Set Up'!$D$11="yes",'Admin Set Up'!$B$11*('New Proposal'!D16+'New Proposal'!F16+'New Proposal'!G16+'New Proposal'!H16+'New Proposal'!I16+'New Proposal'!J16),0)</f>
        <v>0</v>
      </c>
      <c r="L16" s="979">
        <f>IF('Admin Set Up'!$D$12="yes",'Admin Set Up'!$B$12*('New Proposal'!D16+'New Proposal'!F16+'New Proposal'!G16+'New Proposal'!H16+'New Proposal'!I16+'New Proposal'!J16+'New Proposal'!K16),0)</f>
        <v>0</v>
      </c>
      <c r="M16" s="1217">
        <f t="shared" si="0"/>
        <v>5013.7244929396011</v>
      </c>
      <c r="N16" s="1218"/>
      <c r="O16" s="959"/>
    </row>
    <row r="17" spans="1:15" x14ac:dyDescent="0.2">
      <c r="A17" s="1211" t="s">
        <v>1107</v>
      </c>
      <c r="B17" s="1212"/>
      <c r="C17" s="1213"/>
      <c r="D17" s="1214">
        <f>IF(A17=Data!A$68,Data!B$68,0)+IF(A17=Data!A$69,Data!B$69,0)+IF(A17=Data!A$70,Data!B$70,0)+IF(A17=Data!A$71,Data!B$71,0)+IF(A17=Data!A$72,Data!B$72,0)</f>
        <v>3205.4333333333334</v>
      </c>
      <c r="E17" s="1214"/>
      <c r="F17" s="976">
        <f>IF($D$17=Data!$B$68,Data!C$68,0)+IF($D$17=Data!$B$69,Data!C$69,0)+IF($D$17=Data!$B$70,Data!C$70,0)+IF($D$17=Data!$B$71,Data!C$71,0)+IF($D$17=Data!$B$72,Data!C$72,0)</f>
        <v>698.51851851851848</v>
      </c>
      <c r="G17" s="976">
        <f>IF($D$17=Data!$B$68,Data!D$68,0)+IF($D$17=Data!$B$69,Data!D$69,0)+IF($D$17=Data!$B$70,Data!D$70,0)+IF($D$17=Data!$B$71,Data!D$71,0)+IF($D$17=Data!$B$72,Data!D$72,0)</f>
        <v>0</v>
      </c>
      <c r="H17" s="976">
        <f>IF($D$17=Data!$B$68,Data!E$68,0)+IF($D$17=Data!$B$69,Data!E$69,0)+IF($D$17=Data!$B$70,Data!E$70,0)+IF($D$17=Data!$B$71,Data!E$71,0)+IF($D$17=Data!$B$72,Data!E$72,0)</f>
        <v>700.12284432988758</v>
      </c>
      <c r="I17" s="960"/>
      <c r="J17" s="978">
        <f>IF('Admin Set Up'!$D$13="yes",-(D17/(Summary!$G$61/Summary!$E$61)*'Admin Set Up'!$B$13),0)</f>
        <v>0</v>
      </c>
      <c r="K17" s="979">
        <f>IF('Admin Set Up'!$D$11="yes",'Admin Set Up'!$B$11*('New Proposal'!D17+'New Proposal'!F17+'New Proposal'!G17+'New Proposal'!H17+'New Proposal'!I17+'New Proposal'!J17),0)</f>
        <v>0</v>
      </c>
      <c r="L17" s="979">
        <f>IF('Admin Set Up'!$D$12="yes",'Admin Set Up'!$B$12*('New Proposal'!D17+'New Proposal'!F17+'New Proposal'!G17+'New Proposal'!H17+'New Proposal'!I17+'New Proposal'!J17+'New Proposal'!K17),0)</f>
        <v>0</v>
      </c>
      <c r="M17" s="1217">
        <f t="shared" si="0"/>
        <v>4604.0746961817395</v>
      </c>
      <c r="N17" s="1218"/>
      <c r="O17" s="959"/>
    </row>
    <row r="18" spans="1:15" ht="16" thickBot="1" x14ac:dyDescent="0.25">
      <c r="A18" s="1178" t="s">
        <v>1108</v>
      </c>
      <c r="B18" s="1179"/>
      <c r="C18" s="1180"/>
      <c r="D18" s="1181">
        <f>IF(A18=Data!A$68,Data!B$68,0)+IF(A18=Data!A$69,Data!B$69,0)+IF(A18=Data!A$70,Data!B$70,0)+IF(A18=Data!A$71,Data!B$71,0)+IF(A18=Data!A$72,Data!B$72,0)</f>
        <v>-5091.1749417989413</v>
      </c>
      <c r="E18" s="1181"/>
      <c r="F18" s="977">
        <f>IF($D$18=Data!$B$68,Data!C$68,0)+IF($D$18=Data!$B$69,Data!C$69,0)+IF($D$18=Data!$B$70,Data!C$70,0)+IF($D$18=Data!$B$71,Data!C$71,0)+IF($D$18=Data!$B$72,Data!C$72,0)</f>
        <v>-5605.1207524985293</v>
      </c>
      <c r="G18" s="977">
        <f>IF($D$18=Data!$B$68,Data!D$68,0)+IF($D$18=Data!$B$69,Data!D$69,0)+IF($D$18=Data!$B$70,Data!D$70,0)+IF($D$18=Data!$B$71,Data!D$71,0)+IF($D$18=Data!$B$72,Data!D$72,0)</f>
        <v>0</v>
      </c>
      <c r="H18" s="977">
        <f>IF($D$18=Data!$B$68,Data!E$68,0)+IF($D$18=Data!$B$69,Data!E$69,0)+IF($D$18=Data!$B$70,Data!E$70,0)+IF($D$18=Data!$B$71,Data!E$71,0)+IF($D$18=Data!$B$72,Data!E$72,0)</f>
        <v>-1918.2411180949321</v>
      </c>
      <c r="I18" s="961"/>
      <c r="J18" s="980">
        <f>IF('Admin Set Up'!$D$13="yes",-(D18/(Summary!$G$61/Summary!$E$61)*'Admin Set Up'!$B$13),0)</f>
        <v>0</v>
      </c>
      <c r="K18" s="977">
        <f>IF('Admin Set Up'!$D$11="yes",'Admin Set Up'!$B$11*('New Proposal'!D18+'New Proposal'!F18+'New Proposal'!G18+'New Proposal'!H18+'New Proposal'!I18+'New Proposal'!J18),0)</f>
        <v>0</v>
      </c>
      <c r="L18" s="977">
        <f>IF('Admin Set Up'!$D$12="yes",'Admin Set Up'!$B$12*('New Proposal'!D18+'New Proposal'!F18+'New Proposal'!G18+'New Proposal'!H18+'New Proposal'!I18+'New Proposal'!J18+'New Proposal'!K18),0)</f>
        <v>0</v>
      </c>
      <c r="M18" s="1198">
        <f t="shared" si="0"/>
        <v>-12614.536812392402</v>
      </c>
      <c r="N18" s="1199"/>
      <c r="O18" s="959"/>
    </row>
    <row r="19" spans="1:15" ht="4.5" customHeight="1" x14ac:dyDescent="0.2">
      <c r="A19" s="956"/>
      <c r="B19" s="956"/>
      <c r="C19" s="956"/>
      <c r="D19" s="956"/>
      <c r="E19" s="956"/>
      <c r="F19" s="956"/>
      <c r="G19" s="956"/>
      <c r="H19" s="956"/>
      <c r="I19" s="956"/>
      <c r="J19" s="956"/>
      <c r="K19" s="956"/>
      <c r="L19" s="956"/>
      <c r="M19" s="956"/>
      <c r="N19" s="956"/>
    </row>
    <row r="20" spans="1:15" ht="17" thickBot="1" x14ac:dyDescent="0.3">
      <c r="A20" s="1210" t="s">
        <v>423</v>
      </c>
      <c r="B20" s="1210"/>
      <c r="C20" s="1210"/>
      <c r="D20" s="1210"/>
      <c r="E20" s="1210"/>
      <c r="F20" s="1210"/>
      <c r="G20" s="1210"/>
      <c r="H20" s="1210"/>
      <c r="I20" s="1210"/>
      <c r="J20" s="1210"/>
      <c r="K20" s="1210"/>
      <c r="L20" s="1210"/>
      <c r="M20" s="1210"/>
      <c r="N20" s="1210"/>
    </row>
    <row r="21" spans="1:15" ht="27.75" customHeight="1" x14ac:dyDescent="0.2">
      <c r="A21" s="1200" t="s">
        <v>1128</v>
      </c>
      <c r="B21" s="1201"/>
      <c r="C21" s="1201"/>
      <c r="D21" s="1201"/>
      <c r="E21" s="1201"/>
      <c r="F21" s="1201"/>
      <c r="G21" s="962"/>
      <c r="H21" s="1202" t="s">
        <v>1009</v>
      </c>
      <c r="I21" s="1202"/>
      <c r="J21" s="1202"/>
      <c r="K21" s="1202"/>
      <c r="L21" s="1202"/>
      <c r="M21" s="1202"/>
      <c r="N21" s="1203"/>
    </row>
    <row r="22" spans="1:15" ht="23.25" customHeight="1" x14ac:dyDescent="0.2">
      <c r="A22" s="1204" t="s">
        <v>1130</v>
      </c>
      <c r="B22" s="1205"/>
      <c r="C22" s="1205"/>
      <c r="D22" s="1205"/>
      <c r="E22" s="1205"/>
      <c r="F22" s="1205"/>
      <c r="G22" s="963"/>
      <c r="H22" s="1205" t="s">
        <v>1111</v>
      </c>
      <c r="I22" s="1205"/>
      <c r="J22" s="1205"/>
      <c r="K22" s="1205"/>
      <c r="L22" s="1205"/>
      <c r="M22" s="1205"/>
      <c r="N22" s="1206"/>
    </row>
    <row r="23" spans="1:15" ht="16" thickBot="1" x14ac:dyDescent="0.25">
      <c r="A23" s="1219" t="s">
        <v>1110</v>
      </c>
      <c r="B23" s="1220"/>
      <c r="C23" s="1220"/>
      <c r="D23" s="1220"/>
      <c r="E23" s="1220"/>
      <c r="F23" s="1220"/>
      <c r="G23" s="964"/>
      <c r="H23" s="1220" t="s">
        <v>1127</v>
      </c>
      <c r="I23" s="1220"/>
      <c r="J23" s="1220"/>
      <c r="K23" s="1220"/>
      <c r="L23" s="1220"/>
      <c r="M23" s="1220"/>
      <c r="N23" s="1221"/>
    </row>
    <row r="24" spans="1:15" ht="5.25" customHeight="1" thickBot="1" x14ac:dyDescent="0.25">
      <c r="A24" s="956"/>
      <c r="B24" s="956"/>
      <c r="C24" s="956"/>
      <c r="D24" s="956"/>
      <c r="E24" s="956"/>
      <c r="F24" s="956"/>
      <c r="G24" s="956"/>
      <c r="H24" s="956"/>
      <c r="I24" s="956"/>
      <c r="J24" s="956"/>
      <c r="K24" s="956"/>
      <c r="L24" s="956"/>
      <c r="M24" s="956"/>
      <c r="N24" s="956"/>
    </row>
    <row r="25" spans="1:15" ht="6.75" customHeight="1" x14ac:dyDescent="0.2">
      <c r="A25" s="965"/>
      <c r="B25" s="966"/>
      <c r="C25" s="966"/>
      <c r="D25" s="966"/>
      <c r="E25" s="966"/>
      <c r="F25" s="966"/>
      <c r="G25" s="966"/>
      <c r="H25" s="966"/>
      <c r="I25" s="966"/>
      <c r="J25" s="966"/>
      <c r="K25" s="966"/>
      <c r="L25" s="966"/>
      <c r="M25" s="966"/>
      <c r="N25" s="967"/>
    </row>
    <row r="26" spans="1:15" ht="12" customHeight="1" x14ac:dyDescent="0.2">
      <c r="A26" s="1190" t="s">
        <v>425</v>
      </c>
      <c r="B26" s="1176" t="s">
        <v>1069</v>
      </c>
      <c r="C26" s="1177"/>
      <c r="D26" s="1177"/>
      <c r="E26" s="1177"/>
      <c r="F26" s="1177"/>
      <c r="G26" s="1062"/>
      <c r="H26" s="1188" t="s">
        <v>1129</v>
      </c>
      <c r="I26" s="1188"/>
      <c r="J26" s="1188"/>
      <c r="K26" s="1188"/>
      <c r="L26" s="1188"/>
      <c r="M26" s="1189"/>
      <c r="N26" s="1192" t="s">
        <v>426</v>
      </c>
    </row>
    <row r="27" spans="1:15" ht="12" customHeight="1" x14ac:dyDescent="0.2">
      <c r="A27" s="1190"/>
      <c r="B27" s="1174" t="s">
        <v>1139</v>
      </c>
      <c r="C27" s="1175"/>
      <c r="D27" s="1175"/>
      <c r="E27" s="1175"/>
      <c r="F27" s="1175"/>
      <c r="G27" s="1062"/>
      <c r="H27" s="1188" t="s">
        <v>961</v>
      </c>
      <c r="I27" s="1188"/>
      <c r="J27" s="1188"/>
      <c r="K27" s="1188"/>
      <c r="L27" s="1188"/>
      <c r="M27" s="1189"/>
      <c r="N27" s="1192"/>
    </row>
    <row r="28" spans="1:15" ht="12" customHeight="1" x14ac:dyDescent="0.2">
      <c r="A28" s="1190"/>
      <c r="B28" s="1174" t="s">
        <v>1137</v>
      </c>
      <c r="C28" s="1175"/>
      <c r="D28" s="1175"/>
      <c r="E28" s="1175"/>
      <c r="F28" s="1175"/>
      <c r="G28" s="1062"/>
      <c r="H28" s="1188" t="s">
        <v>971</v>
      </c>
      <c r="I28" s="1188"/>
      <c r="J28" s="1188"/>
      <c r="K28" s="1188"/>
      <c r="L28" s="1188"/>
      <c r="M28" s="1189"/>
      <c r="N28" s="1192"/>
    </row>
    <row r="29" spans="1:15" ht="12" customHeight="1" x14ac:dyDescent="0.2">
      <c r="A29" s="1190"/>
      <c r="B29" s="1174" t="s">
        <v>1112</v>
      </c>
      <c r="C29" s="1175"/>
      <c r="D29" s="1175"/>
      <c r="E29" s="1175"/>
      <c r="F29" s="1175"/>
      <c r="G29" s="1062"/>
      <c r="H29" s="1188" t="s">
        <v>1010</v>
      </c>
      <c r="I29" s="1188"/>
      <c r="J29" s="1188"/>
      <c r="K29" s="1188"/>
      <c r="L29" s="1188"/>
      <c r="M29" s="1189"/>
      <c r="N29" s="1192"/>
    </row>
    <row r="30" spans="1:15" ht="12" customHeight="1" x14ac:dyDescent="0.2">
      <c r="A30" s="1190"/>
      <c r="B30" s="1174" t="s">
        <v>1113</v>
      </c>
      <c r="C30" s="1175"/>
      <c r="D30" s="1175"/>
      <c r="E30" s="1175"/>
      <c r="F30" s="1175"/>
      <c r="G30" s="1062"/>
      <c r="H30" s="1188" t="s">
        <v>1114</v>
      </c>
      <c r="I30" s="1188"/>
      <c r="J30" s="1188"/>
      <c r="K30" s="1188"/>
      <c r="L30" s="1188"/>
      <c r="M30" s="1189"/>
      <c r="N30" s="1192"/>
    </row>
    <row r="31" spans="1:15" ht="12" customHeight="1" x14ac:dyDescent="0.2">
      <c r="A31" s="1190"/>
      <c r="B31" s="1174" t="s">
        <v>1115</v>
      </c>
      <c r="C31" s="1175"/>
      <c r="D31" s="1175"/>
      <c r="E31" s="1175"/>
      <c r="F31" s="1175"/>
      <c r="G31" s="1062"/>
      <c r="H31" s="1172" t="s">
        <v>1119</v>
      </c>
      <c r="I31" s="1172"/>
      <c r="J31" s="1172"/>
      <c r="K31" s="1172"/>
      <c r="L31" s="1172"/>
      <c r="M31" s="1173"/>
      <c r="N31" s="1192"/>
    </row>
    <row r="32" spans="1:15" ht="12" customHeight="1" x14ac:dyDescent="0.2">
      <c r="A32" s="1190"/>
      <c r="B32" s="1174" t="s">
        <v>1140</v>
      </c>
      <c r="C32" s="1175"/>
      <c r="D32" s="1175"/>
      <c r="E32" s="1175"/>
      <c r="F32" s="1175"/>
      <c r="G32" s="1062"/>
      <c r="H32" s="1172" t="s">
        <v>1133</v>
      </c>
      <c r="I32" s="1172"/>
      <c r="J32" s="1172"/>
      <c r="K32" s="1172"/>
      <c r="L32" s="1172"/>
      <c r="M32" s="1173"/>
      <c r="N32" s="1192"/>
    </row>
    <row r="33" spans="1:14" ht="12" customHeight="1" x14ac:dyDescent="0.2">
      <c r="A33" s="1190"/>
      <c r="B33" s="1174"/>
      <c r="C33" s="1175"/>
      <c r="D33" s="1175"/>
      <c r="E33" s="1175"/>
      <c r="F33" s="1175"/>
      <c r="G33" s="1062"/>
      <c r="H33" s="1172" t="s">
        <v>1134</v>
      </c>
      <c r="I33" s="1172"/>
      <c r="J33" s="1172"/>
      <c r="K33" s="1172"/>
      <c r="L33" s="1172"/>
      <c r="M33" s="1173"/>
      <c r="N33" s="1192"/>
    </row>
    <row r="34" spans="1:14" ht="12" customHeight="1" x14ac:dyDescent="0.2">
      <c r="A34" s="1190"/>
      <c r="B34" s="1174"/>
      <c r="C34" s="1175"/>
      <c r="D34" s="1175"/>
      <c r="E34" s="1175"/>
      <c r="F34" s="1175"/>
      <c r="G34" s="1062"/>
      <c r="H34" s="1172" t="s">
        <v>1124</v>
      </c>
      <c r="I34" s="1172"/>
      <c r="J34" s="1172"/>
      <c r="K34" s="1172"/>
      <c r="L34" s="1172"/>
      <c r="M34" s="1173"/>
      <c r="N34" s="1192"/>
    </row>
    <row r="35" spans="1:14" ht="12" customHeight="1" x14ac:dyDescent="0.2">
      <c r="A35" s="1190"/>
      <c r="B35" s="1174"/>
      <c r="C35" s="1175"/>
      <c r="D35" s="1175"/>
      <c r="E35" s="1175"/>
      <c r="F35" s="1175"/>
      <c r="G35" s="1062"/>
      <c r="H35" s="1172" t="s">
        <v>1120</v>
      </c>
      <c r="I35" s="1172"/>
      <c r="J35" s="1172"/>
      <c r="K35" s="1172"/>
      <c r="L35" s="1172"/>
      <c r="M35" s="1173"/>
      <c r="N35" s="1192"/>
    </row>
    <row r="36" spans="1:14" ht="12" customHeight="1" x14ac:dyDescent="0.2">
      <c r="A36" s="1190"/>
      <c r="B36" s="1174"/>
      <c r="C36" s="1175"/>
      <c r="D36" s="1175"/>
      <c r="E36" s="1175"/>
      <c r="F36" s="1175"/>
      <c r="G36" s="1062"/>
      <c r="H36" s="1172" t="s">
        <v>1138</v>
      </c>
      <c r="I36" s="1172"/>
      <c r="J36" s="1172"/>
      <c r="K36" s="1172"/>
      <c r="L36" s="1172"/>
      <c r="M36" s="1173"/>
      <c r="N36" s="1192"/>
    </row>
    <row r="37" spans="1:14" ht="12" customHeight="1" x14ac:dyDescent="0.2">
      <c r="A37" s="1190"/>
      <c r="B37" s="1174"/>
      <c r="C37" s="1175"/>
      <c r="D37" s="1175"/>
      <c r="E37" s="1175"/>
      <c r="F37" s="1175"/>
      <c r="G37" s="1062"/>
      <c r="H37" s="1188" t="s">
        <v>432</v>
      </c>
      <c r="I37" s="1188"/>
      <c r="J37" s="1188"/>
      <c r="K37" s="1188"/>
      <c r="L37" s="1188"/>
      <c r="M37" s="1189"/>
      <c r="N37" s="1192"/>
    </row>
    <row r="38" spans="1:14" ht="12" customHeight="1" thickBot="1" x14ac:dyDescent="0.25">
      <c r="A38" s="1191"/>
      <c r="B38" s="1186"/>
      <c r="C38" s="1187"/>
      <c r="D38" s="1187"/>
      <c r="E38" s="1187"/>
      <c r="F38" s="1187"/>
      <c r="G38" s="1063"/>
      <c r="H38" s="1188" t="s">
        <v>433</v>
      </c>
      <c r="I38" s="1188"/>
      <c r="J38" s="1188"/>
      <c r="K38" s="1188"/>
      <c r="L38" s="1188"/>
      <c r="M38" s="1189"/>
      <c r="N38" s="1193"/>
    </row>
    <row r="39" spans="1:14" ht="5.25" customHeight="1" x14ac:dyDescent="0.2">
      <c r="A39" s="968"/>
      <c r="B39" s="968"/>
      <c r="C39" s="968"/>
      <c r="D39" s="968"/>
      <c r="E39" s="968"/>
      <c r="F39" s="968"/>
      <c r="G39" s="968"/>
      <c r="H39" s="968"/>
      <c r="I39" s="968"/>
      <c r="J39" s="968"/>
      <c r="K39" s="968"/>
      <c r="L39" s="968"/>
      <c r="M39" s="968"/>
      <c r="N39" s="968"/>
    </row>
    <row r="40" spans="1:14" ht="32.25" customHeight="1" x14ac:dyDescent="0.2">
      <c r="A40" s="1182" t="s">
        <v>427</v>
      </c>
      <c r="B40" s="1182"/>
      <c r="C40" s="1182"/>
      <c r="D40" s="1182"/>
      <c r="E40" s="1182"/>
      <c r="F40" s="1182"/>
      <c r="G40" s="1182"/>
      <c r="H40" s="1182"/>
      <c r="I40" s="1182"/>
      <c r="J40" s="1182"/>
      <c r="K40" s="1182"/>
      <c r="L40" s="1182"/>
      <c r="M40" s="1182"/>
      <c r="N40" s="1182"/>
    </row>
    <row r="41" spans="1:14" ht="5.25" customHeight="1" x14ac:dyDescent="0.2"/>
    <row r="42" spans="1:14" ht="16" x14ac:dyDescent="0.25">
      <c r="A42" s="570" t="s">
        <v>269</v>
      </c>
      <c r="I42" s="1184" t="s">
        <v>1116</v>
      </c>
      <c r="J42" s="1184"/>
      <c r="K42" s="1184"/>
      <c r="L42" s="1184"/>
      <c r="M42" s="1184"/>
      <c r="N42" s="1184"/>
    </row>
    <row r="43" spans="1:14" ht="3.75" hidden="1" customHeight="1" x14ac:dyDescent="0.25">
      <c r="I43" s="1060"/>
      <c r="J43" s="1060"/>
      <c r="K43" s="1060"/>
      <c r="L43" s="1060"/>
      <c r="M43" s="1060"/>
      <c r="N43" s="1060"/>
    </row>
    <row r="44" spans="1:14" ht="18" x14ac:dyDescent="0.2">
      <c r="A44" s="969" t="str">
        <f>+'Job Info'!B40</f>
        <v>Pat Kichler, Vice President</v>
      </c>
      <c r="F44" s="1059" t="str">
        <f>+'Job Info'!B43</f>
        <v>480-580-4717</v>
      </c>
      <c r="I44" s="1222" t="s">
        <v>428</v>
      </c>
      <c r="J44" s="1223"/>
      <c r="K44" s="1223"/>
      <c r="L44" s="1223"/>
      <c r="M44" s="1223"/>
      <c r="N44" s="1223"/>
    </row>
    <row r="45" spans="1:14" ht="12" hidden="1" customHeight="1" x14ac:dyDescent="0.2">
      <c r="A45" s="970">
        <f>+'Job Info'!B41</f>
        <v>0</v>
      </c>
    </row>
    <row r="46" spans="1:14" hidden="1" x14ac:dyDescent="0.2">
      <c r="A46" s="971" t="str">
        <f>+'Job Info'!B42</f>
        <v>patk@teamppc.om</v>
      </c>
    </row>
    <row r="47" spans="1:14" hidden="1" x14ac:dyDescent="0.2">
      <c r="A47" s="971" t="str">
        <f>+'Job Info'!B43</f>
        <v>480-580-4717</v>
      </c>
    </row>
    <row r="48" spans="1:14" ht="3" customHeight="1" x14ac:dyDescent="0.2"/>
    <row r="49" spans="1:14" ht="15.75" hidden="1" customHeight="1" x14ac:dyDescent="0.2">
      <c r="A49" s="1185" t="str">
        <f>IF('Crew Builder'!B3="az",Data!A64,Data!A65)</f>
        <v>848 3rd Avenue South, Kent, WA 98032</v>
      </c>
      <c r="B49" s="1185"/>
      <c r="C49" s="1185"/>
      <c r="D49" s="1185"/>
      <c r="E49" s="1185"/>
      <c r="F49" s="1185"/>
      <c r="G49" s="1185"/>
      <c r="H49" s="1185"/>
      <c r="I49" s="1185"/>
      <c r="J49" s="1185"/>
      <c r="K49" s="1185"/>
      <c r="L49" s="1185"/>
      <c r="M49" s="1185"/>
      <c r="N49" s="1185"/>
    </row>
    <row r="50" spans="1:14" ht="16" hidden="1" x14ac:dyDescent="0.25">
      <c r="A50" s="1183" t="s">
        <v>428</v>
      </c>
      <c r="B50" s="1184"/>
      <c r="C50" s="1184"/>
      <c r="D50" s="1184"/>
      <c r="E50" s="1184"/>
      <c r="F50" s="1184"/>
      <c r="G50" s="1184"/>
      <c r="H50" s="1184"/>
      <c r="I50" s="1184"/>
      <c r="J50" s="1184"/>
      <c r="K50" s="1184"/>
      <c r="L50" s="1184"/>
      <c r="M50" s="1184"/>
      <c r="N50" s="1184"/>
    </row>
  </sheetData>
  <mergeCells count="72">
    <mergeCell ref="I42:N42"/>
    <mergeCell ref="I44:N44"/>
    <mergeCell ref="A15:C15"/>
    <mergeCell ref="A5:C5"/>
    <mergeCell ref="A1:B1"/>
    <mergeCell ref="A9:N9"/>
    <mergeCell ref="A6:C6"/>
    <mergeCell ref="A7:C7"/>
    <mergeCell ref="F4:I4"/>
    <mergeCell ref="F5:I5"/>
    <mergeCell ref="F7:I7"/>
    <mergeCell ref="A3:C3"/>
    <mergeCell ref="E3:I3"/>
    <mergeCell ref="K7:M7"/>
    <mergeCell ref="A4:C4"/>
    <mergeCell ref="A13:C13"/>
    <mergeCell ref="A11:N11"/>
    <mergeCell ref="A14:C14"/>
    <mergeCell ref="H28:M28"/>
    <mergeCell ref="A20:N20"/>
    <mergeCell ref="A16:C16"/>
    <mergeCell ref="A17:C17"/>
    <mergeCell ref="D15:E15"/>
    <mergeCell ref="D17:E17"/>
    <mergeCell ref="D16:E16"/>
    <mergeCell ref="M15:N15"/>
    <mergeCell ref="M16:N16"/>
    <mergeCell ref="M17:N17"/>
    <mergeCell ref="A23:F23"/>
    <mergeCell ref="H23:N23"/>
    <mergeCell ref="D13:E13"/>
    <mergeCell ref="B30:F30"/>
    <mergeCell ref="M13:N13"/>
    <mergeCell ref="M14:N14"/>
    <mergeCell ref="M18:N18"/>
    <mergeCell ref="A21:F21"/>
    <mergeCell ref="H21:N21"/>
    <mergeCell ref="D14:E14"/>
    <mergeCell ref="A22:F22"/>
    <mergeCell ref="H22:N22"/>
    <mergeCell ref="A40:N40"/>
    <mergeCell ref="A50:N50"/>
    <mergeCell ref="A49:N49"/>
    <mergeCell ref="B37:F37"/>
    <mergeCell ref="B38:F38"/>
    <mergeCell ref="H37:M37"/>
    <mergeCell ref="H38:M38"/>
    <mergeCell ref="A26:A38"/>
    <mergeCell ref="N26:N38"/>
    <mergeCell ref="H26:M26"/>
    <mergeCell ref="H27:M27"/>
    <mergeCell ref="H29:M29"/>
    <mergeCell ref="H30:M30"/>
    <mergeCell ref="B27:F27"/>
    <mergeCell ref="B28:F28"/>
    <mergeCell ref="B29:F29"/>
    <mergeCell ref="E1:I1"/>
    <mergeCell ref="H31:M31"/>
    <mergeCell ref="H34:M34"/>
    <mergeCell ref="H36:M36"/>
    <mergeCell ref="B31:F31"/>
    <mergeCell ref="B34:F34"/>
    <mergeCell ref="B36:F36"/>
    <mergeCell ref="H35:M35"/>
    <mergeCell ref="B35:F35"/>
    <mergeCell ref="H32:M32"/>
    <mergeCell ref="B32:F32"/>
    <mergeCell ref="H33:M33"/>
    <mergeCell ref="B33:F33"/>
    <mergeCell ref="B26:F26"/>
    <mergeCell ref="A18:C18"/>
    <mergeCell ref="D18:E18"/>
  </mergeCells>
  <dataValidations count="3">
    <dataValidation type="list" allowBlank="1" showInputMessage="1" showErrorMessage="1" sqref="B15:C15 A15:A18">
      <formula1>Alts</formula1>
    </dataValidation>
    <dataValidation type="list" allowBlank="1" showInputMessage="1" showErrorMessage="1" sqref="I37:M38 I26:M30 H26:H38">
      <formula1>excl</formula1>
    </dataValidation>
    <dataValidation type="list" allowBlank="1" showInputMessage="1" showErrorMessage="1" sqref="K7:M7">
      <formula1>lic</formula1>
    </dataValidation>
  </dataValidations>
  <hyperlinks>
    <hyperlink ref="A50" r:id="rId1"/>
    <hyperlink ref="I44" r:id="rId2"/>
  </hyperlinks>
  <pageMargins left="0.35" right="0.3" top="0.25" bottom="0.25" header="0.3" footer="0.3"/>
  <pageSetup orientation="landscape" r:id="rId3"/>
  <drawing r:id="rId4"/>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L49"/>
  <sheetViews>
    <sheetView zoomScale="110" zoomScaleNormal="110" zoomScalePageLayoutView="110" workbookViewId="0">
      <selection activeCell="Q18" sqref="Q18"/>
    </sheetView>
  </sheetViews>
  <sheetFormatPr baseColWidth="10" defaultColWidth="8.83203125" defaultRowHeight="15" x14ac:dyDescent="0.2"/>
  <cols>
    <col min="1" max="1" width="8.83203125" customWidth="1"/>
    <col min="3" max="3" width="7.33203125" customWidth="1"/>
    <col min="4" max="4" width="4.6640625" customWidth="1"/>
    <col min="6" max="6" width="4.6640625" customWidth="1"/>
    <col min="7" max="7" width="7.83203125" customWidth="1"/>
    <col min="8" max="8" width="4.6640625" customWidth="1"/>
    <col min="10" max="10" width="13.5" customWidth="1"/>
    <col min="11" max="11" width="6.33203125" customWidth="1"/>
    <col min="12" max="12" width="10.5" customWidth="1"/>
  </cols>
  <sheetData>
    <row r="3" spans="1:12" ht="15.75" customHeight="1" x14ac:dyDescent="0.4">
      <c r="A3" s="148"/>
      <c r="B3" s="148"/>
      <c r="C3" s="148"/>
      <c r="D3" s="148"/>
      <c r="E3" s="11"/>
      <c r="F3" s="11"/>
      <c r="G3" s="11"/>
      <c r="H3" s="11"/>
      <c r="I3" s="11"/>
      <c r="J3" s="11"/>
      <c r="K3" s="11"/>
      <c r="L3" s="11"/>
    </row>
    <row r="4" spans="1:12" x14ac:dyDescent="0.2">
      <c r="A4" s="11"/>
      <c r="B4" s="11"/>
      <c r="C4" s="11"/>
      <c r="D4" s="11"/>
      <c r="E4" s="11"/>
      <c r="F4" s="11"/>
      <c r="G4" s="11"/>
      <c r="H4" s="11"/>
      <c r="I4" s="11"/>
      <c r="J4" s="11"/>
      <c r="K4" s="11"/>
      <c r="L4" s="11"/>
    </row>
    <row r="5" spans="1:12" ht="16" thickBot="1" x14ac:dyDescent="0.25">
      <c r="A5" s="1254">
        <f>+'Job Info'!B9</f>
        <v>42439</v>
      </c>
      <c r="B5" s="1254"/>
      <c r="C5" s="1254"/>
      <c r="D5" s="1254"/>
      <c r="E5" s="11"/>
      <c r="F5" s="11"/>
      <c r="G5" s="11"/>
      <c r="H5" s="11"/>
      <c r="I5" s="11"/>
      <c r="J5" s="11"/>
      <c r="K5" s="11"/>
      <c r="L5" s="11"/>
    </row>
    <row r="6" spans="1:12" x14ac:dyDescent="0.2">
      <c r="A6" s="1267" t="str">
        <f>+'Job Info'!A20</f>
        <v>Hoffman Construction Company</v>
      </c>
      <c r="B6" s="1268"/>
      <c r="C6" s="1268"/>
      <c r="D6" s="1269"/>
      <c r="E6" s="149"/>
      <c r="F6" s="7"/>
      <c r="G6" s="200" t="s">
        <v>263</v>
      </c>
      <c r="H6" s="201"/>
      <c r="I6" s="1279" t="str">
        <f>+'Job Info'!B4</f>
        <v>Nike WHQ Exp - Merchandising Bldg</v>
      </c>
      <c r="J6" s="1280"/>
      <c r="K6" s="1280"/>
      <c r="L6" s="1281"/>
    </row>
    <row r="7" spans="1:12" x14ac:dyDescent="0.2">
      <c r="A7" s="1270" t="str">
        <f>+'Job Info'!B20</f>
        <v>Nathan Moroney</v>
      </c>
      <c r="B7" s="1271"/>
      <c r="C7" s="1271"/>
      <c r="D7" s="1272"/>
      <c r="E7" s="149"/>
      <c r="F7" s="7"/>
      <c r="G7" s="202" t="s">
        <v>273</v>
      </c>
      <c r="H7" s="203"/>
      <c r="I7" s="1282" t="str">
        <f>+'Job Info'!B5</f>
        <v>Bid Pkg #2 - All Other Work</v>
      </c>
      <c r="J7" s="1283"/>
      <c r="K7" s="1283"/>
      <c r="L7" s="1284"/>
    </row>
    <row r="8" spans="1:12" x14ac:dyDescent="0.2">
      <c r="A8" s="1273" t="str">
        <f>+'Job Info'!C20</f>
        <v>805 SW Broadway, Suite 2100</v>
      </c>
      <c r="B8" s="1274"/>
      <c r="C8" s="1274"/>
      <c r="D8" s="1275"/>
      <c r="E8" s="149"/>
      <c r="F8" s="7"/>
      <c r="G8" s="202" t="s">
        <v>264</v>
      </c>
      <c r="H8" s="203"/>
      <c r="I8" s="1285"/>
      <c r="J8" s="1286"/>
      <c r="K8" s="1285"/>
      <c r="L8" s="1287"/>
    </row>
    <row r="9" spans="1:12" ht="16" thickBot="1" x14ac:dyDescent="0.25">
      <c r="A9" s="1276" t="str">
        <f>+'Job Info'!D20</f>
        <v>Portland, OR 97205</v>
      </c>
      <c r="B9" s="1277"/>
      <c r="C9" s="1277"/>
      <c r="D9" s="1278"/>
      <c r="E9" s="149"/>
      <c r="F9" s="7"/>
      <c r="G9" s="204" t="s">
        <v>276</v>
      </c>
      <c r="H9" s="205"/>
      <c r="I9" s="162"/>
      <c r="J9" s="162"/>
      <c r="K9" s="162"/>
      <c r="L9" s="163"/>
    </row>
    <row r="10" spans="1:12" ht="7.5" customHeight="1" x14ac:dyDescent="0.2">
      <c r="A10" s="11"/>
      <c r="B10" s="11"/>
      <c r="C10" s="11"/>
      <c r="D10" s="11"/>
      <c r="E10" s="11"/>
      <c r="F10" s="11"/>
      <c r="G10" s="11"/>
      <c r="H10" s="11"/>
      <c r="I10" s="11"/>
      <c r="J10" s="11"/>
      <c r="K10" s="11"/>
      <c r="L10" s="11"/>
    </row>
    <row r="11" spans="1:12" x14ac:dyDescent="0.2">
      <c r="A11" s="1299" t="s">
        <v>279</v>
      </c>
      <c r="B11" s="1299"/>
      <c r="C11" s="1299"/>
      <c r="D11" s="1299"/>
      <c r="E11" s="1299"/>
      <c r="F11" s="1299"/>
      <c r="G11" s="1299"/>
      <c r="H11" s="1299"/>
      <c r="I11" s="1299"/>
      <c r="J11" s="1299"/>
      <c r="K11" s="1299"/>
      <c r="L11" s="1299"/>
    </row>
    <row r="12" spans="1:12" x14ac:dyDescent="0.2">
      <c r="A12" s="1299" t="s">
        <v>278</v>
      </c>
      <c r="B12" s="1299"/>
      <c r="C12" s="1299"/>
      <c r="D12" s="1299"/>
      <c r="E12" s="1299"/>
      <c r="F12" s="1299"/>
      <c r="G12" s="1299"/>
      <c r="H12" s="1299"/>
      <c r="I12" s="1299"/>
      <c r="J12" s="1299"/>
      <c r="K12" s="1299"/>
      <c r="L12" s="1299"/>
    </row>
    <row r="13" spans="1:12" ht="6.75" customHeight="1" x14ac:dyDescent="0.2">
      <c r="A13" s="11"/>
      <c r="B13" s="11"/>
      <c r="C13" s="11"/>
      <c r="D13" s="11"/>
      <c r="E13" s="11"/>
      <c r="F13" s="11"/>
      <c r="G13" s="11"/>
      <c r="H13" s="11"/>
      <c r="I13" s="11"/>
      <c r="J13" s="11"/>
      <c r="K13" s="11"/>
      <c r="L13" s="11"/>
    </row>
    <row r="14" spans="1:12" ht="6" customHeight="1" thickBot="1" x14ac:dyDescent="0.25">
      <c r="A14" s="164"/>
      <c r="B14" s="164"/>
      <c r="C14" s="164"/>
      <c r="D14" s="164"/>
      <c r="E14" s="164"/>
      <c r="F14" s="164"/>
      <c r="G14" s="164"/>
      <c r="H14" s="164"/>
      <c r="I14" s="164"/>
      <c r="J14" s="164"/>
      <c r="K14" s="164"/>
      <c r="L14" s="164"/>
    </row>
    <row r="15" spans="1:12" ht="21" x14ac:dyDescent="0.3">
      <c r="A15" s="1264" t="s">
        <v>265</v>
      </c>
      <c r="B15" s="1265"/>
      <c r="C15" s="1265"/>
      <c r="D15" s="1265"/>
      <c r="E15" s="1265"/>
      <c r="F15" s="1265"/>
      <c r="G15" s="1265"/>
      <c r="H15" s="1265"/>
      <c r="I15" s="1265"/>
      <c r="J15" s="1265"/>
      <c r="K15" s="1265"/>
      <c r="L15" s="1266"/>
    </row>
    <row r="16" spans="1:12" ht="36" customHeight="1" thickBot="1" x14ac:dyDescent="0.25">
      <c r="A16" s="1259" t="s">
        <v>169</v>
      </c>
      <c r="B16" s="1260"/>
      <c r="C16" s="1260"/>
      <c r="D16" s="1261" t="s">
        <v>148</v>
      </c>
      <c r="E16" s="1261"/>
      <c r="F16" s="1309" t="s">
        <v>277</v>
      </c>
      <c r="G16" s="1309"/>
      <c r="H16" s="1309" t="s">
        <v>151</v>
      </c>
      <c r="I16" s="1309"/>
      <c r="J16" s="195" t="s">
        <v>179</v>
      </c>
      <c r="K16" s="1300" t="s">
        <v>31</v>
      </c>
      <c r="L16" s="1301"/>
    </row>
    <row r="17" spans="1:12" ht="16" thickBot="1" x14ac:dyDescent="0.25">
      <c r="A17" s="1255" t="str">
        <f>+'Job Info'!B6</f>
        <v>Painting &amp; Coatings</v>
      </c>
      <c r="B17" s="1256"/>
      <c r="C17" s="1256"/>
      <c r="D17" s="1262">
        <f>+Summary!G43</f>
        <v>831670.59012067108</v>
      </c>
      <c r="E17" s="1262"/>
      <c r="F17" s="1262">
        <f>+Summary!J43+Summary!L43</f>
        <v>401011.33207031502</v>
      </c>
      <c r="G17" s="1262"/>
      <c r="H17" s="1311">
        <f>+Summary!M43</f>
        <v>216865.99220272907</v>
      </c>
      <c r="I17" s="1311"/>
      <c r="J17" s="196">
        <f>+Support!H65</f>
        <v>0</v>
      </c>
      <c r="K17" s="1305">
        <f>SUM(D17:J17)</f>
        <v>1449547.9143937151</v>
      </c>
      <c r="L17" s="1306"/>
    </row>
    <row r="18" spans="1:12" s="10" customFormat="1" ht="15" customHeight="1" thickBot="1" x14ac:dyDescent="0.25">
      <c r="A18" s="1257"/>
      <c r="B18" s="1258"/>
      <c r="C18" s="1258"/>
      <c r="D18" s="1263"/>
      <c r="E18" s="1263"/>
      <c r="F18" s="1310"/>
      <c r="G18" s="1310"/>
      <c r="H18" s="1312"/>
      <c r="I18" s="1312"/>
      <c r="J18" s="197" t="s">
        <v>297</v>
      </c>
      <c r="K18" s="1307">
        <f>IF('Admin Set Up'!D13="yes",-(Summary!E43*'Admin Set Up'!B13),0)</f>
        <v>0</v>
      </c>
      <c r="L18" s="1308"/>
    </row>
    <row r="19" spans="1:12" s="10" customFormat="1" ht="18.75" customHeight="1" x14ac:dyDescent="0.2">
      <c r="A19" s="192"/>
      <c r="B19" s="192"/>
      <c r="C19" s="192"/>
      <c r="D19" s="193"/>
      <c r="E19" s="1314" t="s">
        <v>298</v>
      </c>
      <c r="F19" s="1314"/>
      <c r="G19" s="1314"/>
      <c r="H19" s="1314"/>
      <c r="I19" s="1314"/>
      <c r="J19" s="194"/>
      <c r="K19" s="1313">
        <f>SUM(K17:L18)</f>
        <v>1449547.9143937151</v>
      </c>
      <c r="L19" s="1313"/>
    </row>
    <row r="20" spans="1:12" s="10" customFormat="1" ht="8.25" customHeight="1" x14ac:dyDescent="0.2">
      <c r="A20" s="186"/>
      <c r="B20" s="186"/>
      <c r="C20" s="186"/>
      <c r="D20" s="187"/>
      <c r="E20" s="187"/>
      <c r="F20" s="188"/>
      <c r="G20" s="188"/>
      <c r="H20" s="189"/>
      <c r="I20" s="189"/>
      <c r="J20" s="190"/>
      <c r="K20" s="191"/>
      <c r="L20" s="191"/>
    </row>
    <row r="21" spans="1:12" ht="6" customHeight="1" thickBot="1" x14ac:dyDescent="0.25">
      <c r="A21" s="164"/>
      <c r="B21" s="164"/>
      <c r="C21" s="164"/>
      <c r="D21" s="164"/>
      <c r="E21" s="164"/>
      <c r="F21" s="164"/>
      <c r="G21" s="164"/>
      <c r="H21" s="164"/>
      <c r="I21" s="164"/>
      <c r="J21" s="164"/>
      <c r="K21" s="164"/>
      <c r="L21" s="164"/>
    </row>
    <row r="22" spans="1:12" ht="16" thickBot="1" x14ac:dyDescent="0.25">
      <c r="A22" s="1291" t="s">
        <v>266</v>
      </c>
      <c r="B22" s="1292"/>
      <c r="C22" s="1292"/>
      <c r="D22" s="1292"/>
      <c r="E22" s="1292"/>
      <c r="F22" s="1292"/>
      <c r="G22" s="1292"/>
      <c r="H22" s="1292"/>
      <c r="I22" s="1292"/>
      <c r="J22" s="1292"/>
      <c r="K22" s="1292"/>
      <c r="L22" s="1293"/>
    </row>
    <row r="23" spans="1:12" x14ac:dyDescent="0.2">
      <c r="A23" s="1319" t="s">
        <v>299</v>
      </c>
      <c r="B23" s="1320"/>
      <c r="C23" s="1320"/>
      <c r="D23" s="1320"/>
      <c r="E23" s="1320"/>
      <c r="F23" s="1320"/>
      <c r="G23" s="1320"/>
      <c r="H23" s="1321" t="str">
        <f>IF('Admin Set Up'!D12="yes",K19*'Admin Set Up'!B12,"Excluded")</f>
        <v>Excluded</v>
      </c>
      <c r="I23" s="1321"/>
      <c r="J23" s="198"/>
      <c r="K23" s="198"/>
      <c r="L23" s="199"/>
    </row>
    <row r="24" spans="1:12" ht="16" thickBot="1" x14ac:dyDescent="0.25">
      <c r="A24" s="1302"/>
      <c r="B24" s="1303"/>
      <c r="C24" s="1303"/>
      <c r="D24" s="1303"/>
      <c r="E24" s="1303"/>
      <c r="F24" s="1303"/>
      <c r="G24" s="1303"/>
      <c r="H24" s="1303"/>
      <c r="I24" s="1303"/>
      <c r="J24" s="1303"/>
      <c r="K24" s="1303"/>
      <c r="L24" s="1304"/>
    </row>
    <row r="25" spans="1:12" ht="6" customHeight="1" thickBot="1" x14ac:dyDescent="0.25">
      <c r="A25" s="164"/>
      <c r="B25" s="164"/>
      <c r="C25" s="164"/>
      <c r="D25" s="164"/>
      <c r="E25" s="164"/>
      <c r="F25" s="164"/>
      <c r="G25" s="164"/>
      <c r="H25" s="164"/>
      <c r="I25" s="164"/>
      <c r="J25" s="164"/>
      <c r="K25" s="164"/>
      <c r="L25" s="164"/>
    </row>
    <row r="26" spans="1:12" ht="16" thickBot="1" x14ac:dyDescent="0.25">
      <c r="A26" s="1291" t="s">
        <v>371</v>
      </c>
      <c r="B26" s="1292"/>
      <c r="C26" s="1292"/>
      <c r="D26" s="1292"/>
      <c r="E26" s="1292"/>
      <c r="F26" s="1292"/>
      <c r="G26" s="463"/>
      <c r="H26" s="1292" t="s">
        <v>370</v>
      </c>
      <c r="I26" s="1292"/>
      <c r="J26" s="1292"/>
      <c r="K26" s="1292"/>
      <c r="L26" s="1293"/>
    </row>
    <row r="27" spans="1:12" x14ac:dyDescent="0.2">
      <c r="A27" s="1315"/>
      <c r="B27" s="1316"/>
      <c r="C27" s="1316"/>
      <c r="D27" s="1316"/>
      <c r="E27" s="1316"/>
      <c r="F27" s="1316"/>
      <c r="G27" s="408"/>
      <c r="H27" s="1316"/>
      <c r="I27" s="1317"/>
      <c r="J27" s="1317"/>
      <c r="K27" s="1317"/>
      <c r="L27" s="1318"/>
    </row>
    <row r="28" spans="1:12" s="10" customFormat="1" x14ac:dyDescent="0.2">
      <c r="A28" s="1294"/>
      <c r="B28" s="1295"/>
      <c r="C28" s="1295"/>
      <c r="D28" s="1295"/>
      <c r="E28" s="1295"/>
      <c r="F28" s="1295"/>
      <c r="G28" s="408"/>
      <c r="H28" s="1295"/>
      <c r="I28" s="1295"/>
      <c r="J28" s="1295"/>
      <c r="K28" s="1295"/>
      <c r="L28" s="1296"/>
    </row>
    <row r="29" spans="1:12" s="10" customFormat="1" x14ac:dyDescent="0.2">
      <c r="A29" s="1294"/>
      <c r="B29" s="1295"/>
      <c r="C29" s="1295"/>
      <c r="D29" s="1295"/>
      <c r="E29" s="1295"/>
      <c r="F29" s="1295"/>
      <c r="G29" s="408"/>
      <c r="H29" s="1295"/>
      <c r="I29" s="1295"/>
      <c r="J29" s="1295"/>
      <c r="K29" s="1295"/>
      <c r="L29" s="1296"/>
    </row>
    <row r="30" spans="1:12" ht="15" customHeight="1" x14ac:dyDescent="0.2">
      <c r="A30" s="1294"/>
      <c r="B30" s="1295"/>
      <c r="C30" s="1295"/>
      <c r="D30" s="1295"/>
      <c r="E30" s="1295"/>
      <c r="F30" s="1295"/>
      <c r="G30" s="408"/>
      <c r="H30" s="1295"/>
      <c r="I30" s="1295"/>
      <c r="J30" s="1295"/>
      <c r="K30" s="1295"/>
      <c r="L30" s="1296"/>
    </row>
    <row r="31" spans="1:12" s="10" customFormat="1" ht="16" thickBot="1" x14ac:dyDescent="0.25">
      <c r="A31" s="1294"/>
      <c r="B31" s="1295"/>
      <c r="C31" s="1295"/>
      <c r="D31" s="1295"/>
      <c r="E31" s="1295"/>
      <c r="F31" s="1295"/>
      <c r="G31" s="408"/>
      <c r="H31" s="1295"/>
      <c r="I31" s="1297"/>
      <c r="J31" s="1297"/>
      <c r="K31" s="1297"/>
      <c r="L31" s="1298"/>
    </row>
    <row r="32" spans="1:12" x14ac:dyDescent="0.2">
      <c r="A32" s="1288" t="s">
        <v>267</v>
      </c>
      <c r="B32" s="1288"/>
      <c r="C32" s="1288"/>
      <c r="D32" s="1288"/>
      <c r="E32" s="1288"/>
      <c r="F32" s="1288"/>
      <c r="G32" s="1288"/>
      <c r="H32" s="1288"/>
      <c r="I32" s="1288"/>
      <c r="J32" s="1288"/>
      <c r="K32" s="1288"/>
      <c r="L32" s="1288"/>
    </row>
    <row r="33" spans="1:12" ht="6" customHeight="1" x14ac:dyDescent="0.2">
      <c r="A33" s="11"/>
      <c r="B33" s="11"/>
      <c r="C33" s="11"/>
      <c r="D33" s="11"/>
      <c r="E33" s="11"/>
      <c r="F33" s="11"/>
      <c r="G33" s="11"/>
      <c r="H33" s="11"/>
      <c r="I33" s="11"/>
      <c r="J33" s="11"/>
      <c r="K33" s="11"/>
      <c r="L33" s="11"/>
    </row>
    <row r="34" spans="1:12" x14ac:dyDescent="0.2">
      <c r="A34" s="11" t="s">
        <v>268</v>
      </c>
      <c r="B34" s="11"/>
      <c r="C34" s="11"/>
      <c r="D34" s="11"/>
      <c r="E34" s="11"/>
      <c r="F34" s="11"/>
      <c r="G34" s="11"/>
      <c r="H34" s="11"/>
      <c r="I34" s="11"/>
      <c r="J34" s="11"/>
      <c r="K34" s="11"/>
      <c r="L34" s="11"/>
    </row>
    <row r="35" spans="1:12" x14ac:dyDescent="0.2">
      <c r="A35" s="11" t="s">
        <v>280</v>
      </c>
      <c r="B35" s="11"/>
      <c r="C35" s="11"/>
      <c r="D35" s="11"/>
      <c r="E35" s="11"/>
      <c r="F35" s="11"/>
      <c r="G35" s="11"/>
      <c r="H35" s="11"/>
      <c r="I35" s="11"/>
      <c r="J35" s="11"/>
      <c r="K35" s="11"/>
      <c r="L35" s="11"/>
    </row>
    <row r="36" spans="1:12" s="10" customFormat="1" x14ac:dyDescent="0.2">
      <c r="A36" s="11"/>
      <c r="B36" s="11"/>
      <c r="C36" s="11"/>
      <c r="D36" s="11"/>
      <c r="E36" s="11"/>
      <c r="F36" s="11"/>
      <c r="G36" s="11"/>
      <c r="H36" s="11"/>
      <c r="I36" s="11"/>
      <c r="J36" s="11"/>
      <c r="K36" s="11"/>
      <c r="L36" s="11"/>
    </row>
    <row r="37" spans="1:12" x14ac:dyDescent="0.2">
      <c r="A37" s="11"/>
      <c r="B37" s="11"/>
      <c r="C37" s="11"/>
      <c r="D37" s="11"/>
      <c r="E37" s="11"/>
      <c r="F37" s="11"/>
      <c r="G37" s="11"/>
      <c r="H37" s="11"/>
      <c r="I37" s="11"/>
      <c r="J37" s="11"/>
      <c r="K37" s="11"/>
      <c r="L37" s="11"/>
    </row>
    <row r="38" spans="1:12" x14ac:dyDescent="0.2">
      <c r="A38" s="11" t="s">
        <v>269</v>
      </c>
      <c r="B38" s="11"/>
      <c r="C38" s="11"/>
      <c r="D38" s="11"/>
      <c r="E38" s="11"/>
      <c r="F38" s="11"/>
      <c r="G38" s="11"/>
      <c r="H38" s="11"/>
      <c r="I38" s="11"/>
      <c r="J38" s="11"/>
      <c r="K38" s="11"/>
      <c r="L38" s="11"/>
    </row>
    <row r="39" spans="1:12" s="10" customFormat="1" ht="14" customHeight="1" x14ac:dyDescent="0.2">
      <c r="A39" s="11"/>
      <c r="B39" s="11"/>
      <c r="C39" s="11"/>
      <c r="D39" s="11"/>
      <c r="E39" s="11"/>
      <c r="F39" s="11"/>
      <c r="G39" s="11"/>
      <c r="H39" s="11"/>
      <c r="I39" s="11"/>
      <c r="J39" s="11"/>
      <c r="K39" s="11"/>
      <c r="L39" s="11"/>
    </row>
    <row r="40" spans="1:12" s="10" customFormat="1" ht="13" customHeight="1" x14ac:dyDescent="0.2">
      <c r="A40" s="11"/>
      <c r="B40" s="11"/>
      <c r="C40" s="11"/>
      <c r="D40" s="11"/>
      <c r="E40" s="11"/>
      <c r="F40" s="11"/>
      <c r="G40" s="11"/>
      <c r="H40" s="11"/>
      <c r="I40" s="11"/>
      <c r="J40" s="11"/>
      <c r="K40" s="11"/>
      <c r="L40" s="11"/>
    </row>
    <row r="41" spans="1:12" ht="18" x14ac:dyDescent="0.2">
      <c r="A41" s="150" t="str">
        <f>+'Job Info'!B40</f>
        <v>Pat Kichler, Vice President</v>
      </c>
      <c r="B41" s="150"/>
      <c r="C41" s="150"/>
      <c r="D41" s="150"/>
      <c r="E41" s="11"/>
      <c r="F41" s="11"/>
      <c r="G41" s="11"/>
      <c r="H41" s="11"/>
      <c r="I41" s="11"/>
      <c r="J41" s="11"/>
      <c r="K41" s="11"/>
      <c r="L41" s="11"/>
    </row>
    <row r="42" spans="1:12" x14ac:dyDescent="0.2">
      <c r="A42" s="151">
        <f>+'Job Info'!B41</f>
        <v>0</v>
      </c>
      <c r="B42" s="151"/>
      <c r="C42" s="151"/>
      <c r="D42" s="151"/>
      <c r="E42" s="11"/>
      <c r="F42" s="11"/>
      <c r="G42" s="11"/>
      <c r="H42" s="11"/>
      <c r="I42" s="11"/>
      <c r="J42" s="11"/>
      <c r="K42" s="11"/>
      <c r="L42" s="11"/>
    </row>
    <row r="43" spans="1:12" x14ac:dyDescent="0.2">
      <c r="A43" s="151" t="str">
        <f>+'Job Info'!B42</f>
        <v>patk@teamppc.om</v>
      </c>
      <c r="B43" s="151"/>
      <c r="C43" s="151"/>
      <c r="D43" s="151"/>
      <c r="E43" s="11"/>
      <c r="F43" s="11"/>
      <c r="G43" s="11"/>
      <c r="H43" s="11"/>
      <c r="I43" s="11"/>
      <c r="J43" s="11"/>
      <c r="K43" s="11"/>
      <c r="L43" s="11"/>
    </row>
    <row r="44" spans="1:12" x14ac:dyDescent="0.2">
      <c r="A44" s="11" t="str">
        <f>+'Job Info'!B43</f>
        <v>480-580-4717</v>
      </c>
      <c r="B44" s="11"/>
      <c r="C44" s="11"/>
      <c r="D44" s="11"/>
      <c r="E44" s="11"/>
      <c r="F44" s="11"/>
      <c r="G44" s="11"/>
      <c r="H44" s="11"/>
      <c r="I44" s="11"/>
      <c r="J44" s="11"/>
      <c r="K44" s="11"/>
      <c r="L44" s="11"/>
    </row>
    <row r="45" spans="1:12" s="10" customFormat="1" x14ac:dyDescent="0.2">
      <c r="A45" s="11"/>
      <c r="B45" s="11"/>
      <c r="C45" s="11"/>
      <c r="D45" s="11"/>
      <c r="E45" s="11"/>
      <c r="F45" s="11"/>
      <c r="G45" s="11"/>
      <c r="H45" s="11"/>
      <c r="I45" s="11"/>
      <c r="J45" s="11"/>
      <c r="K45" s="11"/>
      <c r="L45" s="11"/>
    </row>
    <row r="46" spans="1:12" s="10" customFormat="1" x14ac:dyDescent="0.2">
      <c r="A46" s="11"/>
      <c r="B46" s="11"/>
      <c r="C46" s="11"/>
      <c r="D46" s="11"/>
      <c r="E46" s="11"/>
      <c r="F46" s="11"/>
      <c r="G46" s="11"/>
      <c r="H46" s="11"/>
      <c r="I46" s="11"/>
      <c r="J46" s="11"/>
      <c r="K46" s="11"/>
      <c r="L46" s="11"/>
    </row>
    <row r="47" spans="1:12" x14ac:dyDescent="0.2">
      <c r="A47" s="11"/>
      <c r="B47" s="11"/>
      <c r="C47" s="11"/>
      <c r="D47" s="11"/>
      <c r="E47" s="11"/>
      <c r="F47" s="11"/>
      <c r="G47" s="11"/>
      <c r="H47" s="11"/>
      <c r="I47" s="11"/>
      <c r="J47" s="11"/>
      <c r="K47" s="11"/>
      <c r="L47" s="11"/>
    </row>
    <row r="48" spans="1:12" ht="16" x14ac:dyDescent="0.25">
      <c r="A48" s="1289" t="str">
        <f>IF('Crew Builder'!B3=Data!A41,Data!A64,Data!A65)</f>
        <v>848 3rd Avenue South, Kent, WA 98032</v>
      </c>
      <c r="B48" s="1289"/>
      <c r="C48" s="1289"/>
      <c r="D48" s="1289"/>
      <c r="E48" s="1289"/>
      <c r="F48" s="1289"/>
      <c r="G48" s="1289"/>
      <c r="H48" s="1289"/>
      <c r="I48" s="1289"/>
      <c r="J48" s="1289"/>
      <c r="K48" s="1289"/>
      <c r="L48" s="1289"/>
    </row>
    <row r="49" spans="1:12" ht="17" x14ac:dyDescent="0.25">
      <c r="A49" s="1290" t="s">
        <v>270</v>
      </c>
      <c r="B49" s="1290"/>
      <c r="C49" s="1290"/>
      <c r="D49" s="1290"/>
      <c r="E49" s="1290"/>
      <c r="F49" s="1290"/>
      <c r="G49" s="1290"/>
      <c r="H49" s="1290"/>
      <c r="I49" s="1290"/>
      <c r="J49" s="1290"/>
      <c r="K49" s="1290"/>
      <c r="L49" s="1290"/>
    </row>
  </sheetData>
  <mergeCells count="48">
    <mergeCell ref="K19:L19"/>
    <mergeCell ref="E19:I19"/>
    <mergeCell ref="A27:F27"/>
    <mergeCell ref="H27:L27"/>
    <mergeCell ref="A23:G23"/>
    <mergeCell ref="H23:I23"/>
    <mergeCell ref="A26:F26"/>
    <mergeCell ref="H26:L26"/>
    <mergeCell ref="A11:L11"/>
    <mergeCell ref="A12:L12"/>
    <mergeCell ref="A28:F28"/>
    <mergeCell ref="A29:F29"/>
    <mergeCell ref="H28:L28"/>
    <mergeCell ref="H29:L29"/>
    <mergeCell ref="K16:L16"/>
    <mergeCell ref="A24:L24"/>
    <mergeCell ref="K17:L17"/>
    <mergeCell ref="K18:L18"/>
    <mergeCell ref="F16:G16"/>
    <mergeCell ref="F18:G18"/>
    <mergeCell ref="H16:I16"/>
    <mergeCell ref="H17:I17"/>
    <mergeCell ref="H18:I18"/>
    <mergeCell ref="F17:G17"/>
    <mergeCell ref="A32:L32"/>
    <mergeCell ref="A48:L48"/>
    <mergeCell ref="A49:L49"/>
    <mergeCell ref="A22:L22"/>
    <mergeCell ref="A30:F30"/>
    <mergeCell ref="H30:L30"/>
    <mergeCell ref="A31:F31"/>
    <mergeCell ref="H31:L31"/>
    <mergeCell ref="A5:D5"/>
    <mergeCell ref="A17:C17"/>
    <mergeCell ref="A18:C18"/>
    <mergeCell ref="A16:C16"/>
    <mergeCell ref="D16:E16"/>
    <mergeCell ref="D17:E17"/>
    <mergeCell ref="D18:E18"/>
    <mergeCell ref="A15:L15"/>
    <mergeCell ref="A6:D6"/>
    <mergeCell ref="A7:D7"/>
    <mergeCell ref="A8:D8"/>
    <mergeCell ref="A9:D9"/>
    <mergeCell ref="I6:L6"/>
    <mergeCell ref="I7:L7"/>
    <mergeCell ref="I8:J8"/>
    <mergeCell ref="K8:L8"/>
  </mergeCells>
  <phoneticPr fontId="72" type="noConversion"/>
  <hyperlinks>
    <hyperlink ref="A49" r:id="rId1"/>
  </hyperlinks>
  <pageMargins left="0.25" right="0.25" top="0.75" bottom="0.75" header="0.3" footer="0.3"/>
  <pageSetup orientation="portrait"/>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V47"/>
  <sheetViews>
    <sheetView workbookViewId="0">
      <pane xSplit="9" ySplit="4" topLeftCell="J5" activePane="bottomRight" state="frozen"/>
      <selection pane="topRight" activeCell="J1" sqref="J1"/>
      <selection pane="bottomLeft" activeCell="A5" sqref="A5"/>
      <selection pane="bottomRight" activeCell="J6" sqref="J6"/>
    </sheetView>
  </sheetViews>
  <sheetFormatPr baseColWidth="10" defaultColWidth="8.83203125" defaultRowHeight="15" x14ac:dyDescent="0.2"/>
  <cols>
    <col min="1" max="1" width="7.5" style="10" customWidth="1"/>
    <col min="2" max="2" width="27.5" style="10" customWidth="1"/>
    <col min="3" max="3" width="7.5" style="10" customWidth="1"/>
    <col min="4" max="4" width="8.83203125" style="10" customWidth="1"/>
    <col min="5" max="6" width="7.5" style="10" customWidth="1"/>
    <col min="7" max="7" width="6.6640625" style="10" customWidth="1"/>
    <col min="8" max="9" width="6.6640625" style="10" hidden="1" customWidth="1"/>
    <col min="10" max="10" width="6.6640625" style="10" customWidth="1"/>
    <col min="11" max="11" width="6.6640625" style="10" hidden="1" customWidth="1"/>
    <col min="12" max="12" width="6.6640625" style="10" customWidth="1"/>
    <col min="13" max="13" width="9.1640625" style="10" customWidth="1"/>
    <col min="14" max="16384" width="8.83203125" style="10"/>
  </cols>
  <sheetData>
    <row r="1" spans="1:22" ht="22" thickBot="1" x14ac:dyDescent="0.35">
      <c r="A1" s="419"/>
      <c r="B1" s="1322" t="s">
        <v>286</v>
      </c>
      <c r="C1" s="1322"/>
      <c r="D1" s="1322"/>
      <c r="E1" s="1322"/>
      <c r="F1" s="1322"/>
      <c r="G1" s="1322"/>
      <c r="H1" s="206"/>
      <c r="I1" s="206"/>
    </row>
    <row r="2" spans="1:22" ht="35.25" customHeight="1" thickTop="1" thickBot="1" x14ac:dyDescent="0.3">
      <c r="A2" s="153"/>
      <c r="B2" s="167"/>
      <c r="C2" s="181" t="s">
        <v>281</v>
      </c>
      <c r="D2" s="29"/>
      <c r="E2" s="153"/>
      <c r="F2" s="29"/>
      <c r="G2" s="29"/>
      <c r="H2" s="29"/>
      <c r="I2" s="29"/>
      <c r="J2" s="180" t="s">
        <v>295</v>
      </c>
      <c r="K2" s="154"/>
      <c r="L2" s="154"/>
      <c r="M2" s="154"/>
      <c r="N2" s="11"/>
      <c r="O2" s="11"/>
      <c r="P2" s="11"/>
      <c r="Q2" s="11"/>
      <c r="R2" s="11"/>
      <c r="S2" s="11"/>
      <c r="T2" s="11"/>
      <c r="U2" s="11"/>
    </row>
    <row r="3" spans="1:22" ht="17" thickTop="1" thickBot="1" x14ac:dyDescent="0.25">
      <c r="A3" s="419"/>
      <c r="B3" s="23" t="s">
        <v>263</v>
      </c>
      <c r="C3" s="1323" t="str">
        <f>+'Job Info'!B4</f>
        <v>Nike WHQ Exp - Merchandising Bldg</v>
      </c>
      <c r="D3" s="1324"/>
      <c r="E3" s="1324"/>
      <c r="F3" s="1324"/>
      <c r="G3" s="1325"/>
      <c r="H3" s="404"/>
      <c r="I3" s="404"/>
      <c r="J3" s="178" t="s">
        <v>291</v>
      </c>
      <c r="K3" s="179"/>
      <c r="L3" s="179"/>
      <c r="M3" s="179"/>
      <c r="N3" s="11"/>
      <c r="O3" s="11"/>
      <c r="P3" s="11"/>
      <c r="Q3" s="11"/>
      <c r="R3" s="11"/>
      <c r="S3" s="11"/>
      <c r="T3" s="11"/>
      <c r="U3" s="11"/>
    </row>
    <row r="4" spans="1:22" ht="105.75" customHeight="1" thickBot="1" x14ac:dyDescent="0.25">
      <c r="A4" s="423" t="s">
        <v>356</v>
      </c>
      <c r="B4" s="9" t="s">
        <v>282</v>
      </c>
      <c r="C4" s="207" t="s">
        <v>293</v>
      </c>
      <c r="D4" s="211" t="s">
        <v>292</v>
      </c>
      <c r="E4" s="207" t="s">
        <v>283</v>
      </c>
      <c r="F4" s="211" t="s">
        <v>284</v>
      </c>
      <c r="G4" s="207" t="s">
        <v>285</v>
      </c>
      <c r="H4" s="207"/>
      <c r="I4" s="207"/>
      <c r="J4" s="168" t="s">
        <v>287</v>
      </c>
      <c r="K4" s="177"/>
      <c r="L4" s="177"/>
      <c r="M4" s="185" t="s">
        <v>294</v>
      </c>
      <c r="N4" s="30"/>
      <c r="O4" s="30"/>
      <c r="P4" s="30"/>
      <c r="Q4" s="30"/>
      <c r="R4" s="30"/>
      <c r="S4" s="30"/>
      <c r="T4" s="30"/>
      <c r="U4" s="30"/>
      <c r="V4" s="166"/>
    </row>
    <row r="5" spans="1:22" ht="16" thickTop="1" x14ac:dyDescent="0.2">
      <c r="A5" s="424"/>
      <c r="B5" s="420" t="str">
        <f>+Summary!B3</f>
        <v>Walls GWB</v>
      </c>
      <c r="C5" s="208">
        <f>+Summary!F3*'Admin Set Up'!$B$31</f>
        <v>9538.6961813186808</v>
      </c>
      <c r="D5" s="212">
        <f>+Summary!C3</f>
        <v>912106.5</v>
      </c>
      <c r="E5" s="208">
        <f>+Summary!E3*'Admin Set Up'!$C$31</f>
        <v>6996.7650129870126</v>
      </c>
      <c r="F5" s="212">
        <f t="shared" ref="F5:F45" si="0">+E5-M5</f>
        <v>6996.7650129870126</v>
      </c>
      <c r="G5" s="215">
        <f t="shared" ref="G5:G46" si="1">IF(E5=0,0,M5/E5)</f>
        <v>0</v>
      </c>
      <c r="H5" s="407">
        <f>IF($E$47=0,0,E5/$E$47)</f>
        <v>0.48853267392024807</v>
      </c>
      <c r="I5" s="405">
        <f>+H5*J5</f>
        <v>0</v>
      </c>
      <c r="J5" s="217"/>
      <c r="K5" s="182"/>
      <c r="L5" s="171"/>
      <c r="M5" s="172">
        <f t="shared" ref="M5:M46" si="2">SUM(K5:L5)</f>
        <v>0</v>
      </c>
      <c r="N5" s="11"/>
      <c r="O5" s="11"/>
      <c r="P5" s="11"/>
      <c r="Q5" s="11"/>
      <c r="R5" s="11"/>
      <c r="S5" s="11"/>
      <c r="T5" s="11"/>
      <c r="U5" s="11"/>
    </row>
    <row r="6" spans="1:22" x14ac:dyDescent="0.2">
      <c r="A6" s="424"/>
      <c r="B6" s="421" t="str">
        <f>+Summary!B4</f>
        <v>Walls Conc</v>
      </c>
      <c r="C6" s="209">
        <f>+Summary!F4*'Admin Set Up'!$B$31</f>
        <v>206.96666666666664</v>
      </c>
      <c r="D6" s="213">
        <f>+Summary!C4</f>
        <v>19514</v>
      </c>
      <c r="E6" s="209">
        <f>+Summary!E4*'Admin Set Up'!$C$31</f>
        <v>152.85966666666667</v>
      </c>
      <c r="F6" s="213">
        <f t="shared" si="0"/>
        <v>152.85966666666667</v>
      </c>
      <c r="G6" s="216">
        <f t="shared" si="1"/>
        <v>0</v>
      </c>
      <c r="H6" s="216">
        <f>IF($E$47=0,0,E6/$E$47)</f>
        <v>1.0673066989189036E-2</v>
      </c>
      <c r="I6" s="406">
        <f>+H6*J6</f>
        <v>0</v>
      </c>
      <c r="J6" s="218"/>
      <c r="K6" s="183"/>
      <c r="L6" s="173"/>
      <c r="M6" s="174">
        <f t="shared" si="2"/>
        <v>0</v>
      </c>
      <c r="N6" s="11"/>
      <c r="O6" s="11"/>
      <c r="P6" s="11"/>
      <c r="Q6" s="11"/>
      <c r="R6" s="11"/>
      <c r="S6" s="11"/>
      <c r="T6" s="11"/>
      <c r="U6" s="11"/>
    </row>
    <row r="7" spans="1:22" x14ac:dyDescent="0.2">
      <c r="A7" s="424"/>
      <c r="B7" s="421" t="str">
        <f>+Summary!B5</f>
        <v>Walls CMU</v>
      </c>
      <c r="C7" s="209">
        <f>+Summary!F5*'Admin Set Up'!$B$31</f>
        <v>490.96</v>
      </c>
      <c r="D7" s="213">
        <f>+Summary!C5</f>
        <v>24548</v>
      </c>
      <c r="E7" s="209">
        <f>+Summary!E5*'Admin Set Up'!$C$31</f>
        <v>263.01428571428573</v>
      </c>
      <c r="F7" s="213">
        <f t="shared" si="0"/>
        <v>263.01428571428573</v>
      </c>
      <c r="G7" s="216">
        <f t="shared" si="1"/>
        <v>0</v>
      </c>
      <c r="H7" s="216">
        <f t="shared" ref="H7:H46" si="3">IF($E$47=0,0,E7/$E$47)</f>
        <v>1.8364354389596622E-2</v>
      </c>
      <c r="I7" s="406">
        <f t="shared" ref="I7:I46" si="4">+H7*J7</f>
        <v>0</v>
      </c>
      <c r="J7" s="218"/>
      <c r="K7" s="183"/>
      <c r="L7" s="173"/>
      <c r="M7" s="174">
        <f t="shared" si="2"/>
        <v>0</v>
      </c>
      <c r="N7" s="11"/>
      <c r="O7" s="11"/>
      <c r="P7" s="11"/>
      <c r="Q7" s="11"/>
      <c r="R7" s="11"/>
      <c r="S7" s="11"/>
      <c r="T7" s="11"/>
      <c r="U7" s="11"/>
    </row>
    <row r="8" spans="1:22" x14ac:dyDescent="0.2">
      <c r="A8" s="424"/>
      <c r="B8" s="421" t="str">
        <f>+Summary!B6</f>
        <v>Walls-Stairs</v>
      </c>
      <c r="C8" s="209">
        <f>+Summary!F6*'Admin Set Up'!$B$31</f>
        <v>719.62060439560446</v>
      </c>
      <c r="D8" s="213">
        <f>+Summary!C6</f>
        <v>67395</v>
      </c>
      <c r="E8" s="209">
        <f>+Summary!E6*'Admin Set Up'!$C$31</f>
        <v>730.11250000000007</v>
      </c>
      <c r="F8" s="213">
        <f t="shared" si="0"/>
        <v>730.11250000000007</v>
      </c>
      <c r="G8" s="216">
        <f t="shared" si="1"/>
        <v>0</v>
      </c>
      <c r="H8" s="216">
        <f t="shared" si="3"/>
        <v>5.0978389473641056E-2</v>
      </c>
      <c r="I8" s="406">
        <f t="shared" si="4"/>
        <v>0</v>
      </c>
      <c r="J8" s="218"/>
      <c r="K8" s="183"/>
      <c r="L8" s="173"/>
      <c r="M8" s="174">
        <f t="shared" si="2"/>
        <v>0</v>
      </c>
      <c r="N8" s="11"/>
      <c r="O8" s="11"/>
      <c r="P8" s="11"/>
      <c r="Q8" s="11"/>
      <c r="R8" s="11"/>
      <c r="S8" s="11"/>
      <c r="T8" s="11"/>
      <c r="U8" s="11"/>
    </row>
    <row r="9" spans="1:22" x14ac:dyDescent="0.2">
      <c r="A9" s="424"/>
      <c r="B9" s="421" t="str">
        <f>+Summary!B7</f>
        <v>Pre-Punch Final</v>
      </c>
      <c r="C9" s="209">
        <f>+Summary!F7*'Admin Set Up'!$B$31</f>
        <v>0</v>
      </c>
      <c r="D9" s="213">
        <f>+Summary!C7</f>
        <v>206126</v>
      </c>
      <c r="E9" s="209">
        <f>+Summary!E7*'Admin Set Up'!$C$31</f>
        <v>0</v>
      </c>
      <c r="F9" s="213">
        <f t="shared" si="0"/>
        <v>0</v>
      </c>
      <c r="G9" s="216">
        <f t="shared" si="1"/>
        <v>0</v>
      </c>
      <c r="H9" s="216">
        <f t="shared" si="3"/>
        <v>0</v>
      </c>
      <c r="I9" s="406">
        <f t="shared" si="4"/>
        <v>0</v>
      </c>
      <c r="J9" s="218"/>
      <c r="K9" s="183"/>
      <c r="L9" s="173"/>
      <c r="M9" s="174">
        <f t="shared" si="2"/>
        <v>0</v>
      </c>
      <c r="N9" s="11"/>
      <c r="O9" s="11"/>
      <c r="P9" s="11"/>
      <c r="Q9" s="11"/>
      <c r="R9" s="11"/>
      <c r="S9" s="11"/>
      <c r="T9" s="11"/>
      <c r="U9" s="11"/>
    </row>
    <row r="10" spans="1:22" x14ac:dyDescent="0.2">
      <c r="A10" s="424"/>
      <c r="B10" s="421" t="str">
        <f>+Summary!B8</f>
        <v>GWB Ceiling</v>
      </c>
      <c r="C10" s="209">
        <f>+Summary!F8*'Admin Set Up'!$B$31</f>
        <v>1159.6241758241758</v>
      </c>
      <c r="D10" s="213">
        <f>+Summary!C8</f>
        <v>128690</v>
      </c>
      <c r="E10" s="209">
        <f>+Summary!E8*'Admin Set Up'!$C$31</f>
        <v>793.58833333333337</v>
      </c>
      <c r="F10" s="213">
        <f t="shared" si="0"/>
        <v>793.58833333333337</v>
      </c>
      <c r="G10" s="216">
        <f t="shared" si="1"/>
        <v>0</v>
      </c>
      <c r="H10" s="216">
        <f t="shared" si="3"/>
        <v>5.5410440361457099E-2</v>
      </c>
      <c r="I10" s="406">
        <f t="shared" si="4"/>
        <v>0</v>
      </c>
      <c r="J10" s="218"/>
      <c r="K10" s="183"/>
      <c r="L10" s="173"/>
      <c r="M10" s="174">
        <f t="shared" si="2"/>
        <v>0</v>
      </c>
      <c r="N10" s="11"/>
      <c r="O10" s="11"/>
      <c r="P10" s="11"/>
      <c r="Q10" s="11"/>
      <c r="R10" s="11"/>
      <c r="S10" s="11"/>
      <c r="T10" s="11"/>
      <c r="U10" s="11"/>
    </row>
    <row r="11" spans="1:22" x14ac:dyDescent="0.2">
      <c r="A11" s="424"/>
      <c r="B11" s="421" t="str">
        <f>+Summary!B9</f>
        <v>Conc Ceiling</v>
      </c>
      <c r="C11" s="209">
        <f>+Summary!F9*'Admin Set Up'!$B$31</f>
        <v>0</v>
      </c>
      <c r="D11" s="213">
        <f>+Summary!C9</f>
        <v>344094</v>
      </c>
      <c r="E11" s="209">
        <f>+Summary!E9*'Admin Set Up'!$C$31</f>
        <v>0</v>
      </c>
      <c r="F11" s="213">
        <f t="shared" si="0"/>
        <v>0</v>
      </c>
      <c r="G11" s="216">
        <f t="shared" si="1"/>
        <v>0</v>
      </c>
      <c r="H11" s="216">
        <f t="shared" si="3"/>
        <v>0</v>
      </c>
      <c r="I11" s="406">
        <f t="shared" si="4"/>
        <v>0</v>
      </c>
      <c r="J11" s="218"/>
      <c r="K11" s="183"/>
      <c r="L11" s="173"/>
      <c r="M11" s="174">
        <f t="shared" si="2"/>
        <v>0</v>
      </c>
      <c r="N11" s="11"/>
      <c r="O11" s="11"/>
      <c r="P11" s="11"/>
      <c r="Q11" s="11"/>
      <c r="R11" s="11"/>
      <c r="S11" s="11"/>
      <c r="T11" s="11"/>
      <c r="U11" s="11"/>
    </row>
    <row r="12" spans="1:22" x14ac:dyDescent="0.2">
      <c r="A12" s="424"/>
      <c r="B12" s="421" t="str">
        <f>+Summary!B10</f>
        <v>Walls Sealed</v>
      </c>
      <c r="C12" s="209">
        <f>+Summary!F10*'Admin Set Up'!$B$31</f>
        <v>243.87133333333333</v>
      </c>
      <c r="D12" s="213">
        <f>+Summary!C10</f>
        <v>28139</v>
      </c>
      <c r="E12" s="209">
        <f>+Summary!E10*'Admin Set Up'!$C$31</f>
        <v>243.87133333333333</v>
      </c>
      <c r="F12" s="213">
        <f t="shared" si="0"/>
        <v>243.87133333333333</v>
      </c>
      <c r="G12" s="216">
        <f t="shared" si="1"/>
        <v>0</v>
      </c>
      <c r="H12" s="216">
        <f t="shared" si="3"/>
        <v>1.7027742727487624E-2</v>
      </c>
      <c r="I12" s="406">
        <f t="shared" si="4"/>
        <v>0</v>
      </c>
      <c r="J12" s="218"/>
      <c r="K12" s="183"/>
      <c r="L12" s="173"/>
      <c r="M12" s="174">
        <f t="shared" si="2"/>
        <v>0</v>
      </c>
      <c r="N12" s="11"/>
      <c r="O12" s="11"/>
      <c r="P12" s="11"/>
      <c r="Q12" s="11"/>
      <c r="R12" s="11"/>
      <c r="S12" s="11"/>
      <c r="T12" s="11"/>
      <c r="U12" s="11"/>
    </row>
    <row r="13" spans="1:22" x14ac:dyDescent="0.2">
      <c r="A13" s="424"/>
      <c r="B13" s="421" t="str">
        <f>+Summary!B11</f>
        <v>Floor Sealer</v>
      </c>
      <c r="C13" s="209">
        <f>+Summary!F11*'Admin Set Up'!$B$31</f>
        <v>627.92599999999993</v>
      </c>
      <c r="D13" s="213">
        <f>+Summary!C11</f>
        <v>72453</v>
      </c>
      <c r="E13" s="209">
        <f>+Summary!E11*'Admin Set Up'!$C$31</f>
        <v>410.56700000000001</v>
      </c>
      <c r="F13" s="213">
        <f t="shared" si="0"/>
        <v>410.56700000000001</v>
      </c>
      <c r="G13" s="216">
        <f t="shared" si="1"/>
        <v>0</v>
      </c>
      <c r="H13" s="216">
        <f t="shared" si="3"/>
        <v>2.8666875900665151E-2</v>
      </c>
      <c r="I13" s="406">
        <f t="shared" si="4"/>
        <v>0</v>
      </c>
      <c r="J13" s="218"/>
      <c r="K13" s="183"/>
      <c r="L13" s="173"/>
      <c r="M13" s="174">
        <f t="shared" si="2"/>
        <v>0</v>
      </c>
      <c r="N13" s="11"/>
      <c r="O13" s="11"/>
      <c r="P13" s="11"/>
      <c r="Q13" s="11"/>
      <c r="R13" s="11"/>
      <c r="S13" s="11"/>
      <c r="T13" s="11"/>
      <c r="U13" s="11"/>
    </row>
    <row r="14" spans="1:22" x14ac:dyDescent="0.2">
      <c r="A14" s="424"/>
      <c r="B14" s="421" t="str">
        <f>+Summary!B12</f>
        <v>Walls Prime/FRP</v>
      </c>
      <c r="C14" s="209">
        <f>+Summary!F12*'Admin Set Up'!$B$31</f>
        <v>0</v>
      </c>
      <c r="D14" s="213">
        <f>+Summary!C12</f>
        <v>6042</v>
      </c>
      <c r="E14" s="209">
        <f>+Summary!E12*'Admin Set Up'!$C$31</f>
        <v>0</v>
      </c>
      <c r="F14" s="213">
        <f t="shared" si="0"/>
        <v>0</v>
      </c>
      <c r="G14" s="216">
        <f t="shared" si="1"/>
        <v>0</v>
      </c>
      <c r="H14" s="216">
        <f t="shared" si="3"/>
        <v>0</v>
      </c>
      <c r="I14" s="406">
        <f t="shared" si="4"/>
        <v>0</v>
      </c>
      <c r="J14" s="218"/>
      <c r="K14" s="183"/>
      <c r="L14" s="173"/>
      <c r="M14" s="174">
        <f t="shared" si="2"/>
        <v>0</v>
      </c>
      <c r="N14" s="11"/>
      <c r="O14" s="11"/>
      <c r="P14" s="11"/>
      <c r="Q14" s="11"/>
      <c r="R14" s="11"/>
      <c r="S14" s="11"/>
      <c r="T14" s="11"/>
      <c r="U14" s="11"/>
    </row>
    <row r="15" spans="1:22" x14ac:dyDescent="0.2">
      <c r="A15" s="424"/>
      <c r="B15" s="421" t="str">
        <f>+Summary!B13</f>
        <v>Caulk Transitions</v>
      </c>
      <c r="C15" s="209">
        <f>+Summary!F13*'Admin Set Up'!$B$31</f>
        <v>169.13111111111112</v>
      </c>
      <c r="D15" s="213">
        <f>+Summary!C13</f>
        <v>6919</v>
      </c>
      <c r="E15" s="209">
        <f>+Summary!E13*'Admin Set Up'!$C$31</f>
        <v>207.57</v>
      </c>
      <c r="F15" s="213">
        <f t="shared" si="0"/>
        <v>207.57</v>
      </c>
      <c r="G15" s="216">
        <f t="shared" si="1"/>
        <v>0</v>
      </c>
      <c r="H15" s="216">
        <f t="shared" si="3"/>
        <v>1.4493087439324313E-2</v>
      </c>
      <c r="I15" s="406">
        <f t="shared" si="4"/>
        <v>0</v>
      </c>
      <c r="J15" s="218"/>
      <c r="K15" s="183"/>
      <c r="L15" s="173"/>
      <c r="M15" s="174">
        <f t="shared" si="2"/>
        <v>0</v>
      </c>
      <c r="N15" s="11"/>
      <c r="O15" s="11"/>
      <c r="P15" s="11"/>
      <c r="Q15" s="11"/>
      <c r="R15" s="11"/>
      <c r="S15" s="11"/>
      <c r="T15" s="11"/>
      <c r="U15" s="11"/>
    </row>
    <row r="16" spans="1:22" x14ac:dyDescent="0.2">
      <c r="A16" s="424"/>
      <c r="B16" s="421" t="str">
        <f>+Summary!B14</f>
        <v>G/R Systems</v>
      </c>
      <c r="C16" s="209">
        <f>+Summary!F14*'Admin Set Up'!$B$31</f>
        <v>19.152000000000001</v>
      </c>
      <c r="D16" s="213">
        <f>+Summary!C14</f>
        <v>2736</v>
      </c>
      <c r="E16" s="209">
        <f>+Summary!E14*'Admin Set Up'!$C$31</f>
        <v>45.599999999999994</v>
      </c>
      <c r="F16" s="213">
        <f t="shared" si="0"/>
        <v>45.599999999999994</v>
      </c>
      <c r="G16" s="216">
        <f t="shared" si="1"/>
        <v>0</v>
      </c>
      <c r="H16" s="216">
        <f t="shared" si="3"/>
        <v>3.1839128353480205E-3</v>
      </c>
      <c r="I16" s="406">
        <f t="shared" si="4"/>
        <v>0</v>
      </c>
      <c r="J16" s="218"/>
      <c r="K16" s="183"/>
      <c r="L16" s="173"/>
      <c r="M16" s="174">
        <f t="shared" si="2"/>
        <v>0</v>
      </c>
      <c r="N16" s="11"/>
      <c r="O16" s="11"/>
      <c r="P16" s="11"/>
      <c r="Q16" s="11"/>
      <c r="R16" s="11"/>
      <c r="S16" s="11"/>
      <c r="T16" s="11"/>
      <c r="U16" s="11"/>
    </row>
    <row r="17" spans="1:21" x14ac:dyDescent="0.2">
      <c r="A17" s="424"/>
      <c r="B17" s="421" t="str">
        <f>+Summary!B15</f>
        <v>Bollards</v>
      </c>
      <c r="C17" s="209">
        <f>+Summary!F15*'Admin Set Up'!$B$31</f>
        <v>2.0999999999999996</v>
      </c>
      <c r="D17" s="213">
        <f>+Summary!C15</f>
        <v>14</v>
      </c>
      <c r="E17" s="209">
        <f>+Summary!E15*'Admin Set Up'!$C$31</f>
        <v>16.333333333333336</v>
      </c>
      <c r="F17" s="213">
        <f t="shared" si="0"/>
        <v>16.333333333333336</v>
      </c>
      <c r="G17" s="216">
        <f t="shared" si="1"/>
        <v>0</v>
      </c>
      <c r="H17" s="216">
        <f t="shared" si="3"/>
        <v>1.1404366150003877E-3</v>
      </c>
      <c r="I17" s="406">
        <f t="shared" si="4"/>
        <v>0</v>
      </c>
      <c r="J17" s="218"/>
      <c r="K17" s="183"/>
      <c r="L17" s="173"/>
      <c r="M17" s="174">
        <f t="shared" si="2"/>
        <v>0</v>
      </c>
      <c r="N17" s="11"/>
      <c r="O17" s="11"/>
      <c r="P17" s="11"/>
      <c r="Q17" s="11"/>
      <c r="R17" s="11"/>
      <c r="S17" s="11"/>
      <c r="T17" s="11"/>
      <c r="U17" s="11"/>
    </row>
    <row r="18" spans="1:21" ht="28" x14ac:dyDescent="0.2">
      <c r="A18" s="424"/>
      <c r="B18" s="421" t="str">
        <f>+Summary!B16</f>
        <v>Garage Walls - Tansitional (Conc)</v>
      </c>
      <c r="C18" s="209">
        <f>+Summary!F16*'Admin Set Up'!$B$31</f>
        <v>142.64500000000001</v>
      </c>
      <c r="D18" s="213">
        <f>+Summary!C16</f>
        <v>5463</v>
      </c>
      <c r="E18" s="209">
        <f>+Summary!E16*'Admin Set Up'!$C$31</f>
        <v>113.94257142857143</v>
      </c>
      <c r="F18" s="213">
        <f t="shared" si="0"/>
        <v>113.94257142857143</v>
      </c>
      <c r="G18" s="216">
        <f t="shared" si="1"/>
        <v>0</v>
      </c>
      <c r="H18" s="216">
        <f t="shared" si="3"/>
        <v>7.955772273333054E-3</v>
      </c>
      <c r="I18" s="406">
        <f t="shared" si="4"/>
        <v>0</v>
      </c>
      <c r="J18" s="218"/>
      <c r="K18" s="183"/>
      <c r="L18" s="173"/>
      <c r="M18" s="174">
        <f t="shared" si="2"/>
        <v>0</v>
      </c>
      <c r="N18" s="11"/>
      <c r="O18" s="11"/>
      <c r="P18" s="11"/>
      <c r="Q18" s="11"/>
      <c r="R18" s="11"/>
      <c r="S18" s="11"/>
      <c r="T18" s="11"/>
      <c r="U18" s="11"/>
    </row>
    <row r="19" spans="1:21" x14ac:dyDescent="0.2">
      <c r="A19" s="424"/>
      <c r="B19" s="421" t="str">
        <f>+Summary!B17</f>
        <v>Garage Walls CMU</v>
      </c>
      <c r="C19" s="209">
        <f>+Summary!F17*'Admin Set Up'!$B$31</f>
        <v>137.32</v>
      </c>
      <c r="D19" s="213">
        <f>+Summary!C17</f>
        <v>6866</v>
      </c>
      <c r="E19" s="209">
        <f>+Summary!E17*'Admin Set Up'!$C$31</f>
        <v>74.381666666666661</v>
      </c>
      <c r="F19" s="213">
        <f t="shared" si="0"/>
        <v>74.381666666666661</v>
      </c>
      <c r="G19" s="216">
        <f t="shared" si="1"/>
        <v>0</v>
      </c>
      <c r="H19" s="216">
        <f t="shared" si="3"/>
        <v>5.1935250704951324E-3</v>
      </c>
      <c r="I19" s="406">
        <f t="shared" si="4"/>
        <v>0</v>
      </c>
      <c r="J19" s="218"/>
      <c r="K19" s="183"/>
      <c r="L19" s="173"/>
      <c r="M19" s="174">
        <f t="shared" si="2"/>
        <v>0</v>
      </c>
      <c r="N19" s="11"/>
      <c r="O19" s="11"/>
      <c r="P19" s="11"/>
      <c r="Q19" s="11"/>
      <c r="R19" s="11"/>
      <c r="S19" s="11"/>
      <c r="T19" s="11"/>
      <c r="U19" s="11"/>
    </row>
    <row r="20" spans="1:21" x14ac:dyDescent="0.2">
      <c r="A20" s="424"/>
      <c r="B20" s="421" t="str">
        <f>+Summary!B18</f>
        <v>Garage Walls/Columns Conc</v>
      </c>
      <c r="C20" s="209">
        <f>+Summary!F18*'Admin Set Up'!$B$31</f>
        <v>164.31954545454545</v>
      </c>
      <c r="D20" s="213">
        <f>+Summary!C18</f>
        <v>13389</v>
      </c>
      <c r="E20" s="209">
        <f>+Summary!E18*'Admin Set Up'!$C$31</f>
        <v>122.73249999999999</v>
      </c>
      <c r="F20" s="213">
        <f t="shared" si="0"/>
        <v>122.73249999999999</v>
      </c>
      <c r="G20" s="216">
        <f t="shared" si="1"/>
        <v>0</v>
      </c>
      <c r="H20" s="216">
        <f t="shared" si="3"/>
        <v>8.5695083786041879E-3</v>
      </c>
      <c r="I20" s="406">
        <f t="shared" si="4"/>
        <v>0</v>
      </c>
      <c r="J20" s="218"/>
      <c r="K20" s="183"/>
      <c r="L20" s="173"/>
      <c r="M20" s="174">
        <f t="shared" si="2"/>
        <v>0</v>
      </c>
      <c r="N20" s="11"/>
      <c r="O20" s="11"/>
      <c r="P20" s="11"/>
      <c r="Q20" s="11"/>
      <c r="R20" s="11"/>
      <c r="S20" s="11"/>
      <c r="T20" s="11"/>
      <c r="U20" s="11"/>
    </row>
    <row r="21" spans="1:21" x14ac:dyDescent="0.2">
      <c r="A21" s="424"/>
      <c r="B21" s="421" t="str">
        <f>+Summary!B19</f>
        <v>Branded Columns</v>
      </c>
      <c r="C21" s="209">
        <f>+Summary!F19*'Admin Set Up'!$B$31</f>
        <v>90</v>
      </c>
      <c r="D21" s="213">
        <f>+Summary!C19</f>
        <v>6000</v>
      </c>
      <c r="E21" s="209">
        <f>+Summary!E19*'Admin Set Up'!$C$31</f>
        <v>80</v>
      </c>
      <c r="F21" s="213">
        <f t="shared" si="0"/>
        <v>80</v>
      </c>
      <c r="G21" s="216">
        <f t="shared" si="1"/>
        <v>0</v>
      </c>
      <c r="H21" s="216">
        <f t="shared" si="3"/>
        <v>5.5858119918386333E-3</v>
      </c>
      <c r="I21" s="406">
        <f t="shared" si="4"/>
        <v>0</v>
      </c>
      <c r="J21" s="218"/>
      <c r="K21" s="183"/>
      <c r="L21" s="173"/>
      <c r="M21" s="174">
        <f t="shared" si="2"/>
        <v>0</v>
      </c>
      <c r="N21" s="11"/>
      <c r="O21" s="11"/>
      <c r="P21" s="11"/>
      <c r="Q21" s="11"/>
      <c r="R21" s="11"/>
      <c r="S21" s="11"/>
      <c r="T21" s="11"/>
      <c r="U21" s="11"/>
    </row>
    <row r="22" spans="1:21" x14ac:dyDescent="0.2">
      <c r="A22" s="424"/>
      <c r="B22" s="421" t="str">
        <f>+Summary!B20</f>
        <v>Base</v>
      </c>
      <c r="C22" s="209">
        <f>+Summary!F20*'Admin Set Up'!$B$31</f>
        <v>251.79749999999999</v>
      </c>
      <c r="D22" s="213">
        <f>+Summary!C20</f>
        <v>10602</v>
      </c>
      <c r="E22" s="209">
        <f>+Summary!E20*'Admin Set Up'!$C$31</f>
        <v>247.38</v>
      </c>
      <c r="F22" s="213">
        <f t="shared" si="0"/>
        <v>247.38</v>
      </c>
      <c r="G22" s="216">
        <f t="shared" si="1"/>
        <v>0</v>
      </c>
      <c r="H22" s="216">
        <f t="shared" si="3"/>
        <v>1.7272727131763012E-2</v>
      </c>
      <c r="I22" s="406">
        <f t="shared" si="4"/>
        <v>0</v>
      </c>
      <c r="J22" s="218"/>
      <c r="K22" s="183"/>
      <c r="L22" s="173"/>
      <c r="M22" s="174">
        <f t="shared" si="2"/>
        <v>0</v>
      </c>
      <c r="N22" s="11"/>
      <c r="O22" s="11"/>
      <c r="P22" s="11"/>
      <c r="Q22" s="11"/>
      <c r="R22" s="11"/>
      <c r="S22" s="11"/>
      <c r="T22" s="11"/>
      <c r="U22" s="11"/>
    </row>
    <row r="23" spans="1:21" x14ac:dyDescent="0.2">
      <c r="A23" s="424"/>
      <c r="B23" s="421" t="str">
        <f>+Summary!B21</f>
        <v>Transitional Walls</v>
      </c>
      <c r="C23" s="209">
        <f>+Summary!F21*'Admin Set Up'!$B$31</f>
        <v>115.87333333333332</v>
      </c>
      <c r="D23" s="213">
        <f>+Summary!C21</f>
        <v>7449</v>
      </c>
      <c r="E23" s="209">
        <f>+Summary!E21*'Admin Set Up'!$C$31</f>
        <v>173.81</v>
      </c>
      <c r="F23" s="213">
        <f t="shared" si="0"/>
        <v>173.81</v>
      </c>
      <c r="G23" s="216">
        <f t="shared" si="1"/>
        <v>0</v>
      </c>
      <c r="H23" s="216">
        <f t="shared" si="3"/>
        <v>1.213587477876841E-2</v>
      </c>
      <c r="I23" s="406">
        <f t="shared" si="4"/>
        <v>0</v>
      </c>
      <c r="J23" s="218"/>
      <c r="K23" s="183"/>
      <c r="L23" s="173"/>
      <c r="M23" s="174">
        <f t="shared" si="2"/>
        <v>0</v>
      </c>
      <c r="N23" s="11"/>
      <c r="O23" s="11"/>
      <c r="P23" s="11"/>
      <c r="Q23" s="11"/>
      <c r="R23" s="11"/>
      <c r="S23" s="11"/>
      <c r="T23" s="11"/>
      <c r="U23" s="11"/>
    </row>
    <row r="24" spans="1:21" x14ac:dyDescent="0.2">
      <c r="A24" s="424"/>
      <c r="B24" s="421" t="str">
        <f>+Summary!B22</f>
        <v>SS Column</v>
      </c>
      <c r="C24" s="209">
        <f>+Summary!F22*'Admin Set Up'!$B$31</f>
        <v>33.704999999999998</v>
      </c>
      <c r="D24" s="213">
        <f>+Summary!C22</f>
        <v>2889</v>
      </c>
      <c r="E24" s="209">
        <f>+Summary!E22*'Admin Set Up'!$C$31</f>
        <v>44.298000000000002</v>
      </c>
      <c r="F24" s="213">
        <f t="shared" si="0"/>
        <v>44.298000000000002</v>
      </c>
      <c r="G24" s="216">
        <f t="shared" si="1"/>
        <v>0</v>
      </c>
      <c r="H24" s="216">
        <f t="shared" si="3"/>
        <v>3.0930037451808471E-3</v>
      </c>
      <c r="I24" s="406">
        <f t="shared" si="4"/>
        <v>0</v>
      </c>
      <c r="J24" s="218"/>
      <c r="K24" s="183"/>
      <c r="L24" s="173"/>
      <c r="M24" s="174">
        <f t="shared" si="2"/>
        <v>0</v>
      </c>
      <c r="N24" s="11"/>
      <c r="O24" s="11"/>
      <c r="P24" s="11"/>
      <c r="Q24" s="11"/>
      <c r="R24" s="11"/>
      <c r="S24" s="11"/>
      <c r="T24" s="11"/>
      <c r="U24" s="11"/>
    </row>
    <row r="25" spans="1:21" x14ac:dyDescent="0.2">
      <c r="A25" s="424"/>
      <c r="B25" s="421" t="str">
        <f>+Summary!B23</f>
        <v>Wall/Accent</v>
      </c>
      <c r="C25" s="209">
        <f>+Summary!F23*'Admin Set Up'!$B$31</f>
        <v>1210.1795238095237</v>
      </c>
      <c r="D25" s="213">
        <f>+Summary!C23</f>
        <v>122476</v>
      </c>
      <c r="E25" s="209">
        <f>+Summary!E23*'Admin Set Up'!$C$31</f>
        <v>1196.1292467532467</v>
      </c>
      <c r="F25" s="213">
        <f t="shared" si="0"/>
        <v>1196.1292467532467</v>
      </c>
      <c r="G25" s="216">
        <f t="shared" si="1"/>
        <v>0</v>
      </c>
      <c r="H25" s="216">
        <f t="shared" si="3"/>
        <v>8.3516913628789963E-2</v>
      </c>
      <c r="I25" s="406">
        <f t="shared" si="4"/>
        <v>0</v>
      </c>
      <c r="J25" s="218"/>
      <c r="K25" s="183"/>
      <c r="L25" s="173"/>
      <c r="M25" s="174">
        <f t="shared" si="2"/>
        <v>0</v>
      </c>
      <c r="N25" s="11"/>
      <c r="O25" s="11"/>
      <c r="P25" s="11"/>
      <c r="Q25" s="11"/>
      <c r="R25" s="11"/>
      <c r="S25" s="11"/>
      <c r="T25" s="11"/>
      <c r="U25" s="11"/>
    </row>
    <row r="26" spans="1:21" x14ac:dyDescent="0.2">
      <c r="A26" s="424"/>
      <c r="B26" s="421" t="str">
        <f>+Summary!B24</f>
        <v>Stair Steel</v>
      </c>
      <c r="C26" s="209">
        <f>+Summary!F24*'Admin Set Up'!$B$31</f>
        <v>482.55666666666667</v>
      </c>
      <c r="D26" s="213">
        <f>+Summary!C24</f>
        <v>41362</v>
      </c>
      <c r="E26" s="209">
        <f>+Summary!E24*'Admin Set Up'!$C$31</f>
        <v>496.34399999999999</v>
      </c>
      <c r="F26" s="213">
        <f t="shared" si="0"/>
        <v>496.34399999999999</v>
      </c>
      <c r="G26" s="216">
        <f t="shared" si="1"/>
        <v>0</v>
      </c>
      <c r="H26" s="216">
        <f t="shared" si="3"/>
        <v>3.4656053340964429E-2</v>
      </c>
      <c r="I26" s="406">
        <f t="shared" si="4"/>
        <v>0</v>
      </c>
      <c r="J26" s="218"/>
      <c r="K26" s="183"/>
      <c r="L26" s="173"/>
      <c r="M26" s="174">
        <f t="shared" si="2"/>
        <v>0</v>
      </c>
      <c r="N26" s="11"/>
      <c r="O26" s="11"/>
      <c r="P26" s="11"/>
      <c r="Q26" s="11"/>
      <c r="R26" s="11"/>
      <c r="S26" s="11"/>
      <c r="T26" s="11"/>
      <c r="U26" s="11"/>
    </row>
    <row r="27" spans="1:21" x14ac:dyDescent="0.2">
      <c r="A27" s="424"/>
      <c r="B27" s="421" t="str">
        <f>+Summary!B25</f>
        <v>Stair Rails</v>
      </c>
      <c r="C27" s="209">
        <f>+Summary!F25*'Admin Set Up'!$B$31</f>
        <v>22.826666666666668</v>
      </c>
      <c r="D27" s="213">
        <f>+Summary!C25</f>
        <v>6848</v>
      </c>
      <c r="E27" s="209">
        <f>+Summary!E25*'Admin Set Up'!$C$31</f>
        <v>159.78666666666669</v>
      </c>
      <c r="F27" s="213">
        <f t="shared" si="0"/>
        <v>159.78666666666669</v>
      </c>
      <c r="G27" s="216">
        <f t="shared" si="1"/>
        <v>0</v>
      </c>
      <c r="H27" s="216">
        <f t="shared" si="3"/>
        <v>1.1156728485032364E-2</v>
      </c>
      <c r="I27" s="406">
        <f t="shared" si="4"/>
        <v>0</v>
      </c>
      <c r="J27" s="218"/>
      <c r="K27" s="183"/>
      <c r="L27" s="173"/>
      <c r="M27" s="174">
        <f t="shared" si="2"/>
        <v>0</v>
      </c>
      <c r="N27" s="11"/>
      <c r="O27" s="11"/>
      <c r="P27" s="11"/>
      <c r="Q27" s="11"/>
      <c r="R27" s="11"/>
      <c r="S27" s="11"/>
      <c r="T27" s="11"/>
      <c r="U27" s="11"/>
    </row>
    <row r="28" spans="1:21" x14ac:dyDescent="0.2">
      <c r="A28" s="424"/>
      <c r="B28" s="421" t="str">
        <f>+Summary!B26</f>
        <v>HM Door</v>
      </c>
      <c r="C28" s="209">
        <f>+Summary!F26*'Admin Set Up'!$B$31</f>
        <v>50.625</v>
      </c>
      <c r="D28" s="213">
        <f>+Summary!C26</f>
        <v>162</v>
      </c>
      <c r="E28" s="209">
        <f>+Summary!E26*'Admin Set Up'!$C$31</f>
        <v>162</v>
      </c>
      <c r="F28" s="213">
        <f t="shared" si="0"/>
        <v>162</v>
      </c>
      <c r="G28" s="216">
        <f t="shared" si="1"/>
        <v>0</v>
      </c>
      <c r="H28" s="216">
        <f t="shared" si="3"/>
        <v>1.1311269283473232E-2</v>
      </c>
      <c r="I28" s="406">
        <f t="shared" si="4"/>
        <v>0</v>
      </c>
      <c r="J28" s="218"/>
      <c r="K28" s="183"/>
      <c r="L28" s="173"/>
      <c r="M28" s="174">
        <f t="shared" si="2"/>
        <v>0</v>
      </c>
      <c r="N28" s="11"/>
      <c r="O28" s="11"/>
      <c r="P28" s="11"/>
      <c r="Q28" s="11"/>
      <c r="R28" s="11"/>
      <c r="S28" s="11"/>
      <c r="T28" s="11"/>
      <c r="U28" s="11"/>
    </row>
    <row r="29" spans="1:21" x14ac:dyDescent="0.2">
      <c r="A29" s="424"/>
      <c r="B29" s="421" t="str">
        <f>+Summary!B27</f>
        <v>HM Frame</v>
      </c>
      <c r="C29" s="209">
        <f>+Summary!F27*'Admin Set Up'!$B$31</f>
        <v>78.666666666666657</v>
      </c>
      <c r="D29" s="213">
        <f>+Summary!C27</f>
        <v>118</v>
      </c>
      <c r="E29" s="209">
        <f>+Summary!E27*'Admin Set Up'!$C$31</f>
        <v>141.6</v>
      </c>
      <c r="F29" s="213">
        <f t="shared" si="0"/>
        <v>141.6</v>
      </c>
      <c r="G29" s="216">
        <f t="shared" si="1"/>
        <v>0</v>
      </c>
      <c r="H29" s="216">
        <f t="shared" si="3"/>
        <v>9.8868872255543812E-3</v>
      </c>
      <c r="I29" s="406">
        <f t="shared" si="4"/>
        <v>0</v>
      </c>
      <c r="J29" s="218"/>
      <c r="K29" s="183"/>
      <c r="L29" s="173"/>
      <c r="M29" s="174">
        <f t="shared" si="2"/>
        <v>0</v>
      </c>
      <c r="N29" s="11"/>
      <c r="O29" s="11"/>
      <c r="P29" s="11"/>
      <c r="Q29" s="11"/>
      <c r="R29" s="11"/>
      <c r="S29" s="11"/>
      <c r="T29" s="11"/>
      <c r="U29" s="11"/>
    </row>
    <row r="30" spans="1:21" x14ac:dyDescent="0.2">
      <c r="A30" s="424"/>
      <c r="B30" s="421" t="str">
        <f>+Summary!B28</f>
        <v>10x10 OHC</v>
      </c>
      <c r="C30" s="209">
        <f>+Summary!F28*'Admin Set Up'!$B$31</f>
        <v>7</v>
      </c>
      <c r="D30" s="213">
        <f>+Summary!C28</f>
        <v>9</v>
      </c>
      <c r="E30" s="209">
        <f>+Summary!E28*'Admin Set Up'!$C$31</f>
        <v>21</v>
      </c>
      <c r="F30" s="213">
        <f t="shared" si="0"/>
        <v>21</v>
      </c>
      <c r="G30" s="216">
        <f t="shared" si="1"/>
        <v>0</v>
      </c>
      <c r="H30" s="216">
        <f t="shared" si="3"/>
        <v>1.4662756478576412E-3</v>
      </c>
      <c r="I30" s="406">
        <f t="shared" si="4"/>
        <v>0</v>
      </c>
      <c r="J30" s="218"/>
      <c r="K30" s="183"/>
      <c r="L30" s="173"/>
      <c r="M30" s="174">
        <f t="shared" si="2"/>
        <v>0</v>
      </c>
      <c r="N30" s="11"/>
      <c r="O30" s="11"/>
      <c r="P30" s="11"/>
      <c r="Q30" s="11"/>
      <c r="R30" s="11"/>
      <c r="S30" s="11"/>
      <c r="T30" s="11"/>
      <c r="U30" s="11"/>
    </row>
    <row r="31" spans="1:21" x14ac:dyDescent="0.2">
      <c r="A31" s="424"/>
      <c r="B31" s="421" t="str">
        <f>+Summary!B29</f>
        <v>Connector Steel</v>
      </c>
      <c r="C31" s="209">
        <f>+Summary!F29*'Admin Set Up'!$B$31</f>
        <v>99.155700000000024</v>
      </c>
      <c r="D31" s="213">
        <f>+Summary!C29</f>
        <v>8499.0600000000013</v>
      </c>
      <c r="E31" s="209">
        <f>+Summary!E29*'Admin Set Up'!$C$31</f>
        <v>141.65100000000001</v>
      </c>
      <c r="F31" s="213">
        <f t="shared" si="0"/>
        <v>141.65100000000001</v>
      </c>
      <c r="G31" s="216">
        <f t="shared" si="1"/>
        <v>0</v>
      </c>
      <c r="H31" s="216">
        <f t="shared" si="3"/>
        <v>9.8904481806991792E-3</v>
      </c>
      <c r="I31" s="406">
        <f t="shared" si="4"/>
        <v>0</v>
      </c>
      <c r="J31" s="218"/>
      <c r="K31" s="183"/>
      <c r="L31" s="173"/>
      <c r="M31" s="174">
        <f t="shared" si="2"/>
        <v>0</v>
      </c>
      <c r="N31" s="11"/>
      <c r="O31" s="11"/>
      <c r="P31" s="11"/>
      <c r="Q31" s="11"/>
      <c r="R31" s="11"/>
      <c r="S31" s="11"/>
      <c r="T31" s="11"/>
      <c r="U31" s="11"/>
    </row>
    <row r="32" spans="1:21" x14ac:dyDescent="0.2">
      <c r="A32" s="424"/>
      <c r="B32" s="421" t="str">
        <f>+Summary!B30</f>
        <v>Curtain Wall Steel</v>
      </c>
      <c r="C32" s="209">
        <f>+Summary!F30*'Admin Set Up'!$B$31</f>
        <v>45.594500000000004</v>
      </c>
      <c r="D32" s="213">
        <f>+Summary!C30</f>
        <v>3908.1000000000004</v>
      </c>
      <c r="E32" s="209">
        <f>+Summary!E30*'Admin Set Up'!$C$31</f>
        <v>65.135000000000005</v>
      </c>
      <c r="F32" s="213">
        <f t="shared" si="0"/>
        <v>65.135000000000005</v>
      </c>
      <c r="G32" s="216">
        <f t="shared" si="1"/>
        <v>0</v>
      </c>
      <c r="H32" s="216">
        <f t="shared" si="3"/>
        <v>4.5478983011051173E-3</v>
      </c>
      <c r="I32" s="406">
        <f t="shared" si="4"/>
        <v>0</v>
      </c>
      <c r="J32" s="218"/>
      <c r="K32" s="183"/>
      <c r="L32" s="173"/>
      <c r="M32" s="174">
        <f t="shared" si="2"/>
        <v>0</v>
      </c>
      <c r="N32" s="11"/>
      <c r="O32" s="11"/>
      <c r="P32" s="11"/>
      <c r="Q32" s="11"/>
      <c r="R32" s="11"/>
      <c r="S32" s="11"/>
      <c r="T32" s="11"/>
      <c r="U32" s="11"/>
    </row>
    <row r="33" spans="1:21" x14ac:dyDescent="0.2">
      <c r="A33" s="424"/>
      <c r="B33" s="421" t="str">
        <f>+Summary!B31</f>
        <v>Exp FP Pipe (Wall Mounted)</v>
      </c>
      <c r="C33" s="209">
        <f>+Summary!F31*'Admin Set Up'!$B$31</f>
        <v>102.1875</v>
      </c>
      <c r="D33" s="213">
        <f>+Summary!C31</f>
        <v>27250</v>
      </c>
      <c r="E33" s="209">
        <f>+Summary!E31*'Admin Set Up'!$C$31</f>
        <v>545</v>
      </c>
      <c r="F33" s="213">
        <f t="shared" si="0"/>
        <v>545</v>
      </c>
      <c r="G33" s="216">
        <f t="shared" si="1"/>
        <v>0</v>
      </c>
      <c r="H33" s="216">
        <f t="shared" si="3"/>
        <v>3.8053344194400686E-2</v>
      </c>
      <c r="I33" s="406">
        <f t="shared" si="4"/>
        <v>0</v>
      </c>
      <c r="J33" s="218"/>
      <c r="K33" s="183"/>
      <c r="L33" s="173"/>
      <c r="M33" s="174">
        <f t="shared" si="2"/>
        <v>0</v>
      </c>
      <c r="N33" s="11"/>
      <c r="O33" s="11"/>
      <c r="P33" s="11"/>
      <c r="Q33" s="11"/>
      <c r="R33" s="11"/>
      <c r="S33" s="11"/>
      <c r="T33" s="11"/>
      <c r="U33" s="11"/>
    </row>
    <row r="34" spans="1:21" x14ac:dyDescent="0.2">
      <c r="A34" s="424"/>
      <c r="B34" s="421" t="str">
        <f>+Summary!B32</f>
        <v>FP Heads</v>
      </c>
      <c r="C34" s="209">
        <f>+Summary!F32*'Admin Set Up'!$B$31</f>
        <v>36.333333333333336</v>
      </c>
      <c r="D34" s="213">
        <f>+Summary!C32</f>
        <v>1816.6666666666667</v>
      </c>
      <c r="E34" s="209">
        <f>+Summary!E32*'Admin Set Up'!$C$31</f>
        <v>227.08333333333331</v>
      </c>
      <c r="F34" s="213">
        <f t="shared" si="0"/>
        <v>227.08333333333331</v>
      </c>
      <c r="G34" s="216">
        <f t="shared" si="1"/>
        <v>0</v>
      </c>
      <c r="H34" s="216">
        <f t="shared" si="3"/>
        <v>1.5855560081000284E-2</v>
      </c>
      <c r="I34" s="406">
        <f t="shared" si="4"/>
        <v>0</v>
      </c>
      <c r="J34" s="218"/>
      <c r="K34" s="183"/>
      <c r="L34" s="173"/>
      <c r="M34" s="174">
        <f t="shared" si="2"/>
        <v>0</v>
      </c>
      <c r="N34" s="11"/>
      <c r="O34" s="11"/>
      <c r="P34" s="11"/>
      <c r="Q34" s="11"/>
      <c r="R34" s="11"/>
      <c r="S34" s="11"/>
      <c r="T34" s="11"/>
      <c r="U34" s="11"/>
    </row>
    <row r="35" spans="1:21" x14ac:dyDescent="0.2">
      <c r="A35" s="424"/>
      <c r="B35" s="421" t="str">
        <f>+Summary!B33</f>
        <v>Wet Land Bridge Steel</v>
      </c>
      <c r="C35" s="209">
        <f>+Summary!F33*'Admin Set Up'!$B$31</f>
        <v>349.18399999999997</v>
      </c>
      <c r="D35" s="213">
        <f>+Summary!C33</f>
        <v>15872</v>
      </c>
      <c r="E35" s="209">
        <f>+Summary!E33*'Admin Set Up'!$C$31</f>
        <v>417.96266666666668</v>
      </c>
      <c r="F35" s="213">
        <f t="shared" si="0"/>
        <v>417.96266666666668</v>
      </c>
      <c r="G35" s="216">
        <f t="shared" si="1"/>
        <v>0</v>
      </c>
      <c r="H35" s="216">
        <f t="shared" si="3"/>
        <v>2.9183260945094002E-2</v>
      </c>
      <c r="I35" s="406">
        <f t="shared" si="4"/>
        <v>0</v>
      </c>
      <c r="J35" s="218"/>
      <c r="K35" s="183"/>
      <c r="L35" s="173"/>
      <c r="M35" s="174">
        <f t="shared" si="2"/>
        <v>0</v>
      </c>
      <c r="N35" s="11"/>
      <c r="O35" s="11"/>
      <c r="P35" s="11"/>
      <c r="Q35" s="11"/>
      <c r="R35" s="11"/>
      <c r="S35" s="11"/>
      <c r="T35" s="11"/>
      <c r="U35" s="11"/>
    </row>
    <row r="36" spans="1:21" x14ac:dyDescent="0.2">
      <c r="A36" s="424"/>
      <c r="B36" s="421" t="str">
        <f>+Summary!B34</f>
        <v xml:space="preserve">Misc Exterior Steel </v>
      </c>
      <c r="C36" s="209">
        <f>+Summary!F34*'Admin Set Up'!$B$31</f>
        <v>20.988000000000003</v>
      </c>
      <c r="D36" s="213">
        <f>+Summary!C34</f>
        <v>1049.4000000000001</v>
      </c>
      <c r="E36" s="209">
        <f>+Summary!E34*'Admin Set Up'!$C$31</f>
        <v>31.482000000000006</v>
      </c>
      <c r="F36" s="213">
        <f t="shared" si="0"/>
        <v>31.482000000000006</v>
      </c>
      <c r="G36" s="216">
        <f t="shared" si="1"/>
        <v>0</v>
      </c>
      <c r="H36" s="216">
        <f t="shared" si="3"/>
        <v>2.1981566640882984E-3</v>
      </c>
      <c r="I36" s="406">
        <f t="shared" si="4"/>
        <v>0</v>
      </c>
      <c r="J36" s="218"/>
      <c r="K36" s="183"/>
      <c r="L36" s="173"/>
      <c r="M36" s="174">
        <f t="shared" si="2"/>
        <v>0</v>
      </c>
      <c r="N36" s="11"/>
      <c r="O36" s="11"/>
      <c r="P36" s="11"/>
      <c r="Q36" s="11"/>
      <c r="R36" s="11"/>
      <c r="S36" s="11"/>
      <c r="T36" s="11"/>
      <c r="U36" s="11"/>
    </row>
    <row r="37" spans="1:21" x14ac:dyDescent="0.2">
      <c r="A37" s="424"/>
      <c r="B37" s="421" t="str">
        <f>+Summary!B35</f>
        <v>Alt 17</v>
      </c>
      <c r="C37" s="209">
        <f>+Summary!F35*'Admin Set Up'!$B$31</f>
        <v>0</v>
      </c>
      <c r="D37" s="213">
        <f>+Summary!C35</f>
        <v>5079.8</v>
      </c>
      <c r="E37" s="209">
        <f>+Summary!E35*'Admin Set Up'!$C$31</f>
        <v>0</v>
      </c>
      <c r="F37" s="213">
        <f t="shared" si="0"/>
        <v>0</v>
      </c>
      <c r="G37" s="216">
        <f t="shared" si="1"/>
        <v>0</v>
      </c>
      <c r="H37" s="216">
        <f t="shared" si="3"/>
        <v>0</v>
      </c>
      <c r="I37" s="406">
        <f t="shared" si="4"/>
        <v>0</v>
      </c>
      <c r="J37" s="218"/>
      <c r="K37" s="183"/>
      <c r="L37" s="173"/>
      <c r="M37" s="174">
        <f t="shared" si="2"/>
        <v>0</v>
      </c>
      <c r="N37" s="11"/>
      <c r="O37" s="11"/>
      <c r="P37" s="11"/>
      <c r="Q37" s="11"/>
      <c r="R37" s="11"/>
      <c r="S37" s="11"/>
      <c r="T37" s="11"/>
      <c r="U37" s="11"/>
    </row>
    <row r="38" spans="1:21" x14ac:dyDescent="0.2">
      <c r="A38" s="424"/>
      <c r="B38" s="421">
        <f>+Summary!B36</f>
        <v>34</v>
      </c>
      <c r="C38" s="209">
        <f>+Summary!F36*'Admin Set Up'!$B$31</f>
        <v>0</v>
      </c>
      <c r="D38" s="213">
        <f>+Summary!C36</f>
        <v>0</v>
      </c>
      <c r="E38" s="209">
        <f>+Summary!E36*'Admin Set Up'!$C$31</f>
        <v>0</v>
      </c>
      <c r="F38" s="213">
        <f t="shared" si="0"/>
        <v>0</v>
      </c>
      <c r="G38" s="216">
        <f t="shared" si="1"/>
        <v>0</v>
      </c>
      <c r="H38" s="216">
        <f t="shared" si="3"/>
        <v>0</v>
      </c>
      <c r="I38" s="406">
        <f t="shared" si="4"/>
        <v>0</v>
      </c>
      <c r="J38" s="218"/>
      <c r="K38" s="183"/>
      <c r="L38" s="173"/>
      <c r="M38" s="174">
        <f t="shared" si="2"/>
        <v>0</v>
      </c>
      <c r="N38" s="11"/>
      <c r="O38" s="11"/>
      <c r="P38" s="11"/>
      <c r="Q38" s="11"/>
      <c r="R38" s="11"/>
      <c r="S38" s="11"/>
      <c r="T38" s="11"/>
      <c r="U38" s="11"/>
    </row>
    <row r="39" spans="1:21" x14ac:dyDescent="0.2">
      <c r="A39" s="424"/>
      <c r="B39" s="421">
        <f>+Summary!B37</f>
        <v>35</v>
      </c>
      <c r="C39" s="209">
        <f>+Summary!F37*'Admin Set Up'!$B$31</f>
        <v>0</v>
      </c>
      <c r="D39" s="213">
        <f>+Summary!C37</f>
        <v>0</v>
      </c>
      <c r="E39" s="209">
        <f>+Summary!E37*'Admin Set Up'!$C$31</f>
        <v>0</v>
      </c>
      <c r="F39" s="213">
        <f t="shared" si="0"/>
        <v>0</v>
      </c>
      <c r="G39" s="216">
        <f t="shared" si="1"/>
        <v>0</v>
      </c>
      <c r="H39" s="216">
        <f t="shared" si="3"/>
        <v>0</v>
      </c>
      <c r="I39" s="406">
        <f t="shared" si="4"/>
        <v>0</v>
      </c>
      <c r="J39" s="218"/>
      <c r="K39" s="183"/>
      <c r="L39" s="173"/>
      <c r="M39" s="174">
        <f t="shared" si="2"/>
        <v>0</v>
      </c>
      <c r="N39" s="11"/>
      <c r="O39" s="11"/>
      <c r="P39" s="11"/>
      <c r="Q39" s="11"/>
      <c r="R39" s="11"/>
      <c r="S39" s="11"/>
      <c r="T39" s="11"/>
      <c r="U39" s="11"/>
    </row>
    <row r="40" spans="1:21" x14ac:dyDescent="0.2">
      <c r="A40" s="424"/>
      <c r="B40" s="421">
        <f>+Summary!B38</f>
        <v>36</v>
      </c>
      <c r="C40" s="209">
        <f>+Summary!F38*'Admin Set Up'!$B$31</f>
        <v>0</v>
      </c>
      <c r="D40" s="213">
        <f>+Summary!C38</f>
        <v>0</v>
      </c>
      <c r="E40" s="209">
        <f>+Summary!E38*'Admin Set Up'!$C$31</f>
        <v>0</v>
      </c>
      <c r="F40" s="213">
        <f t="shared" si="0"/>
        <v>0</v>
      </c>
      <c r="G40" s="216">
        <f t="shared" si="1"/>
        <v>0</v>
      </c>
      <c r="H40" s="216">
        <f t="shared" si="3"/>
        <v>0</v>
      </c>
      <c r="I40" s="406">
        <f t="shared" si="4"/>
        <v>0</v>
      </c>
      <c r="J40" s="218"/>
      <c r="K40" s="183"/>
      <c r="L40" s="173"/>
      <c r="M40" s="174">
        <f t="shared" si="2"/>
        <v>0</v>
      </c>
      <c r="N40" s="11"/>
      <c r="O40" s="11"/>
      <c r="P40" s="11"/>
      <c r="Q40" s="11"/>
      <c r="R40" s="11"/>
      <c r="S40" s="11"/>
      <c r="T40" s="11"/>
      <c r="U40" s="11"/>
    </row>
    <row r="41" spans="1:21" x14ac:dyDescent="0.2">
      <c r="A41" s="424"/>
      <c r="B41" s="421">
        <f>+Summary!B39</f>
        <v>37</v>
      </c>
      <c r="C41" s="209">
        <f>+Summary!F39*'Admin Set Up'!$B$31</f>
        <v>0</v>
      </c>
      <c r="D41" s="213">
        <f>+Summary!C39</f>
        <v>0</v>
      </c>
      <c r="E41" s="209">
        <f>+Summary!E39*'Admin Set Up'!$C$31</f>
        <v>0</v>
      </c>
      <c r="F41" s="213">
        <f t="shared" si="0"/>
        <v>0</v>
      </c>
      <c r="G41" s="216">
        <f t="shared" si="1"/>
        <v>0</v>
      </c>
      <c r="H41" s="216">
        <f t="shared" si="3"/>
        <v>0</v>
      </c>
      <c r="I41" s="406">
        <f t="shared" si="4"/>
        <v>0</v>
      </c>
      <c r="J41" s="218"/>
      <c r="K41" s="183"/>
      <c r="L41" s="173"/>
      <c r="M41" s="174">
        <f t="shared" si="2"/>
        <v>0</v>
      </c>
      <c r="N41" s="11"/>
      <c r="O41" s="11"/>
      <c r="P41" s="11"/>
      <c r="Q41" s="11"/>
      <c r="R41" s="11"/>
      <c r="S41" s="11"/>
      <c r="T41" s="11"/>
      <c r="U41" s="11"/>
    </row>
    <row r="42" spans="1:21" x14ac:dyDescent="0.2">
      <c r="A42" s="424"/>
      <c r="B42" s="421">
        <f>+Summary!B40</f>
        <v>38</v>
      </c>
      <c r="C42" s="209">
        <f>+Summary!F40*'Admin Set Up'!$B$31</f>
        <v>0</v>
      </c>
      <c r="D42" s="213">
        <f>+Summary!C40</f>
        <v>0</v>
      </c>
      <c r="E42" s="209">
        <f>+Summary!E40*'Admin Set Up'!$C$31</f>
        <v>0</v>
      </c>
      <c r="F42" s="213">
        <f t="shared" si="0"/>
        <v>0</v>
      </c>
      <c r="G42" s="216">
        <f t="shared" si="1"/>
        <v>0</v>
      </c>
      <c r="H42" s="216">
        <f t="shared" si="3"/>
        <v>0</v>
      </c>
      <c r="I42" s="406">
        <f t="shared" si="4"/>
        <v>0</v>
      </c>
      <c r="J42" s="218"/>
      <c r="K42" s="183"/>
      <c r="L42" s="173"/>
      <c r="M42" s="174">
        <f t="shared" si="2"/>
        <v>0</v>
      </c>
      <c r="N42" s="11"/>
      <c r="O42" s="11"/>
      <c r="P42" s="11"/>
      <c r="Q42" s="11"/>
      <c r="R42" s="11"/>
      <c r="S42" s="11"/>
      <c r="T42" s="11"/>
      <c r="U42" s="11"/>
    </row>
    <row r="43" spans="1:21" x14ac:dyDescent="0.2">
      <c r="A43" s="424"/>
      <c r="B43" s="421">
        <f>+Summary!B41</f>
        <v>39</v>
      </c>
      <c r="C43" s="209">
        <f>+Summary!F41*'Admin Set Up'!$B$31</f>
        <v>0</v>
      </c>
      <c r="D43" s="213">
        <f>+Summary!C41</f>
        <v>0</v>
      </c>
      <c r="E43" s="209">
        <f>+Summary!E41*'Admin Set Up'!$C$31</f>
        <v>0</v>
      </c>
      <c r="F43" s="213">
        <f t="shared" si="0"/>
        <v>0</v>
      </c>
      <c r="G43" s="216">
        <f t="shared" si="1"/>
        <v>0</v>
      </c>
      <c r="H43" s="216">
        <f t="shared" si="3"/>
        <v>0</v>
      </c>
      <c r="I43" s="406">
        <f t="shared" si="4"/>
        <v>0</v>
      </c>
      <c r="J43" s="218"/>
      <c r="K43" s="183"/>
      <c r="L43" s="173"/>
      <c r="M43" s="174">
        <f t="shared" si="2"/>
        <v>0</v>
      </c>
      <c r="N43" s="11"/>
      <c r="O43" s="11"/>
      <c r="P43" s="11"/>
      <c r="Q43" s="11"/>
      <c r="R43" s="11"/>
      <c r="S43" s="11"/>
      <c r="T43" s="11"/>
      <c r="U43" s="11"/>
    </row>
    <row r="44" spans="1:21" ht="16" thickBot="1" x14ac:dyDescent="0.25">
      <c r="A44" s="444"/>
      <c r="B44" s="445">
        <f>+Summary!B42</f>
        <v>40</v>
      </c>
      <c r="C44" s="446">
        <f>+Summary!F42*'Admin Set Up'!$B$31</f>
        <v>0</v>
      </c>
      <c r="D44" s="447">
        <f>+Summary!C42</f>
        <v>0</v>
      </c>
      <c r="E44" s="446">
        <f>+Summary!E42*'Admin Set Up'!$C$31</f>
        <v>0</v>
      </c>
      <c r="F44" s="447">
        <f t="shared" si="0"/>
        <v>0</v>
      </c>
      <c r="G44" s="448">
        <f t="shared" si="1"/>
        <v>0</v>
      </c>
      <c r="H44" s="448">
        <f t="shared" si="3"/>
        <v>0</v>
      </c>
      <c r="I44" s="449">
        <f t="shared" si="4"/>
        <v>0</v>
      </c>
      <c r="J44" s="450"/>
      <c r="K44" s="451"/>
      <c r="L44" s="452"/>
      <c r="M44" s="453">
        <f t="shared" si="2"/>
        <v>0</v>
      </c>
      <c r="N44" s="11"/>
      <c r="O44" s="11"/>
      <c r="P44" s="11"/>
      <c r="Q44" s="11"/>
      <c r="R44" s="11"/>
      <c r="S44" s="11"/>
      <c r="T44" s="11"/>
      <c r="U44" s="11"/>
    </row>
    <row r="45" spans="1:21" ht="16" thickTop="1" x14ac:dyDescent="0.2">
      <c r="A45" s="454"/>
      <c r="B45" s="420" t="s">
        <v>362</v>
      </c>
      <c r="C45" s="455"/>
      <c r="D45" s="455"/>
      <c r="E45" s="208">
        <f>+'Change Order'!T4</f>
        <v>0</v>
      </c>
      <c r="F45" s="212">
        <f t="shared" si="0"/>
        <v>0</v>
      </c>
      <c r="G45" s="215">
        <f t="shared" si="1"/>
        <v>0</v>
      </c>
      <c r="H45" s="215">
        <f t="shared" si="3"/>
        <v>0</v>
      </c>
      <c r="I45" s="405">
        <f t="shared" si="4"/>
        <v>0</v>
      </c>
      <c r="J45" s="217"/>
      <c r="K45" s="182"/>
      <c r="L45" s="171"/>
      <c r="M45" s="172">
        <f t="shared" si="2"/>
        <v>0</v>
      </c>
      <c r="N45" s="11"/>
      <c r="O45" s="11"/>
      <c r="P45" s="11"/>
      <c r="Q45" s="11"/>
      <c r="R45" s="11"/>
      <c r="S45" s="11"/>
      <c r="T45" s="11"/>
      <c r="U45" s="11"/>
    </row>
    <row r="46" spans="1:21" ht="16" thickBot="1" x14ac:dyDescent="0.25">
      <c r="A46" s="425"/>
      <c r="B46" s="422"/>
      <c r="C46" s="210"/>
      <c r="D46" s="214"/>
      <c r="E46" s="210"/>
      <c r="F46" s="214"/>
      <c r="G46" s="216">
        <f t="shared" si="1"/>
        <v>0</v>
      </c>
      <c r="H46" s="216">
        <f t="shared" si="3"/>
        <v>0</v>
      </c>
      <c r="I46" s="406">
        <f t="shared" si="4"/>
        <v>0</v>
      </c>
      <c r="J46" s="219"/>
      <c r="K46" s="184"/>
      <c r="L46" s="175"/>
      <c r="M46" s="176">
        <f t="shared" si="2"/>
        <v>0</v>
      </c>
      <c r="N46" s="11"/>
      <c r="O46" s="11"/>
      <c r="P46" s="11"/>
      <c r="Q46" s="11"/>
      <c r="R46" s="11"/>
      <c r="S46" s="11"/>
      <c r="T46" s="11"/>
      <c r="U46" s="11"/>
    </row>
    <row r="47" spans="1:21" x14ac:dyDescent="0.2">
      <c r="B47" s="169"/>
      <c r="C47" s="169"/>
      <c r="D47" s="169"/>
      <c r="E47" s="427">
        <f>SUM(E5:E46)</f>
        <v>14322.000116883113</v>
      </c>
      <c r="F47" s="427">
        <f>SUM(F5:F46)</f>
        <v>14322.000116883113</v>
      </c>
      <c r="G47" s="428">
        <f>IF(M47=0,0,M47/E47)</f>
        <v>0</v>
      </c>
      <c r="H47" s="429"/>
      <c r="I47" s="429">
        <f>SUM(I5:I46)</f>
        <v>0</v>
      </c>
      <c r="J47" s="426">
        <f>+I47</f>
        <v>0</v>
      </c>
      <c r="K47" s="170">
        <f>SUM(K5:K46)</f>
        <v>0</v>
      </c>
      <c r="L47" s="170">
        <f>SUM(L5:L46)</f>
        <v>0</v>
      </c>
      <c r="M47" s="170">
        <f>SUM(M5:M46)</f>
        <v>0</v>
      </c>
      <c r="N47" s="11"/>
      <c r="O47" s="11"/>
      <c r="P47" s="11"/>
      <c r="Q47" s="11"/>
      <c r="R47" s="11"/>
      <c r="S47" s="11"/>
      <c r="T47" s="11"/>
      <c r="U47" s="11"/>
    </row>
  </sheetData>
  <mergeCells count="2">
    <mergeCell ref="B1:G1"/>
    <mergeCell ref="C3:G3"/>
  </mergeCells>
  <pageMargins left="0.7" right="0.7" top="0.75" bottom="0.75" header="0.3" footer="0.3"/>
  <pageSetup paperSize="0" orientation="portrait"/>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A1:V68"/>
  <sheetViews>
    <sheetView workbookViewId="0">
      <pane ySplit="2" topLeftCell="A33" activePane="bottomLeft" state="frozen"/>
      <selection pane="bottomLeft" activeCell="G38" sqref="G38"/>
    </sheetView>
  </sheetViews>
  <sheetFormatPr baseColWidth="10" defaultColWidth="8.83203125" defaultRowHeight="15" x14ac:dyDescent="0.2"/>
  <cols>
    <col min="1" max="1" width="4.5" style="10" customWidth="1"/>
    <col min="2" max="2" width="24.5" style="10" customWidth="1"/>
    <col min="3" max="3" width="8.83203125" style="10"/>
    <col min="4" max="4" width="6" style="10" customWidth="1"/>
    <col min="5" max="5" width="8.5" style="10" customWidth="1"/>
    <col min="6" max="6" width="9.5" style="10" bestFit="1" customWidth="1"/>
    <col min="7" max="7" width="12.83203125" style="10" customWidth="1"/>
    <col min="8" max="8" width="12.33203125" style="10" customWidth="1"/>
    <col min="9" max="11" width="12.83203125" style="10" customWidth="1"/>
    <col min="12" max="12" width="11.33203125" style="10" customWidth="1"/>
    <col min="13" max="13" width="12.6640625" style="10" customWidth="1"/>
    <col min="14" max="14" width="15.1640625" style="10" customWidth="1"/>
    <col min="15" max="16384" width="8.83203125" style="10"/>
  </cols>
  <sheetData>
    <row r="1" spans="1:22" ht="39.75" customHeight="1" x14ac:dyDescent="0.2">
      <c r="A1" s="1329" t="s">
        <v>412</v>
      </c>
      <c r="B1" s="1329"/>
      <c r="C1" s="1329"/>
      <c r="D1" s="1329"/>
      <c r="E1" s="1329"/>
      <c r="F1" s="1329"/>
      <c r="G1" s="1329"/>
      <c r="H1" s="1329"/>
      <c r="I1" s="1329"/>
      <c r="J1" s="1329"/>
      <c r="K1" s="1329"/>
      <c r="L1" s="1329"/>
      <c r="M1" s="1329"/>
      <c r="N1" s="1329"/>
      <c r="O1" s="1329"/>
    </row>
    <row r="2" spans="1:22" ht="46.5" customHeight="1" thickBot="1" x14ac:dyDescent="0.25">
      <c r="A2" s="137" t="s">
        <v>251</v>
      </c>
      <c r="B2" s="138" t="s">
        <v>169</v>
      </c>
      <c r="C2" s="139" t="s">
        <v>252</v>
      </c>
      <c r="D2" s="139" t="s">
        <v>256</v>
      </c>
      <c r="E2" s="139" t="s">
        <v>217</v>
      </c>
      <c r="F2" s="139" t="s">
        <v>222</v>
      </c>
      <c r="G2" s="139" t="s">
        <v>148</v>
      </c>
      <c r="H2" s="139" t="s">
        <v>149</v>
      </c>
      <c r="I2" s="139" t="s">
        <v>224</v>
      </c>
      <c r="J2" s="139" t="s">
        <v>257</v>
      </c>
      <c r="K2" s="139" t="s">
        <v>31</v>
      </c>
      <c r="L2" s="139" t="s">
        <v>258</v>
      </c>
      <c r="M2" s="139" t="s">
        <v>259</v>
      </c>
      <c r="N2" s="139" t="s">
        <v>254</v>
      </c>
      <c r="O2" s="139" t="s">
        <v>255</v>
      </c>
      <c r="P2" s="136"/>
      <c r="Q2" s="136"/>
      <c r="R2" s="136"/>
      <c r="S2" s="136"/>
      <c r="T2" s="136"/>
      <c r="U2" s="136"/>
      <c r="V2" s="136"/>
    </row>
    <row r="3" spans="1:22" ht="16" thickTop="1" x14ac:dyDescent="0.2">
      <c r="A3" s="222">
        <v>1</v>
      </c>
      <c r="B3" s="223" t="str">
        <f>+'Base Estimate'!B4</f>
        <v>Walls GWB</v>
      </c>
      <c r="C3" s="556">
        <f>+'Base Estimate'!G4</f>
        <v>912106.5</v>
      </c>
      <c r="D3" s="224" t="str">
        <f>+'Base Estimate'!H4</f>
        <v>SF</v>
      </c>
      <c r="E3" s="225">
        <f>+'Base Estimate'!J11</f>
        <v>6996.7650129870126</v>
      </c>
      <c r="F3" s="555">
        <f>+'Base Estimate'!O11</f>
        <v>9538.6961813186808</v>
      </c>
      <c r="G3" s="226">
        <f>+'Base Estimate'!P11</f>
        <v>406298.25721248204</v>
      </c>
      <c r="H3" s="226">
        <f>+'Base Estimate'!Q11</f>
        <v>150697.82922941254</v>
      </c>
      <c r="I3" s="226">
        <f>+'Base Estimate'!R11</f>
        <v>17275.962995029662</v>
      </c>
      <c r="J3" s="227">
        <f>+H3+I3</f>
        <v>167973.79222444221</v>
      </c>
      <c r="K3" s="227">
        <f>+G3+J3</f>
        <v>574272.04943692428</v>
      </c>
      <c r="L3" s="227">
        <f>+IF($K$43=0,0,(K3/$K$43)*Equipment!$G$34)</f>
        <v>11120.307942440846</v>
      </c>
      <c r="M3" s="227">
        <f>IF($K$43=0,0,(K3/$K$43)*Support!$E$58)</f>
        <v>102988.20168087225</v>
      </c>
      <c r="N3" s="227">
        <f>+K3+L3+M3</f>
        <v>688380.55906023737</v>
      </c>
      <c r="O3" s="228">
        <f>IF(C3=0,0,N3/C3)</f>
        <v>0.75471511173337469</v>
      </c>
    </row>
    <row r="4" spans="1:22" x14ac:dyDescent="0.2">
      <c r="A4" s="229">
        <v>2</v>
      </c>
      <c r="B4" s="230" t="str">
        <f>+'Base Estimate'!B13</f>
        <v>Walls Conc</v>
      </c>
      <c r="C4" s="557">
        <f>+'Base Estimate'!G13</f>
        <v>19514</v>
      </c>
      <c r="D4" s="231" t="str">
        <f>+'Base Estimate'!H13</f>
        <v>SF</v>
      </c>
      <c r="E4" s="232">
        <f>+'Base Estimate'!J19</f>
        <v>152.85966666666667</v>
      </c>
      <c r="F4" s="233">
        <f>+'Base Estimate'!O19</f>
        <v>206.96666666666664</v>
      </c>
      <c r="G4" s="234">
        <f>+'Base Estimate'!P19</f>
        <v>8876.4759212962981</v>
      </c>
      <c r="H4" s="234">
        <f>+'Base Estimate'!Q19</f>
        <v>10220.576131687241</v>
      </c>
      <c r="I4" s="234">
        <f>+'Base Estimate'!R19</f>
        <v>377.43127572016454</v>
      </c>
      <c r="J4" s="235">
        <f t="shared" ref="J4:J42" si="0">+H4+I4</f>
        <v>10598.007407407405</v>
      </c>
      <c r="K4" s="235">
        <f t="shared" ref="K4:K42" si="1">+G4+J4</f>
        <v>19474.483328703704</v>
      </c>
      <c r="L4" s="235">
        <f>+IF($K$43=0,0,(K4/$K$43)*Equipment!$G$34)</f>
        <v>377.10742120821601</v>
      </c>
      <c r="M4" s="235">
        <f>IF($K$43=0,0,(K4/$K$43)*Support!$E$58)</f>
        <v>3492.4945740505054</v>
      </c>
      <c r="N4" s="235">
        <f t="shared" ref="N4:N42" si="2">+K4+L4+M4</f>
        <v>23344.085323962427</v>
      </c>
      <c r="O4" s="236">
        <f t="shared" ref="O4:O42" si="3">IF(C4=0,0,N4/C4)</f>
        <v>1.1962737175342024</v>
      </c>
    </row>
    <row r="5" spans="1:22" x14ac:dyDescent="0.2">
      <c r="A5" s="229">
        <v>3</v>
      </c>
      <c r="B5" s="230" t="str">
        <f>+'Base Estimate'!B21</f>
        <v>Walls CMU</v>
      </c>
      <c r="C5" s="558">
        <f>+'Base Estimate'!G21</f>
        <v>24548</v>
      </c>
      <c r="D5" s="237" t="str">
        <f>+'Base Estimate'!H21</f>
        <v>SF</v>
      </c>
      <c r="E5" s="232">
        <f>+'Base Estimate'!J27</f>
        <v>263.01428571428573</v>
      </c>
      <c r="F5" s="233">
        <f>+'Base Estimate'!O27</f>
        <v>490.96</v>
      </c>
      <c r="G5" s="234">
        <f>+'Base Estimate'!P27</f>
        <v>15273.093452380954</v>
      </c>
      <c r="H5" s="234">
        <f>+'Base Estimate'!Q27</f>
        <v>15304.617283950614</v>
      </c>
      <c r="I5" s="234">
        <f>+'Base Estimate'!R27</f>
        <v>649.41798941798947</v>
      </c>
      <c r="J5" s="235">
        <f t="shared" si="0"/>
        <v>15954.035273368603</v>
      </c>
      <c r="K5" s="235">
        <f t="shared" si="1"/>
        <v>31227.128725749557</v>
      </c>
      <c r="L5" s="235">
        <f>+IF($K$43=0,0,(K5/$K$43)*Equipment!$G$34)</f>
        <v>604.68777459926969</v>
      </c>
      <c r="M5" s="235">
        <f>IF($K$43=0,0,(K5/$K$43)*Support!$E$58)</f>
        <v>5600.17823307852</v>
      </c>
      <c r="N5" s="235">
        <f t="shared" si="2"/>
        <v>37431.994733427346</v>
      </c>
      <c r="O5" s="236">
        <f t="shared" si="3"/>
        <v>1.524849060348189</v>
      </c>
    </row>
    <row r="6" spans="1:22" x14ac:dyDescent="0.2">
      <c r="A6" s="229">
        <v>4</v>
      </c>
      <c r="B6" s="230" t="str">
        <f>+'Base Estimate'!B29</f>
        <v>Walls-Stairs</v>
      </c>
      <c r="C6" s="558">
        <f>+'Base Estimate'!G29</f>
        <v>67395</v>
      </c>
      <c r="D6" s="237" t="str">
        <f>+'Base Estimate'!H29</f>
        <v>SF</v>
      </c>
      <c r="E6" s="232">
        <f>+'Base Estimate'!J36</f>
        <v>730.11250000000007</v>
      </c>
      <c r="F6" s="233">
        <f>+'Base Estimate'!O36</f>
        <v>719.62060439560446</v>
      </c>
      <c r="G6" s="234">
        <f>+'Base Estimate'!P36</f>
        <v>42397.227256944454</v>
      </c>
      <c r="H6" s="234">
        <f>+'Base Estimate'!Q36</f>
        <v>11418.413037579703</v>
      </c>
      <c r="I6" s="234">
        <f>+'Base Estimate'!R36</f>
        <v>1802.7469135802469</v>
      </c>
      <c r="J6" s="235">
        <f t="shared" si="0"/>
        <v>13221.159951159951</v>
      </c>
      <c r="K6" s="235">
        <f t="shared" si="1"/>
        <v>55618.387208104403</v>
      </c>
      <c r="L6" s="235">
        <f>+IF($K$43=0,0,(K6/$K$43)*Equipment!$G$34)</f>
        <v>1077.0045201093608</v>
      </c>
      <c r="M6" s="235">
        <f>IF($K$43=0,0,(K6/$K$43)*Support!$E$58)</f>
        <v>9974.432300108394</v>
      </c>
      <c r="N6" s="235">
        <f t="shared" si="2"/>
        <v>66669.824028322153</v>
      </c>
      <c r="O6" s="236">
        <f t="shared" si="3"/>
        <v>0.98923991436044445</v>
      </c>
    </row>
    <row r="7" spans="1:22" x14ac:dyDescent="0.2">
      <c r="A7" s="229">
        <v>5</v>
      </c>
      <c r="B7" s="230" t="str">
        <f>+'Base Estimate'!B38</f>
        <v>Pre-Punch Final</v>
      </c>
      <c r="C7" s="558">
        <f>+'Base Estimate'!G38</f>
        <v>206126</v>
      </c>
      <c r="D7" s="237" t="str">
        <f>+'Base Estimate'!H38</f>
        <v>SF</v>
      </c>
      <c r="E7" s="232">
        <f>+'Base Estimate'!J44</f>
        <v>0</v>
      </c>
      <c r="F7" s="233">
        <f>+'Base Estimate'!O44</f>
        <v>0</v>
      </c>
      <c r="G7" s="234">
        <f>+'Base Estimate'!P44</f>
        <v>0</v>
      </c>
      <c r="H7" s="234">
        <f>+'Base Estimate'!Q44</f>
        <v>0</v>
      </c>
      <c r="I7" s="234">
        <f>+'Base Estimate'!R44</f>
        <v>0</v>
      </c>
      <c r="J7" s="235">
        <f t="shared" si="0"/>
        <v>0</v>
      </c>
      <c r="K7" s="235">
        <f t="shared" si="1"/>
        <v>0</v>
      </c>
      <c r="L7" s="235">
        <f>+IF($K$43=0,0,(K7/$K$43)*Equipment!$G$34)</f>
        <v>0</v>
      </c>
      <c r="M7" s="235">
        <f>IF($K$43=0,0,(K7/$K$43)*Support!$E$58)</f>
        <v>0</v>
      </c>
      <c r="N7" s="235">
        <f t="shared" si="2"/>
        <v>0</v>
      </c>
      <c r="O7" s="236">
        <f t="shared" si="3"/>
        <v>0</v>
      </c>
    </row>
    <row r="8" spans="1:22" x14ac:dyDescent="0.2">
      <c r="A8" s="229">
        <v>6</v>
      </c>
      <c r="B8" s="230" t="str">
        <f>+'Base Estimate'!B46</f>
        <v>GWB Ceiling</v>
      </c>
      <c r="C8" s="558">
        <f>+'Base Estimate'!G46</f>
        <v>128690</v>
      </c>
      <c r="D8" s="237" t="str">
        <f>+'Base Estimate'!H46</f>
        <v>SF</v>
      </c>
      <c r="E8" s="232">
        <f>+'Base Estimate'!J52</f>
        <v>793.58833333333337</v>
      </c>
      <c r="F8" s="233">
        <f>+'Base Estimate'!O52</f>
        <v>1159.6241758241758</v>
      </c>
      <c r="G8" s="234">
        <f>+'Base Estimate'!P52</f>
        <v>46083.233634259268</v>
      </c>
      <c r="H8" s="234">
        <f>+'Base Estimate'!Q52</f>
        <v>19536.577126577125</v>
      </c>
      <c r="I8" s="234">
        <f>+'Base Estimate'!R52</f>
        <v>1959.477366255144</v>
      </c>
      <c r="J8" s="235">
        <f t="shared" si="0"/>
        <v>21496.054492832271</v>
      </c>
      <c r="K8" s="235">
        <f t="shared" si="1"/>
        <v>67579.288127091539</v>
      </c>
      <c r="L8" s="235">
        <f>+IF($K$43=0,0,(K8/$K$43)*Equipment!$G$34)</f>
        <v>1308.6175711338296</v>
      </c>
      <c r="M8" s="235">
        <f>IF($K$43=0,0,(K8/$K$43)*Support!$E$58)</f>
        <v>12119.463870663487</v>
      </c>
      <c r="N8" s="235">
        <f t="shared" si="2"/>
        <v>81007.369568888855</v>
      </c>
      <c r="O8" s="236">
        <f t="shared" si="3"/>
        <v>0.62947680137453454</v>
      </c>
    </row>
    <row r="9" spans="1:22" x14ac:dyDescent="0.2">
      <c r="A9" s="229">
        <v>7</v>
      </c>
      <c r="B9" s="230" t="str">
        <f>+'Base Estimate'!B54</f>
        <v>Conc Ceiling</v>
      </c>
      <c r="C9" s="558">
        <f>+'Base Estimate'!G54</f>
        <v>344094</v>
      </c>
      <c r="D9" s="237" t="str">
        <f>+'Base Estimate'!H54</f>
        <v>SF</v>
      </c>
      <c r="E9" s="232">
        <f>+'Base Estimate'!J58</f>
        <v>0</v>
      </c>
      <c r="F9" s="233">
        <f>+'Base Estimate'!O58</f>
        <v>0</v>
      </c>
      <c r="G9" s="234">
        <f>+'Base Estimate'!P58</f>
        <v>0</v>
      </c>
      <c r="H9" s="234">
        <f>+'Base Estimate'!Q58</f>
        <v>0</v>
      </c>
      <c r="I9" s="234">
        <f>+'Base Estimate'!R58</f>
        <v>0</v>
      </c>
      <c r="J9" s="235">
        <f t="shared" si="0"/>
        <v>0</v>
      </c>
      <c r="K9" s="235">
        <f t="shared" si="1"/>
        <v>0</v>
      </c>
      <c r="L9" s="235">
        <f>+IF($K$43=0,0,(K9/$K$43)*Equipment!$G$34)</f>
        <v>0</v>
      </c>
      <c r="M9" s="235">
        <f>IF($K$43=0,0,(K9/$K$43)*Support!$E$58)</f>
        <v>0</v>
      </c>
      <c r="N9" s="235">
        <f t="shared" si="2"/>
        <v>0</v>
      </c>
      <c r="O9" s="236">
        <f t="shared" si="3"/>
        <v>0</v>
      </c>
    </row>
    <row r="10" spans="1:22" x14ac:dyDescent="0.2">
      <c r="A10" s="229">
        <v>8</v>
      </c>
      <c r="B10" s="230" t="str">
        <f>+'Base Estimate'!B60</f>
        <v>Walls Sealed</v>
      </c>
      <c r="C10" s="558">
        <f>+'Base Estimate'!G60</f>
        <v>28139</v>
      </c>
      <c r="D10" s="237" t="str">
        <f>+'Base Estimate'!H60</f>
        <v>SF</v>
      </c>
      <c r="E10" s="232">
        <f>+'Base Estimate'!J66</f>
        <v>243.87133333333333</v>
      </c>
      <c r="F10" s="233">
        <f>+'Base Estimate'!O66</f>
        <v>243.87133333333333</v>
      </c>
      <c r="G10" s="234">
        <f>+'Base Estimate'!P66</f>
        <v>14161.472842592593</v>
      </c>
      <c r="H10" s="234">
        <f>+'Base Estimate'!Q66</f>
        <v>6832.1028806584354</v>
      </c>
      <c r="I10" s="234">
        <f>+'Base Estimate'!R66</f>
        <v>602.15144032921808</v>
      </c>
      <c r="J10" s="235">
        <f t="shared" si="0"/>
        <v>7434.254320987653</v>
      </c>
      <c r="K10" s="235">
        <f t="shared" si="1"/>
        <v>21595.727163580246</v>
      </c>
      <c r="L10" s="235">
        <f>+IF($K$43=0,0,(K10/$K$43)*Equipment!$G$34)</f>
        <v>418.18357089713135</v>
      </c>
      <c r="M10" s="235">
        <f>IF($K$43=0,0,(K10/$K$43)*Support!$E$58)</f>
        <v>3872.9119878786305</v>
      </c>
      <c r="N10" s="235">
        <f t="shared" si="2"/>
        <v>25886.822722356006</v>
      </c>
      <c r="O10" s="236">
        <f t="shared" si="3"/>
        <v>0.91996242660919036</v>
      </c>
    </row>
    <row r="11" spans="1:22" x14ac:dyDescent="0.2">
      <c r="A11" s="229">
        <v>9</v>
      </c>
      <c r="B11" s="230" t="str">
        <f>+'Base Estimate'!B68</f>
        <v>Floor Sealer</v>
      </c>
      <c r="C11" s="558">
        <f>+'Base Estimate'!G68</f>
        <v>72453</v>
      </c>
      <c r="D11" s="237" t="str">
        <f>+'Base Estimate'!H68</f>
        <v>SF</v>
      </c>
      <c r="E11" s="232">
        <f>+'Base Estimate'!J74</f>
        <v>410.56700000000001</v>
      </c>
      <c r="F11" s="233">
        <f>+'Base Estimate'!O74</f>
        <v>627.92599999999993</v>
      </c>
      <c r="G11" s="234">
        <f>+'Base Estimate'!P74</f>
        <v>23841.397597222225</v>
      </c>
      <c r="H11" s="234">
        <f>+'Base Estimate'!Q74</f>
        <v>17591.469135802465</v>
      </c>
      <c r="I11" s="234">
        <f>+'Base Estimate'!R74</f>
        <v>1013.7456790123456</v>
      </c>
      <c r="J11" s="235">
        <f t="shared" si="0"/>
        <v>18605.214814814812</v>
      </c>
      <c r="K11" s="235">
        <f t="shared" si="1"/>
        <v>42446.612412037037</v>
      </c>
      <c r="L11" s="235">
        <f>+IF($K$43=0,0,(K11/$K$43)*Equipment!$G$34)</f>
        <v>821.94388808945223</v>
      </c>
      <c r="M11" s="235">
        <f>IF($K$43=0,0,(K11/$K$43)*Support!$E$58)</f>
        <v>7612.2462934543946</v>
      </c>
      <c r="N11" s="235">
        <f t="shared" si="2"/>
        <v>50880.802593580884</v>
      </c>
      <c r="O11" s="236">
        <f t="shared" si="3"/>
        <v>0.70225943154294346</v>
      </c>
    </row>
    <row r="12" spans="1:22" x14ac:dyDescent="0.2">
      <c r="A12" s="229">
        <v>10</v>
      </c>
      <c r="B12" s="230" t="str">
        <f>+'Base Estimate'!B76</f>
        <v>Walls Prime/FRP</v>
      </c>
      <c r="C12" s="558">
        <f>+'Base Estimate'!G76</f>
        <v>6042</v>
      </c>
      <c r="D12" s="237" t="str">
        <f>+'Base Estimate'!H76</f>
        <v>SF</v>
      </c>
      <c r="E12" s="232">
        <f>+'Base Estimate'!J80</f>
        <v>0</v>
      </c>
      <c r="F12" s="233">
        <f>+'Base Estimate'!O80</f>
        <v>0</v>
      </c>
      <c r="G12" s="234">
        <f>+'Base Estimate'!P80</f>
        <v>0</v>
      </c>
      <c r="H12" s="234">
        <f>+'Base Estimate'!Q80</f>
        <v>0</v>
      </c>
      <c r="I12" s="234">
        <f>+'Base Estimate'!R80</f>
        <v>0</v>
      </c>
      <c r="J12" s="235">
        <f t="shared" si="0"/>
        <v>0</v>
      </c>
      <c r="K12" s="235">
        <f t="shared" si="1"/>
        <v>0</v>
      </c>
      <c r="L12" s="235">
        <f>+IF($K$43=0,0,(K12/$K$43)*Equipment!$G$34)</f>
        <v>0</v>
      </c>
      <c r="M12" s="235">
        <f>IF($K$43=0,0,(K12/$K$43)*Support!$E$58)</f>
        <v>0</v>
      </c>
      <c r="N12" s="235">
        <f t="shared" si="2"/>
        <v>0</v>
      </c>
      <c r="O12" s="236">
        <f t="shared" si="3"/>
        <v>0</v>
      </c>
    </row>
    <row r="13" spans="1:22" x14ac:dyDescent="0.2">
      <c r="A13" s="229">
        <v>11</v>
      </c>
      <c r="B13" s="230" t="str">
        <f>+'Base Estimate'!B82</f>
        <v>Caulk Transitions</v>
      </c>
      <c r="C13" s="558">
        <f>+'Base Estimate'!G82</f>
        <v>6919</v>
      </c>
      <c r="D13" s="237" t="str">
        <f>+'Base Estimate'!H82</f>
        <v>LF</v>
      </c>
      <c r="E13" s="232">
        <f>+'Base Estimate'!J87</f>
        <v>207.57</v>
      </c>
      <c r="F13" s="233">
        <f>+'Base Estimate'!O87</f>
        <v>169.13111111111112</v>
      </c>
      <c r="G13" s="234">
        <f>+'Base Estimate'!P87</f>
        <v>12053.474583333333</v>
      </c>
      <c r="H13" s="234">
        <f>+'Base Estimate'!Q87</f>
        <v>949.10836762688609</v>
      </c>
      <c r="I13" s="234">
        <f>+'Base Estimate'!R87</f>
        <v>512.51851851851848</v>
      </c>
      <c r="J13" s="235">
        <f t="shared" si="0"/>
        <v>1461.6268861454046</v>
      </c>
      <c r="K13" s="235">
        <f t="shared" si="1"/>
        <v>13515.101469478737</v>
      </c>
      <c r="L13" s="235">
        <f>+IF($K$43=0,0,(K13/$K$43)*Equipment!$G$34)</f>
        <v>261.70887188624323</v>
      </c>
      <c r="M13" s="235">
        <f>IF($K$43=0,0,(K13/$K$43)*Support!$E$58)</f>
        <v>2423.7571674276815</v>
      </c>
      <c r="N13" s="235">
        <f t="shared" si="2"/>
        <v>16200.567508792661</v>
      </c>
      <c r="O13" s="236">
        <f t="shared" si="3"/>
        <v>2.3414608337610439</v>
      </c>
    </row>
    <row r="14" spans="1:22" x14ac:dyDescent="0.2">
      <c r="A14" s="229">
        <v>12</v>
      </c>
      <c r="B14" s="230" t="str">
        <f>+'Base Estimate'!B89</f>
        <v>G/R Systems</v>
      </c>
      <c r="C14" s="558">
        <f>+'Base Estimate'!G89</f>
        <v>2736</v>
      </c>
      <c r="D14" s="237" t="str">
        <f>+'Base Estimate'!H89</f>
        <v>LF</v>
      </c>
      <c r="E14" s="232">
        <f>+'Base Estimate'!J95</f>
        <v>45.599999999999994</v>
      </c>
      <c r="F14" s="233">
        <f>+'Base Estimate'!O95</f>
        <v>19.152000000000001</v>
      </c>
      <c r="G14" s="234">
        <f>+'Base Estimate'!P95</f>
        <v>2647.9666666666672</v>
      </c>
      <c r="H14" s="234">
        <f>+'Base Estimate'!Q95</f>
        <v>945.77777777777783</v>
      </c>
      <c r="I14" s="234">
        <f>+'Base Estimate'!R95</f>
        <v>112.59259259259258</v>
      </c>
      <c r="J14" s="235">
        <f t="shared" si="0"/>
        <v>1058.3703703703704</v>
      </c>
      <c r="K14" s="235">
        <f t="shared" si="1"/>
        <v>3706.3370370370376</v>
      </c>
      <c r="L14" s="235">
        <f>+IF($K$43=0,0,(K14/$K$43)*Equipment!$G$34)</f>
        <v>71.7701814509999</v>
      </c>
      <c r="M14" s="235">
        <f>IF($K$43=0,0,(K14/$K$43)*Support!$E$58)</f>
        <v>664.68320483632078</v>
      </c>
      <c r="N14" s="235">
        <f t="shared" si="2"/>
        <v>4442.7904233243589</v>
      </c>
      <c r="O14" s="236">
        <f t="shared" si="3"/>
        <v>1.6238269091097803</v>
      </c>
    </row>
    <row r="15" spans="1:22" x14ac:dyDescent="0.2">
      <c r="A15" s="229">
        <v>13</v>
      </c>
      <c r="B15" s="230" t="str">
        <f>+'Base Estimate'!B97</f>
        <v>Bollards</v>
      </c>
      <c r="C15" s="558">
        <f>+'Base Estimate'!G97</f>
        <v>14</v>
      </c>
      <c r="D15" s="237" t="str">
        <f>+'Base Estimate'!H97</f>
        <v>EA</v>
      </c>
      <c r="E15" s="232">
        <f>+'Base Estimate'!J103</f>
        <v>16.333333333333336</v>
      </c>
      <c r="F15" s="233">
        <f>+'Base Estimate'!O103</f>
        <v>2.0999999999999996</v>
      </c>
      <c r="G15" s="234">
        <f>+'Base Estimate'!P103</f>
        <v>948.46759259259261</v>
      </c>
      <c r="H15" s="234">
        <f>+'Base Estimate'!Q103</f>
        <v>103.7037037037037</v>
      </c>
      <c r="I15" s="234">
        <f>+'Base Estimate'!R103</f>
        <v>40.329218106995881</v>
      </c>
      <c r="J15" s="235">
        <f t="shared" si="0"/>
        <v>144.03292181069958</v>
      </c>
      <c r="K15" s="235">
        <f t="shared" si="1"/>
        <v>1092.5005144032921</v>
      </c>
      <c r="L15" s="235">
        <f>+IF($K$43=0,0,(K15/$K$43)*Equipment!$G$34)</f>
        <v>21.155377767996402</v>
      </c>
      <c r="M15" s="235">
        <f>IF($K$43=0,0,(K15/$K$43)*Support!$E$58)</f>
        <v>195.92571747857821</v>
      </c>
      <c r="N15" s="235">
        <f t="shared" si="2"/>
        <v>1309.5816096498668</v>
      </c>
      <c r="O15" s="236">
        <f t="shared" si="3"/>
        <v>93.541543546419049</v>
      </c>
    </row>
    <row r="16" spans="1:22" x14ac:dyDescent="0.2">
      <c r="A16" s="229">
        <v>14</v>
      </c>
      <c r="B16" s="230" t="str">
        <f>+'Base Estimate'!B105</f>
        <v>Garage Walls - Tansitional (Conc)</v>
      </c>
      <c r="C16" s="558">
        <f>+'Base Estimate'!G105</f>
        <v>5463</v>
      </c>
      <c r="D16" s="237" t="str">
        <f>+'Base Estimate'!H105</f>
        <v>SF</v>
      </c>
      <c r="E16" s="232">
        <f>+'Base Estimate'!J112</f>
        <v>113.94257142857143</v>
      </c>
      <c r="F16" s="233">
        <f>+'Base Estimate'!O112</f>
        <v>142.64500000000001</v>
      </c>
      <c r="G16" s="234">
        <f>+'Base Estimate'!P112</f>
        <v>6616.5818214285719</v>
      </c>
      <c r="H16" s="234">
        <f>+'Base Estimate'!Q112</f>
        <v>4346.4197530864203</v>
      </c>
      <c r="I16" s="234">
        <f>+'Base Estimate'!R112</f>
        <v>281.33968253968254</v>
      </c>
      <c r="J16" s="235">
        <f t="shared" si="0"/>
        <v>4627.7594356261025</v>
      </c>
      <c r="K16" s="235">
        <f t="shared" si="1"/>
        <v>11244.341257054675</v>
      </c>
      <c r="L16" s="235">
        <f>+IF($K$43=0,0,(K16/$K$43)*Equipment!$G$34)</f>
        <v>217.73745999120641</v>
      </c>
      <c r="M16" s="235">
        <f>IF($K$43=0,0,(K16/$K$43)*Support!$E$58)</f>
        <v>2016.5259414689544</v>
      </c>
      <c r="N16" s="235">
        <f t="shared" si="2"/>
        <v>13478.604658514836</v>
      </c>
      <c r="O16" s="236">
        <f t="shared" si="3"/>
        <v>2.4672532781465928</v>
      </c>
    </row>
    <row r="17" spans="1:15" x14ac:dyDescent="0.2">
      <c r="A17" s="229">
        <v>15</v>
      </c>
      <c r="B17" s="230" t="str">
        <f>+'Base Estimate'!B114</f>
        <v>Garage Walls CMU</v>
      </c>
      <c r="C17" s="558">
        <f>+'Base Estimate'!G114</f>
        <v>6866</v>
      </c>
      <c r="D17" s="237" t="str">
        <f>+'Base Estimate'!H114</f>
        <v>SF</v>
      </c>
      <c r="E17" s="232">
        <f>+'Base Estimate'!J120</f>
        <v>74.381666666666661</v>
      </c>
      <c r="F17" s="233">
        <f>+'Base Estimate'!O120</f>
        <v>137.32</v>
      </c>
      <c r="G17" s="234">
        <f>+'Base Estimate'!P120</f>
        <v>4319.3020601851858</v>
      </c>
      <c r="H17" s="234">
        <f>+'Base Estimate'!Q120</f>
        <v>4280.6543209876536</v>
      </c>
      <c r="I17" s="234">
        <f>+'Base Estimate'!R120</f>
        <v>183.65843621399173</v>
      </c>
      <c r="J17" s="235">
        <f t="shared" si="0"/>
        <v>4464.3127572016456</v>
      </c>
      <c r="K17" s="235">
        <f t="shared" si="1"/>
        <v>8783.6148173868314</v>
      </c>
      <c r="L17" s="235">
        <f>+IF($K$43=0,0,(K17/$K$43)*Equipment!$G$34)</f>
        <v>170.08750767671876</v>
      </c>
      <c r="M17" s="235">
        <f>IF($K$43=0,0,(K17/$K$43)*Support!$E$58)</f>
        <v>1575.2267504349286</v>
      </c>
      <c r="N17" s="235">
        <f t="shared" si="2"/>
        <v>10528.92907549848</v>
      </c>
      <c r="O17" s="236">
        <f t="shared" si="3"/>
        <v>1.5334880680889134</v>
      </c>
    </row>
    <row r="18" spans="1:15" x14ac:dyDescent="0.2">
      <c r="A18" s="229">
        <v>16</v>
      </c>
      <c r="B18" s="230" t="str">
        <f>+'Base Estimate'!B122</f>
        <v>Garage Walls/Columns Conc</v>
      </c>
      <c r="C18" s="558">
        <f>+'Base Estimate'!G122</f>
        <v>13389</v>
      </c>
      <c r="D18" s="237" t="str">
        <f>+'Base Estimate'!H122</f>
        <v>SF</v>
      </c>
      <c r="E18" s="232">
        <f>+'Base Estimate'!J128</f>
        <v>122.73249999999999</v>
      </c>
      <c r="F18" s="233">
        <f>+'Base Estimate'!O128</f>
        <v>164.31954545454545</v>
      </c>
      <c r="G18" s="234">
        <f>+'Base Estimate'!P128</f>
        <v>7127.008090277779</v>
      </c>
      <c r="H18" s="234">
        <f>+'Base Estimate'!Q128</f>
        <v>8114.545454545454</v>
      </c>
      <c r="I18" s="234">
        <f>+'Base Estimate'!R128</f>
        <v>303.04320987654319</v>
      </c>
      <c r="J18" s="235">
        <f t="shared" si="0"/>
        <v>8417.5886644219972</v>
      </c>
      <c r="K18" s="235">
        <f t="shared" si="1"/>
        <v>15544.596754699776</v>
      </c>
      <c r="L18" s="235">
        <f>+IF($K$43=0,0,(K18/$K$43)*Equipment!$G$34)</f>
        <v>301.00838604772537</v>
      </c>
      <c r="M18" s="235">
        <f>IF($K$43=0,0,(K18/$K$43)*Support!$E$58)</f>
        <v>2787.7206755762372</v>
      </c>
      <c r="N18" s="235">
        <f t="shared" si="2"/>
        <v>18633.325816323741</v>
      </c>
      <c r="O18" s="236">
        <f t="shared" si="3"/>
        <v>1.391689134089457</v>
      </c>
    </row>
    <row r="19" spans="1:15" x14ac:dyDescent="0.2">
      <c r="A19" s="229">
        <v>17</v>
      </c>
      <c r="B19" s="230" t="str">
        <f>+'Base Estimate'!B130</f>
        <v>Branded Columns</v>
      </c>
      <c r="C19" s="558">
        <f>+'Base Estimate'!G130</f>
        <v>6000</v>
      </c>
      <c r="D19" s="237" t="str">
        <f>+'Base Estimate'!H130</f>
        <v>SF</v>
      </c>
      <c r="E19" s="232">
        <f>+'Base Estimate'!J136</f>
        <v>80</v>
      </c>
      <c r="F19" s="233">
        <f>+'Base Estimate'!O136</f>
        <v>90</v>
      </c>
      <c r="G19" s="234">
        <f>+'Base Estimate'!P136</f>
        <v>4645.5555555555566</v>
      </c>
      <c r="H19" s="234">
        <f>+'Base Estimate'!Q136</f>
        <v>4444.4444444444434</v>
      </c>
      <c r="I19" s="234">
        <f>+'Base Estimate'!R136</f>
        <v>197.53086419753086</v>
      </c>
      <c r="J19" s="235">
        <f t="shared" si="0"/>
        <v>4641.9753086419742</v>
      </c>
      <c r="K19" s="235">
        <f t="shared" si="1"/>
        <v>9287.5308641975316</v>
      </c>
      <c r="L19" s="235">
        <f>+IF($K$43=0,0,(K19/$K$43)*Equipment!$G$34)</f>
        <v>179.84542924571534</v>
      </c>
      <c r="M19" s="235">
        <f>IF($K$43=0,0,(K19/$K$43)*Support!$E$58)</f>
        <v>1665.5975207171562</v>
      </c>
      <c r="N19" s="235">
        <f t="shared" si="2"/>
        <v>11132.973814160403</v>
      </c>
      <c r="O19" s="236">
        <f t="shared" si="3"/>
        <v>1.8554956356934005</v>
      </c>
    </row>
    <row r="20" spans="1:15" x14ac:dyDescent="0.2">
      <c r="A20" s="229">
        <v>18</v>
      </c>
      <c r="B20" s="230" t="str">
        <f>+'Base Estimate'!B138</f>
        <v>Base</v>
      </c>
      <c r="C20" s="558">
        <f>+'Base Estimate'!G138</f>
        <v>10602</v>
      </c>
      <c r="D20" s="237" t="str">
        <f>+'Base Estimate'!H138</f>
        <v>LF</v>
      </c>
      <c r="E20" s="232">
        <f>+'Base Estimate'!J145</f>
        <v>247.38</v>
      </c>
      <c r="F20" s="233">
        <f>+'Base Estimate'!O145</f>
        <v>251.79749999999999</v>
      </c>
      <c r="G20" s="234">
        <f>+'Base Estimate'!P145</f>
        <v>14365.219166666669</v>
      </c>
      <c r="H20" s="234">
        <f>+'Base Estimate'!Q145</f>
        <v>2094.2222222222222</v>
      </c>
      <c r="I20" s="234">
        <f>+'Base Estimate'!R145</f>
        <v>610.81481481481478</v>
      </c>
      <c r="J20" s="235">
        <f t="shared" si="0"/>
        <v>2705.037037037037</v>
      </c>
      <c r="K20" s="235">
        <f t="shared" si="1"/>
        <v>17070.256203703706</v>
      </c>
      <c r="L20" s="235">
        <f>+IF($K$43=0,0,(K20/$K$43)*Equipment!$G$34)</f>
        <v>330.55153185266806</v>
      </c>
      <c r="M20" s="235">
        <f>IF($K$43=0,0,(K20/$K$43)*Support!$E$58)</f>
        <v>3061.3277981663177</v>
      </c>
      <c r="N20" s="235">
        <f t="shared" si="2"/>
        <v>20462.135533722692</v>
      </c>
      <c r="O20" s="236">
        <f t="shared" si="3"/>
        <v>1.9300259888438684</v>
      </c>
    </row>
    <row r="21" spans="1:15" x14ac:dyDescent="0.2">
      <c r="A21" s="229">
        <v>19</v>
      </c>
      <c r="B21" s="230" t="str">
        <f>+'Base Estimate'!B147</f>
        <v>Transitional Walls</v>
      </c>
      <c r="C21" s="558">
        <f>+'Base Estimate'!G147</f>
        <v>7449</v>
      </c>
      <c r="D21" s="237" t="str">
        <f>+'Base Estimate'!H147</f>
        <v>SF</v>
      </c>
      <c r="E21" s="232">
        <f>+'Base Estimate'!J155</f>
        <v>173.81</v>
      </c>
      <c r="F21" s="233">
        <f>+'Base Estimate'!O155</f>
        <v>115.87333333333332</v>
      </c>
      <c r="G21" s="234">
        <f>+'Base Estimate'!P155</f>
        <v>10093.05013888889</v>
      </c>
      <c r="H21" s="234">
        <f>+'Base Estimate'!Q155</f>
        <v>1573.5884773662549</v>
      </c>
      <c r="I21" s="234">
        <f>+'Base Estimate'!R155</f>
        <v>429.16049382716045</v>
      </c>
      <c r="J21" s="235">
        <f t="shared" si="0"/>
        <v>2002.7489711934154</v>
      </c>
      <c r="K21" s="235">
        <f t="shared" si="1"/>
        <v>12095.799110082306</v>
      </c>
      <c r="L21" s="235">
        <f>+IF($K$43=0,0,(K21/$K$43)*Equipment!$G$34)</f>
        <v>234.22524402137233</v>
      </c>
      <c r="M21" s="235">
        <f>IF($K$43=0,0,(K21/$K$43)*Support!$E$58)</f>
        <v>2169.2238016144247</v>
      </c>
      <c r="N21" s="235">
        <f t="shared" si="2"/>
        <v>14499.248155718102</v>
      </c>
      <c r="O21" s="236">
        <f t="shared" si="3"/>
        <v>1.9464690771537256</v>
      </c>
    </row>
    <row r="22" spans="1:15" x14ac:dyDescent="0.2">
      <c r="A22" s="229">
        <v>20</v>
      </c>
      <c r="B22" s="230" t="str">
        <f>+'Base Estimate'!B157</f>
        <v>SS Column</v>
      </c>
      <c r="C22" s="558">
        <f>+'Base Estimate'!G157</f>
        <v>2889</v>
      </c>
      <c r="D22" s="237" t="str">
        <f>+'Base Estimate'!H157</f>
        <v>SF</v>
      </c>
      <c r="E22" s="232">
        <f>+'Base Estimate'!J163</f>
        <v>44.298000000000002</v>
      </c>
      <c r="F22" s="233">
        <f>+'Base Estimate'!O163</f>
        <v>33.704999999999998</v>
      </c>
      <c r="G22" s="234">
        <f>+'Base Estimate'!P163</f>
        <v>2572.3602500000006</v>
      </c>
      <c r="H22" s="234">
        <f>+'Base Estimate'!Q163</f>
        <v>1593.1111111111109</v>
      </c>
      <c r="I22" s="234">
        <f>+'Base Estimate'!R163</f>
        <v>109.37777777777778</v>
      </c>
      <c r="J22" s="235">
        <f t="shared" si="0"/>
        <v>1702.4888888888886</v>
      </c>
      <c r="K22" s="235">
        <f t="shared" si="1"/>
        <v>4274.8491388888888</v>
      </c>
      <c r="L22" s="235">
        <f>+IF($K$43=0,0,(K22/$K$43)*Equipment!$G$34)</f>
        <v>82.778952725512838</v>
      </c>
      <c r="M22" s="235">
        <f>IF($K$43=0,0,(K22/$K$43)*Support!$E$58)</f>
        <v>766.63843504636429</v>
      </c>
      <c r="N22" s="235">
        <f t="shared" si="2"/>
        <v>5124.2665266607655</v>
      </c>
      <c r="O22" s="236">
        <f t="shared" si="3"/>
        <v>1.7737163470615318</v>
      </c>
    </row>
    <row r="23" spans="1:15" x14ac:dyDescent="0.2">
      <c r="A23" s="229">
        <v>21</v>
      </c>
      <c r="B23" s="230" t="str">
        <f>+'Base Estimate'!B165</f>
        <v>Wall/Accent</v>
      </c>
      <c r="C23" s="558">
        <f>+'Base Estimate'!G165</f>
        <v>122476</v>
      </c>
      <c r="D23" s="237" t="str">
        <f>+'Base Estimate'!H165</f>
        <v>SF</v>
      </c>
      <c r="E23" s="232">
        <f>+'Base Estimate'!J172</f>
        <v>1196.1292467532467</v>
      </c>
      <c r="F23" s="233">
        <f>+'Base Estimate'!O172</f>
        <v>1210.1795238095237</v>
      </c>
      <c r="G23" s="234">
        <f>+'Base Estimate'!P172</f>
        <v>69458.560842712846</v>
      </c>
      <c r="H23" s="234">
        <f>+'Base Estimate'!Q172</f>
        <v>19188.626690182246</v>
      </c>
      <c r="I23" s="234">
        <f>+'Base Estimate'!R172</f>
        <v>2953.4055475388805</v>
      </c>
      <c r="J23" s="235">
        <f t="shared" si="0"/>
        <v>22142.032237721127</v>
      </c>
      <c r="K23" s="235">
        <f t="shared" si="1"/>
        <v>91600.593080433973</v>
      </c>
      <c r="L23" s="235">
        <f>+IF($K$43=0,0,(K23/$K$43)*Equipment!$G$34)</f>
        <v>1773.7704695246948</v>
      </c>
      <c r="M23" s="235">
        <f>IF($K$43=0,0,(K23/$K$43)*Support!$E$58)</f>
        <v>16427.371597668909</v>
      </c>
      <c r="N23" s="235">
        <f t="shared" si="2"/>
        <v>109801.73514762758</v>
      </c>
      <c r="O23" s="236">
        <f t="shared" si="3"/>
        <v>0.89651633910013051</v>
      </c>
    </row>
    <row r="24" spans="1:15" x14ac:dyDescent="0.2">
      <c r="A24" s="229">
        <v>22</v>
      </c>
      <c r="B24" s="230" t="str">
        <f>+'Base Estimate'!B174</f>
        <v>Stair Steel</v>
      </c>
      <c r="C24" s="558">
        <f>+'Base Estimate'!G174</f>
        <v>41362</v>
      </c>
      <c r="D24" s="237" t="str">
        <f>+'Base Estimate'!H174</f>
        <v>SF</v>
      </c>
      <c r="E24" s="232">
        <f>+'Base Estimate'!J180</f>
        <v>496.34399999999999</v>
      </c>
      <c r="F24" s="233">
        <f>+'Base Estimate'!O180</f>
        <v>482.55666666666667</v>
      </c>
      <c r="G24" s="234">
        <f>+'Base Estimate'!P180</f>
        <v>28822.420333333335</v>
      </c>
      <c r="H24" s="234">
        <f>+'Base Estimate'!Q180</f>
        <v>22808.674897119337</v>
      </c>
      <c r="I24" s="234">
        <f>+'Base Estimate'!R180</f>
        <v>1225.5407407407408</v>
      </c>
      <c r="J24" s="235">
        <f t="shared" si="0"/>
        <v>24034.215637860078</v>
      </c>
      <c r="K24" s="235">
        <f t="shared" si="1"/>
        <v>52856.635971193413</v>
      </c>
      <c r="L24" s="235">
        <f>+IF($K$43=0,0,(K24/$K$43)*Equipment!$G$34)</f>
        <v>1023.525469117797</v>
      </c>
      <c r="M24" s="235">
        <f>IF($K$43=0,0,(K24/$K$43)*Support!$E$58)</f>
        <v>9479.1482380366451</v>
      </c>
      <c r="N24" s="235">
        <f t="shared" si="2"/>
        <v>63359.309678347854</v>
      </c>
      <c r="O24" s="236">
        <f t="shared" si="3"/>
        <v>1.5318241303212576</v>
      </c>
    </row>
    <row r="25" spans="1:15" x14ac:dyDescent="0.2">
      <c r="A25" s="229">
        <v>23</v>
      </c>
      <c r="B25" s="230" t="str">
        <f>+'Base Estimate'!B182</f>
        <v>Stair Rails</v>
      </c>
      <c r="C25" s="558">
        <f>+'Base Estimate'!G182</f>
        <v>6848</v>
      </c>
      <c r="D25" s="237" t="str">
        <f>+'Base Estimate'!H182</f>
        <v>LF</v>
      </c>
      <c r="E25" s="232">
        <f>+'Base Estimate'!J188</f>
        <v>159.78666666666669</v>
      </c>
      <c r="F25" s="233">
        <f>+'Base Estimate'!O188</f>
        <v>22.826666666666668</v>
      </c>
      <c r="G25" s="234">
        <f>+'Base Estimate'!P188</f>
        <v>9278.7229629629637</v>
      </c>
      <c r="H25" s="234">
        <f>+'Base Estimate'!Q188</f>
        <v>1042.6995884773664</v>
      </c>
      <c r="I25" s="234">
        <f>+'Base Estimate'!R188</f>
        <v>394.53497942386832</v>
      </c>
      <c r="J25" s="235">
        <f t="shared" si="0"/>
        <v>1437.2345679012346</v>
      </c>
      <c r="K25" s="235">
        <f t="shared" si="1"/>
        <v>10715.957530864198</v>
      </c>
      <c r="L25" s="235">
        <f>+IF($K$43=0,0,(K25/$K$43)*Equipment!$G$34)</f>
        <v>207.50574184860534</v>
      </c>
      <c r="M25" s="235">
        <f>IF($K$43=0,0,(K25/$K$43)*Support!$E$58)</f>
        <v>1921.7672120285226</v>
      </c>
      <c r="N25" s="235">
        <f t="shared" si="2"/>
        <v>12845.230484741325</v>
      </c>
      <c r="O25" s="236">
        <f t="shared" si="3"/>
        <v>1.8757637974213384</v>
      </c>
    </row>
    <row r="26" spans="1:15" x14ac:dyDescent="0.2">
      <c r="A26" s="229">
        <v>24</v>
      </c>
      <c r="B26" s="230" t="str">
        <f>+'Base Estimate'!B190</f>
        <v>HM Door</v>
      </c>
      <c r="C26" s="558">
        <f>+'Base Estimate'!G190</f>
        <v>162</v>
      </c>
      <c r="D26" s="237" t="str">
        <f>+'Base Estimate'!H190</f>
        <v>EA</v>
      </c>
      <c r="E26" s="232">
        <f>+'Base Estimate'!J196</f>
        <v>162</v>
      </c>
      <c r="F26" s="233">
        <f>+'Base Estimate'!O196</f>
        <v>50.625</v>
      </c>
      <c r="G26" s="234">
        <f>+'Base Estimate'!P196</f>
        <v>9407.25</v>
      </c>
      <c r="H26" s="234">
        <f>+'Base Estimate'!Q196</f>
        <v>2350</v>
      </c>
      <c r="I26" s="234">
        <f>+'Base Estimate'!R196</f>
        <v>399.99999999999994</v>
      </c>
      <c r="J26" s="235">
        <f t="shared" si="0"/>
        <v>2750</v>
      </c>
      <c r="K26" s="235">
        <f t="shared" si="1"/>
        <v>12157.25</v>
      </c>
      <c r="L26" s="235">
        <f>+IF($K$43=0,0,(K26/$K$43)*Equipment!$G$34)</f>
        <v>235.41519017997751</v>
      </c>
      <c r="M26" s="235">
        <f>IF($K$43=0,0,(K26/$K$43)*Support!$E$58)</f>
        <v>2180.2442172005876</v>
      </c>
      <c r="N26" s="235">
        <f t="shared" si="2"/>
        <v>14572.909407380565</v>
      </c>
      <c r="O26" s="236">
        <f t="shared" si="3"/>
        <v>89.95623090975657</v>
      </c>
    </row>
    <row r="27" spans="1:15" x14ac:dyDescent="0.2">
      <c r="A27" s="229">
        <v>25</v>
      </c>
      <c r="B27" s="230" t="str">
        <f>+'Base Estimate'!B198</f>
        <v>HM Frame</v>
      </c>
      <c r="C27" s="558">
        <f>+'Base Estimate'!G198</f>
        <v>118</v>
      </c>
      <c r="D27" s="237" t="str">
        <f>+'Base Estimate'!H198</f>
        <v>EA</v>
      </c>
      <c r="E27" s="232">
        <f>+'Base Estimate'!J205</f>
        <v>141.6</v>
      </c>
      <c r="F27" s="233">
        <f>+'Base Estimate'!O205</f>
        <v>78.666666666666657</v>
      </c>
      <c r="G27" s="234">
        <f>+'Base Estimate'!P205</f>
        <v>8222.633333333335</v>
      </c>
      <c r="H27" s="234">
        <f>+'Base Estimate'!Q205</f>
        <v>1277.1193415637858</v>
      </c>
      <c r="I27" s="234">
        <f>+'Base Estimate'!R205</f>
        <v>349.62962962962962</v>
      </c>
      <c r="J27" s="235">
        <f t="shared" si="0"/>
        <v>1626.7489711934154</v>
      </c>
      <c r="K27" s="235">
        <f t="shared" si="1"/>
        <v>9849.3823045267509</v>
      </c>
      <c r="L27" s="235">
        <f>+IF($K$43=0,0,(K27/$K$43)*Equipment!$G$34)</f>
        <v>190.72522226453108</v>
      </c>
      <c r="M27" s="235">
        <f>IF($K$43=0,0,(K27/$K$43)*Support!$E$58)</f>
        <v>1766.3582481599251</v>
      </c>
      <c r="N27" s="235">
        <f t="shared" si="2"/>
        <v>11806.465774951208</v>
      </c>
      <c r="O27" s="236">
        <f t="shared" si="3"/>
        <v>100.05479470297634</v>
      </c>
    </row>
    <row r="28" spans="1:15" x14ac:dyDescent="0.2">
      <c r="A28" s="229">
        <v>26</v>
      </c>
      <c r="B28" s="230" t="str">
        <f>+'Base Estimate'!B207</f>
        <v>10x10 OHC</v>
      </c>
      <c r="C28" s="558">
        <f>+'Base Estimate'!G207</f>
        <v>9</v>
      </c>
      <c r="D28" s="237" t="str">
        <f>+'Base Estimate'!H207</f>
        <v>EA</v>
      </c>
      <c r="E28" s="232">
        <f>+'Base Estimate'!J213</f>
        <v>21</v>
      </c>
      <c r="F28" s="233">
        <f>+'Base Estimate'!O213</f>
        <v>7</v>
      </c>
      <c r="G28" s="234">
        <f>+'Base Estimate'!P213</f>
        <v>1219.4583333333335</v>
      </c>
      <c r="H28" s="234">
        <f>+'Base Estimate'!Q213</f>
        <v>330.8641975308642</v>
      </c>
      <c r="I28" s="234">
        <f>+'Base Estimate'!R213</f>
        <v>51.851851851851848</v>
      </c>
      <c r="J28" s="235">
        <f t="shared" si="0"/>
        <v>382.71604938271605</v>
      </c>
      <c r="K28" s="235">
        <f t="shared" si="1"/>
        <v>1602.1743827160494</v>
      </c>
      <c r="L28" s="235">
        <f>+IF($K$43=0,0,(K28/$K$43)*Equipment!$G$34)</f>
        <v>31.024794835064416</v>
      </c>
      <c r="M28" s="235">
        <f>IF($K$43=0,0,(K28/$K$43)*Support!$E$58)</f>
        <v>287.32907794637669</v>
      </c>
      <c r="N28" s="235">
        <f t="shared" si="2"/>
        <v>1920.5282554974904</v>
      </c>
      <c r="O28" s="236">
        <f t="shared" si="3"/>
        <v>213.39202838861004</v>
      </c>
    </row>
    <row r="29" spans="1:15" x14ac:dyDescent="0.2">
      <c r="A29" s="229">
        <v>27</v>
      </c>
      <c r="B29" s="230" t="str">
        <f>+'Base Estimate'!B215</f>
        <v>Connector Steel</v>
      </c>
      <c r="C29" s="558">
        <f>+'Base Estimate'!G215</f>
        <v>8499.0600000000013</v>
      </c>
      <c r="D29" s="237" t="str">
        <f>+'Base Estimate'!H215</f>
        <v>SF</v>
      </c>
      <c r="E29" s="232">
        <f>+'Base Estimate'!J221</f>
        <v>141.65100000000001</v>
      </c>
      <c r="F29" s="233">
        <f>+'Base Estimate'!O221</f>
        <v>99.155700000000024</v>
      </c>
      <c r="G29" s="234">
        <f>+'Base Estimate'!P221</f>
        <v>8225.5948750000025</v>
      </c>
      <c r="H29" s="234">
        <f>+'Base Estimate'!Q221</f>
        <v>4686.7244444444459</v>
      </c>
      <c r="I29" s="234">
        <f>+'Base Estimate'!R221</f>
        <v>349.75555555555559</v>
      </c>
      <c r="J29" s="235">
        <f t="shared" si="0"/>
        <v>5036.4800000000014</v>
      </c>
      <c r="K29" s="235">
        <f t="shared" si="1"/>
        <v>13262.074875000004</v>
      </c>
      <c r="L29" s="235">
        <f>+IF($K$43=0,0,(K29/$K$43)*Equipment!$G$34)</f>
        <v>256.80921909800554</v>
      </c>
      <c r="M29" s="235">
        <f>IF($K$43=0,0,(K29/$K$43)*Support!$E$58)</f>
        <v>2378.3801480022184</v>
      </c>
      <c r="N29" s="235">
        <f t="shared" si="2"/>
        <v>15897.264242100227</v>
      </c>
      <c r="O29" s="236">
        <f t="shared" si="3"/>
        <v>1.870473233757642</v>
      </c>
    </row>
    <row r="30" spans="1:15" x14ac:dyDescent="0.2">
      <c r="A30" s="229">
        <v>28</v>
      </c>
      <c r="B30" s="230" t="str">
        <f>+'Base Estimate'!B223</f>
        <v>Curtain Wall Steel</v>
      </c>
      <c r="C30" s="558">
        <f>+'Base Estimate'!G223</f>
        <v>3908.1000000000004</v>
      </c>
      <c r="D30" s="237" t="str">
        <f>+'Base Estimate'!H223</f>
        <v>SF</v>
      </c>
      <c r="E30" s="232">
        <f>+'Base Estimate'!J229</f>
        <v>65.135000000000005</v>
      </c>
      <c r="F30" s="233">
        <f>+'Base Estimate'!O229</f>
        <v>45.594500000000004</v>
      </c>
      <c r="G30" s="234">
        <f>+'Base Estimate'!P229</f>
        <v>3782.3532638888892</v>
      </c>
      <c r="H30" s="234">
        <f>+'Base Estimate'!Q229</f>
        <v>2155.0839506172842</v>
      </c>
      <c r="I30" s="234">
        <f>+'Base Estimate'!R229</f>
        <v>160.82716049382719</v>
      </c>
      <c r="J30" s="235">
        <f t="shared" si="0"/>
        <v>2315.9111111111115</v>
      </c>
      <c r="K30" s="235">
        <f t="shared" si="1"/>
        <v>6098.2643750000007</v>
      </c>
      <c r="L30" s="235">
        <f>+IF($K$43=0,0,(K30/$K$43)*Equipment!$G$34)</f>
        <v>118.08789550337509</v>
      </c>
      <c r="M30" s="235">
        <f>IF($K$43=0,0,(K30/$K$43)*Support!$E$58)</f>
        <v>1093.6441743448647</v>
      </c>
      <c r="N30" s="235">
        <f t="shared" si="2"/>
        <v>7309.9964448482406</v>
      </c>
      <c r="O30" s="236">
        <f t="shared" si="3"/>
        <v>1.8704732337576417</v>
      </c>
    </row>
    <row r="31" spans="1:15" x14ac:dyDescent="0.2">
      <c r="A31" s="229">
        <v>29</v>
      </c>
      <c r="B31" s="230" t="str">
        <f>+'Base Estimate'!B231</f>
        <v>Exp FP Pipe (Wall Mounted)</v>
      </c>
      <c r="C31" s="558">
        <f>+'Base Estimate'!G231</f>
        <v>27250</v>
      </c>
      <c r="D31" s="237">
        <f>+'Base Estimate'!H231</f>
        <v>0</v>
      </c>
      <c r="E31" s="232">
        <f>+'Base Estimate'!J237</f>
        <v>545</v>
      </c>
      <c r="F31" s="233">
        <f>+'Base Estimate'!O237</f>
        <v>102.1875</v>
      </c>
      <c r="G31" s="234">
        <f>+'Base Estimate'!P237</f>
        <v>31647.847222222226</v>
      </c>
      <c r="H31" s="234">
        <f>+'Base Estimate'!Q237</f>
        <v>5046.2962962962956</v>
      </c>
      <c r="I31" s="234">
        <f>+'Base Estimate'!R237</f>
        <v>1345.679012345679</v>
      </c>
      <c r="J31" s="235">
        <f t="shared" si="0"/>
        <v>6391.9753086419751</v>
      </c>
      <c r="K31" s="235">
        <f t="shared" si="1"/>
        <v>38039.8225308642</v>
      </c>
      <c r="L31" s="235">
        <f>+IF($K$43=0,0,(K31/$K$43)*Equipment!$G$34)</f>
        <v>736.61001094128937</v>
      </c>
      <c r="M31" s="235">
        <f>IF($K$43=0,0,(K31/$K$43)*Support!$E$58)</f>
        <v>6821.9460072181873</v>
      </c>
      <c r="N31" s="235">
        <f t="shared" si="2"/>
        <v>45598.378549023677</v>
      </c>
      <c r="O31" s="236">
        <f t="shared" si="3"/>
        <v>1.6733349926247221</v>
      </c>
    </row>
    <row r="32" spans="1:15" x14ac:dyDescent="0.2">
      <c r="A32" s="229">
        <v>30</v>
      </c>
      <c r="B32" s="230" t="str">
        <f>+'Base Estimate'!B239</f>
        <v>FP Heads</v>
      </c>
      <c r="C32" s="558">
        <f>+'Base Estimate'!G239</f>
        <v>1816.6666666666667</v>
      </c>
      <c r="D32" s="237">
        <f>+'Base Estimate'!H239</f>
        <v>0</v>
      </c>
      <c r="E32" s="232">
        <f>+'Base Estimate'!J244</f>
        <v>227.08333333333331</v>
      </c>
      <c r="F32" s="233">
        <f>+'Base Estimate'!O244</f>
        <v>36.333333333333336</v>
      </c>
      <c r="G32" s="234">
        <f>+'Base Estimate'!P244</f>
        <v>13186.603009259259</v>
      </c>
      <c r="H32" s="234">
        <f>+'Base Estimate'!Q244</f>
        <v>448.55967078189303</v>
      </c>
      <c r="I32" s="234">
        <f>+'Base Estimate'!R244</f>
        <v>560.69958847736621</v>
      </c>
      <c r="J32" s="235">
        <f t="shared" si="0"/>
        <v>1009.2592592592592</v>
      </c>
      <c r="K32" s="235">
        <f t="shared" si="1"/>
        <v>14195.862268518518</v>
      </c>
      <c r="L32" s="235">
        <f>+IF($K$43=0,0,(K32/$K$43)*Equipment!$G$34)</f>
        <v>274.89124725674424</v>
      </c>
      <c r="M32" s="235">
        <f>IF($K$43=0,0,(K32/$K$43)*Support!$E$58)</f>
        <v>2545.8427373882678</v>
      </c>
      <c r="N32" s="235">
        <f t="shared" si="2"/>
        <v>17016.59625316353</v>
      </c>
      <c r="O32" s="236">
        <f t="shared" si="3"/>
        <v>9.366933717337723</v>
      </c>
    </row>
    <row r="33" spans="1:15" x14ac:dyDescent="0.2">
      <c r="A33" s="229">
        <v>31</v>
      </c>
      <c r="B33" s="230" t="str">
        <f>+'Base Estimate'!B246</f>
        <v>Wet Land Bridge Steel</v>
      </c>
      <c r="C33" s="558">
        <f>+'Base Estimate'!G246</f>
        <v>15872</v>
      </c>
      <c r="D33" s="237" t="str">
        <f>+'Base Estimate'!H246</f>
        <v>SF</v>
      </c>
      <c r="E33" s="232">
        <f>+'Base Estimate'!J254</f>
        <v>417.96266666666668</v>
      </c>
      <c r="F33" s="233">
        <f>+'Base Estimate'!O254</f>
        <v>349.18399999999997</v>
      </c>
      <c r="G33" s="234">
        <f>+'Base Estimate'!P254</f>
        <v>24270.859851851856</v>
      </c>
      <c r="H33" s="234">
        <f>+'Base Estimate'!Q254</f>
        <v>21554.567901234564</v>
      </c>
      <c r="I33" s="234">
        <f>+'Base Estimate'!R254</f>
        <v>1032.0065843621398</v>
      </c>
      <c r="J33" s="235">
        <f t="shared" si="0"/>
        <v>22586.574485596706</v>
      </c>
      <c r="K33" s="235">
        <f t="shared" si="1"/>
        <v>46857.434337448562</v>
      </c>
      <c r="L33" s="235">
        <f>+IF($K$43=0,0,(K33/$K$43)*Equipment!$G$34)</f>
        <v>907.3558424722911</v>
      </c>
      <c r="M33" s="235">
        <f>IF($K$43=0,0,(K33/$K$43)*Support!$E$58)</f>
        <v>8403.2696742337685</v>
      </c>
      <c r="N33" s="235">
        <f t="shared" si="2"/>
        <v>56168.059854154621</v>
      </c>
      <c r="O33" s="236">
        <f t="shared" si="3"/>
        <v>3.5388142549240564</v>
      </c>
    </row>
    <row r="34" spans="1:15" x14ac:dyDescent="0.2">
      <c r="A34" s="229">
        <v>32</v>
      </c>
      <c r="B34" s="230" t="str">
        <f>+'Base Estimate'!B256</f>
        <v xml:space="preserve">Misc Exterior Steel </v>
      </c>
      <c r="C34" s="558">
        <f>+'Base Estimate'!G256</f>
        <v>1049.4000000000001</v>
      </c>
      <c r="D34" s="237" t="str">
        <f>+'Base Estimate'!H256</f>
        <v>SF</v>
      </c>
      <c r="E34" s="232">
        <f>+'Base Estimate'!J263</f>
        <v>31.482000000000006</v>
      </c>
      <c r="F34" s="233">
        <f>+'Base Estimate'!O263</f>
        <v>20.988000000000003</v>
      </c>
      <c r="G34" s="234">
        <f>+'Base Estimate'!P263</f>
        <v>1828.1422500000003</v>
      </c>
      <c r="H34" s="234">
        <f>+'Base Estimate'!Q263</f>
        <v>1295.5555555555557</v>
      </c>
      <c r="I34" s="234">
        <f>+'Base Estimate'!R263</f>
        <v>77.733333333333348</v>
      </c>
      <c r="J34" s="235">
        <f t="shared" si="0"/>
        <v>1373.288888888889</v>
      </c>
      <c r="K34" s="235">
        <f t="shared" si="1"/>
        <v>3201.4311388888891</v>
      </c>
      <c r="L34" s="235">
        <f>+IF($K$43=0,0,(K34/$K$43)*Equipment!$G$34)</f>
        <v>61.993092221483465</v>
      </c>
      <c r="M34" s="235">
        <f>IF($K$43=0,0,(K34/$K$43)*Support!$E$58)</f>
        <v>574.13491762762078</v>
      </c>
      <c r="N34" s="235">
        <f t="shared" si="2"/>
        <v>3837.5591487379934</v>
      </c>
      <c r="O34" s="236">
        <f t="shared" si="3"/>
        <v>3.6569078985496408</v>
      </c>
    </row>
    <row r="35" spans="1:15" x14ac:dyDescent="0.2">
      <c r="A35" s="229">
        <v>33</v>
      </c>
      <c r="B35" s="230" t="str">
        <f>+'Base Estimate'!B265</f>
        <v>Alt 17</v>
      </c>
      <c r="C35" s="558">
        <f>+'Base Estimate'!G265</f>
        <v>5079.8</v>
      </c>
      <c r="D35" s="237">
        <f>+'Base Estimate'!H265</f>
        <v>0</v>
      </c>
      <c r="E35" s="232">
        <f>+'Base Estimate'!J269</f>
        <v>0</v>
      </c>
      <c r="F35" s="233">
        <f>+'Base Estimate'!O269</f>
        <v>0</v>
      </c>
      <c r="G35" s="234">
        <f>+'Base Estimate'!P269</f>
        <v>0</v>
      </c>
      <c r="H35" s="234">
        <f>+'Base Estimate'!Q269</f>
        <v>0</v>
      </c>
      <c r="I35" s="234">
        <f>+'Base Estimate'!R269</f>
        <v>0</v>
      </c>
      <c r="J35" s="235">
        <f t="shared" si="0"/>
        <v>0</v>
      </c>
      <c r="K35" s="235">
        <f t="shared" si="1"/>
        <v>0</v>
      </c>
      <c r="L35" s="235">
        <f>+IF($K$43=0,0,(K35/$K$43)*Equipment!$G$34)</f>
        <v>0</v>
      </c>
      <c r="M35" s="235">
        <f>IF($K$43=0,0,(K35/$K$43)*Support!$E$58)</f>
        <v>0</v>
      </c>
      <c r="N35" s="235">
        <f t="shared" si="2"/>
        <v>0</v>
      </c>
      <c r="O35" s="236">
        <f t="shared" si="3"/>
        <v>0</v>
      </c>
    </row>
    <row r="36" spans="1:15" x14ac:dyDescent="0.2">
      <c r="A36" s="229">
        <v>34</v>
      </c>
      <c r="B36" s="230">
        <f>+'Base Estimate'!B271</f>
        <v>34</v>
      </c>
      <c r="C36" s="558">
        <f>+'Base Estimate'!G271</f>
        <v>0</v>
      </c>
      <c r="D36" s="237">
        <f>+'Base Estimate'!H271</f>
        <v>0</v>
      </c>
      <c r="E36" s="232">
        <f>+'Base Estimate'!J275</f>
        <v>0</v>
      </c>
      <c r="F36" s="233">
        <f>+'Base Estimate'!O275</f>
        <v>0</v>
      </c>
      <c r="G36" s="234">
        <f>+'Base Estimate'!P275</f>
        <v>0</v>
      </c>
      <c r="H36" s="234">
        <f>+'Base Estimate'!Q275</f>
        <v>0</v>
      </c>
      <c r="I36" s="234">
        <f>+'Base Estimate'!R275</f>
        <v>0</v>
      </c>
      <c r="J36" s="235">
        <f t="shared" si="0"/>
        <v>0</v>
      </c>
      <c r="K36" s="235">
        <f t="shared" si="1"/>
        <v>0</v>
      </c>
      <c r="L36" s="235">
        <f>+IF($K$43=0,0,(K36/$K$43)*Equipment!$G$34)</f>
        <v>0</v>
      </c>
      <c r="M36" s="235">
        <f>IF($K$43=0,0,(K36/$K$43)*Support!$E$58)</f>
        <v>0</v>
      </c>
      <c r="N36" s="235">
        <f t="shared" si="2"/>
        <v>0</v>
      </c>
      <c r="O36" s="236">
        <f t="shared" si="3"/>
        <v>0</v>
      </c>
    </row>
    <row r="37" spans="1:15" x14ac:dyDescent="0.2">
      <c r="A37" s="229">
        <v>35</v>
      </c>
      <c r="B37" s="230">
        <f>+'Base Estimate'!B277</f>
        <v>35</v>
      </c>
      <c r="C37" s="558">
        <f>+'Base Estimate'!G277</f>
        <v>0</v>
      </c>
      <c r="D37" s="237">
        <f>+'Base Estimate'!H277</f>
        <v>0</v>
      </c>
      <c r="E37" s="232">
        <f>+'Base Estimate'!J281</f>
        <v>0</v>
      </c>
      <c r="F37" s="233">
        <f>+'Base Estimate'!O281</f>
        <v>0</v>
      </c>
      <c r="G37" s="234">
        <f>+'Base Estimate'!P281</f>
        <v>0</v>
      </c>
      <c r="H37" s="234">
        <f>+'Base Estimate'!Q281</f>
        <v>0</v>
      </c>
      <c r="I37" s="234">
        <f>+'Base Estimate'!R281</f>
        <v>0</v>
      </c>
      <c r="J37" s="235">
        <f t="shared" si="0"/>
        <v>0</v>
      </c>
      <c r="K37" s="235">
        <f t="shared" si="1"/>
        <v>0</v>
      </c>
      <c r="L37" s="235">
        <f>+IF($K$43=0,0,(K37/$K$43)*Equipment!$G$34)</f>
        <v>0</v>
      </c>
      <c r="M37" s="235">
        <f>IF($K$43=0,0,(K37/$K$43)*Support!$E$58)</f>
        <v>0</v>
      </c>
      <c r="N37" s="235">
        <f t="shared" si="2"/>
        <v>0</v>
      </c>
      <c r="O37" s="236">
        <f t="shared" si="3"/>
        <v>0</v>
      </c>
    </row>
    <row r="38" spans="1:15" x14ac:dyDescent="0.2">
      <c r="A38" s="229">
        <v>36</v>
      </c>
      <c r="B38" s="230">
        <f>+'Base Estimate'!B283</f>
        <v>36</v>
      </c>
      <c r="C38" s="558">
        <f>+'Base Estimate'!G283</f>
        <v>0</v>
      </c>
      <c r="D38" s="237">
        <f>+'Base Estimate'!H283</f>
        <v>0</v>
      </c>
      <c r="E38" s="232">
        <f>+'Base Estimate'!J287</f>
        <v>0</v>
      </c>
      <c r="F38" s="233">
        <f>+'Base Estimate'!O287</f>
        <v>0</v>
      </c>
      <c r="G38" s="234">
        <f>+'Base Estimate'!P287</f>
        <v>0</v>
      </c>
      <c r="H38" s="234">
        <f>+'Base Estimate'!Q287</f>
        <v>0</v>
      </c>
      <c r="I38" s="234">
        <f>+'Base Estimate'!R287</f>
        <v>0</v>
      </c>
      <c r="J38" s="235">
        <f t="shared" si="0"/>
        <v>0</v>
      </c>
      <c r="K38" s="235">
        <f t="shared" si="1"/>
        <v>0</v>
      </c>
      <c r="L38" s="235">
        <f>+IF($K$43=0,0,(K38/$K$43)*Equipment!$G$34)</f>
        <v>0</v>
      </c>
      <c r="M38" s="235">
        <f>IF($K$43=0,0,(K38/$K$43)*Support!$E$58)</f>
        <v>0</v>
      </c>
      <c r="N38" s="235">
        <f t="shared" si="2"/>
        <v>0</v>
      </c>
      <c r="O38" s="236">
        <f t="shared" si="3"/>
        <v>0</v>
      </c>
    </row>
    <row r="39" spans="1:15" x14ac:dyDescent="0.2">
      <c r="A39" s="229">
        <v>37</v>
      </c>
      <c r="B39" s="230">
        <f>+'Base Estimate'!B289</f>
        <v>37</v>
      </c>
      <c r="C39" s="558">
        <f>+'Base Estimate'!G289</f>
        <v>0</v>
      </c>
      <c r="D39" s="237">
        <f>+'Base Estimate'!H289</f>
        <v>0</v>
      </c>
      <c r="E39" s="232">
        <f>+'Base Estimate'!J293</f>
        <v>0</v>
      </c>
      <c r="F39" s="233">
        <f>+'Base Estimate'!O293</f>
        <v>0</v>
      </c>
      <c r="G39" s="234">
        <f>+'Base Estimate'!P293</f>
        <v>0</v>
      </c>
      <c r="H39" s="234">
        <f>+'Base Estimate'!Q293</f>
        <v>0</v>
      </c>
      <c r="I39" s="234">
        <f>+'Base Estimate'!R293</f>
        <v>0</v>
      </c>
      <c r="J39" s="235">
        <f t="shared" si="0"/>
        <v>0</v>
      </c>
      <c r="K39" s="235">
        <f t="shared" si="1"/>
        <v>0</v>
      </c>
      <c r="L39" s="235">
        <f>+IF($K$43=0,0,(K39/$K$43)*Equipment!$G$34)</f>
        <v>0</v>
      </c>
      <c r="M39" s="235">
        <f>IF($K$43=0,0,(K39/$K$43)*Support!$E$58)</f>
        <v>0</v>
      </c>
      <c r="N39" s="235">
        <f t="shared" si="2"/>
        <v>0</v>
      </c>
      <c r="O39" s="236">
        <f t="shared" si="3"/>
        <v>0</v>
      </c>
    </row>
    <row r="40" spans="1:15" x14ac:dyDescent="0.2">
      <c r="A40" s="229">
        <v>38</v>
      </c>
      <c r="B40" s="230">
        <f>+'Base Estimate'!B295</f>
        <v>38</v>
      </c>
      <c r="C40" s="558">
        <f>+'Base Estimate'!G295</f>
        <v>0</v>
      </c>
      <c r="D40" s="237">
        <f>+'Base Estimate'!H295</f>
        <v>0</v>
      </c>
      <c r="E40" s="232">
        <f>+'Base Estimate'!J299</f>
        <v>0</v>
      </c>
      <c r="F40" s="233">
        <f>+'Base Estimate'!O299</f>
        <v>0</v>
      </c>
      <c r="G40" s="234">
        <f>+'Base Estimate'!P299</f>
        <v>0</v>
      </c>
      <c r="H40" s="234">
        <f>+'Base Estimate'!Q299</f>
        <v>0</v>
      </c>
      <c r="I40" s="234">
        <f>+'Base Estimate'!R299</f>
        <v>0</v>
      </c>
      <c r="J40" s="235">
        <f t="shared" si="0"/>
        <v>0</v>
      </c>
      <c r="K40" s="235">
        <f t="shared" si="1"/>
        <v>0</v>
      </c>
      <c r="L40" s="235">
        <f>+IF($K$43=0,0,(K40/$K$43)*Equipment!$G$34)</f>
        <v>0</v>
      </c>
      <c r="M40" s="235">
        <f>IF($K$43=0,0,(K40/$K$43)*Support!$E$58)</f>
        <v>0</v>
      </c>
      <c r="N40" s="235">
        <f t="shared" si="2"/>
        <v>0</v>
      </c>
      <c r="O40" s="236">
        <f t="shared" si="3"/>
        <v>0</v>
      </c>
    </row>
    <row r="41" spans="1:15" x14ac:dyDescent="0.2">
      <c r="A41" s="229">
        <v>39</v>
      </c>
      <c r="B41" s="230">
        <f>+'Base Estimate'!B301</f>
        <v>39</v>
      </c>
      <c r="C41" s="558">
        <f>+'Base Estimate'!G301</f>
        <v>0</v>
      </c>
      <c r="D41" s="237">
        <f>+'Base Estimate'!H301</f>
        <v>0</v>
      </c>
      <c r="E41" s="232">
        <f>+'Base Estimate'!J305</f>
        <v>0</v>
      </c>
      <c r="F41" s="233">
        <f>+'Base Estimate'!O305</f>
        <v>0</v>
      </c>
      <c r="G41" s="234">
        <f>+'Base Estimate'!P305</f>
        <v>0</v>
      </c>
      <c r="H41" s="234">
        <f>+'Base Estimate'!Q305</f>
        <v>0</v>
      </c>
      <c r="I41" s="234">
        <f>+'Base Estimate'!R305</f>
        <v>0</v>
      </c>
      <c r="J41" s="235">
        <f t="shared" si="0"/>
        <v>0</v>
      </c>
      <c r="K41" s="235">
        <f t="shared" si="1"/>
        <v>0</v>
      </c>
      <c r="L41" s="235">
        <f>+IF($K$43=0,0,(K41/$K$43)*Equipment!$G$34)</f>
        <v>0</v>
      </c>
      <c r="M41" s="235">
        <f>IF($K$43=0,0,(K41/$K$43)*Support!$E$58)</f>
        <v>0</v>
      </c>
      <c r="N41" s="235">
        <f t="shared" si="2"/>
        <v>0</v>
      </c>
      <c r="O41" s="236">
        <f t="shared" si="3"/>
        <v>0</v>
      </c>
    </row>
    <row r="42" spans="1:15" ht="16" thickBot="1" x14ac:dyDescent="0.25">
      <c r="A42" s="238">
        <v>40</v>
      </c>
      <c r="B42" s="239">
        <f>+'Base Estimate'!B307</f>
        <v>40</v>
      </c>
      <c r="C42" s="559">
        <f>+'Base Estimate'!G307</f>
        <v>0</v>
      </c>
      <c r="D42" s="240">
        <f>+'Base Estimate'!H307</f>
        <v>0</v>
      </c>
      <c r="E42" s="241">
        <f>+'Base Estimate'!J311</f>
        <v>0</v>
      </c>
      <c r="F42" s="242">
        <f>+'Base Estimate'!O311</f>
        <v>0</v>
      </c>
      <c r="G42" s="243">
        <f>+'Base Estimate'!P311</f>
        <v>0</v>
      </c>
      <c r="H42" s="243">
        <f>+'Base Estimate'!Q311</f>
        <v>0</v>
      </c>
      <c r="I42" s="243">
        <f>+'Base Estimate'!R311</f>
        <v>0</v>
      </c>
      <c r="J42" s="244">
        <f t="shared" si="0"/>
        <v>0</v>
      </c>
      <c r="K42" s="244">
        <f t="shared" si="1"/>
        <v>0</v>
      </c>
      <c r="L42" s="235">
        <f>+IF($K$43=0,0,(K42/$K$43)*Equipment!$G$34)</f>
        <v>0</v>
      </c>
      <c r="M42" s="235">
        <f>IF($K$43=0,0,(K42/$K$43)*Support!$E$58)</f>
        <v>0</v>
      </c>
      <c r="N42" s="244">
        <f t="shared" si="2"/>
        <v>0</v>
      </c>
      <c r="O42" s="245">
        <f t="shared" si="3"/>
        <v>0</v>
      </c>
    </row>
    <row r="43" spans="1:15" ht="16" thickTop="1" x14ac:dyDescent="0.2">
      <c r="A43" s="145"/>
      <c r="B43" s="140"/>
      <c r="C43" s="140"/>
      <c r="D43" s="140"/>
      <c r="E43" s="141">
        <f>SUM(E3:E42)</f>
        <v>14322.000116883113</v>
      </c>
      <c r="F43" s="141">
        <f>SUM(F3:F42)</f>
        <v>16619.006008580309</v>
      </c>
      <c r="G43" s="142">
        <f t="shared" ref="G43:N43" si="4">SUM(G3:G42)</f>
        <v>831670.59012067108</v>
      </c>
      <c r="H43" s="142">
        <f t="shared" si="4"/>
        <v>342231.93299234367</v>
      </c>
      <c r="I43" s="142">
        <f t="shared" si="4"/>
        <v>35362.963251563247</v>
      </c>
      <c r="J43" s="142">
        <f t="shared" si="4"/>
        <v>377594.89624390693</v>
      </c>
      <c r="K43" s="142">
        <f t="shared" si="4"/>
        <v>1209265.4863645781</v>
      </c>
      <c r="L43" s="142">
        <f t="shared" si="4"/>
        <v>23416.435826408124</v>
      </c>
      <c r="M43" s="142">
        <f t="shared" si="4"/>
        <v>216865.99220272907</v>
      </c>
      <c r="N43" s="142">
        <f t="shared" si="4"/>
        <v>1449547.9143937151</v>
      </c>
      <c r="O43" s="140"/>
    </row>
    <row r="44" spans="1:15" ht="7.5" customHeight="1" x14ac:dyDescent="0.2">
      <c r="A44" s="92"/>
      <c r="B44" s="6"/>
      <c r="C44" s="6"/>
      <c r="D44" s="6"/>
      <c r="E44" s="6"/>
      <c r="F44" s="6"/>
      <c r="G44" s="6"/>
      <c r="H44" s="6"/>
      <c r="I44" s="6"/>
      <c r="J44" s="6"/>
      <c r="K44" s="6"/>
      <c r="L44" s="6"/>
      <c r="M44" s="6"/>
      <c r="N44" s="6"/>
      <c r="O44" s="6"/>
    </row>
    <row r="45" spans="1:15" x14ac:dyDescent="0.2">
      <c r="A45" s="1326" t="s">
        <v>262</v>
      </c>
      <c r="B45" s="1327"/>
      <c r="C45" s="1327"/>
      <c r="D45" s="1327"/>
      <c r="E45" s="1327"/>
      <c r="F45" s="1327"/>
      <c r="G45" s="1327"/>
      <c r="H45" s="220"/>
      <c r="I45" s="220"/>
      <c r="J45" s="220"/>
      <c r="K45" s="75"/>
      <c r="L45" s="220"/>
      <c r="M45" s="220"/>
      <c r="N45" s="75">
        <f>+Support!H65</f>
        <v>0</v>
      </c>
      <c r="O45" s="221"/>
    </row>
    <row r="46" spans="1:15" ht="26.25" customHeight="1" x14ac:dyDescent="0.2">
      <c r="A46" s="1328" t="s">
        <v>413</v>
      </c>
      <c r="B46" s="1328"/>
      <c r="C46" s="1328"/>
      <c r="D46" s="549"/>
      <c r="E46" s="550">
        <f t="shared" ref="E46:J46" si="5">+E43</f>
        <v>14322.000116883113</v>
      </c>
      <c r="F46" s="550">
        <f t="shared" si="5"/>
        <v>16619.006008580309</v>
      </c>
      <c r="G46" s="548">
        <f t="shared" si="5"/>
        <v>831670.59012067108</v>
      </c>
      <c r="H46" s="548">
        <f t="shared" si="5"/>
        <v>342231.93299234367</v>
      </c>
      <c r="I46" s="548">
        <f t="shared" si="5"/>
        <v>35362.963251563247</v>
      </c>
      <c r="J46" s="548">
        <f t="shared" si="5"/>
        <v>377594.89624390693</v>
      </c>
      <c r="K46" s="548">
        <f>+K45+K43</f>
        <v>1209265.4863645781</v>
      </c>
      <c r="L46" s="548">
        <f>+L43</f>
        <v>23416.435826408124</v>
      </c>
      <c r="M46" s="548">
        <f>+M43</f>
        <v>216865.99220272907</v>
      </c>
      <c r="N46" s="548">
        <f>+N45+N43</f>
        <v>1449547.9143937151</v>
      </c>
      <c r="O46" s="549"/>
    </row>
    <row r="47" spans="1:15" hidden="1" x14ac:dyDescent="0.2">
      <c r="B47" s="12"/>
      <c r="C47" s="12"/>
      <c r="D47" s="12"/>
      <c r="E47" s="12"/>
      <c r="F47" s="12"/>
      <c r="G47" s="12"/>
      <c r="H47" s="12"/>
      <c r="I47" s="12"/>
      <c r="J47" s="12"/>
      <c r="K47" s="12"/>
      <c r="L47" s="12"/>
      <c r="M47" s="551">
        <f>IF(K46=0,0,M46/K46)</f>
        <v>0.17933695672957189</v>
      </c>
      <c r="N47" s="12"/>
      <c r="O47" s="12"/>
    </row>
    <row r="48" spans="1:15" x14ac:dyDescent="0.2">
      <c r="B48" s="12"/>
      <c r="C48" s="12"/>
      <c r="D48" s="12"/>
      <c r="E48" s="12"/>
      <c r="F48" s="12"/>
      <c r="G48" s="12"/>
      <c r="H48" s="12"/>
      <c r="I48" s="12"/>
      <c r="J48" s="12"/>
      <c r="K48" s="12"/>
      <c r="L48" s="12"/>
      <c r="M48" s="12"/>
      <c r="N48" s="12"/>
      <c r="O48" s="12"/>
    </row>
    <row r="49" spans="1:15" ht="33.75" customHeight="1" x14ac:dyDescent="0.2">
      <c r="A49" s="1330" t="s">
        <v>414</v>
      </c>
      <c r="B49" s="1330"/>
      <c r="C49" s="1330"/>
      <c r="D49" s="1330"/>
      <c r="E49" s="1330"/>
      <c r="F49" s="1330"/>
      <c r="G49" s="1330"/>
      <c r="H49" s="1330"/>
      <c r="I49" s="1330"/>
      <c r="J49" s="1330"/>
      <c r="K49" s="1330"/>
      <c r="L49" s="1330"/>
      <c r="M49" s="1330"/>
      <c r="N49" s="1330"/>
      <c r="O49" s="1330"/>
    </row>
    <row r="50" spans="1:15" ht="29" thickBot="1" x14ac:dyDescent="0.25">
      <c r="A50" s="552" t="s">
        <v>251</v>
      </c>
      <c r="B50" s="553" t="s">
        <v>169</v>
      </c>
      <c r="C50" s="554" t="s">
        <v>252</v>
      </c>
      <c r="D50" s="554" t="s">
        <v>256</v>
      </c>
      <c r="E50" s="554" t="s">
        <v>217</v>
      </c>
      <c r="F50" s="554" t="s">
        <v>222</v>
      </c>
      <c r="G50" s="554" t="s">
        <v>148</v>
      </c>
      <c r="H50" s="554" t="s">
        <v>149</v>
      </c>
      <c r="I50" s="554" t="s">
        <v>224</v>
      </c>
      <c r="J50" s="554" t="s">
        <v>257</v>
      </c>
      <c r="K50" s="554" t="s">
        <v>31</v>
      </c>
      <c r="L50" s="554" t="s">
        <v>258</v>
      </c>
      <c r="M50" s="554" t="s">
        <v>259</v>
      </c>
      <c r="N50" s="554" t="s">
        <v>254</v>
      </c>
      <c r="O50" s="554" t="s">
        <v>255</v>
      </c>
    </row>
    <row r="51" spans="1:15" ht="16" thickTop="1" x14ac:dyDescent="0.2">
      <c r="A51" s="222" t="s">
        <v>402</v>
      </c>
      <c r="B51" s="223" t="str">
        <f>+'Alternate Estimate'!B4:F4</f>
        <v>Mech Screen Framing</v>
      </c>
      <c r="C51" s="556">
        <f>+'Alternate Estimate'!G4</f>
        <v>123028.96</v>
      </c>
      <c r="D51" s="556">
        <f>+'Alternate Estimate'!H4</f>
        <v>0</v>
      </c>
      <c r="E51" s="560">
        <f>+'Alternate Estimate'!J10</f>
        <v>1640.3861333333334</v>
      </c>
      <c r="F51" s="562">
        <f>+'Alternate Estimate'!O10</f>
        <v>1766.5696820512821</v>
      </c>
      <c r="G51" s="563">
        <f>+'Alternate Estimate'!P10</f>
        <v>95256.311437037046</v>
      </c>
      <c r="H51" s="563">
        <f>+'Alternate Estimate'!Q10</f>
        <v>107489.68964862298</v>
      </c>
      <c r="I51" s="563">
        <f>+'Alternate Estimate'!R10</f>
        <v>4050.3361316872424</v>
      </c>
      <c r="J51" s="227">
        <f>+H51+I51</f>
        <v>111540.02578031023</v>
      </c>
      <c r="K51" s="227">
        <f>+G51+J51</f>
        <v>206796.33721734729</v>
      </c>
      <c r="L51" s="227">
        <f>+'Alternate Estimate'!S15</f>
        <v>0</v>
      </c>
      <c r="M51" s="227">
        <f>+'Alternate Estimate'!S21</f>
        <v>37086.22577938137</v>
      </c>
      <c r="N51" s="227">
        <f>+K51+L51+M51</f>
        <v>243882.56299672867</v>
      </c>
      <c r="O51" s="228">
        <f>IF(C51=0,0,N51/C51)</f>
        <v>1.9823183338031034</v>
      </c>
    </row>
    <row r="52" spans="1:15" x14ac:dyDescent="0.2">
      <c r="A52" s="229" t="s">
        <v>403</v>
      </c>
      <c r="B52" s="230" t="str">
        <f>+'Alternate Estimate'!B24:F24</f>
        <v>Alt 15 - SC-1 @ Stairs</v>
      </c>
      <c r="C52" s="557">
        <f>+'Alternate Estimate'!G24</f>
        <v>12870</v>
      </c>
      <c r="D52" s="557">
        <f>+'Alternate Estimate'!H24</f>
        <v>0</v>
      </c>
      <c r="E52" s="561">
        <f>+'Alternate Estimate'!J30</f>
        <v>235.95</v>
      </c>
      <c r="F52" s="233">
        <f>+'Alternate Estimate'!O30</f>
        <v>111.53999999999999</v>
      </c>
      <c r="G52" s="234">
        <f>+'Alternate Estimate'!P30</f>
        <v>13701.485416666666</v>
      </c>
      <c r="H52" s="234">
        <f>+'Alternate Estimate'!Q30</f>
        <v>3124.8148148148143</v>
      </c>
      <c r="I52" s="234">
        <f>+'Alternate Estimate'!R30</f>
        <v>582.5925925925925</v>
      </c>
      <c r="J52" s="235">
        <f t="shared" ref="J52:J60" si="6">+H52+I52</f>
        <v>3707.4074074074069</v>
      </c>
      <c r="K52" s="235">
        <f t="shared" ref="K52:K60" si="7">+G52+J52</f>
        <v>17408.892824074072</v>
      </c>
      <c r="L52" s="235">
        <f>+'Alternate Estimate'!S35</f>
        <v>0</v>
      </c>
      <c r="M52" s="235">
        <f>+'Alternate Estimate'!S41</f>
        <v>3122.057859100727</v>
      </c>
      <c r="N52" s="235">
        <f t="shared" ref="N52:N60" si="8">+K52+L52+M52</f>
        <v>20530.9506831748</v>
      </c>
      <c r="O52" s="236">
        <f t="shared" ref="O52:O60" si="9">IF(C52=0,0,N52/C52)</f>
        <v>1.5952564633391453</v>
      </c>
    </row>
    <row r="53" spans="1:15" x14ac:dyDescent="0.2">
      <c r="A53" s="229" t="s">
        <v>404</v>
      </c>
      <c r="B53" s="230" t="str">
        <f>+'Alternate Estimate'!B44:F44</f>
        <v>Alt 17 Conf/Office Wood to GWB</v>
      </c>
      <c r="C53" s="558">
        <f>+'Alternate Estimate'!G44</f>
        <v>5079.8</v>
      </c>
      <c r="D53" s="558">
        <f>+'Alternate Estimate'!H44</f>
        <v>0</v>
      </c>
      <c r="E53" s="561">
        <f>+'Alternate Estimate'!J50</f>
        <v>55.031166666666664</v>
      </c>
      <c r="F53" s="233">
        <f>+'Alternate Estimate'!O50</f>
        <v>50.798000000000002</v>
      </c>
      <c r="G53" s="234">
        <f>+'Alternate Estimate'!P50</f>
        <v>3195.6292754629635</v>
      </c>
      <c r="H53" s="234">
        <f>+'Alternate Estimate'!Q50</f>
        <v>919.7991769547325</v>
      </c>
      <c r="I53" s="234">
        <f>+'Alternate Estimate'!R50</f>
        <v>135.87942386831276</v>
      </c>
      <c r="J53" s="235">
        <f t="shared" si="6"/>
        <v>1055.6786008230451</v>
      </c>
      <c r="K53" s="235">
        <f t="shared" si="7"/>
        <v>4251.3078762860086</v>
      </c>
      <c r="L53" s="235">
        <f>+'Alternate Estimate'!S55</f>
        <v>0</v>
      </c>
      <c r="M53" s="235">
        <f>+'Alternate Estimate'!S61</f>
        <v>762.41661665359209</v>
      </c>
      <c r="N53" s="235">
        <f t="shared" si="8"/>
        <v>5013.7244929396011</v>
      </c>
      <c r="O53" s="236">
        <f t="shared" si="9"/>
        <v>0.98699249831481572</v>
      </c>
    </row>
    <row r="54" spans="1:15" x14ac:dyDescent="0.2">
      <c r="A54" s="229" t="s">
        <v>405</v>
      </c>
      <c r="B54" s="230" t="str">
        <f>+'Alternate Estimate'!B64:F64</f>
        <v>Alt 20 - Lobby RR Walls to GWB</v>
      </c>
      <c r="C54" s="558">
        <f>+'Alternate Estimate'!G64</f>
        <v>0</v>
      </c>
      <c r="D54" s="558">
        <f>+'Alternate Estimate'!H64</f>
        <v>0</v>
      </c>
      <c r="E54" s="561">
        <f>+'Alternate Estimate'!J69</f>
        <v>55.2</v>
      </c>
      <c r="F54" s="233">
        <f>+'Alternate Estimate'!O69</f>
        <v>23.4</v>
      </c>
      <c r="G54" s="234">
        <f>+'Alternate Estimate'!P69</f>
        <v>3205.4333333333334</v>
      </c>
      <c r="H54" s="234">
        <f>+'Alternate Estimate'!Q69</f>
        <v>562.22222222222217</v>
      </c>
      <c r="I54" s="234">
        <f>+'Alternate Estimate'!R69</f>
        <v>136.2962962962963</v>
      </c>
      <c r="J54" s="235">
        <f t="shared" si="6"/>
        <v>698.51851851851848</v>
      </c>
      <c r="K54" s="235">
        <f t="shared" si="7"/>
        <v>3903.9518518518516</v>
      </c>
      <c r="L54" s="235">
        <f>+'Alternate Estimate'!S74</f>
        <v>0</v>
      </c>
      <c r="M54" s="235">
        <f>+'Alternate Estimate'!S80</f>
        <v>700.12284432988758</v>
      </c>
      <c r="N54" s="235">
        <f t="shared" si="8"/>
        <v>4604.0746961817395</v>
      </c>
      <c r="O54" s="236">
        <f t="shared" si="9"/>
        <v>0</v>
      </c>
    </row>
    <row r="55" spans="1:15" x14ac:dyDescent="0.2">
      <c r="A55" s="229" t="s">
        <v>406</v>
      </c>
      <c r="B55" s="230" t="str">
        <f>+'Alternate Estimate'!B83:F83</f>
        <v>Alt 26 - Reduce Bridge 33%</v>
      </c>
      <c r="C55" s="558">
        <f>+'Alternate Estimate'!G83</f>
        <v>3968</v>
      </c>
      <c r="D55" s="558">
        <f>+'Alternate Estimate'!H83</f>
        <v>0</v>
      </c>
      <c r="E55" s="561">
        <f>+'Alternate Estimate'!J91</f>
        <v>-87.673904761904765</v>
      </c>
      <c r="F55" s="233">
        <f>+'Alternate Estimate'!O91</f>
        <v>-87.295999999999992</v>
      </c>
      <c r="G55" s="234">
        <f>+'Alternate Estimate'!P91</f>
        <v>-5091.1749417989413</v>
      </c>
      <c r="H55" s="234">
        <f>+'Alternate Estimate'!Q91</f>
        <v>-5388.6419753086411</v>
      </c>
      <c r="I55" s="234">
        <f>+'Alternate Estimate'!R91</f>
        <v>-216.47877718988826</v>
      </c>
      <c r="J55" s="235">
        <f t="shared" si="6"/>
        <v>-5605.1207524985293</v>
      </c>
      <c r="K55" s="235">
        <f t="shared" si="7"/>
        <v>-10696.295694297471</v>
      </c>
      <c r="L55" s="235">
        <f>+'Alternate Estimate'!S96</f>
        <v>0</v>
      </c>
      <c r="M55" s="235">
        <f>+'Alternate Estimate'!S102</f>
        <v>-1918.2411180949321</v>
      </c>
      <c r="N55" s="235">
        <f t="shared" si="8"/>
        <v>-12614.536812392402</v>
      </c>
      <c r="O55" s="236">
        <f t="shared" si="9"/>
        <v>-3.1790667369940531</v>
      </c>
    </row>
    <row r="56" spans="1:15" x14ac:dyDescent="0.2">
      <c r="A56" s="229" t="s">
        <v>407</v>
      </c>
      <c r="B56" s="230" t="str">
        <f>+'Alternate Estimate'!B105:F105</f>
        <v>A6</v>
      </c>
      <c r="C56" s="558">
        <f>+'Alternate Estimate'!G105</f>
        <v>0</v>
      </c>
      <c r="D56" s="558">
        <f>+'Alternate Estimate'!H105</f>
        <v>0</v>
      </c>
      <c r="E56" s="561">
        <f>+'Alternate Estimate'!J109</f>
        <v>0</v>
      </c>
      <c r="F56" s="233">
        <f>+'Alternate Estimate'!O109</f>
        <v>0</v>
      </c>
      <c r="G56" s="234">
        <f>+'Alternate Estimate'!P109</f>
        <v>0</v>
      </c>
      <c r="H56" s="234">
        <f>+'Alternate Estimate'!Q109</f>
        <v>0</v>
      </c>
      <c r="I56" s="234">
        <f>+'Alternate Estimate'!R109</f>
        <v>0</v>
      </c>
      <c r="J56" s="235">
        <f t="shared" si="6"/>
        <v>0</v>
      </c>
      <c r="K56" s="235">
        <f t="shared" si="7"/>
        <v>0</v>
      </c>
      <c r="L56" s="235">
        <f>+'Alternate Estimate'!S114</f>
        <v>0</v>
      </c>
      <c r="M56" s="235">
        <f>+'Alternate Estimate'!S120</f>
        <v>0</v>
      </c>
      <c r="N56" s="235">
        <f t="shared" si="8"/>
        <v>0</v>
      </c>
      <c r="O56" s="236">
        <f t="shared" si="9"/>
        <v>0</v>
      </c>
    </row>
    <row r="57" spans="1:15" x14ac:dyDescent="0.2">
      <c r="A57" s="229" t="s">
        <v>408</v>
      </c>
      <c r="B57" s="230" t="str">
        <f>+'Alternate Estimate'!B123:F123</f>
        <v>A7</v>
      </c>
      <c r="C57" s="558">
        <f>+'Alternate Estimate'!G123</f>
        <v>0</v>
      </c>
      <c r="D57" s="558">
        <f>+'Alternate Estimate'!H123</f>
        <v>0</v>
      </c>
      <c r="E57" s="561">
        <f>+'Alternate Estimate'!J127</f>
        <v>0</v>
      </c>
      <c r="F57" s="233">
        <f>+'Alternate Estimate'!O127</f>
        <v>0</v>
      </c>
      <c r="G57" s="234">
        <f>+'Alternate Estimate'!P127</f>
        <v>0</v>
      </c>
      <c r="H57" s="234">
        <f>+'Alternate Estimate'!Q127</f>
        <v>0</v>
      </c>
      <c r="I57" s="234">
        <f>+'Alternate Estimate'!R127</f>
        <v>0</v>
      </c>
      <c r="J57" s="235">
        <f t="shared" si="6"/>
        <v>0</v>
      </c>
      <c r="K57" s="235">
        <f t="shared" si="7"/>
        <v>0</v>
      </c>
      <c r="L57" s="235">
        <f>+'Alternate Estimate'!S132</f>
        <v>0</v>
      </c>
      <c r="M57" s="235">
        <f>+'Alternate Estimate'!S138</f>
        <v>0</v>
      </c>
      <c r="N57" s="235">
        <f t="shared" si="8"/>
        <v>0</v>
      </c>
      <c r="O57" s="236">
        <f t="shared" si="9"/>
        <v>0</v>
      </c>
    </row>
    <row r="58" spans="1:15" x14ac:dyDescent="0.2">
      <c r="A58" s="229" t="s">
        <v>409</v>
      </c>
      <c r="B58" s="230" t="str">
        <f>+'Alternate Estimate'!B141:F141</f>
        <v>A8</v>
      </c>
      <c r="C58" s="558">
        <f>+'Alternate Estimate'!G141</f>
        <v>0</v>
      </c>
      <c r="D58" s="558">
        <f>+'Alternate Estimate'!H141</f>
        <v>0</v>
      </c>
      <c r="E58" s="561">
        <f>+'Alternate Estimate'!J145</f>
        <v>0</v>
      </c>
      <c r="F58" s="233">
        <f>+'Alternate Estimate'!O145</f>
        <v>0</v>
      </c>
      <c r="G58" s="234">
        <f>+'Alternate Estimate'!P145</f>
        <v>0</v>
      </c>
      <c r="H58" s="234">
        <f>+'Alternate Estimate'!Q145</f>
        <v>0</v>
      </c>
      <c r="I58" s="234">
        <f>+'Alternate Estimate'!R145</f>
        <v>0</v>
      </c>
      <c r="J58" s="235">
        <f t="shared" si="6"/>
        <v>0</v>
      </c>
      <c r="K58" s="235">
        <f t="shared" si="7"/>
        <v>0</v>
      </c>
      <c r="L58" s="235">
        <f>+'Alternate Estimate'!S150</f>
        <v>0</v>
      </c>
      <c r="M58" s="235">
        <f>+'Alternate Estimate'!S156</f>
        <v>0</v>
      </c>
      <c r="N58" s="235">
        <f t="shared" si="8"/>
        <v>0</v>
      </c>
      <c r="O58" s="236">
        <f t="shared" si="9"/>
        <v>0</v>
      </c>
    </row>
    <row r="59" spans="1:15" x14ac:dyDescent="0.2">
      <c r="A59" s="229" t="s">
        <v>410</v>
      </c>
      <c r="B59" s="230" t="str">
        <f>+'Alternate Estimate'!B159:F159</f>
        <v>A9</v>
      </c>
      <c r="C59" s="558">
        <f>+'Alternate Estimate'!G159</f>
        <v>0</v>
      </c>
      <c r="D59" s="558">
        <f>+'Alternate Estimate'!H159</f>
        <v>0</v>
      </c>
      <c r="E59" s="561">
        <f>+'Alternate Estimate'!J163</f>
        <v>0</v>
      </c>
      <c r="F59" s="233">
        <f>+'Alternate Estimate'!O163</f>
        <v>0</v>
      </c>
      <c r="G59" s="234">
        <f>+'Alternate Estimate'!P163</f>
        <v>0</v>
      </c>
      <c r="H59" s="234">
        <f>+'Alternate Estimate'!Q163</f>
        <v>0</v>
      </c>
      <c r="I59" s="234">
        <f>+'Alternate Estimate'!R163</f>
        <v>0</v>
      </c>
      <c r="J59" s="235">
        <f t="shared" si="6"/>
        <v>0</v>
      </c>
      <c r="K59" s="235">
        <f t="shared" si="7"/>
        <v>0</v>
      </c>
      <c r="L59" s="235">
        <f>+'Alternate Estimate'!S168</f>
        <v>0</v>
      </c>
      <c r="M59" s="235">
        <f>+'Alternate Estimate'!S174</f>
        <v>0</v>
      </c>
      <c r="N59" s="235">
        <f t="shared" si="8"/>
        <v>0</v>
      </c>
      <c r="O59" s="236">
        <f t="shared" si="9"/>
        <v>0</v>
      </c>
    </row>
    <row r="60" spans="1:15" x14ac:dyDescent="0.2">
      <c r="A60" s="229" t="s">
        <v>411</v>
      </c>
      <c r="B60" s="230" t="str">
        <f>+'Alternate Estimate'!B177:F177</f>
        <v>A10</v>
      </c>
      <c r="C60" s="558">
        <f>+'Alternate Estimate'!G177</f>
        <v>0</v>
      </c>
      <c r="D60" s="558">
        <f>+'Alternate Estimate'!H177</f>
        <v>0</v>
      </c>
      <c r="E60" s="561">
        <f>+'Alternate Estimate'!J181</f>
        <v>0</v>
      </c>
      <c r="F60" s="233">
        <f>+'Alternate Estimate'!O181</f>
        <v>0</v>
      </c>
      <c r="G60" s="234">
        <f>+'Alternate Estimate'!P181</f>
        <v>0</v>
      </c>
      <c r="H60" s="234">
        <f>+'Alternate Estimate'!Q181</f>
        <v>0</v>
      </c>
      <c r="I60" s="234">
        <f>+'Alternate Estimate'!R181</f>
        <v>0</v>
      </c>
      <c r="J60" s="235">
        <f t="shared" si="6"/>
        <v>0</v>
      </c>
      <c r="K60" s="235">
        <f t="shared" si="7"/>
        <v>0</v>
      </c>
      <c r="L60" s="235">
        <f>+'Alternate Estimate'!S186</f>
        <v>0</v>
      </c>
      <c r="M60" s="235">
        <f>+'Alternate Estimate'!S192</f>
        <v>0</v>
      </c>
      <c r="N60" s="235">
        <f t="shared" si="8"/>
        <v>0</v>
      </c>
      <c r="O60" s="236">
        <f t="shared" si="9"/>
        <v>0</v>
      </c>
    </row>
    <row r="61" spans="1:15" ht="31.5" customHeight="1" x14ac:dyDescent="0.2">
      <c r="A61" s="144"/>
      <c r="B61" s="143"/>
      <c r="C61" s="143"/>
      <c r="D61" s="143"/>
      <c r="E61" s="146">
        <f>SUM(E51:E60)</f>
        <v>1898.8933952380953</v>
      </c>
      <c r="F61" s="146">
        <f t="shared" ref="F61:G61" si="10">SUM(F51:F60)</f>
        <v>1865.0116820512822</v>
      </c>
      <c r="G61" s="147">
        <f t="shared" si="10"/>
        <v>110267.68452070106</v>
      </c>
      <c r="H61" s="147">
        <f t="shared" ref="H61" si="11">SUM(H51:H60)</f>
        <v>106707.88388730612</v>
      </c>
      <c r="I61" s="147">
        <f t="shared" ref="I61" si="12">SUM(I51:I60)</f>
        <v>4688.625667254556</v>
      </c>
      <c r="J61" s="147">
        <f t="shared" ref="J61" si="13">SUM(J51:J60)</f>
        <v>111396.50955456067</v>
      </c>
      <c r="K61" s="147">
        <f t="shared" ref="K61" si="14">SUM(K51:K60)</f>
        <v>221664.19407526177</v>
      </c>
      <c r="L61" s="147">
        <f t="shared" ref="L61" si="15">SUM(L51:L60)</f>
        <v>0</v>
      </c>
      <c r="M61" s="147">
        <f t="shared" ref="M61" si="16">SUM(M51:M60)</f>
        <v>39752.581981370648</v>
      </c>
      <c r="N61" s="147">
        <f t="shared" ref="N61" si="17">SUM(N51:N60)</f>
        <v>261416.7760566324</v>
      </c>
      <c r="O61" s="143"/>
    </row>
    <row r="62" spans="1:15" x14ac:dyDescent="0.2">
      <c r="B62" s="11"/>
      <c r="C62" s="11"/>
      <c r="D62" s="11"/>
      <c r="E62" s="11"/>
      <c r="F62" s="11"/>
      <c r="G62" s="11"/>
      <c r="H62" s="11"/>
      <c r="I62" s="11"/>
      <c r="J62" s="11"/>
      <c r="K62" s="11"/>
      <c r="L62" s="11"/>
      <c r="M62" s="11"/>
      <c r="N62" s="11"/>
      <c r="O62" s="11"/>
    </row>
    <row r="63" spans="1:15" x14ac:dyDescent="0.2">
      <c r="B63" s="11"/>
      <c r="C63" s="11"/>
      <c r="D63" s="11"/>
      <c r="E63" s="11"/>
      <c r="F63" s="11"/>
      <c r="G63" s="11"/>
      <c r="H63" s="11"/>
      <c r="I63" s="11"/>
      <c r="J63" s="11"/>
      <c r="K63" s="11"/>
      <c r="L63" s="11"/>
      <c r="M63" s="11"/>
      <c r="N63" s="11"/>
      <c r="O63" s="11"/>
    </row>
    <row r="64" spans="1:15" x14ac:dyDescent="0.2">
      <c r="B64" s="11"/>
      <c r="C64" s="11"/>
      <c r="D64" s="11"/>
      <c r="E64" s="11"/>
      <c r="F64" s="11"/>
      <c r="G64" s="11"/>
      <c r="H64" s="11"/>
      <c r="I64" s="11"/>
      <c r="J64" s="11"/>
      <c r="K64" s="11"/>
      <c r="L64" s="11"/>
      <c r="M64" s="11"/>
      <c r="N64" s="11"/>
      <c r="O64" s="11"/>
    </row>
    <row r="65" spans="2:15" x14ac:dyDescent="0.2">
      <c r="B65" s="11"/>
      <c r="C65" s="11"/>
      <c r="D65" s="11"/>
      <c r="E65" s="11"/>
      <c r="F65" s="11"/>
      <c r="G65" s="11"/>
      <c r="H65" s="11"/>
      <c r="I65" s="11"/>
      <c r="J65" s="11"/>
      <c r="K65" s="11"/>
      <c r="L65" s="11"/>
      <c r="M65" s="11"/>
      <c r="N65" s="11"/>
      <c r="O65" s="11"/>
    </row>
    <row r="66" spans="2:15" x14ac:dyDescent="0.2">
      <c r="B66" s="11"/>
      <c r="C66" s="11"/>
      <c r="D66" s="11"/>
      <c r="E66" s="11"/>
      <c r="F66" s="11"/>
      <c r="G66" s="11"/>
      <c r="H66" s="11"/>
      <c r="I66" s="11"/>
      <c r="J66" s="11"/>
      <c r="K66" s="11"/>
      <c r="L66" s="11"/>
      <c r="M66" s="11"/>
      <c r="N66" s="11"/>
      <c r="O66" s="11"/>
    </row>
    <row r="67" spans="2:15" x14ac:dyDescent="0.2">
      <c r="B67" s="11"/>
      <c r="C67" s="11"/>
      <c r="D67" s="11"/>
      <c r="E67" s="11"/>
      <c r="F67" s="11"/>
      <c r="G67" s="11"/>
      <c r="H67" s="11"/>
      <c r="I67" s="11"/>
      <c r="J67" s="11"/>
      <c r="K67" s="11"/>
      <c r="L67" s="11"/>
      <c r="M67" s="11"/>
      <c r="N67" s="11"/>
      <c r="O67" s="11"/>
    </row>
    <row r="68" spans="2:15" x14ac:dyDescent="0.2">
      <c r="B68" s="11"/>
      <c r="C68" s="11"/>
      <c r="D68" s="11"/>
      <c r="E68" s="11"/>
      <c r="F68" s="11"/>
      <c r="G68" s="11"/>
      <c r="H68" s="11"/>
      <c r="I68" s="11"/>
      <c r="J68" s="11"/>
      <c r="K68" s="11"/>
      <c r="L68" s="11"/>
      <c r="M68" s="11"/>
      <c r="N68" s="11"/>
      <c r="O68" s="11"/>
    </row>
  </sheetData>
  <sheetProtection password="CC70" sheet="1" objects="1" scenarios="1"/>
  <mergeCells count="4">
    <mergeCell ref="A45:G45"/>
    <mergeCell ref="A46:C46"/>
    <mergeCell ref="A1:O1"/>
    <mergeCell ref="A49:O49"/>
  </mergeCells>
  <pageMargins left="0.7" right="0.7" top="0.75" bottom="0.75" header="0.3" footer="0.3"/>
  <pageSetup orientation="portrait" horizontalDpi="4294967293" verticalDpi="4294967293"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35"/>
  <sheetViews>
    <sheetView workbookViewId="0">
      <selection activeCell="B17" sqref="B17"/>
    </sheetView>
  </sheetViews>
  <sheetFormatPr baseColWidth="10" defaultColWidth="8.83203125" defaultRowHeight="15" x14ac:dyDescent="0.2"/>
  <cols>
    <col min="1" max="1" width="20.5" customWidth="1"/>
    <col min="7" max="7" width="13.5" customWidth="1"/>
  </cols>
  <sheetData>
    <row r="1" spans="1:12" ht="21" x14ac:dyDescent="0.3">
      <c r="A1" s="1322" t="s">
        <v>303</v>
      </c>
      <c r="B1" s="1322"/>
      <c r="C1" s="1322"/>
      <c r="D1" s="1322"/>
      <c r="E1" s="1322"/>
      <c r="F1" s="1322"/>
      <c r="G1" s="1322"/>
      <c r="H1" s="1322"/>
      <c r="I1" s="1322"/>
      <c r="J1" s="1322"/>
      <c r="K1" s="1322"/>
      <c r="L1" s="1322"/>
    </row>
    <row r="2" spans="1:12" x14ac:dyDescent="0.2">
      <c r="A2" s="11"/>
      <c r="B2" s="11"/>
      <c r="C2" s="11"/>
      <c r="D2" s="11"/>
      <c r="E2" s="11"/>
      <c r="F2" s="11"/>
      <c r="G2" s="11"/>
      <c r="H2" s="11"/>
      <c r="I2" s="11"/>
      <c r="J2" s="11"/>
      <c r="K2" s="11"/>
      <c r="L2" s="11"/>
    </row>
    <row r="3" spans="1:12" ht="16" thickBot="1" x14ac:dyDescent="0.25">
      <c r="A3" s="1337" t="s">
        <v>302</v>
      </c>
      <c r="B3" s="1337"/>
      <c r="C3" s="1337"/>
      <c r="D3" s="1337"/>
      <c r="E3" s="1337"/>
      <c r="F3" s="11"/>
      <c r="G3" s="1337" t="s">
        <v>307</v>
      </c>
      <c r="H3" s="1337"/>
      <c r="I3" s="1337"/>
      <c r="J3" s="1337"/>
      <c r="K3" s="1337"/>
      <c r="L3" s="11"/>
    </row>
    <row r="4" spans="1:12" x14ac:dyDescent="0.2">
      <c r="A4" s="253" t="s">
        <v>304</v>
      </c>
      <c r="B4" s="1338"/>
      <c r="C4" s="1338"/>
      <c r="D4" s="1338"/>
      <c r="E4" s="1339"/>
      <c r="F4" s="11"/>
      <c r="G4" s="253" t="s">
        <v>308</v>
      </c>
      <c r="H4" s="1338"/>
      <c r="I4" s="1338"/>
      <c r="J4" s="1338"/>
      <c r="K4" s="1339"/>
      <c r="L4" s="11"/>
    </row>
    <row r="5" spans="1:12" x14ac:dyDescent="0.2">
      <c r="A5" s="254" t="s">
        <v>305</v>
      </c>
      <c r="B5" s="1331"/>
      <c r="C5" s="1331"/>
      <c r="D5" s="1331"/>
      <c r="E5" s="1332"/>
      <c r="F5" s="11"/>
      <c r="G5" s="254" t="s">
        <v>309</v>
      </c>
      <c r="H5" s="1331"/>
      <c r="I5" s="1331"/>
      <c r="J5" s="1331"/>
      <c r="K5" s="1332"/>
      <c r="L5" s="11"/>
    </row>
    <row r="6" spans="1:12" x14ac:dyDescent="0.2">
      <c r="A6" s="254" t="s">
        <v>306</v>
      </c>
      <c r="B6" s="1331"/>
      <c r="C6" s="1331"/>
      <c r="D6" s="1331"/>
      <c r="E6" s="1332"/>
      <c r="F6" s="11"/>
      <c r="G6" s="254" t="s">
        <v>310</v>
      </c>
      <c r="H6" s="1331"/>
      <c r="I6" s="1331"/>
      <c r="J6" s="1331"/>
      <c r="K6" s="1332"/>
      <c r="L6" s="11"/>
    </row>
    <row r="7" spans="1:12" x14ac:dyDescent="0.2">
      <c r="A7" s="254" t="s">
        <v>43</v>
      </c>
      <c r="B7" s="1331"/>
      <c r="C7" s="1331"/>
      <c r="D7" s="1331"/>
      <c r="E7" s="1332"/>
      <c r="F7" s="11"/>
      <c r="G7" s="254" t="s">
        <v>40</v>
      </c>
      <c r="H7" s="1340"/>
      <c r="I7" s="1331"/>
      <c r="J7" s="1331"/>
      <c r="K7" s="1332"/>
      <c r="L7" s="11"/>
    </row>
    <row r="8" spans="1:12" ht="16" thickBot="1" x14ac:dyDescent="0.25">
      <c r="A8" s="254" t="s">
        <v>70</v>
      </c>
      <c r="B8" s="1331"/>
      <c r="C8" s="1331"/>
      <c r="D8" s="1331"/>
      <c r="E8" s="1332"/>
      <c r="F8" s="11"/>
      <c r="G8" s="256" t="s">
        <v>38</v>
      </c>
      <c r="H8" s="1341"/>
      <c r="I8" s="1341"/>
      <c r="J8" s="1341"/>
      <c r="K8" s="1342"/>
      <c r="L8" s="11"/>
    </row>
    <row r="9" spans="1:12" x14ac:dyDescent="0.2">
      <c r="A9" s="254" t="s">
        <v>42</v>
      </c>
      <c r="B9" s="1331"/>
      <c r="C9" s="1331"/>
      <c r="D9" s="1331"/>
      <c r="E9" s="1332"/>
      <c r="F9" s="11"/>
      <c r="G9" s="254" t="s">
        <v>60</v>
      </c>
      <c r="H9" s="48" t="s">
        <v>2</v>
      </c>
      <c r="I9" s="257"/>
      <c r="J9" s="257"/>
      <c r="K9" s="257"/>
      <c r="L9" s="11"/>
    </row>
    <row r="10" spans="1:12" x14ac:dyDescent="0.2">
      <c r="A10" s="254" t="s">
        <v>40</v>
      </c>
      <c r="B10" s="1331"/>
      <c r="C10" s="1331"/>
      <c r="D10" s="1331"/>
      <c r="E10" s="1332"/>
      <c r="F10" s="11"/>
      <c r="G10" s="254" t="s">
        <v>322</v>
      </c>
      <c r="H10" s="48" t="s">
        <v>2</v>
      </c>
      <c r="I10" s="258"/>
      <c r="J10" s="258"/>
      <c r="K10" s="258"/>
      <c r="L10" s="11"/>
    </row>
    <row r="11" spans="1:12" ht="16" thickBot="1" x14ac:dyDescent="0.25">
      <c r="A11" s="255" t="s">
        <v>38</v>
      </c>
      <c r="B11" s="1343"/>
      <c r="C11" s="1343"/>
      <c r="D11" s="1343"/>
      <c r="E11" s="1344"/>
      <c r="F11" s="11"/>
      <c r="G11" s="255" t="s">
        <v>323</v>
      </c>
      <c r="H11" s="252" t="s">
        <v>2</v>
      </c>
      <c r="I11" s="258"/>
      <c r="J11" s="258"/>
      <c r="K11" s="258"/>
      <c r="L11" s="11"/>
    </row>
    <row r="12" spans="1:12" s="10" customFormat="1" ht="16" thickBot="1" x14ac:dyDescent="0.25">
      <c r="A12" s="259"/>
      <c r="B12" s="263"/>
      <c r="C12" s="263"/>
      <c r="D12" s="263"/>
      <c r="E12" s="263"/>
      <c r="F12" s="11"/>
      <c r="G12" s="259"/>
      <c r="H12" s="258"/>
      <c r="I12" s="258"/>
      <c r="J12" s="258"/>
      <c r="K12" s="258"/>
      <c r="L12" s="11"/>
    </row>
    <row r="13" spans="1:12" ht="18" customHeight="1" thickBot="1" x14ac:dyDescent="0.25">
      <c r="A13" s="11"/>
      <c r="B13" s="11"/>
      <c r="C13" s="11"/>
      <c r="D13" s="11"/>
      <c r="E13" s="11"/>
      <c r="F13" s="11"/>
      <c r="G13" s="1333" t="s">
        <v>316</v>
      </c>
      <c r="H13" s="1334"/>
      <c r="I13" s="1334"/>
      <c r="J13" s="1334"/>
      <c r="K13" s="1334"/>
      <c r="L13" s="1335"/>
    </row>
    <row r="14" spans="1:12" s="10" customFormat="1" ht="17.25" customHeight="1" x14ac:dyDescent="0.2">
      <c r="A14" s="11"/>
      <c r="B14" s="11"/>
      <c r="C14" s="11"/>
      <c r="D14" s="11"/>
      <c r="E14" s="11"/>
      <c r="F14" s="11"/>
      <c r="G14" s="261"/>
      <c r="H14" s="264" t="s">
        <v>148</v>
      </c>
      <c r="I14" s="264" t="s">
        <v>317</v>
      </c>
      <c r="J14" s="264" t="s">
        <v>150</v>
      </c>
      <c r="K14" s="264" t="s">
        <v>151</v>
      </c>
      <c r="L14" s="265" t="s">
        <v>318</v>
      </c>
    </row>
    <row r="15" spans="1:12" s="10" customFormat="1" x14ac:dyDescent="0.2">
      <c r="A15" s="1336" t="s">
        <v>312</v>
      </c>
      <c r="B15" s="1336"/>
      <c r="C15" s="1336"/>
      <c r="D15" s="1336"/>
      <c r="E15" s="11"/>
      <c r="F15" s="11"/>
      <c r="G15" s="267" t="s">
        <v>319</v>
      </c>
      <c r="H15" s="8">
        <v>0.15</v>
      </c>
      <c r="I15" s="8">
        <v>0.05</v>
      </c>
      <c r="J15" s="8">
        <v>0.05</v>
      </c>
      <c r="K15" s="8">
        <v>0.05</v>
      </c>
      <c r="L15" s="262">
        <v>0.1</v>
      </c>
    </row>
    <row r="16" spans="1:12" ht="16" thickBot="1" x14ac:dyDescent="0.25">
      <c r="A16" s="260"/>
      <c r="B16" s="269" t="s">
        <v>118</v>
      </c>
      <c r="C16" s="269" t="s">
        <v>119</v>
      </c>
      <c r="D16" s="269" t="s">
        <v>120</v>
      </c>
      <c r="E16" s="11"/>
      <c r="F16" s="11"/>
      <c r="G16" s="267" t="s">
        <v>320</v>
      </c>
      <c r="H16" s="8">
        <v>0.1</v>
      </c>
      <c r="I16" s="8">
        <v>0.05</v>
      </c>
      <c r="J16" s="8">
        <v>0.05</v>
      </c>
      <c r="K16" s="8">
        <v>0</v>
      </c>
      <c r="L16" s="262"/>
    </row>
    <row r="17" spans="1:12" ht="16" thickBot="1" x14ac:dyDescent="0.25">
      <c r="A17" s="250" t="s">
        <v>311</v>
      </c>
      <c r="B17" s="280">
        <f>+'Labor Calc'!E30</f>
        <v>41.81</v>
      </c>
      <c r="C17" s="274">
        <f>+'Labor Calc'!F30</f>
        <v>44.897999999999996</v>
      </c>
      <c r="D17" s="275">
        <f>+'Labor Calc'!G30</f>
        <v>46.956666666666671</v>
      </c>
      <c r="E17" s="11"/>
      <c r="F17" s="11"/>
      <c r="G17" s="266" t="s">
        <v>321</v>
      </c>
      <c r="H17" s="268">
        <f>+(((1/(1-H15))/(1-H16))-1)/((1/(1-H15))/(1-H16))</f>
        <v>0.23500000000000001</v>
      </c>
      <c r="I17" s="268">
        <f t="shared" ref="I17:L17" si="0">+(((1/(1-I15))/(1-I16))-1)/((1/(1-I15))/(1-I16))</f>
        <v>9.7500000000000059E-2</v>
      </c>
      <c r="J17" s="268">
        <f t="shared" si="0"/>
        <v>9.7500000000000059E-2</v>
      </c>
      <c r="K17" s="268">
        <f t="shared" si="0"/>
        <v>4.9999999999999947E-2</v>
      </c>
      <c r="L17" s="268">
        <f t="shared" si="0"/>
        <v>0.10000000000000003</v>
      </c>
    </row>
    <row r="18" spans="1:12" ht="10.5" customHeight="1" x14ac:dyDescent="0.2">
      <c r="A18" s="284" t="s">
        <v>324</v>
      </c>
      <c r="B18" s="281"/>
      <c r="C18" s="276"/>
      <c r="D18" s="277"/>
      <c r="E18" s="11"/>
      <c r="F18" s="11"/>
      <c r="G18" s="11"/>
      <c r="H18" s="11"/>
      <c r="I18" s="11"/>
      <c r="J18" s="11"/>
      <c r="K18" s="11"/>
      <c r="L18" s="11"/>
    </row>
    <row r="19" spans="1:12" x14ac:dyDescent="0.2">
      <c r="A19" s="251" t="s">
        <v>313</v>
      </c>
      <c r="B19" s="285"/>
      <c r="C19" s="286"/>
      <c r="D19" s="287"/>
      <c r="E19" s="11"/>
      <c r="F19" s="11"/>
      <c r="G19" s="11"/>
      <c r="H19" s="11"/>
      <c r="I19" s="11"/>
      <c r="J19" s="11"/>
      <c r="K19" s="11"/>
      <c r="L19" s="11"/>
    </row>
    <row r="20" spans="1:12" x14ac:dyDescent="0.2">
      <c r="A20" s="251" t="s">
        <v>314</v>
      </c>
      <c r="B20" s="285"/>
      <c r="C20" s="286"/>
      <c r="D20" s="287"/>
      <c r="E20" s="11"/>
      <c r="F20" s="11"/>
      <c r="G20" s="11"/>
      <c r="H20" s="11"/>
      <c r="I20" s="11"/>
      <c r="J20" s="11"/>
      <c r="K20" s="11"/>
      <c r="L20" s="11"/>
    </row>
    <row r="21" spans="1:12" x14ac:dyDescent="0.2">
      <c r="A21" s="283" t="s">
        <v>315</v>
      </c>
      <c r="B21" s="285"/>
      <c r="C21" s="286"/>
      <c r="D21" s="287"/>
      <c r="E21" s="11"/>
      <c r="F21" s="11"/>
      <c r="G21" s="11"/>
      <c r="H21" s="11"/>
      <c r="I21" s="11"/>
      <c r="J21" s="11"/>
      <c r="K21" s="11"/>
      <c r="L21" s="11"/>
    </row>
    <row r="22" spans="1:12" x14ac:dyDescent="0.2">
      <c r="A22" s="283" t="s">
        <v>315</v>
      </c>
      <c r="B22" s="285"/>
      <c r="C22" s="286"/>
      <c r="D22" s="287"/>
      <c r="E22" s="11"/>
      <c r="F22" s="11"/>
      <c r="G22" s="11"/>
      <c r="H22" s="11"/>
      <c r="I22" s="11"/>
      <c r="J22" s="11"/>
      <c r="K22" s="11"/>
      <c r="L22" s="11"/>
    </row>
    <row r="23" spans="1:12" x14ac:dyDescent="0.2">
      <c r="A23" s="251" t="s">
        <v>325</v>
      </c>
      <c r="B23" s="282">
        <f>SUM(B17:B22)</f>
        <v>41.81</v>
      </c>
      <c r="C23" s="278">
        <f t="shared" ref="C23:D23" si="1">SUM(C17:C22)</f>
        <v>44.897999999999996</v>
      </c>
      <c r="D23" s="279">
        <f t="shared" si="1"/>
        <v>46.956666666666671</v>
      </c>
      <c r="E23" s="11"/>
      <c r="F23" s="11"/>
      <c r="G23" s="11"/>
      <c r="H23" s="11"/>
      <c r="I23" s="11"/>
      <c r="J23" s="11"/>
      <c r="K23" s="11"/>
      <c r="L23" s="11"/>
    </row>
    <row r="24" spans="1:12" ht="16" thickBot="1" x14ac:dyDescent="0.25">
      <c r="A24" s="271" t="s">
        <v>326</v>
      </c>
      <c r="B24" s="272">
        <f>+B23/(1-H17)</f>
        <v>54.653594771241835</v>
      </c>
      <c r="C24" s="272">
        <f>+C23/(1-H17)</f>
        <v>58.690196078431363</v>
      </c>
      <c r="D24" s="273">
        <f>+D23/(1-H17)</f>
        <v>61.381263616557739</v>
      </c>
      <c r="E24" s="11"/>
      <c r="F24" s="270"/>
      <c r="G24" s="11"/>
      <c r="H24" s="11"/>
      <c r="I24" s="11"/>
      <c r="J24" s="11"/>
      <c r="K24" s="11"/>
      <c r="L24" s="11"/>
    </row>
    <row r="25" spans="1:12" x14ac:dyDescent="0.2">
      <c r="A25" s="11"/>
      <c r="B25" s="11"/>
      <c r="C25" s="11"/>
      <c r="D25" s="270"/>
      <c r="E25" s="11"/>
      <c r="F25" s="11"/>
      <c r="G25" s="11"/>
      <c r="H25" s="11"/>
      <c r="I25" s="11"/>
      <c r="J25" s="11"/>
      <c r="K25" s="11"/>
      <c r="L25" s="11"/>
    </row>
    <row r="26" spans="1:12" x14ac:dyDescent="0.2">
      <c r="A26" s="11"/>
      <c r="B26" s="11"/>
      <c r="C26" s="11"/>
      <c r="D26" s="11"/>
      <c r="E26" s="11"/>
      <c r="F26" s="11"/>
      <c r="G26" s="11"/>
      <c r="H26" s="11"/>
      <c r="I26" s="11"/>
      <c r="J26" s="11"/>
      <c r="K26" s="11"/>
      <c r="L26" s="11"/>
    </row>
    <row r="27" spans="1:12" x14ac:dyDescent="0.2">
      <c r="A27" s="11"/>
      <c r="B27" s="11"/>
      <c r="C27" s="11"/>
      <c r="D27" s="11"/>
      <c r="E27" s="11"/>
      <c r="F27" s="11"/>
      <c r="G27" s="11"/>
      <c r="H27" s="11"/>
      <c r="I27" s="11"/>
      <c r="J27" s="11"/>
      <c r="K27" s="11"/>
      <c r="L27" s="11"/>
    </row>
    <row r="28" spans="1:12" x14ac:dyDescent="0.2">
      <c r="A28" s="11"/>
      <c r="B28" s="11"/>
      <c r="C28" s="11"/>
      <c r="D28" s="11"/>
      <c r="E28" s="11"/>
      <c r="F28" s="11"/>
      <c r="G28" s="11"/>
      <c r="H28" s="11"/>
      <c r="I28" s="11"/>
      <c r="J28" s="11"/>
      <c r="K28" s="11"/>
      <c r="L28" s="11"/>
    </row>
    <row r="29" spans="1:12" x14ac:dyDescent="0.2">
      <c r="A29" s="11"/>
      <c r="B29" s="11"/>
      <c r="C29" s="11"/>
      <c r="D29" s="11"/>
      <c r="E29" s="11"/>
      <c r="F29" s="11"/>
      <c r="G29" s="11"/>
      <c r="H29" s="11"/>
      <c r="I29" s="11"/>
      <c r="J29" s="11"/>
      <c r="K29" s="11"/>
      <c r="L29" s="11"/>
    </row>
    <row r="30" spans="1:12" x14ac:dyDescent="0.2">
      <c r="A30" s="11"/>
      <c r="B30" s="11"/>
      <c r="C30" s="11"/>
      <c r="D30" s="11"/>
      <c r="E30" s="11"/>
      <c r="F30" s="11"/>
      <c r="G30" s="11"/>
      <c r="H30" s="11"/>
      <c r="I30" s="11"/>
      <c r="J30" s="11"/>
      <c r="K30" s="11"/>
      <c r="L30" s="11"/>
    </row>
    <row r="31" spans="1:12" x14ac:dyDescent="0.2">
      <c r="A31" s="11"/>
      <c r="B31" s="11"/>
      <c r="C31" s="11"/>
      <c r="D31" s="11"/>
      <c r="E31" s="11"/>
      <c r="F31" s="11"/>
      <c r="G31" s="11"/>
      <c r="H31" s="11"/>
      <c r="I31" s="11"/>
      <c r="J31" s="11"/>
      <c r="K31" s="11"/>
      <c r="L31" s="11"/>
    </row>
    <row r="32" spans="1:12" x14ac:dyDescent="0.2">
      <c r="A32" s="11"/>
      <c r="B32" s="11"/>
      <c r="C32" s="11"/>
      <c r="D32" s="11"/>
      <c r="E32" s="11"/>
      <c r="F32" s="11"/>
      <c r="G32" s="11"/>
      <c r="H32" s="11"/>
      <c r="I32" s="11"/>
      <c r="J32" s="11"/>
      <c r="K32" s="11"/>
      <c r="L32" s="11"/>
    </row>
    <row r="33" spans="1:12" x14ac:dyDescent="0.2">
      <c r="A33" s="11"/>
      <c r="B33" s="11"/>
      <c r="C33" s="11"/>
      <c r="D33" s="11"/>
      <c r="E33" s="11"/>
      <c r="F33" s="11"/>
      <c r="G33" s="11"/>
      <c r="H33" s="11"/>
      <c r="I33" s="11"/>
      <c r="J33" s="11"/>
      <c r="K33" s="11"/>
      <c r="L33" s="11"/>
    </row>
    <row r="34" spans="1:12" x14ac:dyDescent="0.2">
      <c r="A34" s="11"/>
      <c r="B34" s="11"/>
      <c r="C34" s="11"/>
      <c r="D34" s="11"/>
      <c r="E34" s="11"/>
      <c r="F34" s="11"/>
      <c r="G34" s="11"/>
      <c r="H34" s="11"/>
      <c r="I34" s="11"/>
      <c r="J34" s="11"/>
      <c r="K34" s="11"/>
      <c r="L34" s="11"/>
    </row>
    <row r="35" spans="1:12" x14ac:dyDescent="0.2">
      <c r="A35" s="11"/>
      <c r="B35" s="11"/>
      <c r="C35" s="11"/>
      <c r="D35" s="11"/>
      <c r="E35" s="11"/>
      <c r="F35" s="11"/>
      <c r="G35" s="11"/>
      <c r="H35" s="11"/>
      <c r="I35" s="11"/>
      <c r="J35" s="11"/>
      <c r="K35" s="11"/>
      <c r="L35" s="11"/>
    </row>
  </sheetData>
  <mergeCells count="18">
    <mergeCell ref="A15:D15"/>
    <mergeCell ref="G3:K3"/>
    <mergeCell ref="H4:K4"/>
    <mergeCell ref="H5:K5"/>
    <mergeCell ref="H6:K6"/>
    <mergeCell ref="H7:K7"/>
    <mergeCell ref="H8:K8"/>
    <mergeCell ref="B10:E10"/>
    <mergeCell ref="B4:E4"/>
    <mergeCell ref="B9:E9"/>
    <mergeCell ref="B11:E11"/>
    <mergeCell ref="A3:E3"/>
    <mergeCell ref="B5:E5"/>
    <mergeCell ref="B6:E6"/>
    <mergeCell ref="B7:E7"/>
    <mergeCell ref="B8:E8"/>
    <mergeCell ref="A1:L1"/>
    <mergeCell ref="G13:L13"/>
  </mergeCells>
  <dataValidations count="1">
    <dataValidation type="list" allowBlank="1" showInputMessage="1" showErrorMessage="1" sqref="H9:H11">
      <formula1>logic</formula1>
    </dataValidation>
  </dataValidation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theme="9" tint="-0.499984740745262"/>
  </sheetPr>
  <dimension ref="A1:V309"/>
  <sheetViews>
    <sheetView topLeftCell="B1" zoomScale="150" zoomScaleNormal="150" zoomScalePageLayoutView="150" workbookViewId="0">
      <selection activeCell="Q8" sqref="Q8"/>
    </sheetView>
  </sheetViews>
  <sheetFormatPr baseColWidth="10" defaultColWidth="11.5" defaultRowHeight="15" x14ac:dyDescent="0.2"/>
  <cols>
    <col min="1" max="1" width="8.6640625" style="10" customWidth="1"/>
    <col min="2" max="2" width="7.1640625" style="10" customWidth="1"/>
    <col min="3" max="3" width="21.1640625" style="10" customWidth="1"/>
    <col min="4" max="4" width="6.1640625" style="10" customWidth="1"/>
    <col min="5" max="5" width="7" style="10" customWidth="1"/>
    <col min="6" max="6" width="5" style="10" customWidth="1"/>
    <col min="7" max="7" width="5.6640625" style="10" customWidth="1"/>
    <col min="8" max="11" width="6.83203125" style="10" hidden="1" customWidth="1"/>
    <col min="12" max="12" width="7.5" style="10" customWidth="1"/>
    <col min="13" max="14" width="7.6640625" style="10" customWidth="1"/>
    <col min="15" max="15" width="9.6640625" style="10" customWidth="1"/>
    <col min="16" max="16" width="6" style="10" customWidth="1"/>
    <col min="17" max="17" width="5.33203125" style="10" customWidth="1"/>
    <col min="18" max="19" width="11.5" style="10"/>
    <col min="20" max="20" width="5.83203125" style="10" customWidth="1"/>
    <col min="21" max="21" width="6.5" style="10" customWidth="1"/>
    <col min="22" max="22" width="4.83203125" style="10" customWidth="1"/>
    <col min="23" max="16384" width="11.5" style="10"/>
  </cols>
  <sheetData>
    <row r="1" spans="1:22" ht="15" customHeight="1" x14ac:dyDescent="0.2"/>
    <row r="2" spans="1:22" ht="33.75" customHeight="1" thickBot="1" x14ac:dyDescent="0.25">
      <c r="A2" s="1352" t="s">
        <v>300</v>
      </c>
      <c r="B2" s="1352"/>
      <c r="C2" s="1352"/>
      <c r="D2" s="1352"/>
      <c r="E2" s="1352"/>
      <c r="F2" s="1352"/>
      <c r="G2" s="1352"/>
      <c r="H2" s="1352"/>
      <c r="I2" s="1352"/>
      <c r="J2" s="1352"/>
      <c r="K2" s="1352"/>
      <c r="L2" s="1352"/>
      <c r="M2" s="1352"/>
      <c r="N2" s="1352"/>
      <c r="O2" s="1352"/>
      <c r="P2" s="1352"/>
      <c r="Q2" s="153"/>
      <c r="R2" s="1353" t="s">
        <v>354</v>
      </c>
      <c r="S2" s="1354"/>
      <c r="T2" s="1355"/>
      <c r="U2" s="153"/>
      <c r="V2" s="153"/>
    </row>
    <row r="3" spans="1:22" ht="23.25" customHeight="1" x14ac:dyDescent="0.2">
      <c r="A3" s="1356" t="s">
        <v>357</v>
      </c>
      <c r="B3" s="1356"/>
      <c r="C3" s="1356"/>
      <c r="D3" s="1356"/>
      <c r="E3" s="1356"/>
      <c r="F3" s="1356"/>
      <c r="G3" s="1356"/>
      <c r="H3" s="1356"/>
      <c r="I3" s="1356"/>
      <c r="J3" s="1356"/>
      <c r="K3" s="1356"/>
      <c r="L3" s="1356"/>
      <c r="M3" s="1356"/>
      <c r="N3" s="1356"/>
      <c r="O3" s="1356"/>
      <c r="P3" s="1356"/>
      <c r="Q3" s="153"/>
      <c r="R3" s="416" t="s">
        <v>77</v>
      </c>
      <c r="S3" s="417" t="s">
        <v>345</v>
      </c>
      <c r="T3" s="418" t="s">
        <v>355</v>
      </c>
      <c r="U3" s="153"/>
      <c r="V3" s="153"/>
    </row>
    <row r="4" spans="1:22" ht="15.75" customHeight="1" thickBot="1" x14ac:dyDescent="0.25">
      <c r="A4" s="321"/>
      <c r="B4" s="321"/>
      <c r="C4" s="321"/>
      <c r="D4" s="321"/>
      <c r="E4" s="321"/>
      <c r="F4" s="321"/>
      <c r="G4" s="321"/>
      <c r="H4" s="321"/>
      <c r="I4" s="321"/>
      <c r="J4" s="321"/>
      <c r="K4" s="321"/>
      <c r="L4" s="321"/>
      <c r="M4" s="321"/>
      <c r="N4" s="321"/>
      <c r="O4" s="321"/>
      <c r="P4" s="321"/>
      <c r="Q4" s="153"/>
      <c r="R4" s="414">
        <f>+R309</f>
        <v>0</v>
      </c>
      <c r="S4" s="415">
        <f>+S309</f>
        <v>0</v>
      </c>
      <c r="T4" s="443">
        <f>+T309</f>
        <v>0</v>
      </c>
      <c r="U4" s="153"/>
      <c r="V4" s="153"/>
    </row>
    <row r="5" spans="1:22" ht="13.5" customHeight="1" thickTop="1" thickBot="1" x14ac:dyDescent="0.25">
      <c r="A5" s="364" t="s">
        <v>301</v>
      </c>
      <c r="B5" s="365"/>
      <c r="C5" s="366" t="s">
        <v>358</v>
      </c>
      <c r="D5" s="367"/>
      <c r="E5" s="367"/>
      <c r="F5" s="367"/>
      <c r="G5" s="367"/>
      <c r="H5" s="367"/>
      <c r="I5" s="367"/>
      <c r="J5" s="367"/>
      <c r="K5" s="367"/>
      <c r="L5" s="367"/>
      <c r="M5" s="367"/>
      <c r="N5" s="367"/>
      <c r="O5" s="367"/>
      <c r="P5" s="368"/>
      <c r="Q5" s="419"/>
      <c r="R5" s="419"/>
      <c r="S5" s="419"/>
      <c r="T5" s="419"/>
      <c r="U5" s="419"/>
      <c r="V5" s="419"/>
    </row>
    <row r="6" spans="1:22" ht="15" customHeight="1" thickBot="1" x14ac:dyDescent="0.3">
      <c r="A6" s="434"/>
      <c r="B6" s="1345"/>
      <c r="C6" s="1346"/>
      <c r="D6" s="1346"/>
      <c r="E6" s="1346"/>
      <c r="F6" s="1346"/>
      <c r="G6" s="1347"/>
      <c r="H6" s="491"/>
      <c r="I6" s="258"/>
      <c r="J6" s="258"/>
      <c r="K6" s="258"/>
      <c r="L6" s="432"/>
      <c r="M6" s="432"/>
      <c r="N6" s="432"/>
      <c r="O6" s="432"/>
      <c r="P6" s="433"/>
      <c r="Q6" s="430"/>
      <c r="R6" s="92"/>
      <c r="S6" s="92"/>
      <c r="T6" s="92"/>
      <c r="U6" s="431"/>
      <c r="V6" s="92"/>
    </row>
    <row r="7" spans="1:22" ht="51" customHeight="1" thickBot="1" x14ac:dyDescent="0.25">
      <c r="A7" s="382" t="s">
        <v>209</v>
      </c>
      <c r="B7" s="383" t="s">
        <v>210</v>
      </c>
      <c r="C7" s="384" t="s">
        <v>169</v>
      </c>
      <c r="D7" s="383" t="s">
        <v>212</v>
      </c>
      <c r="E7" s="385" t="s">
        <v>327</v>
      </c>
      <c r="F7" s="305" t="s">
        <v>215</v>
      </c>
      <c r="G7" s="386" t="s">
        <v>217</v>
      </c>
      <c r="H7" s="387" t="s">
        <v>218</v>
      </c>
      <c r="I7" s="387" t="s">
        <v>219</v>
      </c>
      <c r="J7" s="387" t="s">
        <v>220</v>
      </c>
      <c r="K7" s="387" t="s">
        <v>221</v>
      </c>
      <c r="L7" s="387" t="s">
        <v>222</v>
      </c>
      <c r="M7" s="387" t="s">
        <v>223</v>
      </c>
      <c r="N7" s="387" t="s">
        <v>213</v>
      </c>
      <c r="O7" s="385" t="s">
        <v>31</v>
      </c>
      <c r="P7" s="369">
        <v>1</v>
      </c>
      <c r="Q7" s="436" t="s">
        <v>345</v>
      </c>
      <c r="R7" s="409" t="s">
        <v>349</v>
      </c>
      <c r="S7" s="409" t="s">
        <v>348</v>
      </c>
      <c r="T7" s="410" t="s">
        <v>346</v>
      </c>
      <c r="U7" s="411" t="s">
        <v>347</v>
      </c>
      <c r="V7" s="412" t="s">
        <v>350</v>
      </c>
    </row>
    <row r="8" spans="1:22" ht="13.5" customHeight="1" thickBot="1" x14ac:dyDescent="0.25">
      <c r="A8" s="388"/>
      <c r="B8" s="398"/>
      <c r="C8" s="288"/>
      <c r="D8" s="390"/>
      <c r="E8" s="391"/>
      <c r="F8" s="392"/>
      <c r="G8" s="393">
        <f>IF(B8=0,0,A8/B8)</f>
        <v>0</v>
      </c>
      <c r="H8" s="394">
        <f>+'CO Set Up'!$B$24</f>
        <v>54.653594771241835</v>
      </c>
      <c r="I8" s="394">
        <f>+'CO Set Up'!$C$24</f>
        <v>58.690196078431363</v>
      </c>
      <c r="J8" s="394">
        <f>+'CO Set Up'!$D$24</f>
        <v>61.381263616557739</v>
      </c>
      <c r="K8" s="394">
        <f>IF(F8=40,H8,0)+IF(F8=50,I8,0)+IF(F8=60,J8,0)</f>
        <v>0</v>
      </c>
      <c r="L8" s="393">
        <f>IF(D8=0,0,A8/D8)</f>
        <v>0</v>
      </c>
      <c r="M8" s="395">
        <f>+G8*K8</f>
        <v>0</v>
      </c>
      <c r="N8" s="395">
        <f>IF('CO Set Up'!$H$9="yes",(L8*E8)/(1-'CO Set Up'!$I$17)+(('Change Order'!L8*'Change Order'!E8)*'Admin Set Up'!$B$11),L8*E8/(1-'CO Set Up'!$I$17))</f>
        <v>0</v>
      </c>
      <c r="O8" s="396">
        <f>SUM(M8:N8)</f>
        <v>0</v>
      </c>
      <c r="P8" s="397"/>
      <c r="Q8" s="403" t="s">
        <v>1</v>
      </c>
      <c r="R8" s="437">
        <f>IF(Q8="no",O18,0)</f>
        <v>0</v>
      </c>
      <c r="S8" s="438">
        <f>IF(Q8="yes",O18,0)</f>
        <v>0</v>
      </c>
      <c r="T8" s="439">
        <f>IF(Q8="yes",G10*V8,0)</f>
        <v>0</v>
      </c>
      <c r="U8" s="440"/>
      <c r="V8" s="413">
        <v>1</v>
      </c>
    </row>
    <row r="9" spans="1:22" ht="13.5" hidden="1" customHeight="1" thickBot="1" x14ac:dyDescent="0.25">
      <c r="A9" s="399"/>
      <c r="B9" s="389"/>
      <c r="C9" s="402"/>
      <c r="D9" s="400"/>
      <c r="E9" s="401"/>
      <c r="F9" s="392"/>
      <c r="G9" s="393">
        <f>IF(B9=0,0,A9/B9)</f>
        <v>0</v>
      </c>
      <c r="H9" s="394">
        <f>+H8</f>
        <v>54.653594771241835</v>
      </c>
      <c r="I9" s="394">
        <f>+I8</f>
        <v>58.690196078431363</v>
      </c>
      <c r="J9" s="394">
        <f>+J8</f>
        <v>61.381263616557739</v>
      </c>
      <c r="K9" s="394">
        <f>IF(F9=40,H9,0)+IF(F9=50,I9,0)+IF(F9=60,J9,0)</f>
        <v>0</v>
      </c>
      <c r="L9" s="393">
        <f>IF(D9=0,0,A9/D9)</f>
        <v>0</v>
      </c>
      <c r="M9" s="395">
        <f>+G9*K9</f>
        <v>0</v>
      </c>
      <c r="N9" s="395">
        <f>IF('CO Set Up'!$H$9="yes",(L9*E9)/(1-'CO Set Up'!$I$17)+(('Change Order'!L9*'Change Order'!E9)*'Admin Set Up'!$B$11),L9*E9/(1-'CO Set Up'!$I$17))</f>
        <v>0</v>
      </c>
      <c r="O9" s="396">
        <f>SUM(M9:N9)</f>
        <v>0</v>
      </c>
      <c r="P9" s="370"/>
      <c r="Q9" s="32"/>
      <c r="R9" s="32"/>
      <c r="S9" s="32"/>
      <c r="T9" s="32"/>
      <c r="U9" s="32"/>
      <c r="V9" s="32"/>
    </row>
    <row r="10" spans="1:22" ht="12" customHeight="1" thickBot="1" x14ac:dyDescent="0.25">
      <c r="A10" s="371" t="s">
        <v>334</v>
      </c>
      <c r="B10" s="306"/>
      <c r="C10" s="307" t="s">
        <v>333</v>
      </c>
      <c r="D10" s="306"/>
      <c r="E10" s="306"/>
      <c r="F10" s="289"/>
      <c r="G10" s="308">
        <f>SUM(G8:G9)</f>
        <v>0</v>
      </c>
      <c r="H10" s="306"/>
      <c r="I10" s="306"/>
      <c r="J10" s="306"/>
      <c r="K10" s="306"/>
      <c r="L10" s="309">
        <f>SUM(L8:L9)</f>
        <v>0</v>
      </c>
      <c r="M10" s="310">
        <f>SUM(M8:M9)</f>
        <v>0</v>
      </c>
      <c r="N10" s="310">
        <f>SUM(N8:N9)</f>
        <v>0</v>
      </c>
      <c r="O10" s="311">
        <f>SUM(O8:O9)</f>
        <v>0</v>
      </c>
      <c r="P10" s="370"/>
      <c r="Q10" s="32"/>
      <c r="R10" s="32"/>
      <c r="S10" s="32"/>
      <c r="T10" s="32"/>
      <c r="U10" s="32"/>
      <c r="V10" s="32"/>
    </row>
    <row r="11" spans="1:22" ht="4.5" customHeight="1" x14ac:dyDescent="0.2">
      <c r="A11" s="372"/>
      <c r="B11" s="312"/>
      <c r="C11" s="313"/>
      <c r="D11" s="313"/>
      <c r="E11" s="313"/>
      <c r="F11" s="313"/>
      <c r="G11" s="313"/>
      <c r="H11" s="313"/>
      <c r="I11" s="313"/>
      <c r="J11" s="313"/>
      <c r="K11" s="313"/>
      <c r="L11" s="313"/>
      <c r="M11" s="313"/>
      <c r="N11" s="313"/>
      <c r="O11" s="313"/>
      <c r="P11" s="370"/>
      <c r="Q11" s="32"/>
      <c r="R11" s="32"/>
      <c r="S11" s="32"/>
      <c r="T11" s="32"/>
      <c r="U11" s="32"/>
      <c r="V11" s="32"/>
    </row>
    <row r="12" spans="1:22" ht="9.75" customHeight="1" x14ac:dyDescent="0.2">
      <c r="A12" s="1348" t="s">
        <v>59</v>
      </c>
      <c r="B12" s="1349"/>
      <c r="C12" s="314" t="s">
        <v>169</v>
      </c>
      <c r="D12" s="314" t="s">
        <v>328</v>
      </c>
      <c r="E12" s="314" t="s">
        <v>85</v>
      </c>
      <c r="F12" s="1350"/>
      <c r="G12" s="1350"/>
      <c r="H12" s="314"/>
      <c r="I12" s="314"/>
      <c r="J12" s="314"/>
      <c r="K12" s="314"/>
      <c r="L12" s="314" t="s">
        <v>225</v>
      </c>
      <c r="M12" s="314"/>
      <c r="N12" s="314"/>
      <c r="O12" s="314" t="s">
        <v>171</v>
      </c>
      <c r="P12" s="370"/>
      <c r="Q12" s="32"/>
      <c r="R12" s="32"/>
      <c r="S12" s="32"/>
      <c r="T12" s="32"/>
      <c r="U12" s="32"/>
      <c r="V12" s="32"/>
    </row>
    <row r="13" spans="1:22" ht="13.5" customHeight="1" x14ac:dyDescent="0.2">
      <c r="A13" s="373"/>
      <c r="B13" s="297"/>
      <c r="C13" s="293"/>
      <c r="D13" s="294"/>
      <c r="E13" s="294"/>
      <c r="F13" s="299"/>
      <c r="G13" s="300"/>
      <c r="H13" s="295"/>
      <c r="I13" s="295"/>
      <c r="J13" s="295"/>
      <c r="K13" s="295"/>
      <c r="L13" s="301"/>
      <c r="M13" s="296"/>
      <c r="N13" s="296"/>
      <c r="O13" s="302">
        <f>IF(D13="E",(E13*L13)/(1-'CO Set Up'!$J$17),0)+IF(D13="S",(E13*L13)/(1-'CO Set Up'!$K$17),0)+IF(D13="SC",(E13*L13)/(1-'CO Set Up'!$L$17),0)</f>
        <v>0</v>
      </c>
      <c r="P13" s="370"/>
      <c r="Q13" s="32"/>
      <c r="R13" s="32"/>
      <c r="S13" s="32"/>
      <c r="T13" s="32"/>
      <c r="U13" s="32"/>
      <c r="V13" s="32"/>
    </row>
    <row r="14" spans="1:22" ht="12" hidden="1" customHeight="1" x14ac:dyDescent="0.2">
      <c r="A14" s="374"/>
      <c r="B14" s="298"/>
      <c r="C14" s="293"/>
      <c r="D14" s="294"/>
      <c r="E14" s="294"/>
      <c r="F14" s="299"/>
      <c r="G14" s="300"/>
      <c r="H14" s="295"/>
      <c r="I14" s="295"/>
      <c r="J14" s="295"/>
      <c r="K14" s="295"/>
      <c r="L14" s="301"/>
      <c r="M14" s="296"/>
      <c r="N14" s="296"/>
      <c r="O14" s="303">
        <f>IF(D14="E",(E14*L14)/(1-'CO Set Up'!$J$17),0)+IF(D14="S",(E14*L14)/(1-'CO Set Up'!$K$17),0)+IF(D14="SC",(E14*L14)/(1-'CO Set Up'!$L$17),0)</f>
        <v>0</v>
      </c>
      <c r="P14" s="370"/>
      <c r="Q14" s="32"/>
      <c r="R14" s="32"/>
      <c r="S14" s="32"/>
      <c r="T14" s="32"/>
      <c r="U14" s="32"/>
      <c r="V14" s="32"/>
    </row>
    <row r="15" spans="1:22" ht="12" customHeight="1" thickBot="1" x14ac:dyDescent="0.25">
      <c r="A15" s="375" t="s">
        <v>334</v>
      </c>
      <c r="B15" s="315"/>
      <c r="C15" s="307" t="s">
        <v>335</v>
      </c>
      <c r="D15" s="315"/>
      <c r="E15" s="315"/>
      <c r="F15" s="315"/>
      <c r="G15" s="315"/>
      <c r="H15" s="290"/>
      <c r="I15" s="290"/>
      <c r="J15" s="290"/>
      <c r="K15" s="290"/>
      <c r="L15" s="304" t="s">
        <v>336</v>
      </c>
      <c r="M15" s="304"/>
      <c r="N15" s="304"/>
      <c r="O15" s="316">
        <f>SUM(O13:O14)</f>
        <v>0</v>
      </c>
      <c r="P15" s="370"/>
      <c r="Q15" s="32"/>
      <c r="R15" s="32"/>
      <c r="S15" s="32"/>
      <c r="T15" s="32"/>
      <c r="U15" s="32"/>
      <c r="V15" s="32"/>
    </row>
    <row r="16" spans="1:22" ht="11.25" customHeight="1" x14ac:dyDescent="0.2">
      <c r="A16" s="376"/>
      <c r="B16" s="315"/>
      <c r="C16" s="315"/>
      <c r="D16" s="315"/>
      <c r="E16" s="315"/>
      <c r="F16" s="315"/>
      <c r="G16" s="315"/>
      <c r="H16" s="290"/>
      <c r="I16" s="290"/>
      <c r="J16" s="290"/>
      <c r="K16" s="290"/>
      <c r="L16" s="1351" t="s">
        <v>337</v>
      </c>
      <c r="M16" s="1351"/>
      <c r="N16" s="1351"/>
      <c r="O16" s="317">
        <f>IF('CO Set Up'!H10="yes",-(G10*'Admin Set Up'!$B$13),0)</f>
        <v>0</v>
      </c>
      <c r="P16" s="370"/>
      <c r="Q16" s="32"/>
      <c r="R16" s="32"/>
      <c r="S16" s="32"/>
      <c r="T16" s="32"/>
      <c r="U16" s="32"/>
      <c r="V16" s="32"/>
    </row>
    <row r="17" spans="1:22" ht="11.25" customHeight="1" x14ac:dyDescent="0.2">
      <c r="A17" s="377"/>
      <c r="B17" s="318"/>
      <c r="C17" s="318"/>
      <c r="D17" s="318"/>
      <c r="E17" s="318"/>
      <c r="F17" s="318"/>
      <c r="G17" s="318"/>
      <c r="H17" s="319"/>
      <c r="I17" s="319"/>
      <c r="J17" s="319"/>
      <c r="K17" s="319"/>
      <c r="L17" s="1351" t="s">
        <v>61</v>
      </c>
      <c r="M17" s="1351"/>
      <c r="N17" s="1351"/>
      <c r="O17" s="320">
        <f>IF('CO Set Up'!H11="yes",(O10+O15+O16)*'Admin Set Up'!B12,0)</f>
        <v>0</v>
      </c>
      <c r="P17" s="370"/>
      <c r="Q17" s="32"/>
      <c r="R17" s="32"/>
      <c r="S17" s="32"/>
      <c r="T17" s="32"/>
      <c r="U17" s="32"/>
      <c r="V17" s="32"/>
    </row>
    <row r="18" spans="1:22" ht="16" thickBot="1" x14ac:dyDescent="0.25">
      <c r="A18" s="378" t="s">
        <v>338</v>
      </c>
      <c r="B18" s="379"/>
      <c r="C18" s="379"/>
      <c r="D18" s="379"/>
      <c r="E18" s="379"/>
      <c r="F18" s="379"/>
      <c r="G18" s="379"/>
      <c r="H18" s="379"/>
      <c r="I18" s="379"/>
      <c r="J18" s="379"/>
      <c r="K18" s="379"/>
      <c r="L18" s="379"/>
      <c r="M18" s="379"/>
      <c r="N18" s="379"/>
      <c r="O18" s="380">
        <f>+O10+O15+O16+O17</f>
        <v>0</v>
      </c>
      <c r="P18" s="381"/>
      <c r="Q18" s="32"/>
      <c r="R18" s="32"/>
      <c r="S18" s="32"/>
      <c r="T18" s="32"/>
      <c r="U18" s="32"/>
      <c r="V18" s="32"/>
    </row>
    <row r="19" spans="1:22" ht="10.5" customHeight="1" thickTop="1" thickBot="1" x14ac:dyDescent="0.25">
      <c r="A19" s="32"/>
      <c r="B19" s="32"/>
      <c r="C19" s="32"/>
      <c r="D19" s="32"/>
      <c r="E19" s="32"/>
      <c r="F19" s="32"/>
      <c r="G19" s="32"/>
      <c r="H19" s="32"/>
      <c r="I19" s="32"/>
      <c r="J19" s="32"/>
      <c r="K19" s="32"/>
      <c r="L19" s="32"/>
      <c r="M19" s="32"/>
      <c r="N19" s="32"/>
      <c r="O19" s="32"/>
      <c r="P19" s="32"/>
      <c r="Q19" s="32"/>
      <c r="R19" s="32"/>
      <c r="S19" s="32"/>
      <c r="T19" s="32"/>
      <c r="U19" s="32"/>
      <c r="V19" s="32"/>
    </row>
    <row r="20" spans="1:22" ht="15" customHeight="1" thickTop="1" thickBot="1" x14ac:dyDescent="0.25">
      <c r="A20" s="364" t="s">
        <v>301</v>
      </c>
      <c r="B20" s="365"/>
      <c r="C20" s="366" t="s">
        <v>358</v>
      </c>
      <c r="D20" s="367"/>
      <c r="E20" s="367"/>
      <c r="F20" s="367"/>
      <c r="G20" s="367"/>
      <c r="H20" s="367"/>
      <c r="I20" s="367"/>
      <c r="J20" s="367"/>
      <c r="K20" s="367"/>
      <c r="L20" s="367"/>
      <c r="M20" s="367"/>
      <c r="N20" s="367"/>
      <c r="O20" s="367"/>
      <c r="P20" s="368"/>
      <c r="Q20" s="419"/>
      <c r="R20" s="419"/>
      <c r="S20" s="419"/>
      <c r="T20" s="419"/>
      <c r="U20" s="419"/>
      <c r="V20" s="419"/>
    </row>
    <row r="21" spans="1:22" ht="17" thickBot="1" x14ac:dyDescent="0.3">
      <c r="A21" s="434"/>
      <c r="B21" s="1345"/>
      <c r="C21" s="1346"/>
      <c r="D21" s="1346"/>
      <c r="E21" s="1346"/>
      <c r="F21" s="1346"/>
      <c r="G21" s="1347"/>
      <c r="H21" s="258"/>
      <c r="I21" s="258"/>
      <c r="J21" s="258"/>
      <c r="K21" s="258"/>
      <c r="L21" s="432"/>
      <c r="M21" s="432"/>
      <c r="N21" s="432"/>
      <c r="O21" s="432"/>
      <c r="P21" s="433"/>
      <c r="Q21" s="430"/>
      <c r="R21" s="92"/>
      <c r="S21" s="92"/>
      <c r="T21" s="92"/>
      <c r="U21" s="431"/>
      <c r="V21" s="92"/>
    </row>
    <row r="22" spans="1:22" ht="51" customHeight="1" thickBot="1" x14ac:dyDescent="0.25">
      <c r="A22" s="382" t="s">
        <v>209</v>
      </c>
      <c r="B22" s="383" t="s">
        <v>210</v>
      </c>
      <c r="C22" s="384" t="s">
        <v>169</v>
      </c>
      <c r="D22" s="383" t="s">
        <v>212</v>
      </c>
      <c r="E22" s="385" t="s">
        <v>327</v>
      </c>
      <c r="F22" s="305" t="s">
        <v>215</v>
      </c>
      <c r="G22" s="386" t="s">
        <v>217</v>
      </c>
      <c r="H22" s="387" t="s">
        <v>218</v>
      </c>
      <c r="I22" s="387" t="s">
        <v>219</v>
      </c>
      <c r="J22" s="387" t="s">
        <v>220</v>
      </c>
      <c r="K22" s="387" t="s">
        <v>221</v>
      </c>
      <c r="L22" s="387" t="s">
        <v>222</v>
      </c>
      <c r="M22" s="387" t="s">
        <v>223</v>
      </c>
      <c r="N22" s="387" t="s">
        <v>213</v>
      </c>
      <c r="O22" s="385" t="s">
        <v>31</v>
      </c>
      <c r="P22" s="369">
        <v>2</v>
      </c>
      <c r="Q22" s="436" t="s">
        <v>345</v>
      </c>
      <c r="R22" s="409" t="s">
        <v>349</v>
      </c>
      <c r="S22" s="409" t="s">
        <v>348</v>
      </c>
      <c r="T22" s="410" t="s">
        <v>346</v>
      </c>
      <c r="U22" s="411" t="s">
        <v>347</v>
      </c>
      <c r="V22" s="412" t="s">
        <v>350</v>
      </c>
    </row>
    <row r="23" spans="1:22" ht="13" customHeight="1" thickBot="1" x14ac:dyDescent="0.25">
      <c r="A23" s="388"/>
      <c r="B23" s="398"/>
      <c r="C23" s="288"/>
      <c r="D23" s="390"/>
      <c r="E23" s="391"/>
      <c r="F23" s="392"/>
      <c r="G23" s="393">
        <f>IF(B23=0,0,A23/B23)</f>
        <v>0</v>
      </c>
      <c r="H23" s="394">
        <f>+'CO Set Up'!$B$24</f>
        <v>54.653594771241835</v>
      </c>
      <c r="I23" s="394">
        <f>+'CO Set Up'!$C$24</f>
        <v>58.690196078431363</v>
      </c>
      <c r="J23" s="394">
        <f>+'CO Set Up'!$D$24</f>
        <v>61.381263616557739</v>
      </c>
      <c r="K23" s="394">
        <f>IF(F23=40,H23,0)+IF(F23=50,I23,0)+IF(F23=60,J23,0)</f>
        <v>0</v>
      </c>
      <c r="L23" s="393">
        <f>IF(D23=0,0,A23/D23)</f>
        <v>0</v>
      </c>
      <c r="M23" s="395">
        <f>+G23*K23</f>
        <v>0</v>
      </c>
      <c r="N23" s="395">
        <f>IF('CO Set Up'!$H$9="yes",(L23*E23)/(1-'CO Set Up'!$I$17)+(('Change Order'!L23*'Change Order'!E23)*'Admin Set Up'!$B$11),L23*E23/(1-'CO Set Up'!$I$17))</f>
        <v>0</v>
      </c>
      <c r="O23" s="396">
        <f>SUM(M23:N23)</f>
        <v>0</v>
      </c>
      <c r="P23" s="397"/>
      <c r="Q23" s="403" t="s">
        <v>2</v>
      </c>
      <c r="R23" s="437">
        <f>IF(Q23="no",O33,0)</f>
        <v>0</v>
      </c>
      <c r="S23" s="438">
        <f>IF(Q23="yes",O33,0)</f>
        <v>0</v>
      </c>
      <c r="T23" s="439">
        <f>IF(Q23="yes",G25*V23,0)</f>
        <v>0</v>
      </c>
      <c r="U23" s="440"/>
      <c r="V23" s="413">
        <v>1</v>
      </c>
    </row>
    <row r="24" spans="1:22" ht="13" hidden="1" customHeight="1" thickBot="1" x14ac:dyDescent="0.25">
      <c r="A24" s="399"/>
      <c r="B24" s="389"/>
      <c r="C24" s="402"/>
      <c r="D24" s="400"/>
      <c r="E24" s="401"/>
      <c r="F24" s="392"/>
      <c r="G24" s="393">
        <f>IF(B24=0,0,A24/B24)</f>
        <v>0</v>
      </c>
      <c r="H24" s="394">
        <f>+H23</f>
        <v>54.653594771241835</v>
      </c>
      <c r="I24" s="394">
        <f>+I23</f>
        <v>58.690196078431363</v>
      </c>
      <c r="J24" s="394">
        <f>+J23</f>
        <v>61.381263616557739</v>
      </c>
      <c r="K24" s="394">
        <f>IF(F24=40,H24,0)+IF(F24=50,I24,0)+IF(F24=60,J24,0)</f>
        <v>0</v>
      </c>
      <c r="L24" s="393">
        <f>IF(D24=0,0,A24/D24)</f>
        <v>0</v>
      </c>
      <c r="M24" s="395">
        <f>+G24*K24</f>
        <v>0</v>
      </c>
      <c r="N24" s="395">
        <f>IF('CO Set Up'!$H$9="yes",(L24*E24)/(1-'CO Set Up'!$I$17)+(('Change Order'!L24*'Change Order'!E24)*'Admin Set Up'!$B$11),L24*E24/(1-'CO Set Up'!$I$17))</f>
        <v>0</v>
      </c>
      <c r="O24" s="396">
        <f>SUM(M24:N24)</f>
        <v>0</v>
      </c>
      <c r="P24" s="370"/>
      <c r="Q24" s="32"/>
      <c r="R24" s="32"/>
      <c r="S24" s="32"/>
      <c r="T24" s="32"/>
      <c r="U24" s="32"/>
      <c r="V24" s="32"/>
    </row>
    <row r="25" spans="1:22" ht="13" customHeight="1" thickBot="1" x14ac:dyDescent="0.25">
      <c r="A25" s="371" t="s">
        <v>334</v>
      </c>
      <c r="B25" s="306"/>
      <c r="C25" s="307" t="s">
        <v>333</v>
      </c>
      <c r="D25" s="306"/>
      <c r="E25" s="306"/>
      <c r="F25" s="289"/>
      <c r="G25" s="308">
        <f>SUM(G23:G24)</f>
        <v>0</v>
      </c>
      <c r="H25" s="306"/>
      <c r="I25" s="306"/>
      <c r="J25" s="306"/>
      <c r="K25" s="306"/>
      <c r="L25" s="309">
        <f>SUM(L23:L24)</f>
        <v>0</v>
      </c>
      <c r="M25" s="310">
        <f>SUM(M23:M24)</f>
        <v>0</v>
      </c>
      <c r="N25" s="310">
        <f>SUM(N23:N24)</f>
        <v>0</v>
      </c>
      <c r="O25" s="311">
        <f>SUM(O23:O24)</f>
        <v>0</v>
      </c>
      <c r="P25" s="370"/>
      <c r="Q25" s="32"/>
      <c r="R25" s="32"/>
      <c r="S25" s="32"/>
      <c r="T25" s="32"/>
      <c r="U25" s="32"/>
      <c r="V25" s="32"/>
    </row>
    <row r="26" spans="1:22" ht="13" customHeight="1" x14ac:dyDescent="0.2">
      <c r="A26" s="372"/>
      <c r="B26" s="312"/>
      <c r="C26" s="313"/>
      <c r="D26" s="313"/>
      <c r="E26" s="313"/>
      <c r="F26" s="313"/>
      <c r="G26" s="313"/>
      <c r="H26" s="313"/>
      <c r="I26" s="313"/>
      <c r="J26" s="313"/>
      <c r="K26" s="313"/>
      <c r="L26" s="313"/>
      <c r="M26" s="313"/>
      <c r="N26" s="313"/>
      <c r="O26" s="313"/>
      <c r="P26" s="370"/>
      <c r="Q26" s="32"/>
      <c r="R26" s="32"/>
      <c r="S26" s="32"/>
      <c r="T26" s="32"/>
      <c r="U26" s="32"/>
      <c r="V26" s="32"/>
    </row>
    <row r="27" spans="1:22" ht="13" customHeight="1" x14ac:dyDescent="0.2">
      <c r="A27" s="1348" t="s">
        <v>59</v>
      </c>
      <c r="B27" s="1349"/>
      <c r="C27" s="322" t="s">
        <v>169</v>
      </c>
      <c r="D27" s="322" t="s">
        <v>328</v>
      </c>
      <c r="E27" s="322" t="s">
        <v>85</v>
      </c>
      <c r="F27" s="1350"/>
      <c r="G27" s="1350"/>
      <c r="H27" s="322"/>
      <c r="I27" s="322"/>
      <c r="J27" s="322"/>
      <c r="K27" s="322"/>
      <c r="L27" s="322" t="s">
        <v>225</v>
      </c>
      <c r="M27" s="322"/>
      <c r="N27" s="322"/>
      <c r="O27" s="322" t="s">
        <v>171</v>
      </c>
      <c r="P27" s="370"/>
      <c r="Q27" s="32"/>
      <c r="R27" s="32"/>
      <c r="S27" s="32"/>
      <c r="T27" s="32"/>
      <c r="U27" s="32"/>
      <c r="V27" s="32"/>
    </row>
    <row r="28" spans="1:22" ht="13" customHeight="1" x14ac:dyDescent="0.2">
      <c r="A28" s="373"/>
      <c r="B28" s="297"/>
      <c r="C28" s="293"/>
      <c r="D28" s="294"/>
      <c r="E28" s="294"/>
      <c r="F28" s="299"/>
      <c r="G28" s="300"/>
      <c r="H28" s="295"/>
      <c r="I28" s="295"/>
      <c r="J28" s="295"/>
      <c r="K28" s="295"/>
      <c r="L28" s="301"/>
      <c r="M28" s="296"/>
      <c r="N28" s="296"/>
      <c r="O28" s="302">
        <f>IF(D28="E",(E28*L28)/(1-'CO Set Up'!$J$17),0)+IF(D28="S",(E28*L28)/(1-'CO Set Up'!$K$17),0)+IF(D28="SC",(E28*L28)/(1-'CO Set Up'!$L$17),0)</f>
        <v>0</v>
      </c>
      <c r="P28" s="370"/>
      <c r="Q28" s="32"/>
      <c r="R28" s="32"/>
      <c r="S28" s="32"/>
      <c r="T28" s="32"/>
      <c r="U28" s="32"/>
      <c r="V28" s="32"/>
    </row>
    <row r="29" spans="1:22" ht="13" hidden="1" customHeight="1" x14ac:dyDescent="0.2">
      <c r="A29" s="374"/>
      <c r="B29" s="298"/>
      <c r="C29" s="293"/>
      <c r="D29" s="294"/>
      <c r="E29" s="294"/>
      <c r="F29" s="299"/>
      <c r="G29" s="300"/>
      <c r="H29" s="295"/>
      <c r="I29" s="295"/>
      <c r="J29" s="295"/>
      <c r="K29" s="295"/>
      <c r="L29" s="301"/>
      <c r="M29" s="296"/>
      <c r="N29" s="296"/>
      <c r="O29" s="303">
        <f>IF(D29="E",(E29*L29)/(1-'CO Set Up'!$J$17),0)+IF(D29="S",(E29*L29)/(1-'CO Set Up'!$K$17),0)+IF(D29="SC",(E29*L29)/(1-'CO Set Up'!$L$17),0)</f>
        <v>0</v>
      </c>
      <c r="P29" s="370"/>
      <c r="Q29" s="32"/>
      <c r="R29" s="32"/>
      <c r="S29" s="32"/>
      <c r="T29" s="32"/>
      <c r="U29" s="32"/>
      <c r="V29" s="32"/>
    </row>
    <row r="30" spans="1:22" ht="13" customHeight="1" thickBot="1" x14ac:dyDescent="0.25">
      <c r="A30" s="375" t="s">
        <v>334</v>
      </c>
      <c r="B30" s="315"/>
      <c r="C30" s="307" t="s">
        <v>335</v>
      </c>
      <c r="D30" s="315"/>
      <c r="E30" s="315"/>
      <c r="F30" s="315"/>
      <c r="G30" s="315"/>
      <c r="H30" s="290"/>
      <c r="I30" s="290"/>
      <c r="J30" s="290"/>
      <c r="K30" s="290"/>
      <c r="L30" s="304" t="s">
        <v>336</v>
      </c>
      <c r="M30" s="304"/>
      <c r="N30" s="304"/>
      <c r="O30" s="316">
        <f>SUM(O28:O29)</f>
        <v>0</v>
      </c>
      <c r="P30" s="370"/>
      <c r="Q30" s="32"/>
      <c r="R30" s="32"/>
      <c r="S30" s="32"/>
      <c r="T30" s="32"/>
      <c r="U30" s="32"/>
      <c r="V30" s="32"/>
    </row>
    <row r="31" spans="1:22" ht="13" customHeight="1" x14ac:dyDescent="0.2">
      <c r="A31" s="376"/>
      <c r="B31" s="315"/>
      <c r="C31" s="315"/>
      <c r="D31" s="315"/>
      <c r="E31" s="315"/>
      <c r="F31" s="315"/>
      <c r="G31" s="315"/>
      <c r="H31" s="290"/>
      <c r="I31" s="290"/>
      <c r="J31" s="290"/>
      <c r="K31" s="290"/>
      <c r="L31" s="1351" t="s">
        <v>337</v>
      </c>
      <c r="M31" s="1351"/>
      <c r="N31" s="1351"/>
      <c r="O31" s="317">
        <f>IF('CO Set Up'!H25="yes",-(G25*'Admin Set Up'!$B$13),0)</f>
        <v>0</v>
      </c>
      <c r="P31" s="370"/>
      <c r="Q31" s="32"/>
      <c r="R31" s="32"/>
      <c r="S31" s="32"/>
      <c r="T31" s="32"/>
      <c r="U31" s="32"/>
      <c r="V31" s="32"/>
    </row>
    <row r="32" spans="1:22" ht="13" customHeight="1" x14ac:dyDescent="0.2">
      <c r="A32" s="377"/>
      <c r="B32" s="318"/>
      <c r="C32" s="318"/>
      <c r="D32" s="318"/>
      <c r="E32" s="318"/>
      <c r="F32" s="318"/>
      <c r="G32" s="318"/>
      <c r="H32" s="319"/>
      <c r="I32" s="319"/>
      <c r="J32" s="319"/>
      <c r="K32" s="319"/>
      <c r="L32" s="1351" t="s">
        <v>61</v>
      </c>
      <c r="M32" s="1351"/>
      <c r="N32" s="1351"/>
      <c r="O32" s="320">
        <f>IF('CO Set Up'!H26="yes",(O25+O30+O31)*'Admin Set Up'!B27,0)</f>
        <v>0</v>
      </c>
      <c r="P32" s="370"/>
      <c r="Q32" s="32"/>
      <c r="R32" s="32"/>
      <c r="S32" s="32"/>
      <c r="T32" s="32"/>
      <c r="U32" s="32"/>
      <c r="V32" s="32"/>
    </row>
    <row r="33" spans="1:22" ht="13" customHeight="1" thickBot="1" x14ac:dyDescent="0.25">
      <c r="A33" s="378" t="s">
        <v>338</v>
      </c>
      <c r="B33" s="379"/>
      <c r="C33" s="379"/>
      <c r="D33" s="379"/>
      <c r="E33" s="379"/>
      <c r="F33" s="379"/>
      <c r="G33" s="379"/>
      <c r="H33" s="379"/>
      <c r="I33" s="379"/>
      <c r="J33" s="379"/>
      <c r="K33" s="379"/>
      <c r="L33" s="379"/>
      <c r="M33" s="379"/>
      <c r="N33" s="379"/>
      <c r="O33" s="380">
        <f>+O25+O30+O31+O32</f>
        <v>0</v>
      </c>
      <c r="P33" s="381"/>
      <c r="Q33" s="32"/>
      <c r="R33" s="32"/>
      <c r="S33" s="32"/>
      <c r="T33" s="32"/>
      <c r="U33" s="32"/>
      <c r="V33" s="32"/>
    </row>
    <row r="34" spans="1:22" ht="17" thickTop="1" thickBot="1" x14ac:dyDescent="0.25"/>
    <row r="35" spans="1:22" ht="15" customHeight="1" thickTop="1" thickBot="1" x14ac:dyDescent="0.25">
      <c r="A35" s="364" t="s">
        <v>301</v>
      </c>
      <c r="B35" s="365"/>
      <c r="C35" s="366" t="s">
        <v>358</v>
      </c>
      <c r="D35" s="367"/>
      <c r="E35" s="367"/>
      <c r="F35" s="367"/>
      <c r="G35" s="367"/>
      <c r="H35" s="367"/>
      <c r="I35" s="367"/>
      <c r="J35" s="367"/>
      <c r="K35" s="367"/>
      <c r="L35" s="367"/>
      <c r="M35" s="367"/>
      <c r="N35" s="367"/>
      <c r="O35" s="367"/>
      <c r="P35" s="368"/>
      <c r="Q35" s="419"/>
      <c r="R35" s="419"/>
      <c r="S35" s="419"/>
      <c r="T35" s="419"/>
      <c r="U35" s="419"/>
      <c r="V35" s="419"/>
    </row>
    <row r="36" spans="1:22" ht="17" thickBot="1" x14ac:dyDescent="0.3">
      <c r="A36" s="434"/>
      <c r="B36" s="1345"/>
      <c r="C36" s="1346"/>
      <c r="D36" s="1346"/>
      <c r="E36" s="1346"/>
      <c r="F36" s="1346"/>
      <c r="G36" s="1347"/>
      <c r="H36" s="258"/>
      <c r="I36" s="258"/>
      <c r="J36" s="258"/>
      <c r="K36" s="258"/>
      <c r="L36" s="432"/>
      <c r="M36" s="432"/>
      <c r="N36" s="432"/>
      <c r="O36" s="432"/>
      <c r="P36" s="433"/>
      <c r="Q36" s="430"/>
      <c r="R36" s="92"/>
      <c r="S36" s="92"/>
      <c r="T36" s="92"/>
      <c r="U36" s="431"/>
      <c r="V36" s="92"/>
    </row>
    <row r="37" spans="1:22" ht="51" customHeight="1" thickBot="1" x14ac:dyDescent="0.25">
      <c r="A37" s="382" t="s">
        <v>209</v>
      </c>
      <c r="B37" s="383" t="s">
        <v>210</v>
      </c>
      <c r="C37" s="384" t="s">
        <v>169</v>
      </c>
      <c r="D37" s="383" t="s">
        <v>212</v>
      </c>
      <c r="E37" s="385" t="s">
        <v>327</v>
      </c>
      <c r="F37" s="305" t="s">
        <v>215</v>
      </c>
      <c r="G37" s="386" t="s">
        <v>217</v>
      </c>
      <c r="H37" s="387" t="s">
        <v>218</v>
      </c>
      <c r="I37" s="387" t="s">
        <v>219</v>
      </c>
      <c r="J37" s="387" t="s">
        <v>220</v>
      </c>
      <c r="K37" s="387" t="s">
        <v>221</v>
      </c>
      <c r="L37" s="387" t="s">
        <v>222</v>
      </c>
      <c r="M37" s="387" t="s">
        <v>223</v>
      </c>
      <c r="N37" s="387" t="s">
        <v>213</v>
      </c>
      <c r="O37" s="385" t="s">
        <v>31</v>
      </c>
      <c r="P37" s="369">
        <v>3</v>
      </c>
      <c r="Q37" s="436" t="s">
        <v>345</v>
      </c>
      <c r="R37" s="409" t="s">
        <v>349</v>
      </c>
      <c r="S37" s="409" t="s">
        <v>348</v>
      </c>
      <c r="T37" s="410" t="s">
        <v>346</v>
      </c>
      <c r="U37" s="411" t="s">
        <v>347</v>
      </c>
      <c r="V37" s="412" t="s">
        <v>350</v>
      </c>
    </row>
    <row r="38" spans="1:22" ht="13" customHeight="1" thickBot="1" x14ac:dyDescent="0.25">
      <c r="A38" s="388"/>
      <c r="B38" s="398"/>
      <c r="C38" s="288"/>
      <c r="D38" s="390"/>
      <c r="E38" s="391"/>
      <c r="F38" s="392"/>
      <c r="G38" s="393">
        <f>IF(B38=0,0,A38/B38)</f>
        <v>0</v>
      </c>
      <c r="H38" s="394">
        <f>+'CO Set Up'!$B$24</f>
        <v>54.653594771241835</v>
      </c>
      <c r="I38" s="394">
        <f>+'CO Set Up'!$C$24</f>
        <v>58.690196078431363</v>
      </c>
      <c r="J38" s="394">
        <f>+'CO Set Up'!$D$24</f>
        <v>61.381263616557739</v>
      </c>
      <c r="K38" s="394">
        <f>IF(F38=40,H38,0)+IF(F38=50,I38,0)+IF(F38=60,J38,0)</f>
        <v>0</v>
      </c>
      <c r="L38" s="393">
        <f>IF(D38=0,0,A38/D38)</f>
        <v>0</v>
      </c>
      <c r="M38" s="395">
        <f>+G38*K38</f>
        <v>0</v>
      </c>
      <c r="N38" s="395">
        <f>IF('CO Set Up'!$H$9="yes",(L38*E38)/(1-'CO Set Up'!$I$17)+(('Change Order'!L38*'Change Order'!E38)*'Admin Set Up'!$B$11),L38*E38/(1-'CO Set Up'!$I$17))</f>
        <v>0</v>
      </c>
      <c r="O38" s="396">
        <f>SUM(M38:N38)</f>
        <v>0</v>
      </c>
      <c r="P38" s="397"/>
      <c r="Q38" s="403" t="s">
        <v>2</v>
      </c>
      <c r="R38" s="437">
        <f>IF(Q38="no",O48,0)</f>
        <v>0</v>
      </c>
      <c r="S38" s="438">
        <f>IF(Q38="yes",O48,0)</f>
        <v>0</v>
      </c>
      <c r="T38" s="439">
        <f>IF(Q38="yes",G40*V38,0)</f>
        <v>0</v>
      </c>
      <c r="U38" s="440"/>
      <c r="V38" s="413">
        <v>1</v>
      </c>
    </row>
    <row r="39" spans="1:22" ht="13" hidden="1" customHeight="1" thickBot="1" x14ac:dyDescent="0.25">
      <c r="A39" s="399"/>
      <c r="B39" s="389"/>
      <c r="C39" s="402"/>
      <c r="D39" s="400"/>
      <c r="E39" s="401"/>
      <c r="F39" s="392"/>
      <c r="G39" s="393">
        <f>IF(B39=0,0,A39/B39)</f>
        <v>0</v>
      </c>
      <c r="H39" s="394">
        <f>+H38</f>
        <v>54.653594771241835</v>
      </c>
      <c r="I39" s="394">
        <f>+I38</f>
        <v>58.690196078431363</v>
      </c>
      <c r="J39" s="394">
        <f>+J38</f>
        <v>61.381263616557739</v>
      </c>
      <c r="K39" s="394">
        <f>IF(F39=40,H39,0)+IF(F39=50,I39,0)+IF(F39=60,J39,0)</f>
        <v>0</v>
      </c>
      <c r="L39" s="393">
        <f>IF(D39=0,0,A39/D39)</f>
        <v>0</v>
      </c>
      <c r="M39" s="395">
        <f>+G39*K39</f>
        <v>0</v>
      </c>
      <c r="N39" s="395">
        <f>IF('CO Set Up'!$H$9="yes",(L39*E39)/(1-'CO Set Up'!$I$17)+(('Change Order'!L39*'Change Order'!E39)*'Admin Set Up'!$B$11),L39*E39/(1-'CO Set Up'!$I$17))</f>
        <v>0</v>
      </c>
      <c r="O39" s="396">
        <f>SUM(M39:N39)</f>
        <v>0</v>
      </c>
      <c r="P39" s="370"/>
      <c r="Q39" s="153"/>
      <c r="R39" s="153"/>
      <c r="S39" s="153"/>
      <c r="T39" s="153"/>
      <c r="U39" s="153"/>
      <c r="V39" s="153"/>
    </row>
    <row r="40" spans="1:22" ht="13" customHeight="1" thickBot="1" x14ac:dyDescent="0.25">
      <c r="A40" s="371" t="s">
        <v>334</v>
      </c>
      <c r="B40" s="306"/>
      <c r="C40" s="307" t="s">
        <v>333</v>
      </c>
      <c r="D40" s="306"/>
      <c r="E40" s="306"/>
      <c r="F40" s="289"/>
      <c r="G40" s="308">
        <f>SUM(G38:G39)</f>
        <v>0</v>
      </c>
      <c r="H40" s="306"/>
      <c r="I40" s="306"/>
      <c r="J40" s="306"/>
      <c r="K40" s="306"/>
      <c r="L40" s="309">
        <f>SUM(L38:L39)</f>
        <v>0</v>
      </c>
      <c r="M40" s="310">
        <f>SUM(M38:M39)</f>
        <v>0</v>
      </c>
      <c r="N40" s="310">
        <f>SUM(N38:N39)</f>
        <v>0</v>
      </c>
      <c r="O40" s="311">
        <f>SUM(O38:O39)</f>
        <v>0</v>
      </c>
      <c r="P40" s="370"/>
      <c r="Q40" s="32"/>
      <c r="R40" s="32"/>
      <c r="S40" s="32"/>
      <c r="T40" s="32"/>
      <c r="U40" s="32"/>
      <c r="V40" s="32"/>
    </row>
    <row r="41" spans="1:22" ht="13" customHeight="1" x14ac:dyDescent="0.2">
      <c r="A41" s="372"/>
      <c r="B41" s="312"/>
      <c r="C41" s="313"/>
      <c r="D41" s="313"/>
      <c r="E41" s="313"/>
      <c r="F41" s="313"/>
      <c r="G41" s="313"/>
      <c r="H41" s="313"/>
      <c r="I41" s="313"/>
      <c r="J41" s="313"/>
      <c r="K41" s="313"/>
      <c r="L41" s="313"/>
      <c r="M41" s="313"/>
      <c r="N41" s="313"/>
      <c r="O41" s="313"/>
      <c r="P41" s="370"/>
      <c r="Q41" s="32"/>
      <c r="R41" s="32"/>
      <c r="S41" s="32"/>
      <c r="T41" s="32"/>
      <c r="U41" s="32"/>
      <c r="V41" s="32"/>
    </row>
    <row r="42" spans="1:22" ht="13" customHeight="1" x14ac:dyDescent="0.2">
      <c r="A42" s="1348" t="s">
        <v>59</v>
      </c>
      <c r="B42" s="1349"/>
      <c r="C42" s="322" t="s">
        <v>169</v>
      </c>
      <c r="D42" s="322" t="s">
        <v>328</v>
      </c>
      <c r="E42" s="322" t="s">
        <v>85</v>
      </c>
      <c r="F42" s="1350"/>
      <c r="G42" s="1350"/>
      <c r="H42" s="322"/>
      <c r="I42" s="322"/>
      <c r="J42" s="322"/>
      <c r="K42" s="322"/>
      <c r="L42" s="322" t="s">
        <v>225</v>
      </c>
      <c r="M42" s="322"/>
      <c r="N42" s="322"/>
      <c r="O42" s="322" t="s">
        <v>171</v>
      </c>
      <c r="P42" s="370"/>
      <c r="Q42" s="32"/>
      <c r="R42" s="32"/>
      <c r="S42" s="32"/>
      <c r="T42" s="32"/>
      <c r="U42" s="32"/>
      <c r="V42" s="32"/>
    </row>
    <row r="43" spans="1:22" ht="13" customHeight="1" x14ac:dyDescent="0.2">
      <c r="A43" s="373"/>
      <c r="B43" s="297"/>
      <c r="C43" s="293"/>
      <c r="D43" s="294"/>
      <c r="E43" s="294"/>
      <c r="F43" s="299"/>
      <c r="G43" s="300"/>
      <c r="H43" s="295"/>
      <c r="I43" s="295"/>
      <c r="J43" s="295"/>
      <c r="K43" s="295"/>
      <c r="L43" s="301"/>
      <c r="M43" s="296"/>
      <c r="N43" s="296"/>
      <c r="O43" s="302">
        <f>IF(D43="E",(E43*L43)/(1-'CO Set Up'!$J$17),0)+IF(D43="S",(E43*L43)/(1-'CO Set Up'!$K$17),0)+IF(D43="SC",(E43*L43)/(1-'CO Set Up'!$L$17),0)</f>
        <v>0</v>
      </c>
      <c r="P43" s="370"/>
      <c r="Q43" s="32"/>
      <c r="R43" s="32"/>
      <c r="S43" s="32"/>
      <c r="T43" s="32"/>
      <c r="U43" s="32"/>
      <c r="V43" s="32"/>
    </row>
    <row r="44" spans="1:22" ht="13" hidden="1" customHeight="1" x14ac:dyDescent="0.2">
      <c r="A44" s="374"/>
      <c r="B44" s="298"/>
      <c r="C44" s="293"/>
      <c r="D44" s="294"/>
      <c r="E44" s="294"/>
      <c r="F44" s="299"/>
      <c r="G44" s="300"/>
      <c r="H44" s="295"/>
      <c r="I44" s="295"/>
      <c r="J44" s="295"/>
      <c r="K44" s="295"/>
      <c r="L44" s="301"/>
      <c r="M44" s="296"/>
      <c r="N44" s="296"/>
      <c r="O44" s="303">
        <f>IF(D44="E",(E44*L44)/(1-'CO Set Up'!$J$17),0)+IF(D44="S",(E44*L44)/(1-'CO Set Up'!$K$17),0)+IF(D44="SC",(E44*L44)/(1-'CO Set Up'!$L$17),0)</f>
        <v>0</v>
      </c>
      <c r="P44" s="370"/>
      <c r="Q44" s="32"/>
      <c r="R44" s="32"/>
      <c r="S44" s="32"/>
      <c r="T44" s="32"/>
      <c r="U44" s="32"/>
      <c r="V44" s="32"/>
    </row>
    <row r="45" spans="1:22" ht="13" customHeight="1" thickBot="1" x14ac:dyDescent="0.25">
      <c r="A45" s="375" t="s">
        <v>334</v>
      </c>
      <c r="B45" s="315"/>
      <c r="C45" s="307" t="s">
        <v>335</v>
      </c>
      <c r="D45" s="315"/>
      <c r="E45" s="315"/>
      <c r="F45" s="315"/>
      <c r="G45" s="315"/>
      <c r="H45" s="290"/>
      <c r="I45" s="290"/>
      <c r="J45" s="290"/>
      <c r="K45" s="290"/>
      <c r="L45" s="304" t="s">
        <v>336</v>
      </c>
      <c r="M45" s="304"/>
      <c r="N45" s="304"/>
      <c r="O45" s="316">
        <f>SUM(O43:O44)</f>
        <v>0</v>
      </c>
      <c r="P45" s="370"/>
      <c r="Q45" s="32"/>
      <c r="R45" s="32"/>
      <c r="S45" s="32"/>
      <c r="T45" s="32"/>
      <c r="U45" s="32"/>
      <c r="V45" s="32"/>
    </row>
    <row r="46" spans="1:22" ht="13" customHeight="1" x14ac:dyDescent="0.2">
      <c r="A46" s="376"/>
      <c r="B46" s="315"/>
      <c r="C46" s="315"/>
      <c r="D46" s="315"/>
      <c r="E46" s="315"/>
      <c r="F46" s="315"/>
      <c r="G46" s="315"/>
      <c r="H46" s="290"/>
      <c r="I46" s="290"/>
      <c r="J46" s="290"/>
      <c r="K46" s="290"/>
      <c r="L46" s="1351" t="s">
        <v>337</v>
      </c>
      <c r="M46" s="1351"/>
      <c r="N46" s="1351"/>
      <c r="O46" s="317">
        <f>IF('CO Set Up'!H40="yes",-(G40*'Admin Set Up'!$B$13),0)</f>
        <v>0</v>
      </c>
      <c r="P46" s="370"/>
      <c r="Q46" s="32"/>
      <c r="R46" s="32"/>
      <c r="S46" s="32"/>
      <c r="T46" s="32"/>
      <c r="U46" s="32"/>
      <c r="V46" s="32"/>
    </row>
    <row r="47" spans="1:22" ht="13" customHeight="1" x14ac:dyDescent="0.2">
      <c r="A47" s="377"/>
      <c r="B47" s="318"/>
      <c r="C47" s="318"/>
      <c r="D47" s="318"/>
      <c r="E47" s="318"/>
      <c r="F47" s="318"/>
      <c r="G47" s="318"/>
      <c r="H47" s="319"/>
      <c r="I47" s="319"/>
      <c r="J47" s="319"/>
      <c r="K47" s="319"/>
      <c r="L47" s="1351" t="s">
        <v>61</v>
      </c>
      <c r="M47" s="1351"/>
      <c r="N47" s="1351"/>
      <c r="O47" s="320">
        <f>IF('CO Set Up'!H41="yes",(O40+O45+O46)*'Admin Set Up'!B42,0)</f>
        <v>0</v>
      </c>
      <c r="P47" s="370"/>
      <c r="Q47" s="32"/>
      <c r="R47" s="32"/>
      <c r="S47" s="32"/>
      <c r="T47" s="32"/>
      <c r="U47" s="32"/>
      <c r="V47" s="32"/>
    </row>
    <row r="48" spans="1:22" ht="16" thickBot="1" x14ac:dyDescent="0.25">
      <c r="A48" s="378" t="s">
        <v>338</v>
      </c>
      <c r="B48" s="379"/>
      <c r="C48" s="379"/>
      <c r="D48" s="379"/>
      <c r="E48" s="379"/>
      <c r="F48" s="379"/>
      <c r="G48" s="379"/>
      <c r="H48" s="379"/>
      <c r="I48" s="379"/>
      <c r="J48" s="379"/>
      <c r="K48" s="379"/>
      <c r="L48" s="379"/>
      <c r="M48" s="379"/>
      <c r="N48" s="379"/>
      <c r="O48" s="380">
        <f>+O40+O45+O46+O47</f>
        <v>0</v>
      </c>
      <c r="P48" s="381"/>
      <c r="Q48" s="32"/>
      <c r="R48" s="32"/>
      <c r="S48" s="32"/>
      <c r="T48" s="32"/>
      <c r="U48" s="32"/>
      <c r="V48" s="32"/>
    </row>
    <row r="49" spans="1:22" ht="17" thickTop="1" thickBot="1" x14ac:dyDescent="0.25"/>
    <row r="50" spans="1:22" ht="15" customHeight="1" thickTop="1" thickBot="1" x14ac:dyDescent="0.25">
      <c r="A50" s="364" t="s">
        <v>301</v>
      </c>
      <c r="B50" s="365"/>
      <c r="C50" s="366" t="s">
        <v>358</v>
      </c>
      <c r="D50" s="367"/>
      <c r="E50" s="367"/>
      <c r="F50" s="367"/>
      <c r="G50" s="367"/>
      <c r="H50" s="367"/>
      <c r="I50" s="367"/>
      <c r="J50" s="367"/>
      <c r="K50" s="367"/>
      <c r="L50" s="367"/>
      <c r="M50" s="367"/>
      <c r="N50" s="367"/>
      <c r="O50" s="367"/>
      <c r="P50" s="368"/>
      <c r="Q50" s="419"/>
      <c r="R50" s="419"/>
      <c r="S50" s="419"/>
      <c r="T50" s="419"/>
      <c r="U50" s="419"/>
      <c r="V50" s="419"/>
    </row>
    <row r="51" spans="1:22" ht="17" thickBot="1" x14ac:dyDescent="0.3">
      <c r="A51" s="434"/>
      <c r="B51" s="1345"/>
      <c r="C51" s="1346"/>
      <c r="D51" s="1346"/>
      <c r="E51" s="1346"/>
      <c r="F51" s="1346"/>
      <c r="G51" s="1347"/>
      <c r="H51" s="258"/>
      <c r="I51" s="258"/>
      <c r="J51" s="258"/>
      <c r="K51" s="258"/>
      <c r="L51" s="432"/>
      <c r="M51" s="432"/>
      <c r="N51" s="432"/>
      <c r="O51" s="432"/>
      <c r="P51" s="433"/>
      <c r="Q51" s="430"/>
      <c r="R51" s="92"/>
      <c r="S51" s="92"/>
      <c r="T51" s="92"/>
      <c r="U51" s="431"/>
      <c r="V51" s="92"/>
    </row>
    <row r="52" spans="1:22" ht="51" customHeight="1" thickBot="1" x14ac:dyDescent="0.25">
      <c r="A52" s="382" t="s">
        <v>209</v>
      </c>
      <c r="B52" s="383" t="s">
        <v>210</v>
      </c>
      <c r="C52" s="384" t="s">
        <v>169</v>
      </c>
      <c r="D52" s="383" t="s">
        <v>212</v>
      </c>
      <c r="E52" s="385" t="s">
        <v>327</v>
      </c>
      <c r="F52" s="305" t="s">
        <v>215</v>
      </c>
      <c r="G52" s="386" t="s">
        <v>217</v>
      </c>
      <c r="H52" s="387" t="s">
        <v>218</v>
      </c>
      <c r="I52" s="387" t="s">
        <v>219</v>
      </c>
      <c r="J52" s="387" t="s">
        <v>220</v>
      </c>
      <c r="K52" s="387" t="s">
        <v>221</v>
      </c>
      <c r="L52" s="387" t="s">
        <v>222</v>
      </c>
      <c r="M52" s="387" t="s">
        <v>223</v>
      </c>
      <c r="N52" s="387" t="s">
        <v>213</v>
      </c>
      <c r="O52" s="385" t="s">
        <v>31</v>
      </c>
      <c r="P52" s="369">
        <v>4</v>
      </c>
      <c r="Q52" s="436" t="s">
        <v>345</v>
      </c>
      <c r="R52" s="409" t="s">
        <v>349</v>
      </c>
      <c r="S52" s="409" t="s">
        <v>348</v>
      </c>
      <c r="T52" s="410" t="s">
        <v>346</v>
      </c>
      <c r="U52" s="411" t="s">
        <v>347</v>
      </c>
      <c r="V52" s="412" t="s">
        <v>350</v>
      </c>
    </row>
    <row r="53" spans="1:22" ht="13" customHeight="1" thickBot="1" x14ac:dyDescent="0.25">
      <c r="A53" s="388"/>
      <c r="B53" s="398"/>
      <c r="C53" s="288"/>
      <c r="D53" s="390"/>
      <c r="E53" s="391"/>
      <c r="F53" s="392"/>
      <c r="G53" s="393">
        <f>IF(B53=0,0,A53/B53)</f>
        <v>0</v>
      </c>
      <c r="H53" s="394">
        <f>+'CO Set Up'!$B$24</f>
        <v>54.653594771241835</v>
      </c>
      <c r="I53" s="394">
        <f>+'CO Set Up'!$C$24</f>
        <v>58.690196078431363</v>
      </c>
      <c r="J53" s="394">
        <f>+'CO Set Up'!$D$24</f>
        <v>61.381263616557739</v>
      </c>
      <c r="K53" s="394">
        <f>IF(F53=40,H53,0)+IF(F53=50,I53,0)+IF(F53=60,J53,0)</f>
        <v>0</v>
      </c>
      <c r="L53" s="393">
        <f>IF(D53=0,0,A53/D53)</f>
        <v>0</v>
      </c>
      <c r="M53" s="395">
        <f>+G53*K53</f>
        <v>0</v>
      </c>
      <c r="N53" s="395">
        <f>IF('CO Set Up'!$H$9="yes",(L53*E53)/(1-'CO Set Up'!$I$17)+(('Change Order'!L53*'Change Order'!E53)*'Admin Set Up'!$B$11),L53*E53/(1-'CO Set Up'!$I$17))</f>
        <v>0</v>
      </c>
      <c r="O53" s="396">
        <f>SUM(M53:N53)</f>
        <v>0</v>
      </c>
      <c r="P53" s="397"/>
      <c r="Q53" s="403" t="s">
        <v>2</v>
      </c>
      <c r="R53" s="437">
        <f>IF(Q53="no",O63,0)</f>
        <v>0</v>
      </c>
      <c r="S53" s="438">
        <f>IF(Q53="yes",O63,0)</f>
        <v>0</v>
      </c>
      <c r="T53" s="439">
        <f>IF(Q53="yes",G55*V53,0)</f>
        <v>0</v>
      </c>
      <c r="U53" s="440"/>
      <c r="V53" s="413">
        <v>1</v>
      </c>
    </row>
    <row r="54" spans="1:22" ht="13" hidden="1" customHeight="1" thickBot="1" x14ac:dyDescent="0.25">
      <c r="A54" s="399"/>
      <c r="B54" s="389"/>
      <c r="C54" s="402"/>
      <c r="D54" s="400"/>
      <c r="E54" s="401"/>
      <c r="F54" s="392"/>
      <c r="G54" s="393">
        <f>IF(B54=0,0,A54/B54)</f>
        <v>0</v>
      </c>
      <c r="H54" s="394">
        <f>+H53</f>
        <v>54.653594771241835</v>
      </c>
      <c r="I54" s="394">
        <f>+I53</f>
        <v>58.690196078431363</v>
      </c>
      <c r="J54" s="394">
        <f>+J53</f>
        <v>61.381263616557739</v>
      </c>
      <c r="K54" s="394">
        <f>IF(F54=40,H54,0)+IF(F54=50,I54,0)+IF(F54=60,J54,0)</f>
        <v>0</v>
      </c>
      <c r="L54" s="393">
        <f>IF(D54=0,0,A54/D54)</f>
        <v>0</v>
      </c>
      <c r="M54" s="395">
        <f>+G54*K54</f>
        <v>0</v>
      </c>
      <c r="N54" s="395">
        <f>IF('CO Set Up'!$H$9="yes",(L54*E54)/(1-'CO Set Up'!$I$17)+(('Change Order'!L54*'Change Order'!E54)*'Admin Set Up'!$B$11),L54*E54/(1-'CO Set Up'!$I$17))</f>
        <v>0</v>
      </c>
      <c r="O54" s="396">
        <f>SUM(M54:N54)</f>
        <v>0</v>
      </c>
      <c r="P54" s="370"/>
      <c r="Q54" s="153"/>
      <c r="R54" s="153"/>
      <c r="S54" s="153"/>
      <c r="T54" s="153"/>
      <c r="U54" s="153"/>
      <c r="V54" s="153"/>
    </row>
    <row r="55" spans="1:22" ht="13" customHeight="1" thickBot="1" x14ac:dyDescent="0.25">
      <c r="A55" s="371" t="s">
        <v>334</v>
      </c>
      <c r="B55" s="306"/>
      <c r="C55" s="307" t="s">
        <v>333</v>
      </c>
      <c r="D55" s="306"/>
      <c r="E55" s="306"/>
      <c r="F55" s="289"/>
      <c r="G55" s="308">
        <f>SUM(G53:G54)</f>
        <v>0</v>
      </c>
      <c r="H55" s="306"/>
      <c r="I55" s="306"/>
      <c r="J55" s="306"/>
      <c r="K55" s="306"/>
      <c r="L55" s="309">
        <f>SUM(L53:L54)</f>
        <v>0</v>
      </c>
      <c r="M55" s="310">
        <f>SUM(M53:M54)</f>
        <v>0</v>
      </c>
      <c r="N55" s="310">
        <f>SUM(N53:N54)</f>
        <v>0</v>
      </c>
      <c r="O55" s="311">
        <f>SUM(O53:O54)</f>
        <v>0</v>
      </c>
      <c r="P55" s="370"/>
      <c r="Q55" s="32"/>
      <c r="R55" s="32"/>
      <c r="S55" s="32"/>
      <c r="T55" s="32"/>
      <c r="U55" s="32"/>
      <c r="V55" s="32"/>
    </row>
    <row r="56" spans="1:22" ht="13" customHeight="1" x14ac:dyDescent="0.2">
      <c r="A56" s="372"/>
      <c r="B56" s="312"/>
      <c r="C56" s="313"/>
      <c r="D56" s="313"/>
      <c r="E56" s="313"/>
      <c r="F56" s="313"/>
      <c r="G56" s="313"/>
      <c r="H56" s="313"/>
      <c r="I56" s="313"/>
      <c r="J56" s="313"/>
      <c r="K56" s="313"/>
      <c r="L56" s="313"/>
      <c r="M56" s="313"/>
      <c r="N56" s="313"/>
      <c r="O56" s="313"/>
      <c r="P56" s="370"/>
      <c r="Q56" s="32"/>
      <c r="R56" s="32"/>
      <c r="S56" s="32"/>
      <c r="T56" s="32"/>
      <c r="U56" s="32"/>
      <c r="V56" s="32"/>
    </row>
    <row r="57" spans="1:22" ht="13" customHeight="1" x14ac:dyDescent="0.2">
      <c r="A57" s="1348" t="s">
        <v>59</v>
      </c>
      <c r="B57" s="1349"/>
      <c r="C57" s="322" t="s">
        <v>169</v>
      </c>
      <c r="D57" s="322" t="s">
        <v>328</v>
      </c>
      <c r="E57" s="322" t="s">
        <v>85</v>
      </c>
      <c r="F57" s="1350"/>
      <c r="G57" s="1350"/>
      <c r="H57" s="322"/>
      <c r="I57" s="322"/>
      <c r="J57" s="322"/>
      <c r="K57" s="322"/>
      <c r="L57" s="322" t="s">
        <v>225</v>
      </c>
      <c r="M57" s="322"/>
      <c r="N57" s="322"/>
      <c r="O57" s="322" t="s">
        <v>171</v>
      </c>
      <c r="P57" s="370"/>
      <c r="Q57" s="32"/>
      <c r="R57" s="32"/>
      <c r="S57" s="32"/>
      <c r="T57" s="32"/>
      <c r="U57" s="32"/>
      <c r="V57" s="32"/>
    </row>
    <row r="58" spans="1:22" ht="13" customHeight="1" x14ac:dyDescent="0.2">
      <c r="A58" s="373"/>
      <c r="B58" s="297"/>
      <c r="C58" s="293"/>
      <c r="D58" s="294"/>
      <c r="E58" s="294"/>
      <c r="F58" s="299"/>
      <c r="G58" s="300"/>
      <c r="H58" s="295"/>
      <c r="I58" s="295"/>
      <c r="J58" s="295"/>
      <c r="K58" s="295"/>
      <c r="L58" s="301"/>
      <c r="M58" s="296"/>
      <c r="N58" s="296"/>
      <c r="O58" s="302">
        <f>IF(D58="E",(E58*L58)/(1-'CO Set Up'!$J$17),0)+IF(D58="S",(E58*L58)/(1-'CO Set Up'!$K$17),0)+IF(D58="SC",(E58*L58)/(1-'CO Set Up'!$L$17),0)</f>
        <v>0</v>
      </c>
      <c r="P58" s="370"/>
      <c r="Q58" s="32"/>
      <c r="R58" s="32"/>
      <c r="S58" s="32"/>
      <c r="T58" s="32"/>
      <c r="U58" s="32"/>
      <c r="V58" s="32"/>
    </row>
    <row r="59" spans="1:22" ht="13" hidden="1" customHeight="1" x14ac:dyDescent="0.2">
      <c r="A59" s="374"/>
      <c r="B59" s="298"/>
      <c r="C59" s="293"/>
      <c r="D59" s="294"/>
      <c r="E59" s="294"/>
      <c r="F59" s="299"/>
      <c r="G59" s="300"/>
      <c r="H59" s="295"/>
      <c r="I59" s="295"/>
      <c r="J59" s="295"/>
      <c r="K59" s="295"/>
      <c r="L59" s="301"/>
      <c r="M59" s="296"/>
      <c r="N59" s="296"/>
      <c r="O59" s="303">
        <f>IF(D59="E",(E59*L59)/(1-'CO Set Up'!$J$17),0)+IF(D59="S",(E59*L59)/(1-'CO Set Up'!$K$17),0)+IF(D59="SC",(E59*L59)/(1-'CO Set Up'!$L$17),0)</f>
        <v>0</v>
      </c>
      <c r="P59" s="370"/>
      <c r="Q59" s="32"/>
      <c r="R59" s="32"/>
      <c r="S59" s="32"/>
      <c r="T59" s="32"/>
      <c r="U59" s="32"/>
      <c r="V59" s="32"/>
    </row>
    <row r="60" spans="1:22" ht="13" customHeight="1" thickBot="1" x14ac:dyDescent="0.25">
      <c r="A60" s="375" t="s">
        <v>334</v>
      </c>
      <c r="B60" s="315"/>
      <c r="C60" s="307" t="s">
        <v>335</v>
      </c>
      <c r="D60" s="315"/>
      <c r="E60" s="315"/>
      <c r="F60" s="315"/>
      <c r="G60" s="315"/>
      <c r="H60" s="290"/>
      <c r="I60" s="290"/>
      <c r="J60" s="290"/>
      <c r="K60" s="290"/>
      <c r="L60" s="304" t="s">
        <v>336</v>
      </c>
      <c r="M60" s="304"/>
      <c r="N60" s="304"/>
      <c r="O60" s="316">
        <f>SUM(O58:O59)</f>
        <v>0</v>
      </c>
      <c r="P60" s="370"/>
      <c r="Q60" s="32"/>
      <c r="R60" s="32"/>
      <c r="S60" s="32"/>
      <c r="T60" s="32"/>
      <c r="U60" s="32"/>
      <c r="V60" s="32"/>
    </row>
    <row r="61" spans="1:22" ht="13" customHeight="1" x14ac:dyDescent="0.2">
      <c r="A61" s="376"/>
      <c r="B61" s="315"/>
      <c r="C61" s="315"/>
      <c r="D61" s="315"/>
      <c r="E61" s="315"/>
      <c r="F61" s="315"/>
      <c r="G61" s="315"/>
      <c r="H61" s="290"/>
      <c r="I61" s="290"/>
      <c r="J61" s="290"/>
      <c r="K61" s="290"/>
      <c r="L61" s="1351" t="s">
        <v>337</v>
      </c>
      <c r="M61" s="1351"/>
      <c r="N61" s="1351"/>
      <c r="O61" s="317">
        <f>IF('CO Set Up'!H55="yes",-(G55*'Admin Set Up'!$B$13),0)</f>
        <v>0</v>
      </c>
      <c r="P61" s="370"/>
      <c r="Q61" s="32"/>
      <c r="R61" s="32"/>
      <c r="S61" s="32"/>
      <c r="T61" s="32"/>
      <c r="U61" s="32"/>
      <c r="V61" s="32"/>
    </row>
    <row r="62" spans="1:22" ht="13" customHeight="1" x14ac:dyDescent="0.2">
      <c r="A62" s="377"/>
      <c r="B62" s="318"/>
      <c r="C62" s="318"/>
      <c r="D62" s="318"/>
      <c r="E62" s="318"/>
      <c r="F62" s="318"/>
      <c r="G62" s="318"/>
      <c r="H62" s="319"/>
      <c r="I62" s="319"/>
      <c r="J62" s="319"/>
      <c r="K62" s="319"/>
      <c r="L62" s="1351" t="s">
        <v>61</v>
      </c>
      <c r="M62" s="1351"/>
      <c r="N62" s="1351"/>
      <c r="O62" s="320">
        <f>IF('CO Set Up'!H56="yes",(O55+O60+O61)*'Admin Set Up'!B57,0)</f>
        <v>0</v>
      </c>
      <c r="P62" s="370"/>
      <c r="Q62" s="32"/>
      <c r="R62" s="32"/>
      <c r="S62" s="32"/>
      <c r="T62" s="32"/>
      <c r="U62" s="32"/>
      <c r="V62" s="32"/>
    </row>
    <row r="63" spans="1:22" ht="16" thickBot="1" x14ac:dyDescent="0.25">
      <c r="A63" s="378" t="s">
        <v>338</v>
      </c>
      <c r="B63" s="379"/>
      <c r="C63" s="379"/>
      <c r="D63" s="379"/>
      <c r="E63" s="379"/>
      <c r="F63" s="379"/>
      <c r="G63" s="379"/>
      <c r="H63" s="379"/>
      <c r="I63" s="379"/>
      <c r="J63" s="379"/>
      <c r="K63" s="379"/>
      <c r="L63" s="379"/>
      <c r="M63" s="379"/>
      <c r="N63" s="379"/>
      <c r="O63" s="380">
        <f>+O55+O60+O61+O62</f>
        <v>0</v>
      </c>
      <c r="P63" s="381"/>
      <c r="Q63" s="32"/>
      <c r="R63" s="32"/>
      <c r="S63" s="32"/>
      <c r="T63" s="32"/>
      <c r="U63" s="32"/>
      <c r="V63" s="32"/>
    </row>
    <row r="64" spans="1:22" ht="17" thickTop="1" thickBot="1" x14ac:dyDescent="0.25"/>
    <row r="65" spans="1:22" ht="15" customHeight="1" thickTop="1" thickBot="1" x14ac:dyDescent="0.25">
      <c r="A65" s="364" t="s">
        <v>301</v>
      </c>
      <c r="B65" s="365"/>
      <c r="C65" s="366" t="s">
        <v>358</v>
      </c>
      <c r="D65" s="367"/>
      <c r="E65" s="367"/>
      <c r="F65" s="367"/>
      <c r="G65" s="367"/>
      <c r="H65" s="367"/>
      <c r="I65" s="367"/>
      <c r="J65" s="367"/>
      <c r="K65" s="367"/>
      <c r="L65" s="367"/>
      <c r="M65" s="367"/>
      <c r="N65" s="367"/>
      <c r="O65" s="367"/>
      <c r="P65" s="368"/>
      <c r="Q65" s="419"/>
      <c r="R65" s="419"/>
      <c r="S65" s="419"/>
      <c r="T65" s="419"/>
      <c r="U65" s="419"/>
      <c r="V65" s="419"/>
    </row>
    <row r="66" spans="1:22" ht="17" thickBot="1" x14ac:dyDescent="0.3">
      <c r="A66" s="434"/>
      <c r="B66" s="1345"/>
      <c r="C66" s="1346"/>
      <c r="D66" s="1346"/>
      <c r="E66" s="1346"/>
      <c r="F66" s="1346"/>
      <c r="G66" s="1347"/>
      <c r="H66" s="258"/>
      <c r="I66" s="258"/>
      <c r="J66" s="258"/>
      <c r="K66" s="258"/>
      <c r="L66" s="432"/>
      <c r="M66" s="432"/>
      <c r="N66" s="432"/>
      <c r="O66" s="432"/>
      <c r="P66" s="433"/>
      <c r="Q66" s="430"/>
      <c r="R66" s="92"/>
      <c r="S66" s="92"/>
      <c r="T66" s="92"/>
      <c r="U66" s="431"/>
      <c r="V66" s="92"/>
    </row>
    <row r="67" spans="1:22" ht="51" customHeight="1" thickBot="1" x14ac:dyDescent="0.25">
      <c r="A67" s="382" t="s">
        <v>209</v>
      </c>
      <c r="B67" s="383" t="s">
        <v>210</v>
      </c>
      <c r="C67" s="384" t="s">
        <v>169</v>
      </c>
      <c r="D67" s="383" t="s">
        <v>212</v>
      </c>
      <c r="E67" s="385" t="s">
        <v>327</v>
      </c>
      <c r="F67" s="305" t="s">
        <v>215</v>
      </c>
      <c r="G67" s="386" t="s">
        <v>217</v>
      </c>
      <c r="H67" s="387" t="s">
        <v>218</v>
      </c>
      <c r="I67" s="387" t="s">
        <v>219</v>
      </c>
      <c r="J67" s="387" t="s">
        <v>220</v>
      </c>
      <c r="K67" s="387" t="s">
        <v>221</v>
      </c>
      <c r="L67" s="387" t="s">
        <v>222</v>
      </c>
      <c r="M67" s="387" t="s">
        <v>223</v>
      </c>
      <c r="N67" s="387" t="s">
        <v>213</v>
      </c>
      <c r="O67" s="385" t="s">
        <v>31</v>
      </c>
      <c r="P67" s="369">
        <v>5</v>
      </c>
      <c r="Q67" s="436" t="s">
        <v>345</v>
      </c>
      <c r="R67" s="409" t="s">
        <v>349</v>
      </c>
      <c r="S67" s="409" t="s">
        <v>348</v>
      </c>
      <c r="T67" s="410" t="s">
        <v>346</v>
      </c>
      <c r="U67" s="411" t="s">
        <v>347</v>
      </c>
      <c r="V67" s="412" t="s">
        <v>350</v>
      </c>
    </row>
    <row r="68" spans="1:22" ht="13" customHeight="1" thickBot="1" x14ac:dyDescent="0.25">
      <c r="A68" s="388"/>
      <c r="B68" s="398"/>
      <c r="C68" s="288"/>
      <c r="D68" s="390"/>
      <c r="E68" s="391"/>
      <c r="F68" s="392"/>
      <c r="G68" s="393">
        <f>IF(B68=0,0,A68/B68)</f>
        <v>0</v>
      </c>
      <c r="H68" s="394">
        <f>+'CO Set Up'!$B$24</f>
        <v>54.653594771241835</v>
      </c>
      <c r="I68" s="394">
        <f>+'CO Set Up'!$C$24</f>
        <v>58.690196078431363</v>
      </c>
      <c r="J68" s="394">
        <f>+'CO Set Up'!$D$24</f>
        <v>61.381263616557739</v>
      </c>
      <c r="K68" s="394">
        <f>IF(F68=40,H68,0)+IF(F68=50,I68,0)+IF(F68=60,J68,0)</f>
        <v>0</v>
      </c>
      <c r="L68" s="393">
        <f>IF(D68=0,0,A68/D68)</f>
        <v>0</v>
      </c>
      <c r="M68" s="395">
        <f>+G68*K68</f>
        <v>0</v>
      </c>
      <c r="N68" s="395">
        <f>IF('CO Set Up'!$H$9="yes",(L68*E68)/(1-'CO Set Up'!$I$17)+(('Change Order'!L68*'Change Order'!E68)*'Admin Set Up'!$B$11),L68*E68/(1-'CO Set Up'!$I$17))</f>
        <v>0</v>
      </c>
      <c r="O68" s="396">
        <f>SUM(M68:N68)</f>
        <v>0</v>
      </c>
      <c r="P68" s="397"/>
      <c r="Q68" s="403" t="s">
        <v>2</v>
      </c>
      <c r="R68" s="437">
        <f>IF(Q68="no",O78,0)</f>
        <v>0</v>
      </c>
      <c r="S68" s="438">
        <f>IF(Q68="yes",O78,0)</f>
        <v>0</v>
      </c>
      <c r="T68" s="439">
        <f>IF(Q68="yes",G70*V68,0)</f>
        <v>0</v>
      </c>
      <c r="U68" s="440"/>
      <c r="V68" s="413">
        <v>1</v>
      </c>
    </row>
    <row r="69" spans="1:22" ht="13" hidden="1" customHeight="1" thickBot="1" x14ac:dyDescent="0.25">
      <c r="A69" s="399"/>
      <c r="B69" s="389"/>
      <c r="C69" s="402"/>
      <c r="D69" s="400"/>
      <c r="E69" s="401"/>
      <c r="F69" s="392"/>
      <c r="G69" s="393">
        <f>IF(B69=0,0,A69/B69)</f>
        <v>0</v>
      </c>
      <c r="H69" s="394">
        <f>+H68</f>
        <v>54.653594771241835</v>
      </c>
      <c r="I69" s="394">
        <f>+I68</f>
        <v>58.690196078431363</v>
      </c>
      <c r="J69" s="394">
        <f>+J68</f>
        <v>61.381263616557739</v>
      </c>
      <c r="K69" s="394">
        <f>IF(F69=40,H69,0)+IF(F69=50,I69,0)+IF(F69=60,J69,0)</f>
        <v>0</v>
      </c>
      <c r="L69" s="393">
        <f>IF(D69=0,0,A69/D69)</f>
        <v>0</v>
      </c>
      <c r="M69" s="395">
        <f>+G69*K69</f>
        <v>0</v>
      </c>
      <c r="N69" s="395">
        <f>IF('CO Set Up'!$H$9="yes",(L69*E69)/(1-'CO Set Up'!$I$17)+(('Change Order'!L69*'Change Order'!E69)*'Admin Set Up'!$B$11),L69*E69/(1-'CO Set Up'!$I$17))</f>
        <v>0</v>
      </c>
      <c r="O69" s="396">
        <f>SUM(M69:N69)</f>
        <v>0</v>
      </c>
      <c r="P69" s="370"/>
      <c r="Q69" s="153"/>
      <c r="R69" s="153"/>
      <c r="S69" s="153"/>
      <c r="T69" s="153"/>
      <c r="U69" s="153"/>
      <c r="V69" s="153"/>
    </row>
    <row r="70" spans="1:22" ht="13" customHeight="1" thickBot="1" x14ac:dyDescent="0.25">
      <c r="A70" s="371" t="s">
        <v>334</v>
      </c>
      <c r="B70" s="306"/>
      <c r="C70" s="307" t="s">
        <v>333</v>
      </c>
      <c r="D70" s="306"/>
      <c r="E70" s="306"/>
      <c r="F70" s="289"/>
      <c r="G70" s="308">
        <f>SUM(G68:G69)</f>
        <v>0</v>
      </c>
      <c r="H70" s="306"/>
      <c r="I70" s="306"/>
      <c r="J70" s="306"/>
      <c r="K70" s="306"/>
      <c r="L70" s="309">
        <f>SUM(L68:L69)</f>
        <v>0</v>
      </c>
      <c r="M70" s="310">
        <f>SUM(M68:M69)</f>
        <v>0</v>
      </c>
      <c r="N70" s="310">
        <f>SUM(N68:N69)</f>
        <v>0</v>
      </c>
      <c r="O70" s="311">
        <f>SUM(O68:O69)</f>
        <v>0</v>
      </c>
      <c r="P70" s="370"/>
      <c r="Q70" s="32"/>
      <c r="R70" s="32"/>
      <c r="S70" s="32"/>
      <c r="T70" s="32"/>
      <c r="U70" s="32"/>
      <c r="V70" s="32"/>
    </row>
    <row r="71" spans="1:22" ht="13" customHeight="1" x14ac:dyDescent="0.2">
      <c r="A71" s="372"/>
      <c r="B71" s="312"/>
      <c r="C71" s="313"/>
      <c r="D71" s="313"/>
      <c r="E71" s="313"/>
      <c r="F71" s="313"/>
      <c r="G71" s="313"/>
      <c r="H71" s="313"/>
      <c r="I71" s="313"/>
      <c r="J71" s="313"/>
      <c r="K71" s="313"/>
      <c r="L71" s="313"/>
      <c r="M71" s="313"/>
      <c r="N71" s="313"/>
      <c r="O71" s="313"/>
      <c r="P71" s="370"/>
      <c r="Q71" s="32"/>
      <c r="R71" s="32"/>
      <c r="S71" s="32"/>
      <c r="T71" s="32"/>
      <c r="U71" s="32"/>
      <c r="V71" s="32"/>
    </row>
    <row r="72" spans="1:22" ht="13" customHeight="1" x14ac:dyDescent="0.2">
      <c r="A72" s="1348" t="s">
        <v>59</v>
      </c>
      <c r="B72" s="1349"/>
      <c r="C72" s="322" t="s">
        <v>169</v>
      </c>
      <c r="D72" s="322" t="s">
        <v>328</v>
      </c>
      <c r="E72" s="322" t="s">
        <v>85</v>
      </c>
      <c r="F72" s="1350"/>
      <c r="G72" s="1350"/>
      <c r="H72" s="322"/>
      <c r="I72" s="322"/>
      <c r="J72" s="322"/>
      <c r="K72" s="322"/>
      <c r="L72" s="322" t="s">
        <v>225</v>
      </c>
      <c r="M72" s="322"/>
      <c r="N72" s="322"/>
      <c r="O72" s="322" t="s">
        <v>171</v>
      </c>
      <c r="P72" s="370"/>
      <c r="Q72" s="32"/>
      <c r="R72" s="32"/>
      <c r="S72" s="32"/>
      <c r="T72" s="32"/>
      <c r="U72" s="32"/>
      <c r="V72" s="32"/>
    </row>
    <row r="73" spans="1:22" ht="13" customHeight="1" x14ac:dyDescent="0.2">
      <c r="A73" s="373"/>
      <c r="B73" s="297"/>
      <c r="C73" s="293"/>
      <c r="D73" s="294"/>
      <c r="E73" s="294"/>
      <c r="F73" s="299"/>
      <c r="G73" s="300"/>
      <c r="H73" s="295"/>
      <c r="I73" s="295"/>
      <c r="J73" s="295"/>
      <c r="K73" s="295"/>
      <c r="L73" s="301"/>
      <c r="M73" s="296"/>
      <c r="N73" s="296"/>
      <c r="O73" s="302">
        <f>IF(D73="E",(E73*L73)/(1-'CO Set Up'!$J$17),0)+IF(D73="S",(E73*L73)/(1-'CO Set Up'!$K$17),0)+IF(D73="SC",(E73*L73)/(1-'CO Set Up'!$L$17),0)</f>
        <v>0</v>
      </c>
      <c r="P73" s="370"/>
      <c r="Q73" s="32"/>
      <c r="R73" s="32"/>
      <c r="S73" s="32"/>
      <c r="T73" s="32"/>
      <c r="U73" s="32"/>
      <c r="V73" s="32"/>
    </row>
    <row r="74" spans="1:22" ht="13" hidden="1" customHeight="1" x14ac:dyDescent="0.2">
      <c r="A74" s="374"/>
      <c r="B74" s="298"/>
      <c r="C74" s="293"/>
      <c r="D74" s="294"/>
      <c r="E74" s="294"/>
      <c r="F74" s="299"/>
      <c r="G74" s="300"/>
      <c r="H74" s="295"/>
      <c r="I74" s="295"/>
      <c r="J74" s="295"/>
      <c r="K74" s="295"/>
      <c r="L74" s="301"/>
      <c r="M74" s="296"/>
      <c r="N74" s="296"/>
      <c r="O74" s="303">
        <f>IF(D74="E",(E74*L74)/(1-'CO Set Up'!$J$17),0)+IF(D74="S",(E74*L74)/(1-'CO Set Up'!$K$17),0)+IF(D74="SC",(E74*L74)/(1-'CO Set Up'!$L$17),0)</f>
        <v>0</v>
      </c>
      <c r="P74" s="370"/>
      <c r="Q74" s="32"/>
      <c r="R74" s="32"/>
      <c r="S74" s="32"/>
      <c r="T74" s="32"/>
      <c r="U74" s="32"/>
      <c r="V74" s="32"/>
    </row>
    <row r="75" spans="1:22" ht="13" customHeight="1" thickBot="1" x14ac:dyDescent="0.25">
      <c r="A75" s="375" t="s">
        <v>334</v>
      </c>
      <c r="B75" s="315"/>
      <c r="C75" s="307" t="s">
        <v>335</v>
      </c>
      <c r="D75" s="315"/>
      <c r="E75" s="315"/>
      <c r="F75" s="315"/>
      <c r="G75" s="315"/>
      <c r="H75" s="290"/>
      <c r="I75" s="290"/>
      <c r="J75" s="290"/>
      <c r="K75" s="290"/>
      <c r="L75" s="304" t="s">
        <v>336</v>
      </c>
      <c r="M75" s="304"/>
      <c r="N75" s="304"/>
      <c r="O75" s="316">
        <f>SUM(O73:O74)</f>
        <v>0</v>
      </c>
      <c r="P75" s="370"/>
      <c r="Q75" s="32"/>
      <c r="R75" s="32"/>
      <c r="S75" s="32"/>
      <c r="T75" s="32"/>
      <c r="U75" s="32"/>
      <c r="V75" s="32"/>
    </row>
    <row r="76" spans="1:22" ht="13" customHeight="1" x14ac:dyDescent="0.2">
      <c r="A76" s="376"/>
      <c r="B76" s="315"/>
      <c r="C76" s="315"/>
      <c r="D76" s="315"/>
      <c r="E76" s="315"/>
      <c r="F76" s="315"/>
      <c r="G76" s="315"/>
      <c r="H76" s="290"/>
      <c r="I76" s="290"/>
      <c r="J76" s="290"/>
      <c r="K76" s="290"/>
      <c r="L76" s="1351" t="s">
        <v>337</v>
      </c>
      <c r="M76" s="1351"/>
      <c r="N76" s="1351"/>
      <c r="O76" s="317">
        <f>IF('CO Set Up'!H70="yes",-(G70*'Admin Set Up'!$B$13),0)</f>
        <v>0</v>
      </c>
      <c r="P76" s="370"/>
      <c r="Q76" s="32"/>
      <c r="R76" s="32"/>
      <c r="S76" s="32"/>
      <c r="T76" s="32"/>
      <c r="U76" s="32"/>
      <c r="V76" s="32"/>
    </row>
    <row r="77" spans="1:22" ht="13" customHeight="1" x14ac:dyDescent="0.2">
      <c r="A77" s="377"/>
      <c r="B77" s="318"/>
      <c r="C77" s="318"/>
      <c r="D77" s="318"/>
      <c r="E77" s="318"/>
      <c r="F77" s="318"/>
      <c r="G77" s="318"/>
      <c r="H77" s="319"/>
      <c r="I77" s="319"/>
      <c r="J77" s="319"/>
      <c r="K77" s="319"/>
      <c r="L77" s="1351" t="s">
        <v>61</v>
      </c>
      <c r="M77" s="1351"/>
      <c r="N77" s="1351"/>
      <c r="O77" s="320">
        <f>IF('CO Set Up'!H71="yes",(O70+O75+O76)*'Admin Set Up'!B72,0)</f>
        <v>0</v>
      </c>
      <c r="P77" s="370"/>
      <c r="Q77" s="32"/>
      <c r="R77" s="32"/>
      <c r="S77" s="32"/>
      <c r="T77" s="32"/>
      <c r="U77" s="32"/>
      <c r="V77" s="32"/>
    </row>
    <row r="78" spans="1:22" ht="16" thickBot="1" x14ac:dyDescent="0.25">
      <c r="A78" s="378" t="s">
        <v>338</v>
      </c>
      <c r="B78" s="379"/>
      <c r="C78" s="379"/>
      <c r="D78" s="379"/>
      <c r="E78" s="379"/>
      <c r="F78" s="379"/>
      <c r="G78" s="379"/>
      <c r="H78" s="379"/>
      <c r="I78" s="379"/>
      <c r="J78" s="379"/>
      <c r="K78" s="379"/>
      <c r="L78" s="379"/>
      <c r="M78" s="379"/>
      <c r="N78" s="379"/>
      <c r="O78" s="380">
        <f>+O70+O75+O76+O77</f>
        <v>0</v>
      </c>
      <c r="P78" s="381"/>
      <c r="Q78" s="32"/>
      <c r="R78" s="32"/>
      <c r="S78" s="32"/>
      <c r="T78" s="32"/>
      <c r="U78" s="32"/>
      <c r="V78" s="32"/>
    </row>
    <row r="79" spans="1:22" ht="17" thickTop="1" thickBot="1" x14ac:dyDescent="0.25"/>
    <row r="80" spans="1:22" ht="15" customHeight="1" thickTop="1" thickBot="1" x14ac:dyDescent="0.25">
      <c r="A80" s="364" t="s">
        <v>301</v>
      </c>
      <c r="B80" s="365"/>
      <c r="C80" s="366" t="s">
        <v>358</v>
      </c>
      <c r="D80" s="367"/>
      <c r="E80" s="367"/>
      <c r="F80" s="367"/>
      <c r="G80" s="367"/>
      <c r="H80" s="367"/>
      <c r="I80" s="367"/>
      <c r="J80" s="367"/>
      <c r="K80" s="367"/>
      <c r="L80" s="367"/>
      <c r="M80" s="367"/>
      <c r="N80" s="367"/>
      <c r="O80" s="367"/>
      <c r="P80" s="368"/>
      <c r="Q80" s="419"/>
      <c r="R80" s="419"/>
      <c r="S80" s="419"/>
      <c r="T80" s="419"/>
      <c r="U80" s="419"/>
      <c r="V80" s="419"/>
    </row>
    <row r="81" spans="1:22" ht="17" thickBot="1" x14ac:dyDescent="0.3">
      <c r="A81" s="434"/>
      <c r="B81" s="1345"/>
      <c r="C81" s="1346"/>
      <c r="D81" s="1346"/>
      <c r="E81" s="1346"/>
      <c r="F81" s="1346"/>
      <c r="G81" s="1347"/>
      <c r="H81" s="258"/>
      <c r="I81" s="258"/>
      <c r="J81" s="258"/>
      <c r="K81" s="258"/>
      <c r="L81" s="432"/>
      <c r="M81" s="432"/>
      <c r="N81" s="432"/>
      <c r="O81" s="432"/>
      <c r="P81" s="433"/>
      <c r="Q81" s="430"/>
      <c r="R81" s="92"/>
      <c r="S81" s="92"/>
      <c r="T81" s="92"/>
      <c r="U81" s="431"/>
      <c r="V81" s="92"/>
    </row>
    <row r="82" spans="1:22" ht="51" customHeight="1" thickBot="1" x14ac:dyDescent="0.25">
      <c r="A82" s="382" t="s">
        <v>209</v>
      </c>
      <c r="B82" s="383" t="s">
        <v>210</v>
      </c>
      <c r="C82" s="384" t="s">
        <v>169</v>
      </c>
      <c r="D82" s="383" t="s">
        <v>212</v>
      </c>
      <c r="E82" s="385" t="s">
        <v>327</v>
      </c>
      <c r="F82" s="305" t="s">
        <v>215</v>
      </c>
      <c r="G82" s="386" t="s">
        <v>217</v>
      </c>
      <c r="H82" s="387" t="s">
        <v>218</v>
      </c>
      <c r="I82" s="387" t="s">
        <v>219</v>
      </c>
      <c r="J82" s="387" t="s">
        <v>220</v>
      </c>
      <c r="K82" s="387" t="s">
        <v>221</v>
      </c>
      <c r="L82" s="387" t="s">
        <v>222</v>
      </c>
      <c r="M82" s="387" t="s">
        <v>223</v>
      </c>
      <c r="N82" s="387" t="s">
        <v>213</v>
      </c>
      <c r="O82" s="385" t="s">
        <v>31</v>
      </c>
      <c r="P82" s="369">
        <v>6</v>
      </c>
      <c r="Q82" s="436" t="s">
        <v>345</v>
      </c>
      <c r="R82" s="409" t="s">
        <v>349</v>
      </c>
      <c r="S82" s="409" t="s">
        <v>348</v>
      </c>
      <c r="T82" s="410" t="s">
        <v>346</v>
      </c>
      <c r="U82" s="411" t="s">
        <v>347</v>
      </c>
      <c r="V82" s="412" t="s">
        <v>350</v>
      </c>
    </row>
    <row r="83" spans="1:22" ht="13" customHeight="1" thickBot="1" x14ac:dyDescent="0.25">
      <c r="A83" s="388"/>
      <c r="B83" s="398"/>
      <c r="C83" s="288"/>
      <c r="D83" s="390"/>
      <c r="E83" s="391"/>
      <c r="F83" s="392"/>
      <c r="G83" s="393">
        <f>IF(B83=0,0,A83/B83)</f>
        <v>0</v>
      </c>
      <c r="H83" s="394">
        <f>+'CO Set Up'!$B$24</f>
        <v>54.653594771241835</v>
      </c>
      <c r="I83" s="394">
        <f>+'CO Set Up'!$C$24</f>
        <v>58.690196078431363</v>
      </c>
      <c r="J83" s="394">
        <f>+'CO Set Up'!$D$24</f>
        <v>61.381263616557739</v>
      </c>
      <c r="K83" s="394">
        <f>IF(F83=40,H83,0)+IF(F83=50,I83,0)+IF(F83=60,J83,0)</f>
        <v>0</v>
      </c>
      <c r="L83" s="393">
        <f>IF(D83=0,0,A83/D83)</f>
        <v>0</v>
      </c>
      <c r="M83" s="395">
        <f>+G83*K83</f>
        <v>0</v>
      </c>
      <c r="N83" s="395">
        <f>IF('CO Set Up'!$H$9="yes",(L83*E83)/(1-'CO Set Up'!$I$17)+(('Change Order'!L83*'Change Order'!E83)*'Admin Set Up'!$B$11),L83*E83/(1-'CO Set Up'!$I$17))</f>
        <v>0</v>
      </c>
      <c r="O83" s="396">
        <f>SUM(M83:N83)</f>
        <v>0</v>
      </c>
      <c r="P83" s="397"/>
      <c r="Q83" s="403" t="s">
        <v>2</v>
      </c>
      <c r="R83" s="437">
        <f>IF(Q83="no",O93,0)</f>
        <v>0</v>
      </c>
      <c r="S83" s="438">
        <f>IF(Q83="yes",O93,0)</f>
        <v>0</v>
      </c>
      <c r="T83" s="439">
        <f>IF(Q83="yes",G85*V83,0)</f>
        <v>0</v>
      </c>
      <c r="U83" s="440"/>
      <c r="V83" s="413">
        <v>1</v>
      </c>
    </row>
    <row r="84" spans="1:22" ht="13" hidden="1" customHeight="1" thickBot="1" x14ac:dyDescent="0.25">
      <c r="A84" s="399"/>
      <c r="B84" s="389"/>
      <c r="C84" s="402"/>
      <c r="D84" s="400"/>
      <c r="E84" s="401"/>
      <c r="F84" s="392"/>
      <c r="G84" s="393">
        <f>IF(B84=0,0,A84/B84)</f>
        <v>0</v>
      </c>
      <c r="H84" s="394">
        <f>+H83</f>
        <v>54.653594771241835</v>
      </c>
      <c r="I84" s="394">
        <f>+I83</f>
        <v>58.690196078431363</v>
      </c>
      <c r="J84" s="394">
        <f>+J83</f>
        <v>61.381263616557739</v>
      </c>
      <c r="K84" s="394">
        <f>IF(F84=40,H84,0)+IF(F84=50,I84,0)+IF(F84=60,J84,0)</f>
        <v>0</v>
      </c>
      <c r="L84" s="393">
        <f>IF(D84=0,0,A84/D84)</f>
        <v>0</v>
      </c>
      <c r="M84" s="395">
        <f>+G84*K84</f>
        <v>0</v>
      </c>
      <c r="N84" s="395">
        <f>IF('CO Set Up'!$H$9="yes",(L84*E84)/(1-'CO Set Up'!$I$17)+(('Change Order'!L84*'Change Order'!E84)*'Admin Set Up'!$B$11),L84*E84/(1-'CO Set Up'!$I$17))</f>
        <v>0</v>
      </c>
      <c r="O84" s="396">
        <f>SUM(M84:N84)</f>
        <v>0</v>
      </c>
      <c r="P84" s="370"/>
      <c r="Q84" s="153"/>
      <c r="R84" s="153"/>
      <c r="S84" s="153"/>
      <c r="T84" s="153"/>
      <c r="U84" s="153"/>
      <c r="V84" s="153"/>
    </row>
    <row r="85" spans="1:22" ht="13" customHeight="1" thickBot="1" x14ac:dyDescent="0.25">
      <c r="A85" s="371" t="s">
        <v>334</v>
      </c>
      <c r="B85" s="306"/>
      <c r="C85" s="307" t="s">
        <v>333</v>
      </c>
      <c r="D85" s="306"/>
      <c r="E85" s="306"/>
      <c r="F85" s="289"/>
      <c r="G85" s="308">
        <f>SUM(G83:G84)</f>
        <v>0</v>
      </c>
      <c r="H85" s="306"/>
      <c r="I85" s="306"/>
      <c r="J85" s="306"/>
      <c r="K85" s="306"/>
      <c r="L85" s="309">
        <f>SUM(L83:L84)</f>
        <v>0</v>
      </c>
      <c r="M85" s="310">
        <f>SUM(M83:M84)</f>
        <v>0</v>
      </c>
      <c r="N85" s="310">
        <f>SUM(N83:N84)</f>
        <v>0</v>
      </c>
      <c r="O85" s="311">
        <f>SUM(O83:O84)</f>
        <v>0</v>
      </c>
      <c r="P85" s="370"/>
      <c r="Q85" s="32"/>
      <c r="R85" s="32"/>
      <c r="S85" s="32"/>
      <c r="T85" s="32"/>
      <c r="U85" s="32"/>
      <c r="V85" s="32"/>
    </row>
    <row r="86" spans="1:22" ht="13" customHeight="1" x14ac:dyDescent="0.2">
      <c r="A86" s="372"/>
      <c r="B86" s="312"/>
      <c r="C86" s="313"/>
      <c r="D86" s="313"/>
      <c r="E86" s="313"/>
      <c r="F86" s="313"/>
      <c r="G86" s="313"/>
      <c r="H86" s="313"/>
      <c r="I86" s="313"/>
      <c r="J86" s="313"/>
      <c r="K86" s="313"/>
      <c r="L86" s="313"/>
      <c r="M86" s="313"/>
      <c r="N86" s="313"/>
      <c r="O86" s="313"/>
      <c r="P86" s="370"/>
      <c r="Q86" s="32"/>
      <c r="R86" s="32"/>
      <c r="S86" s="32"/>
      <c r="T86" s="32"/>
      <c r="U86" s="32"/>
      <c r="V86" s="32"/>
    </row>
    <row r="87" spans="1:22" ht="13" customHeight="1" x14ac:dyDescent="0.2">
      <c r="A87" s="1348" t="s">
        <v>59</v>
      </c>
      <c r="B87" s="1349"/>
      <c r="C87" s="322" t="s">
        <v>169</v>
      </c>
      <c r="D87" s="322" t="s">
        <v>328</v>
      </c>
      <c r="E87" s="322" t="s">
        <v>85</v>
      </c>
      <c r="F87" s="1350"/>
      <c r="G87" s="1350"/>
      <c r="H87" s="322"/>
      <c r="I87" s="322"/>
      <c r="J87" s="322"/>
      <c r="K87" s="322"/>
      <c r="L87" s="322" t="s">
        <v>225</v>
      </c>
      <c r="M87" s="322"/>
      <c r="N87" s="322"/>
      <c r="O87" s="322" t="s">
        <v>171</v>
      </c>
      <c r="P87" s="370"/>
      <c r="Q87" s="32"/>
      <c r="R87" s="32"/>
      <c r="S87" s="32"/>
      <c r="T87" s="32"/>
      <c r="U87" s="32"/>
      <c r="V87" s="32"/>
    </row>
    <row r="88" spans="1:22" ht="13" customHeight="1" x14ac:dyDescent="0.2">
      <c r="A88" s="373"/>
      <c r="B88" s="297"/>
      <c r="C88" s="293"/>
      <c r="D88" s="294"/>
      <c r="E88" s="294"/>
      <c r="F88" s="299"/>
      <c r="G88" s="300"/>
      <c r="H88" s="295"/>
      <c r="I88" s="295"/>
      <c r="J88" s="295"/>
      <c r="K88" s="295"/>
      <c r="L88" s="301"/>
      <c r="M88" s="296"/>
      <c r="N88" s="296"/>
      <c r="O88" s="302">
        <f>IF(D88="E",(E88*L88)/(1-'CO Set Up'!$J$17),0)+IF(D88="S",(E88*L88)/(1-'CO Set Up'!$K$17),0)+IF(D88="SC",(E88*L88)/(1-'CO Set Up'!$L$17),0)</f>
        <v>0</v>
      </c>
      <c r="P88" s="370"/>
      <c r="Q88" s="32"/>
      <c r="R88" s="32"/>
      <c r="S88" s="32"/>
      <c r="T88" s="32"/>
      <c r="U88" s="32"/>
      <c r="V88" s="32"/>
    </row>
    <row r="89" spans="1:22" ht="13" hidden="1" customHeight="1" x14ac:dyDescent="0.2">
      <c r="A89" s="374"/>
      <c r="B89" s="298"/>
      <c r="C89" s="293"/>
      <c r="D89" s="294"/>
      <c r="E89" s="294"/>
      <c r="F89" s="299"/>
      <c r="G89" s="300"/>
      <c r="H89" s="295"/>
      <c r="I89" s="295"/>
      <c r="J89" s="295"/>
      <c r="K89" s="295"/>
      <c r="L89" s="301"/>
      <c r="M89" s="296"/>
      <c r="N89" s="296"/>
      <c r="O89" s="303">
        <f>IF(D89="E",(E89*L89)/(1-'CO Set Up'!$J$17),0)+IF(D89="S",(E89*L89)/(1-'CO Set Up'!$K$17),0)+IF(D89="SC",(E89*L89)/(1-'CO Set Up'!$L$17),0)</f>
        <v>0</v>
      </c>
      <c r="P89" s="370"/>
      <c r="Q89" s="32"/>
      <c r="R89" s="32"/>
      <c r="S89" s="32"/>
      <c r="T89" s="32"/>
      <c r="U89" s="32"/>
      <c r="V89" s="32"/>
    </row>
    <row r="90" spans="1:22" ht="13" customHeight="1" thickBot="1" x14ac:dyDescent="0.25">
      <c r="A90" s="375" t="s">
        <v>334</v>
      </c>
      <c r="B90" s="315"/>
      <c r="C90" s="307" t="s">
        <v>335</v>
      </c>
      <c r="D90" s="315"/>
      <c r="E90" s="315"/>
      <c r="F90" s="315"/>
      <c r="G90" s="315"/>
      <c r="H90" s="290"/>
      <c r="I90" s="290"/>
      <c r="J90" s="290"/>
      <c r="K90" s="290"/>
      <c r="L90" s="304" t="s">
        <v>336</v>
      </c>
      <c r="M90" s="304"/>
      <c r="N90" s="304"/>
      <c r="O90" s="316">
        <f>SUM(O88:O89)</f>
        <v>0</v>
      </c>
      <c r="P90" s="370"/>
      <c r="Q90" s="32"/>
      <c r="R90" s="32"/>
      <c r="S90" s="32"/>
      <c r="T90" s="32"/>
      <c r="U90" s="32"/>
      <c r="V90" s="32"/>
    </row>
    <row r="91" spans="1:22" ht="13" customHeight="1" x14ac:dyDescent="0.2">
      <c r="A91" s="376"/>
      <c r="B91" s="315"/>
      <c r="C91" s="315"/>
      <c r="D91" s="315"/>
      <c r="E91" s="315"/>
      <c r="F91" s="315"/>
      <c r="G91" s="315"/>
      <c r="H91" s="290"/>
      <c r="I91" s="290"/>
      <c r="J91" s="290"/>
      <c r="K91" s="290"/>
      <c r="L91" s="1351" t="s">
        <v>337</v>
      </c>
      <c r="M91" s="1351"/>
      <c r="N91" s="1351"/>
      <c r="O91" s="317">
        <f>IF('CO Set Up'!H85="yes",-(G85*'Admin Set Up'!$B$13),0)</f>
        <v>0</v>
      </c>
      <c r="P91" s="370"/>
      <c r="Q91" s="32"/>
      <c r="R91" s="32"/>
      <c r="S91" s="32"/>
      <c r="T91" s="32"/>
      <c r="U91" s="32"/>
      <c r="V91" s="32"/>
    </row>
    <row r="92" spans="1:22" ht="13" customHeight="1" x14ac:dyDescent="0.2">
      <c r="A92" s="377"/>
      <c r="B92" s="318"/>
      <c r="C92" s="318"/>
      <c r="D92" s="318"/>
      <c r="E92" s="318"/>
      <c r="F92" s="318"/>
      <c r="G92" s="318"/>
      <c r="H92" s="319"/>
      <c r="I92" s="319"/>
      <c r="J92" s="319"/>
      <c r="K92" s="319"/>
      <c r="L92" s="1351" t="s">
        <v>61</v>
      </c>
      <c r="M92" s="1351"/>
      <c r="N92" s="1351"/>
      <c r="O92" s="320">
        <f>IF('CO Set Up'!H86="yes",(O85+O90+O91)*'Admin Set Up'!B87,0)</f>
        <v>0</v>
      </c>
      <c r="P92" s="370"/>
      <c r="Q92" s="32"/>
      <c r="R92" s="32"/>
      <c r="S92" s="32"/>
      <c r="T92" s="32"/>
      <c r="U92" s="32"/>
      <c r="V92" s="32"/>
    </row>
    <row r="93" spans="1:22" ht="16" thickBot="1" x14ac:dyDescent="0.25">
      <c r="A93" s="378" t="s">
        <v>338</v>
      </c>
      <c r="B93" s="379"/>
      <c r="C93" s="379"/>
      <c r="D93" s="379"/>
      <c r="E93" s="379"/>
      <c r="F93" s="379"/>
      <c r="G93" s="379"/>
      <c r="H93" s="379"/>
      <c r="I93" s="379"/>
      <c r="J93" s="379"/>
      <c r="K93" s="379"/>
      <c r="L93" s="379"/>
      <c r="M93" s="379"/>
      <c r="N93" s="379"/>
      <c r="O93" s="380">
        <f>+O85+O90+O91+O92</f>
        <v>0</v>
      </c>
      <c r="P93" s="381"/>
      <c r="Q93" s="32"/>
      <c r="R93" s="32"/>
      <c r="S93" s="32"/>
      <c r="T93" s="32"/>
      <c r="U93" s="32"/>
      <c r="V93" s="32"/>
    </row>
    <row r="94" spans="1:22" ht="17" thickTop="1" thickBot="1" x14ac:dyDescent="0.25"/>
    <row r="95" spans="1:22" ht="15" customHeight="1" thickTop="1" thickBot="1" x14ac:dyDescent="0.25">
      <c r="A95" s="364" t="s">
        <v>301</v>
      </c>
      <c r="B95" s="365"/>
      <c r="C95" s="366" t="s">
        <v>358</v>
      </c>
      <c r="D95" s="367"/>
      <c r="E95" s="367"/>
      <c r="F95" s="367"/>
      <c r="G95" s="367"/>
      <c r="H95" s="367"/>
      <c r="I95" s="367"/>
      <c r="J95" s="367"/>
      <c r="K95" s="367"/>
      <c r="L95" s="367"/>
      <c r="M95" s="367"/>
      <c r="N95" s="367"/>
      <c r="O95" s="367"/>
      <c r="P95" s="368"/>
      <c r="Q95" s="419"/>
      <c r="R95" s="419"/>
      <c r="S95" s="419"/>
      <c r="T95" s="419"/>
      <c r="U95" s="419"/>
      <c r="V95" s="419"/>
    </row>
    <row r="96" spans="1:22" ht="17" thickBot="1" x14ac:dyDescent="0.3">
      <c r="A96" s="434"/>
      <c r="B96" s="1345"/>
      <c r="C96" s="1346"/>
      <c r="D96" s="1346"/>
      <c r="E96" s="1346"/>
      <c r="F96" s="1346"/>
      <c r="G96" s="1347"/>
      <c r="H96" s="258"/>
      <c r="I96" s="258"/>
      <c r="J96" s="258"/>
      <c r="K96" s="258"/>
      <c r="L96" s="432"/>
      <c r="M96" s="432"/>
      <c r="N96" s="432"/>
      <c r="O96" s="432"/>
      <c r="P96" s="433"/>
      <c r="Q96" s="430"/>
      <c r="R96" s="92"/>
      <c r="S96" s="92"/>
      <c r="T96" s="92"/>
      <c r="U96" s="431"/>
      <c r="V96" s="92"/>
    </row>
    <row r="97" spans="1:22" ht="51" customHeight="1" thickBot="1" x14ac:dyDescent="0.25">
      <c r="A97" s="382" t="s">
        <v>209</v>
      </c>
      <c r="B97" s="383" t="s">
        <v>210</v>
      </c>
      <c r="C97" s="384" t="s">
        <v>169</v>
      </c>
      <c r="D97" s="383" t="s">
        <v>212</v>
      </c>
      <c r="E97" s="385" t="s">
        <v>327</v>
      </c>
      <c r="F97" s="305" t="s">
        <v>215</v>
      </c>
      <c r="G97" s="386" t="s">
        <v>217</v>
      </c>
      <c r="H97" s="387" t="s">
        <v>218</v>
      </c>
      <c r="I97" s="387" t="s">
        <v>219</v>
      </c>
      <c r="J97" s="387" t="s">
        <v>220</v>
      </c>
      <c r="K97" s="387" t="s">
        <v>221</v>
      </c>
      <c r="L97" s="387" t="s">
        <v>222</v>
      </c>
      <c r="M97" s="387" t="s">
        <v>223</v>
      </c>
      <c r="N97" s="387" t="s">
        <v>213</v>
      </c>
      <c r="O97" s="385" t="s">
        <v>31</v>
      </c>
      <c r="P97" s="369">
        <v>7</v>
      </c>
      <c r="Q97" s="436" t="s">
        <v>345</v>
      </c>
      <c r="R97" s="409" t="s">
        <v>349</v>
      </c>
      <c r="S97" s="409" t="s">
        <v>348</v>
      </c>
      <c r="T97" s="410" t="s">
        <v>346</v>
      </c>
      <c r="U97" s="411" t="s">
        <v>347</v>
      </c>
      <c r="V97" s="412" t="s">
        <v>350</v>
      </c>
    </row>
    <row r="98" spans="1:22" ht="13" customHeight="1" thickBot="1" x14ac:dyDescent="0.25">
      <c r="A98" s="388"/>
      <c r="B98" s="398"/>
      <c r="C98" s="288"/>
      <c r="D98" s="390"/>
      <c r="E98" s="391"/>
      <c r="F98" s="392"/>
      <c r="G98" s="393">
        <f>IF(B98=0,0,A98/B98)</f>
        <v>0</v>
      </c>
      <c r="H98" s="394">
        <f>+'CO Set Up'!$B$24</f>
        <v>54.653594771241835</v>
      </c>
      <c r="I98" s="394">
        <f>+'CO Set Up'!$C$24</f>
        <v>58.690196078431363</v>
      </c>
      <c r="J98" s="394">
        <f>+'CO Set Up'!$D$24</f>
        <v>61.381263616557739</v>
      </c>
      <c r="K98" s="394">
        <f>IF(F98=40,H98,0)+IF(F98=50,I98,0)+IF(F98=60,J98,0)</f>
        <v>0</v>
      </c>
      <c r="L98" s="393">
        <f>IF(D98=0,0,A98/D98)</f>
        <v>0</v>
      </c>
      <c r="M98" s="395">
        <f>+G98*K98</f>
        <v>0</v>
      </c>
      <c r="N98" s="395">
        <f>IF('CO Set Up'!$H$9="yes",(L98*E98)/(1-'CO Set Up'!$I$17)+(('Change Order'!L98*'Change Order'!E98)*'Admin Set Up'!$B$11),L98*E98/(1-'CO Set Up'!$I$17))</f>
        <v>0</v>
      </c>
      <c r="O98" s="396">
        <f>SUM(M98:N98)</f>
        <v>0</v>
      </c>
      <c r="P98" s="397"/>
      <c r="Q98" s="403" t="s">
        <v>2</v>
      </c>
      <c r="R98" s="437">
        <f>IF(Q98="no",O108,0)</f>
        <v>0</v>
      </c>
      <c r="S98" s="438">
        <f>IF(Q98="yes",O108,0)</f>
        <v>0</v>
      </c>
      <c r="T98" s="439">
        <f>IF(Q98="yes",G100*V98,0)</f>
        <v>0</v>
      </c>
      <c r="U98" s="440"/>
      <c r="V98" s="413">
        <v>1</v>
      </c>
    </row>
    <row r="99" spans="1:22" ht="13" hidden="1" customHeight="1" thickBot="1" x14ac:dyDescent="0.25">
      <c r="A99" s="399"/>
      <c r="B99" s="389"/>
      <c r="C99" s="402"/>
      <c r="D99" s="400"/>
      <c r="E99" s="401"/>
      <c r="F99" s="392"/>
      <c r="G99" s="393">
        <f>IF(B99=0,0,A99/B99)</f>
        <v>0</v>
      </c>
      <c r="H99" s="394">
        <f>+H98</f>
        <v>54.653594771241835</v>
      </c>
      <c r="I99" s="394">
        <f>+I98</f>
        <v>58.690196078431363</v>
      </c>
      <c r="J99" s="394">
        <f>+J98</f>
        <v>61.381263616557739</v>
      </c>
      <c r="K99" s="394">
        <f>IF(F99=40,H99,0)+IF(F99=50,I99,0)+IF(F99=60,J99,0)</f>
        <v>0</v>
      </c>
      <c r="L99" s="393">
        <f>IF(D99=0,0,A99/D99)</f>
        <v>0</v>
      </c>
      <c r="M99" s="395">
        <f>+G99*K99</f>
        <v>0</v>
      </c>
      <c r="N99" s="395">
        <f>IF('CO Set Up'!$H$9="yes",(L99*E99)/(1-'CO Set Up'!$I$17)+(('Change Order'!L99*'Change Order'!E99)*'Admin Set Up'!$B$11),L99*E99/(1-'CO Set Up'!$I$17))</f>
        <v>0</v>
      </c>
      <c r="O99" s="396">
        <f>SUM(M99:N99)</f>
        <v>0</v>
      </c>
      <c r="P99" s="370"/>
      <c r="Q99" s="153"/>
      <c r="R99" s="153"/>
      <c r="S99" s="153"/>
      <c r="T99" s="153"/>
      <c r="U99" s="153"/>
      <c r="V99" s="153"/>
    </row>
    <row r="100" spans="1:22" ht="13" customHeight="1" thickBot="1" x14ac:dyDescent="0.25">
      <c r="A100" s="371" t="s">
        <v>334</v>
      </c>
      <c r="B100" s="306"/>
      <c r="C100" s="307" t="s">
        <v>333</v>
      </c>
      <c r="D100" s="306"/>
      <c r="E100" s="306"/>
      <c r="F100" s="289"/>
      <c r="G100" s="308">
        <f>SUM(G98:G99)</f>
        <v>0</v>
      </c>
      <c r="H100" s="306"/>
      <c r="I100" s="306"/>
      <c r="J100" s="306"/>
      <c r="K100" s="306"/>
      <c r="L100" s="309">
        <f>SUM(L98:L99)</f>
        <v>0</v>
      </c>
      <c r="M100" s="310">
        <f>SUM(M98:M99)</f>
        <v>0</v>
      </c>
      <c r="N100" s="310">
        <f>SUM(N98:N99)</f>
        <v>0</v>
      </c>
      <c r="O100" s="311">
        <f>SUM(O98:O99)</f>
        <v>0</v>
      </c>
      <c r="P100" s="370"/>
      <c r="Q100" s="32"/>
      <c r="R100" s="32"/>
      <c r="S100" s="32"/>
      <c r="T100" s="32"/>
      <c r="U100" s="32"/>
      <c r="V100" s="32"/>
    </row>
    <row r="101" spans="1:22" ht="13" customHeight="1" x14ac:dyDescent="0.2">
      <c r="A101" s="372"/>
      <c r="B101" s="312"/>
      <c r="C101" s="313"/>
      <c r="D101" s="313"/>
      <c r="E101" s="313"/>
      <c r="F101" s="313"/>
      <c r="G101" s="313"/>
      <c r="H101" s="313"/>
      <c r="I101" s="313"/>
      <c r="J101" s="313"/>
      <c r="K101" s="313"/>
      <c r="L101" s="313"/>
      <c r="M101" s="313"/>
      <c r="N101" s="313"/>
      <c r="O101" s="313"/>
      <c r="P101" s="370"/>
      <c r="Q101" s="32"/>
      <c r="R101" s="32"/>
      <c r="S101" s="32"/>
      <c r="T101" s="32"/>
      <c r="U101" s="32"/>
      <c r="V101" s="32"/>
    </row>
    <row r="102" spans="1:22" ht="13" customHeight="1" x14ac:dyDescent="0.2">
      <c r="A102" s="1348" t="s">
        <v>59</v>
      </c>
      <c r="B102" s="1349"/>
      <c r="C102" s="322" t="s">
        <v>169</v>
      </c>
      <c r="D102" s="322" t="s">
        <v>328</v>
      </c>
      <c r="E102" s="322" t="s">
        <v>85</v>
      </c>
      <c r="F102" s="1350"/>
      <c r="G102" s="1350"/>
      <c r="H102" s="322"/>
      <c r="I102" s="322"/>
      <c r="J102" s="322"/>
      <c r="K102" s="322"/>
      <c r="L102" s="322" t="s">
        <v>225</v>
      </c>
      <c r="M102" s="322"/>
      <c r="N102" s="322"/>
      <c r="O102" s="322" t="s">
        <v>171</v>
      </c>
      <c r="P102" s="370"/>
      <c r="Q102" s="32"/>
      <c r="R102" s="32"/>
      <c r="S102" s="32"/>
      <c r="T102" s="32"/>
      <c r="U102" s="32"/>
      <c r="V102" s="32"/>
    </row>
    <row r="103" spans="1:22" ht="13" customHeight="1" x14ac:dyDescent="0.2">
      <c r="A103" s="373"/>
      <c r="B103" s="297"/>
      <c r="C103" s="293"/>
      <c r="D103" s="294"/>
      <c r="E103" s="294"/>
      <c r="F103" s="299"/>
      <c r="G103" s="300"/>
      <c r="H103" s="295"/>
      <c r="I103" s="295"/>
      <c r="J103" s="295"/>
      <c r="K103" s="295"/>
      <c r="L103" s="301"/>
      <c r="M103" s="296"/>
      <c r="N103" s="296"/>
      <c r="O103" s="302">
        <f>IF(D103="E",(E103*L103)/(1-'CO Set Up'!$J$17),0)+IF(D103="S",(E103*L103)/(1-'CO Set Up'!$K$17),0)+IF(D103="SC",(E103*L103)/(1-'CO Set Up'!$L$17),0)</f>
        <v>0</v>
      </c>
      <c r="P103" s="370"/>
      <c r="Q103" s="32"/>
      <c r="R103" s="32"/>
      <c r="S103" s="32"/>
      <c r="T103" s="32"/>
      <c r="U103" s="32"/>
      <c r="V103" s="32"/>
    </row>
    <row r="104" spans="1:22" ht="13" hidden="1" customHeight="1" x14ac:dyDescent="0.2">
      <c r="A104" s="374"/>
      <c r="B104" s="298"/>
      <c r="C104" s="293"/>
      <c r="D104" s="294"/>
      <c r="E104" s="294"/>
      <c r="F104" s="299"/>
      <c r="G104" s="300"/>
      <c r="H104" s="295"/>
      <c r="I104" s="295"/>
      <c r="J104" s="295"/>
      <c r="K104" s="295"/>
      <c r="L104" s="301"/>
      <c r="M104" s="296"/>
      <c r="N104" s="296"/>
      <c r="O104" s="303">
        <f>IF(D104="E",(E104*L104)/(1-'CO Set Up'!$J$17),0)+IF(D104="S",(E104*L104)/(1-'CO Set Up'!$K$17),0)+IF(D104="SC",(E104*L104)/(1-'CO Set Up'!$L$17),0)</f>
        <v>0</v>
      </c>
      <c r="P104" s="370"/>
      <c r="Q104" s="32"/>
      <c r="R104" s="32"/>
      <c r="S104" s="32"/>
      <c r="T104" s="32"/>
      <c r="U104" s="32"/>
      <c r="V104" s="32"/>
    </row>
    <row r="105" spans="1:22" ht="13" customHeight="1" thickBot="1" x14ac:dyDescent="0.25">
      <c r="A105" s="375" t="s">
        <v>334</v>
      </c>
      <c r="B105" s="315"/>
      <c r="C105" s="307" t="s">
        <v>335</v>
      </c>
      <c r="D105" s="315"/>
      <c r="E105" s="315"/>
      <c r="F105" s="315"/>
      <c r="G105" s="315"/>
      <c r="H105" s="290"/>
      <c r="I105" s="290"/>
      <c r="J105" s="290"/>
      <c r="K105" s="290"/>
      <c r="L105" s="304" t="s">
        <v>336</v>
      </c>
      <c r="M105" s="304"/>
      <c r="N105" s="304"/>
      <c r="O105" s="316">
        <f>SUM(O103:O104)</f>
        <v>0</v>
      </c>
      <c r="P105" s="370"/>
      <c r="Q105" s="32"/>
      <c r="R105" s="32"/>
      <c r="S105" s="32"/>
      <c r="T105" s="32"/>
      <c r="U105" s="32"/>
      <c r="V105" s="32"/>
    </row>
    <row r="106" spans="1:22" ht="13" customHeight="1" x14ac:dyDescent="0.2">
      <c r="A106" s="376"/>
      <c r="B106" s="315"/>
      <c r="C106" s="315"/>
      <c r="D106" s="315"/>
      <c r="E106" s="315"/>
      <c r="F106" s="315"/>
      <c r="G106" s="315"/>
      <c r="H106" s="290"/>
      <c r="I106" s="290"/>
      <c r="J106" s="290"/>
      <c r="K106" s="290"/>
      <c r="L106" s="1351" t="s">
        <v>337</v>
      </c>
      <c r="M106" s="1351"/>
      <c r="N106" s="1351"/>
      <c r="O106" s="317">
        <f>IF('CO Set Up'!H100="yes",-(G100*'Admin Set Up'!$B$13),0)</f>
        <v>0</v>
      </c>
      <c r="P106" s="370"/>
      <c r="Q106" s="32"/>
      <c r="R106" s="32"/>
      <c r="S106" s="32"/>
      <c r="T106" s="32"/>
      <c r="U106" s="32"/>
      <c r="V106" s="32"/>
    </row>
    <row r="107" spans="1:22" ht="13" customHeight="1" x14ac:dyDescent="0.2">
      <c r="A107" s="377"/>
      <c r="B107" s="318"/>
      <c r="C107" s="318"/>
      <c r="D107" s="318"/>
      <c r="E107" s="318"/>
      <c r="F107" s="318"/>
      <c r="G107" s="318"/>
      <c r="H107" s="319"/>
      <c r="I107" s="319"/>
      <c r="J107" s="319"/>
      <c r="K107" s="319"/>
      <c r="L107" s="1351" t="s">
        <v>61</v>
      </c>
      <c r="M107" s="1351"/>
      <c r="N107" s="1351"/>
      <c r="O107" s="320">
        <f>IF('CO Set Up'!H101="yes",(O100+O105+O106)*'Admin Set Up'!B102,0)</f>
        <v>0</v>
      </c>
      <c r="P107" s="370"/>
      <c r="Q107" s="32"/>
      <c r="R107" s="32"/>
      <c r="S107" s="32"/>
      <c r="T107" s="32"/>
      <c r="U107" s="32"/>
      <c r="V107" s="32"/>
    </row>
    <row r="108" spans="1:22" ht="16" thickBot="1" x14ac:dyDescent="0.25">
      <c r="A108" s="378" t="s">
        <v>338</v>
      </c>
      <c r="B108" s="379"/>
      <c r="C108" s="379"/>
      <c r="D108" s="379"/>
      <c r="E108" s="379"/>
      <c r="F108" s="379"/>
      <c r="G108" s="379"/>
      <c r="H108" s="379"/>
      <c r="I108" s="379"/>
      <c r="J108" s="379"/>
      <c r="K108" s="379"/>
      <c r="L108" s="379"/>
      <c r="M108" s="379"/>
      <c r="N108" s="379"/>
      <c r="O108" s="380">
        <f>+O100+O105+O106+O107</f>
        <v>0</v>
      </c>
      <c r="P108" s="381"/>
      <c r="Q108" s="32"/>
      <c r="R108" s="32"/>
      <c r="S108" s="32"/>
      <c r="T108" s="32"/>
      <c r="U108" s="32"/>
      <c r="V108" s="32"/>
    </row>
    <row r="109" spans="1:22" ht="17" thickTop="1" thickBot="1" x14ac:dyDescent="0.25"/>
    <row r="110" spans="1:22" ht="15" customHeight="1" thickTop="1" thickBot="1" x14ac:dyDescent="0.25">
      <c r="A110" s="364" t="s">
        <v>301</v>
      </c>
      <c r="B110" s="365"/>
      <c r="C110" s="366" t="s">
        <v>358</v>
      </c>
      <c r="D110" s="367"/>
      <c r="E110" s="367"/>
      <c r="F110" s="367"/>
      <c r="G110" s="367"/>
      <c r="H110" s="367"/>
      <c r="I110" s="367"/>
      <c r="J110" s="367"/>
      <c r="K110" s="367"/>
      <c r="L110" s="367"/>
      <c r="M110" s="367"/>
      <c r="N110" s="367"/>
      <c r="O110" s="367"/>
      <c r="P110" s="368"/>
      <c r="Q110" s="419"/>
      <c r="R110" s="419"/>
      <c r="S110" s="419"/>
      <c r="T110" s="419"/>
      <c r="U110" s="419"/>
      <c r="V110" s="419"/>
    </row>
    <row r="111" spans="1:22" ht="17" thickBot="1" x14ac:dyDescent="0.3">
      <c r="A111" s="434"/>
      <c r="B111" s="1345"/>
      <c r="C111" s="1346"/>
      <c r="D111" s="1346"/>
      <c r="E111" s="1346"/>
      <c r="F111" s="1346"/>
      <c r="G111" s="1347"/>
      <c r="H111" s="258"/>
      <c r="I111" s="258"/>
      <c r="J111" s="258"/>
      <c r="K111" s="258"/>
      <c r="L111" s="432"/>
      <c r="M111" s="432"/>
      <c r="N111" s="432"/>
      <c r="O111" s="432"/>
      <c r="P111" s="433"/>
      <c r="Q111" s="430"/>
      <c r="R111" s="92"/>
      <c r="S111" s="92"/>
      <c r="T111" s="92"/>
      <c r="U111" s="431"/>
      <c r="V111" s="92"/>
    </row>
    <row r="112" spans="1:22" ht="51" customHeight="1" thickBot="1" x14ac:dyDescent="0.25">
      <c r="A112" s="382" t="s">
        <v>209</v>
      </c>
      <c r="B112" s="383" t="s">
        <v>210</v>
      </c>
      <c r="C112" s="384" t="s">
        <v>169</v>
      </c>
      <c r="D112" s="383" t="s">
        <v>212</v>
      </c>
      <c r="E112" s="385" t="s">
        <v>327</v>
      </c>
      <c r="F112" s="305" t="s">
        <v>215</v>
      </c>
      <c r="G112" s="386" t="s">
        <v>217</v>
      </c>
      <c r="H112" s="387" t="s">
        <v>218</v>
      </c>
      <c r="I112" s="387" t="s">
        <v>219</v>
      </c>
      <c r="J112" s="387" t="s">
        <v>220</v>
      </c>
      <c r="K112" s="387" t="s">
        <v>221</v>
      </c>
      <c r="L112" s="387" t="s">
        <v>222</v>
      </c>
      <c r="M112" s="387" t="s">
        <v>223</v>
      </c>
      <c r="N112" s="387" t="s">
        <v>213</v>
      </c>
      <c r="O112" s="385" t="s">
        <v>31</v>
      </c>
      <c r="P112" s="369">
        <v>8</v>
      </c>
      <c r="Q112" s="436" t="s">
        <v>345</v>
      </c>
      <c r="R112" s="409" t="s">
        <v>349</v>
      </c>
      <c r="S112" s="409" t="s">
        <v>348</v>
      </c>
      <c r="T112" s="410" t="s">
        <v>346</v>
      </c>
      <c r="U112" s="411" t="s">
        <v>347</v>
      </c>
      <c r="V112" s="412" t="s">
        <v>350</v>
      </c>
    </row>
    <row r="113" spans="1:22" ht="13" customHeight="1" thickBot="1" x14ac:dyDescent="0.25">
      <c r="A113" s="388"/>
      <c r="B113" s="398"/>
      <c r="C113" s="288"/>
      <c r="D113" s="390"/>
      <c r="E113" s="391"/>
      <c r="F113" s="392"/>
      <c r="G113" s="393">
        <f>IF(B113=0,0,A113/B113)</f>
        <v>0</v>
      </c>
      <c r="H113" s="394">
        <f>+'CO Set Up'!$B$24</f>
        <v>54.653594771241835</v>
      </c>
      <c r="I113" s="394">
        <f>+'CO Set Up'!$C$24</f>
        <v>58.690196078431363</v>
      </c>
      <c r="J113" s="394">
        <f>+'CO Set Up'!$D$24</f>
        <v>61.381263616557739</v>
      </c>
      <c r="K113" s="394">
        <f>IF(F113=40,H113,0)+IF(F113=50,I113,0)+IF(F113=60,J113,0)</f>
        <v>0</v>
      </c>
      <c r="L113" s="393">
        <f>IF(D113=0,0,A113/D113)</f>
        <v>0</v>
      </c>
      <c r="M113" s="395">
        <f>+G113*K113</f>
        <v>0</v>
      </c>
      <c r="N113" s="395">
        <f>IF('CO Set Up'!$H$9="yes",(L113*E113)/(1-'CO Set Up'!$I$17)+(('Change Order'!L113*'Change Order'!E113)*'Admin Set Up'!$B$11),L113*E113/(1-'CO Set Up'!$I$17))</f>
        <v>0</v>
      </c>
      <c r="O113" s="396">
        <f>SUM(M113:N113)</f>
        <v>0</v>
      </c>
      <c r="P113" s="397"/>
      <c r="Q113" s="403" t="s">
        <v>2</v>
      </c>
      <c r="R113" s="437">
        <f>IF(Q113="no",O123,0)</f>
        <v>0</v>
      </c>
      <c r="S113" s="438">
        <f>IF(Q113="yes",O123,0)</f>
        <v>0</v>
      </c>
      <c r="T113" s="439">
        <f>IF(Q113="yes",G115*V113,0)</f>
        <v>0</v>
      </c>
      <c r="U113" s="440"/>
      <c r="V113" s="413">
        <v>1</v>
      </c>
    </row>
    <row r="114" spans="1:22" ht="13" hidden="1" customHeight="1" thickBot="1" x14ac:dyDescent="0.25">
      <c r="A114" s="399"/>
      <c r="B114" s="389"/>
      <c r="C114" s="402"/>
      <c r="D114" s="400"/>
      <c r="E114" s="401"/>
      <c r="F114" s="392"/>
      <c r="G114" s="393">
        <f>IF(B114=0,0,A114/B114)</f>
        <v>0</v>
      </c>
      <c r="H114" s="394">
        <f>+H113</f>
        <v>54.653594771241835</v>
      </c>
      <c r="I114" s="394">
        <f>+I113</f>
        <v>58.690196078431363</v>
      </c>
      <c r="J114" s="394">
        <f>+J113</f>
        <v>61.381263616557739</v>
      </c>
      <c r="K114" s="394">
        <f>IF(F114=40,H114,0)+IF(F114=50,I114,0)+IF(F114=60,J114,0)</f>
        <v>0</v>
      </c>
      <c r="L114" s="393">
        <f>IF(D114=0,0,A114/D114)</f>
        <v>0</v>
      </c>
      <c r="M114" s="395">
        <f>+G114*K114</f>
        <v>0</v>
      </c>
      <c r="N114" s="395">
        <f>IF('CO Set Up'!$H$9="yes",(L114*E114)/(1-'CO Set Up'!$I$17)+(('Change Order'!L114*'Change Order'!E114)*'Admin Set Up'!$B$11),L114*E114/(1-'CO Set Up'!$I$17))</f>
        <v>0</v>
      </c>
      <c r="O114" s="396">
        <f>SUM(M114:N114)</f>
        <v>0</v>
      </c>
      <c r="P114" s="370"/>
      <c r="Q114" s="153"/>
      <c r="R114" s="153"/>
      <c r="S114" s="153"/>
      <c r="T114" s="153"/>
      <c r="U114" s="153"/>
      <c r="V114" s="153"/>
    </row>
    <row r="115" spans="1:22" ht="13" customHeight="1" thickBot="1" x14ac:dyDescent="0.25">
      <c r="A115" s="371" t="s">
        <v>334</v>
      </c>
      <c r="B115" s="306"/>
      <c r="C115" s="307" t="s">
        <v>333</v>
      </c>
      <c r="D115" s="306"/>
      <c r="E115" s="306"/>
      <c r="F115" s="289"/>
      <c r="G115" s="308">
        <f>SUM(G113:G114)</f>
        <v>0</v>
      </c>
      <c r="H115" s="306"/>
      <c r="I115" s="306"/>
      <c r="J115" s="306"/>
      <c r="K115" s="306"/>
      <c r="L115" s="309">
        <f>SUM(L113:L114)</f>
        <v>0</v>
      </c>
      <c r="M115" s="310">
        <f>SUM(M113:M114)</f>
        <v>0</v>
      </c>
      <c r="N115" s="310">
        <f>SUM(N113:N114)</f>
        <v>0</v>
      </c>
      <c r="O115" s="311">
        <f>SUM(O113:O114)</f>
        <v>0</v>
      </c>
      <c r="P115" s="370"/>
      <c r="Q115" s="32"/>
      <c r="R115" s="32"/>
      <c r="S115" s="32"/>
      <c r="T115" s="32"/>
      <c r="U115" s="32"/>
      <c r="V115" s="32"/>
    </row>
    <row r="116" spans="1:22" ht="13" customHeight="1" x14ac:dyDescent="0.2">
      <c r="A116" s="372"/>
      <c r="B116" s="312"/>
      <c r="C116" s="313"/>
      <c r="D116" s="313"/>
      <c r="E116" s="313"/>
      <c r="F116" s="313"/>
      <c r="G116" s="313"/>
      <c r="H116" s="313"/>
      <c r="I116" s="313"/>
      <c r="J116" s="313"/>
      <c r="K116" s="313"/>
      <c r="L116" s="313"/>
      <c r="M116" s="313"/>
      <c r="N116" s="313"/>
      <c r="O116" s="313"/>
      <c r="P116" s="370"/>
      <c r="Q116" s="32"/>
      <c r="R116" s="32"/>
      <c r="S116" s="32"/>
      <c r="T116" s="32"/>
      <c r="U116" s="32"/>
      <c r="V116" s="32"/>
    </row>
    <row r="117" spans="1:22" ht="13" customHeight="1" x14ac:dyDescent="0.2">
      <c r="A117" s="1348" t="s">
        <v>59</v>
      </c>
      <c r="B117" s="1349"/>
      <c r="C117" s="322" t="s">
        <v>169</v>
      </c>
      <c r="D117" s="322" t="s">
        <v>328</v>
      </c>
      <c r="E117" s="322" t="s">
        <v>85</v>
      </c>
      <c r="F117" s="1350"/>
      <c r="G117" s="1350"/>
      <c r="H117" s="322"/>
      <c r="I117" s="322"/>
      <c r="J117" s="322"/>
      <c r="K117" s="322"/>
      <c r="L117" s="322" t="s">
        <v>225</v>
      </c>
      <c r="M117" s="322"/>
      <c r="N117" s="322"/>
      <c r="O117" s="322" t="s">
        <v>171</v>
      </c>
      <c r="P117" s="370"/>
      <c r="Q117" s="32"/>
      <c r="R117" s="32"/>
      <c r="S117" s="32"/>
      <c r="T117" s="32"/>
      <c r="U117" s="32"/>
      <c r="V117" s="32"/>
    </row>
    <row r="118" spans="1:22" ht="13" customHeight="1" x14ac:dyDescent="0.2">
      <c r="A118" s="373"/>
      <c r="B118" s="297"/>
      <c r="C118" s="293"/>
      <c r="D118" s="294"/>
      <c r="E118" s="294"/>
      <c r="F118" s="299"/>
      <c r="G118" s="300"/>
      <c r="H118" s="295"/>
      <c r="I118" s="295"/>
      <c r="J118" s="295"/>
      <c r="K118" s="295"/>
      <c r="L118" s="301"/>
      <c r="M118" s="296"/>
      <c r="N118" s="296"/>
      <c r="O118" s="302">
        <f>IF(D118="E",(E118*L118)/(1-'CO Set Up'!$J$17),0)+IF(D118="S",(E118*L118)/(1-'CO Set Up'!$K$17),0)+IF(D118="SC",(E118*L118)/(1-'CO Set Up'!$L$17),0)</f>
        <v>0</v>
      </c>
      <c r="P118" s="370"/>
      <c r="Q118" s="32"/>
      <c r="R118" s="32"/>
      <c r="S118" s="32"/>
      <c r="T118" s="32"/>
      <c r="U118" s="32"/>
      <c r="V118" s="32"/>
    </row>
    <row r="119" spans="1:22" ht="13" hidden="1" customHeight="1" x14ac:dyDescent="0.2">
      <c r="A119" s="374"/>
      <c r="B119" s="298"/>
      <c r="C119" s="293"/>
      <c r="D119" s="294"/>
      <c r="E119" s="294"/>
      <c r="F119" s="299"/>
      <c r="G119" s="300"/>
      <c r="H119" s="295"/>
      <c r="I119" s="295"/>
      <c r="J119" s="295"/>
      <c r="K119" s="295"/>
      <c r="L119" s="301"/>
      <c r="M119" s="296"/>
      <c r="N119" s="296"/>
      <c r="O119" s="303">
        <f>IF(D119="E",(E119*L119)/(1-'CO Set Up'!$J$17),0)+IF(D119="S",(E119*L119)/(1-'CO Set Up'!$K$17),0)+IF(D119="SC",(E119*L119)/(1-'CO Set Up'!$L$17),0)</f>
        <v>0</v>
      </c>
      <c r="P119" s="370"/>
      <c r="Q119" s="32"/>
      <c r="R119" s="32"/>
      <c r="S119" s="32"/>
      <c r="T119" s="32"/>
      <c r="U119" s="32"/>
      <c r="V119" s="32"/>
    </row>
    <row r="120" spans="1:22" ht="13" customHeight="1" thickBot="1" x14ac:dyDescent="0.25">
      <c r="A120" s="375" t="s">
        <v>334</v>
      </c>
      <c r="B120" s="315"/>
      <c r="C120" s="307" t="s">
        <v>335</v>
      </c>
      <c r="D120" s="315"/>
      <c r="E120" s="315"/>
      <c r="F120" s="315"/>
      <c r="G120" s="315"/>
      <c r="H120" s="290"/>
      <c r="I120" s="290"/>
      <c r="J120" s="290"/>
      <c r="K120" s="290"/>
      <c r="L120" s="304" t="s">
        <v>336</v>
      </c>
      <c r="M120" s="304"/>
      <c r="N120" s="304"/>
      <c r="O120" s="316">
        <f>SUM(O118:O119)</f>
        <v>0</v>
      </c>
      <c r="P120" s="370"/>
      <c r="Q120" s="32"/>
      <c r="R120" s="32"/>
      <c r="S120" s="32"/>
      <c r="T120" s="32"/>
      <c r="U120" s="32"/>
      <c r="V120" s="32"/>
    </row>
    <row r="121" spans="1:22" ht="13" customHeight="1" x14ac:dyDescent="0.2">
      <c r="A121" s="376"/>
      <c r="B121" s="315"/>
      <c r="C121" s="315"/>
      <c r="D121" s="315"/>
      <c r="E121" s="315"/>
      <c r="F121" s="315"/>
      <c r="G121" s="315"/>
      <c r="H121" s="290"/>
      <c r="I121" s="290"/>
      <c r="J121" s="290"/>
      <c r="K121" s="290"/>
      <c r="L121" s="1351" t="s">
        <v>337</v>
      </c>
      <c r="M121" s="1351"/>
      <c r="N121" s="1351"/>
      <c r="O121" s="317">
        <f>IF('CO Set Up'!H115="yes",-(G115*'Admin Set Up'!$B$13),0)</f>
        <v>0</v>
      </c>
      <c r="P121" s="370"/>
      <c r="Q121" s="32"/>
      <c r="R121" s="32"/>
      <c r="S121" s="32"/>
      <c r="T121" s="32"/>
      <c r="U121" s="32"/>
      <c r="V121" s="32"/>
    </row>
    <row r="122" spans="1:22" ht="13" customHeight="1" x14ac:dyDescent="0.2">
      <c r="A122" s="377"/>
      <c r="B122" s="318"/>
      <c r="C122" s="318"/>
      <c r="D122" s="318"/>
      <c r="E122" s="318"/>
      <c r="F122" s="318"/>
      <c r="G122" s="318"/>
      <c r="H122" s="319"/>
      <c r="I122" s="319"/>
      <c r="J122" s="319"/>
      <c r="K122" s="319"/>
      <c r="L122" s="1351" t="s">
        <v>61</v>
      </c>
      <c r="M122" s="1351"/>
      <c r="N122" s="1351"/>
      <c r="O122" s="320">
        <f>IF('CO Set Up'!H116="yes",(O115+O120+O121)*'Admin Set Up'!B117,0)</f>
        <v>0</v>
      </c>
      <c r="P122" s="370"/>
      <c r="Q122" s="32"/>
      <c r="R122" s="32"/>
      <c r="S122" s="32"/>
      <c r="T122" s="32"/>
      <c r="U122" s="32"/>
      <c r="V122" s="32"/>
    </row>
    <row r="123" spans="1:22" ht="13" customHeight="1" thickBot="1" x14ac:dyDescent="0.25">
      <c r="A123" s="378" t="s">
        <v>338</v>
      </c>
      <c r="B123" s="379"/>
      <c r="C123" s="379"/>
      <c r="D123" s="379"/>
      <c r="E123" s="379"/>
      <c r="F123" s="379"/>
      <c r="G123" s="379"/>
      <c r="H123" s="379"/>
      <c r="I123" s="379"/>
      <c r="J123" s="379"/>
      <c r="K123" s="379"/>
      <c r="L123" s="379"/>
      <c r="M123" s="379"/>
      <c r="N123" s="379"/>
      <c r="O123" s="380">
        <f>+O115+O120+O121+O122</f>
        <v>0</v>
      </c>
      <c r="P123" s="381"/>
      <c r="Q123" s="32"/>
      <c r="R123" s="32"/>
      <c r="S123" s="32"/>
      <c r="T123" s="32"/>
      <c r="U123" s="32"/>
      <c r="V123" s="32"/>
    </row>
    <row r="124" spans="1:22" ht="17" thickTop="1" thickBot="1" x14ac:dyDescent="0.25"/>
    <row r="125" spans="1:22" ht="15" customHeight="1" thickTop="1" thickBot="1" x14ac:dyDescent="0.25">
      <c r="A125" s="364" t="s">
        <v>301</v>
      </c>
      <c r="B125" s="365"/>
      <c r="C125" s="366" t="s">
        <v>358</v>
      </c>
      <c r="D125" s="367"/>
      <c r="E125" s="367"/>
      <c r="F125" s="367"/>
      <c r="G125" s="367"/>
      <c r="H125" s="367"/>
      <c r="I125" s="367"/>
      <c r="J125" s="367"/>
      <c r="K125" s="367"/>
      <c r="L125" s="367"/>
      <c r="M125" s="367"/>
      <c r="N125" s="367"/>
      <c r="O125" s="367"/>
      <c r="P125" s="368"/>
      <c r="Q125" s="419"/>
      <c r="R125" s="419"/>
      <c r="S125" s="419"/>
      <c r="T125" s="419"/>
      <c r="U125" s="419"/>
      <c r="V125" s="419"/>
    </row>
    <row r="126" spans="1:22" ht="17" thickBot="1" x14ac:dyDescent="0.3">
      <c r="A126" s="434"/>
      <c r="B126" s="1345"/>
      <c r="C126" s="1346"/>
      <c r="D126" s="1346"/>
      <c r="E126" s="1346"/>
      <c r="F126" s="1346"/>
      <c r="G126" s="1347"/>
      <c r="H126" s="258"/>
      <c r="I126" s="258"/>
      <c r="J126" s="258"/>
      <c r="K126" s="258"/>
      <c r="L126" s="432"/>
      <c r="M126" s="432"/>
      <c r="N126" s="432"/>
      <c r="O126" s="432"/>
      <c r="P126" s="433"/>
      <c r="Q126" s="430"/>
      <c r="R126" s="92"/>
      <c r="S126" s="92"/>
      <c r="T126" s="92"/>
      <c r="U126" s="431"/>
      <c r="V126" s="92"/>
    </row>
    <row r="127" spans="1:22" ht="51" customHeight="1" thickBot="1" x14ac:dyDescent="0.25">
      <c r="A127" s="382" t="s">
        <v>209</v>
      </c>
      <c r="B127" s="383" t="s">
        <v>210</v>
      </c>
      <c r="C127" s="384" t="s">
        <v>169</v>
      </c>
      <c r="D127" s="383" t="s">
        <v>212</v>
      </c>
      <c r="E127" s="385" t="s">
        <v>327</v>
      </c>
      <c r="F127" s="305" t="s">
        <v>215</v>
      </c>
      <c r="G127" s="386" t="s">
        <v>217</v>
      </c>
      <c r="H127" s="387" t="s">
        <v>218</v>
      </c>
      <c r="I127" s="387" t="s">
        <v>219</v>
      </c>
      <c r="J127" s="387" t="s">
        <v>220</v>
      </c>
      <c r="K127" s="387" t="s">
        <v>221</v>
      </c>
      <c r="L127" s="387" t="s">
        <v>222</v>
      </c>
      <c r="M127" s="387" t="s">
        <v>223</v>
      </c>
      <c r="N127" s="387" t="s">
        <v>213</v>
      </c>
      <c r="O127" s="385" t="s">
        <v>31</v>
      </c>
      <c r="P127" s="369">
        <v>9</v>
      </c>
      <c r="Q127" s="436" t="s">
        <v>345</v>
      </c>
      <c r="R127" s="409" t="s">
        <v>349</v>
      </c>
      <c r="S127" s="409" t="s">
        <v>348</v>
      </c>
      <c r="T127" s="410" t="s">
        <v>346</v>
      </c>
      <c r="U127" s="411" t="s">
        <v>347</v>
      </c>
      <c r="V127" s="412" t="s">
        <v>350</v>
      </c>
    </row>
    <row r="128" spans="1:22" ht="13" customHeight="1" thickBot="1" x14ac:dyDescent="0.25">
      <c r="A128" s="388"/>
      <c r="B128" s="398"/>
      <c r="C128" s="288"/>
      <c r="D128" s="390"/>
      <c r="E128" s="391"/>
      <c r="F128" s="392"/>
      <c r="G128" s="393">
        <f>IF(B128=0,0,A128/B128)</f>
        <v>0</v>
      </c>
      <c r="H128" s="394">
        <f>+'CO Set Up'!$B$24</f>
        <v>54.653594771241835</v>
      </c>
      <c r="I128" s="394">
        <f>+'CO Set Up'!$C$24</f>
        <v>58.690196078431363</v>
      </c>
      <c r="J128" s="394">
        <f>+'CO Set Up'!$D$24</f>
        <v>61.381263616557739</v>
      </c>
      <c r="K128" s="394">
        <f>IF(F128=40,H128,0)+IF(F128=50,I128,0)+IF(F128=60,J128,0)</f>
        <v>0</v>
      </c>
      <c r="L128" s="393">
        <f>IF(D128=0,0,A128/D128)</f>
        <v>0</v>
      </c>
      <c r="M128" s="395">
        <f>+G128*K128</f>
        <v>0</v>
      </c>
      <c r="N128" s="395">
        <f>IF('CO Set Up'!$H$9="yes",(L128*E128)/(1-'CO Set Up'!$I$17)+(('Change Order'!L128*'Change Order'!E128)*'Admin Set Up'!$B$11),L128*E128/(1-'CO Set Up'!$I$17))</f>
        <v>0</v>
      </c>
      <c r="O128" s="396">
        <f>SUM(M128:N128)</f>
        <v>0</v>
      </c>
      <c r="P128" s="397"/>
      <c r="Q128" s="403" t="s">
        <v>2</v>
      </c>
      <c r="R128" s="437">
        <f>IF(Q128="no",O138,0)</f>
        <v>0</v>
      </c>
      <c r="S128" s="438">
        <f>IF(Q128="yes",O138,0)</f>
        <v>0</v>
      </c>
      <c r="T128" s="439">
        <f>IF(Q128="yes",G130*V128,0)</f>
        <v>0</v>
      </c>
      <c r="U128" s="440"/>
      <c r="V128" s="413">
        <v>1</v>
      </c>
    </row>
    <row r="129" spans="1:22" ht="13" hidden="1" customHeight="1" thickBot="1" x14ac:dyDescent="0.25">
      <c r="A129" s="399"/>
      <c r="B129" s="389"/>
      <c r="C129" s="402"/>
      <c r="D129" s="400"/>
      <c r="E129" s="401"/>
      <c r="F129" s="392"/>
      <c r="G129" s="393">
        <f>IF(B129=0,0,A129/B129)</f>
        <v>0</v>
      </c>
      <c r="H129" s="394">
        <f>+H128</f>
        <v>54.653594771241835</v>
      </c>
      <c r="I129" s="394">
        <f>+I128</f>
        <v>58.690196078431363</v>
      </c>
      <c r="J129" s="394">
        <f>+J128</f>
        <v>61.381263616557739</v>
      </c>
      <c r="K129" s="394">
        <f>IF(F129=40,H129,0)+IF(F129=50,I129,0)+IF(F129=60,J129,0)</f>
        <v>0</v>
      </c>
      <c r="L129" s="393">
        <f>IF(D129=0,0,A129/D129)</f>
        <v>0</v>
      </c>
      <c r="M129" s="395">
        <f>+G129*K129</f>
        <v>0</v>
      </c>
      <c r="N129" s="395">
        <f>IF('CO Set Up'!$H$9="yes",(L129*E129)/(1-'CO Set Up'!$I$17)+(('Change Order'!L129*'Change Order'!E129)*'Admin Set Up'!$B$11),L129*E129/(1-'CO Set Up'!$I$17))</f>
        <v>0</v>
      </c>
      <c r="O129" s="396">
        <f>SUM(M129:N129)</f>
        <v>0</v>
      </c>
      <c r="P129" s="370"/>
      <c r="Q129" s="153"/>
      <c r="R129" s="153"/>
      <c r="S129" s="153"/>
      <c r="T129" s="153"/>
      <c r="U129" s="153"/>
      <c r="V129" s="153"/>
    </row>
    <row r="130" spans="1:22" ht="13" customHeight="1" thickBot="1" x14ac:dyDescent="0.25">
      <c r="A130" s="371" t="s">
        <v>334</v>
      </c>
      <c r="B130" s="306"/>
      <c r="C130" s="307" t="s">
        <v>333</v>
      </c>
      <c r="D130" s="306"/>
      <c r="E130" s="306"/>
      <c r="F130" s="289"/>
      <c r="G130" s="308">
        <f>SUM(G128:G129)</f>
        <v>0</v>
      </c>
      <c r="H130" s="306"/>
      <c r="I130" s="306"/>
      <c r="J130" s="306"/>
      <c r="K130" s="306"/>
      <c r="L130" s="309">
        <f>SUM(L128:L129)</f>
        <v>0</v>
      </c>
      <c r="M130" s="310">
        <f>SUM(M128:M129)</f>
        <v>0</v>
      </c>
      <c r="N130" s="310">
        <f>SUM(N128:N129)</f>
        <v>0</v>
      </c>
      <c r="O130" s="311">
        <f>SUM(O128:O129)</f>
        <v>0</v>
      </c>
      <c r="P130" s="370"/>
      <c r="Q130" s="32"/>
      <c r="R130" s="32"/>
      <c r="S130" s="32"/>
      <c r="T130" s="32"/>
      <c r="U130" s="32"/>
      <c r="V130" s="32"/>
    </row>
    <row r="131" spans="1:22" ht="13" customHeight="1" x14ac:dyDescent="0.2">
      <c r="A131" s="372"/>
      <c r="B131" s="312"/>
      <c r="C131" s="313"/>
      <c r="D131" s="313"/>
      <c r="E131" s="313"/>
      <c r="F131" s="313"/>
      <c r="G131" s="313"/>
      <c r="H131" s="313"/>
      <c r="I131" s="313"/>
      <c r="J131" s="313"/>
      <c r="K131" s="313"/>
      <c r="L131" s="313"/>
      <c r="M131" s="313"/>
      <c r="N131" s="313"/>
      <c r="O131" s="313"/>
      <c r="P131" s="370"/>
      <c r="Q131" s="32"/>
      <c r="R131" s="32"/>
      <c r="S131" s="32"/>
      <c r="T131" s="32"/>
      <c r="U131" s="32"/>
      <c r="V131" s="32"/>
    </row>
    <row r="132" spans="1:22" ht="13" customHeight="1" x14ac:dyDescent="0.2">
      <c r="A132" s="1348" t="s">
        <v>59</v>
      </c>
      <c r="B132" s="1349"/>
      <c r="C132" s="322" t="s">
        <v>169</v>
      </c>
      <c r="D132" s="322" t="s">
        <v>328</v>
      </c>
      <c r="E132" s="322" t="s">
        <v>85</v>
      </c>
      <c r="F132" s="1350"/>
      <c r="G132" s="1350"/>
      <c r="H132" s="322"/>
      <c r="I132" s="322"/>
      <c r="J132" s="322"/>
      <c r="K132" s="322"/>
      <c r="L132" s="322" t="s">
        <v>225</v>
      </c>
      <c r="M132" s="322"/>
      <c r="N132" s="322"/>
      <c r="O132" s="322" t="s">
        <v>171</v>
      </c>
      <c r="P132" s="370"/>
      <c r="Q132" s="32"/>
      <c r="R132" s="32"/>
      <c r="S132" s="32"/>
      <c r="T132" s="32"/>
      <c r="U132" s="32"/>
      <c r="V132" s="32"/>
    </row>
    <row r="133" spans="1:22" ht="13" customHeight="1" x14ac:dyDescent="0.2">
      <c r="A133" s="373"/>
      <c r="B133" s="297"/>
      <c r="C133" s="293"/>
      <c r="D133" s="294"/>
      <c r="E133" s="294"/>
      <c r="F133" s="299"/>
      <c r="G133" s="300"/>
      <c r="H133" s="295"/>
      <c r="I133" s="295"/>
      <c r="J133" s="295"/>
      <c r="K133" s="295"/>
      <c r="L133" s="301"/>
      <c r="M133" s="296"/>
      <c r="N133" s="296"/>
      <c r="O133" s="302">
        <f>IF(D133="E",(E133*L133)/(1-'CO Set Up'!$J$17),0)+IF(D133="S",(E133*L133)/(1-'CO Set Up'!$K$17),0)+IF(D133="SC",(E133*L133)/(1-'CO Set Up'!$L$17),0)</f>
        <v>0</v>
      </c>
      <c r="P133" s="370"/>
      <c r="Q133" s="32"/>
      <c r="R133" s="32"/>
      <c r="S133" s="32"/>
      <c r="T133" s="32"/>
      <c r="U133" s="32"/>
      <c r="V133" s="32"/>
    </row>
    <row r="134" spans="1:22" ht="13" hidden="1" customHeight="1" x14ac:dyDescent="0.2">
      <c r="A134" s="374"/>
      <c r="B134" s="298"/>
      <c r="C134" s="293"/>
      <c r="D134" s="294"/>
      <c r="E134" s="294"/>
      <c r="F134" s="299"/>
      <c r="G134" s="300"/>
      <c r="H134" s="295"/>
      <c r="I134" s="295"/>
      <c r="J134" s="295"/>
      <c r="K134" s="295"/>
      <c r="L134" s="301"/>
      <c r="M134" s="296"/>
      <c r="N134" s="296"/>
      <c r="O134" s="303">
        <f>IF(D134="E",(E134*L134)/(1-'CO Set Up'!$J$17),0)+IF(D134="S",(E134*L134)/(1-'CO Set Up'!$K$17),0)+IF(D134="SC",(E134*L134)/(1-'CO Set Up'!$L$17),0)</f>
        <v>0</v>
      </c>
      <c r="P134" s="370"/>
      <c r="Q134" s="32"/>
      <c r="R134" s="32"/>
      <c r="S134" s="32"/>
      <c r="T134" s="32"/>
      <c r="U134" s="32"/>
      <c r="V134" s="32"/>
    </row>
    <row r="135" spans="1:22" ht="13" customHeight="1" thickBot="1" x14ac:dyDescent="0.25">
      <c r="A135" s="375" t="s">
        <v>334</v>
      </c>
      <c r="B135" s="315"/>
      <c r="C135" s="307" t="s">
        <v>335</v>
      </c>
      <c r="D135" s="315"/>
      <c r="E135" s="315"/>
      <c r="F135" s="315"/>
      <c r="G135" s="315"/>
      <c r="H135" s="290"/>
      <c r="I135" s="290"/>
      <c r="J135" s="290"/>
      <c r="K135" s="290"/>
      <c r="L135" s="304" t="s">
        <v>336</v>
      </c>
      <c r="M135" s="304"/>
      <c r="N135" s="304"/>
      <c r="O135" s="316">
        <f>SUM(O133:O134)</f>
        <v>0</v>
      </c>
      <c r="P135" s="370"/>
      <c r="Q135" s="32"/>
      <c r="R135" s="32"/>
      <c r="S135" s="32"/>
      <c r="T135" s="32"/>
      <c r="U135" s="32"/>
      <c r="V135" s="32"/>
    </row>
    <row r="136" spans="1:22" ht="13" customHeight="1" x14ac:dyDescent="0.2">
      <c r="A136" s="376"/>
      <c r="B136" s="315"/>
      <c r="C136" s="315"/>
      <c r="D136" s="315"/>
      <c r="E136" s="315"/>
      <c r="F136" s="315"/>
      <c r="G136" s="315"/>
      <c r="H136" s="290"/>
      <c r="I136" s="290"/>
      <c r="J136" s="290"/>
      <c r="K136" s="290"/>
      <c r="L136" s="1351" t="s">
        <v>337</v>
      </c>
      <c r="M136" s="1351"/>
      <c r="N136" s="1351"/>
      <c r="O136" s="317">
        <f>IF('CO Set Up'!H130="yes",-(G130*'Admin Set Up'!$B$13),0)</f>
        <v>0</v>
      </c>
      <c r="P136" s="370"/>
      <c r="Q136" s="32"/>
      <c r="R136" s="32"/>
      <c r="S136" s="32"/>
      <c r="T136" s="32"/>
      <c r="U136" s="32"/>
      <c r="V136" s="32"/>
    </row>
    <row r="137" spans="1:22" ht="13" customHeight="1" x14ac:dyDescent="0.2">
      <c r="A137" s="377"/>
      <c r="B137" s="318"/>
      <c r="C137" s="318"/>
      <c r="D137" s="318"/>
      <c r="E137" s="318"/>
      <c r="F137" s="318"/>
      <c r="G137" s="318"/>
      <c r="H137" s="319"/>
      <c r="I137" s="319"/>
      <c r="J137" s="319"/>
      <c r="K137" s="319"/>
      <c r="L137" s="1351" t="s">
        <v>61</v>
      </c>
      <c r="M137" s="1351"/>
      <c r="N137" s="1351"/>
      <c r="O137" s="320">
        <f>IF('CO Set Up'!H131="yes",(O130+O135+O136)*'Admin Set Up'!B132,0)</f>
        <v>0</v>
      </c>
      <c r="P137" s="370"/>
      <c r="Q137" s="32"/>
      <c r="R137" s="32"/>
      <c r="S137" s="32"/>
      <c r="T137" s="32"/>
      <c r="U137" s="32"/>
      <c r="V137" s="32"/>
    </row>
    <row r="138" spans="1:22" ht="16" thickBot="1" x14ac:dyDescent="0.25">
      <c r="A138" s="378" t="s">
        <v>338</v>
      </c>
      <c r="B138" s="379"/>
      <c r="C138" s="379"/>
      <c r="D138" s="379"/>
      <c r="E138" s="379"/>
      <c r="F138" s="379"/>
      <c r="G138" s="379"/>
      <c r="H138" s="379"/>
      <c r="I138" s="379"/>
      <c r="J138" s="379"/>
      <c r="K138" s="379"/>
      <c r="L138" s="379"/>
      <c r="M138" s="379"/>
      <c r="N138" s="379"/>
      <c r="O138" s="380">
        <f>+O130+O135+O136+O137</f>
        <v>0</v>
      </c>
      <c r="P138" s="381"/>
      <c r="Q138" s="32"/>
      <c r="R138" s="32"/>
      <c r="S138" s="32"/>
      <c r="T138" s="32"/>
      <c r="U138" s="32"/>
      <c r="V138" s="32"/>
    </row>
    <row r="139" spans="1:22" ht="17" thickTop="1" thickBot="1" x14ac:dyDescent="0.25"/>
    <row r="140" spans="1:22" ht="15" customHeight="1" thickTop="1" thickBot="1" x14ac:dyDescent="0.25">
      <c r="A140" s="364" t="s">
        <v>301</v>
      </c>
      <c r="B140" s="365"/>
      <c r="C140" s="366" t="s">
        <v>358</v>
      </c>
      <c r="D140" s="367"/>
      <c r="E140" s="367"/>
      <c r="F140" s="367"/>
      <c r="G140" s="367"/>
      <c r="H140" s="367"/>
      <c r="I140" s="367"/>
      <c r="J140" s="367"/>
      <c r="K140" s="367"/>
      <c r="L140" s="367"/>
      <c r="M140" s="367"/>
      <c r="N140" s="367"/>
      <c r="O140" s="367"/>
      <c r="P140" s="368"/>
      <c r="Q140" s="419"/>
      <c r="R140" s="419"/>
      <c r="S140" s="419"/>
      <c r="T140" s="419"/>
      <c r="U140" s="419"/>
      <c r="V140" s="419"/>
    </row>
    <row r="141" spans="1:22" ht="17" thickBot="1" x14ac:dyDescent="0.3">
      <c r="A141" s="434"/>
      <c r="B141" s="1345"/>
      <c r="C141" s="1346"/>
      <c r="D141" s="1346"/>
      <c r="E141" s="1346"/>
      <c r="F141" s="1346"/>
      <c r="G141" s="1347"/>
      <c r="H141" s="258"/>
      <c r="I141" s="258"/>
      <c r="J141" s="258"/>
      <c r="K141" s="258"/>
      <c r="L141" s="432"/>
      <c r="M141" s="432"/>
      <c r="N141" s="432"/>
      <c r="O141" s="432"/>
      <c r="P141" s="433"/>
      <c r="Q141" s="430"/>
      <c r="R141" s="92"/>
      <c r="S141" s="92"/>
      <c r="T141" s="92"/>
      <c r="U141" s="431"/>
      <c r="V141" s="92"/>
    </row>
    <row r="142" spans="1:22" ht="51" customHeight="1" thickBot="1" x14ac:dyDescent="0.25">
      <c r="A142" s="382" t="s">
        <v>209</v>
      </c>
      <c r="B142" s="383" t="s">
        <v>210</v>
      </c>
      <c r="C142" s="384" t="s">
        <v>169</v>
      </c>
      <c r="D142" s="383" t="s">
        <v>212</v>
      </c>
      <c r="E142" s="385" t="s">
        <v>327</v>
      </c>
      <c r="F142" s="305" t="s">
        <v>215</v>
      </c>
      <c r="G142" s="386" t="s">
        <v>217</v>
      </c>
      <c r="H142" s="387" t="s">
        <v>218</v>
      </c>
      <c r="I142" s="387" t="s">
        <v>219</v>
      </c>
      <c r="J142" s="387" t="s">
        <v>220</v>
      </c>
      <c r="K142" s="387" t="s">
        <v>221</v>
      </c>
      <c r="L142" s="387" t="s">
        <v>222</v>
      </c>
      <c r="M142" s="387" t="s">
        <v>223</v>
      </c>
      <c r="N142" s="387" t="s">
        <v>213</v>
      </c>
      <c r="O142" s="385" t="s">
        <v>31</v>
      </c>
      <c r="P142" s="369">
        <v>10</v>
      </c>
      <c r="Q142" s="436" t="s">
        <v>345</v>
      </c>
      <c r="R142" s="409" t="s">
        <v>349</v>
      </c>
      <c r="S142" s="409" t="s">
        <v>348</v>
      </c>
      <c r="T142" s="410" t="s">
        <v>346</v>
      </c>
      <c r="U142" s="411" t="s">
        <v>347</v>
      </c>
      <c r="V142" s="412" t="s">
        <v>350</v>
      </c>
    </row>
    <row r="143" spans="1:22" ht="13" customHeight="1" thickBot="1" x14ac:dyDescent="0.25">
      <c r="A143" s="388"/>
      <c r="B143" s="398"/>
      <c r="C143" s="288"/>
      <c r="D143" s="390"/>
      <c r="E143" s="391"/>
      <c r="F143" s="392"/>
      <c r="G143" s="393">
        <f>IF(B143=0,0,A143/B143)</f>
        <v>0</v>
      </c>
      <c r="H143" s="394">
        <f>+'CO Set Up'!$B$24</f>
        <v>54.653594771241835</v>
      </c>
      <c r="I143" s="394">
        <f>+'CO Set Up'!$C$24</f>
        <v>58.690196078431363</v>
      </c>
      <c r="J143" s="394">
        <f>+'CO Set Up'!$D$24</f>
        <v>61.381263616557739</v>
      </c>
      <c r="K143" s="394">
        <f>IF(F143=40,H143,0)+IF(F143=50,I143,0)+IF(F143=60,J143,0)</f>
        <v>0</v>
      </c>
      <c r="L143" s="393">
        <f>IF(D143=0,0,A143/D143)</f>
        <v>0</v>
      </c>
      <c r="M143" s="395">
        <f>+G143*K143</f>
        <v>0</v>
      </c>
      <c r="N143" s="395">
        <f>IF('CO Set Up'!$H$9="yes",(L143*E143)/(1-'CO Set Up'!$I$17)+(('Change Order'!L143*'Change Order'!E143)*'Admin Set Up'!$B$11),L143*E143/(1-'CO Set Up'!$I$17))</f>
        <v>0</v>
      </c>
      <c r="O143" s="396">
        <f>SUM(M143:N143)</f>
        <v>0</v>
      </c>
      <c r="P143" s="397"/>
      <c r="Q143" s="403" t="s">
        <v>2</v>
      </c>
      <c r="R143" s="437">
        <f>IF(Q143="no",O153,0)</f>
        <v>0</v>
      </c>
      <c r="S143" s="438">
        <f>IF(Q143="yes",O153,0)</f>
        <v>0</v>
      </c>
      <c r="T143" s="439">
        <f>IF(Q143="yes",G145*V143,0)</f>
        <v>0</v>
      </c>
      <c r="U143" s="440"/>
      <c r="V143" s="413">
        <v>1</v>
      </c>
    </row>
    <row r="144" spans="1:22" ht="13" hidden="1" customHeight="1" thickBot="1" x14ac:dyDescent="0.25">
      <c r="A144" s="399"/>
      <c r="B144" s="389"/>
      <c r="C144" s="402"/>
      <c r="D144" s="400"/>
      <c r="E144" s="401"/>
      <c r="F144" s="392"/>
      <c r="G144" s="393">
        <f>IF(B144=0,0,A144/B144)</f>
        <v>0</v>
      </c>
      <c r="H144" s="394">
        <f>+H143</f>
        <v>54.653594771241835</v>
      </c>
      <c r="I144" s="394">
        <f>+I143</f>
        <v>58.690196078431363</v>
      </c>
      <c r="J144" s="394">
        <f>+J143</f>
        <v>61.381263616557739</v>
      </c>
      <c r="K144" s="394">
        <f>IF(F144=40,H144,0)+IF(F144=50,I144,0)+IF(F144=60,J144,0)</f>
        <v>0</v>
      </c>
      <c r="L144" s="393">
        <f>IF(D144=0,0,A144/D144)</f>
        <v>0</v>
      </c>
      <c r="M144" s="395">
        <f>+G144*K144</f>
        <v>0</v>
      </c>
      <c r="N144" s="395">
        <f>IF('CO Set Up'!$H$9="yes",(L144*E144)/(1-'CO Set Up'!$I$17)+(('Change Order'!L144*'Change Order'!E144)*'Admin Set Up'!$B$11),L144*E144/(1-'CO Set Up'!$I$17))</f>
        <v>0</v>
      </c>
      <c r="O144" s="396">
        <f>SUM(M144:N144)</f>
        <v>0</v>
      </c>
      <c r="P144" s="370"/>
      <c r="Q144" s="153"/>
      <c r="R144" s="153"/>
      <c r="S144" s="153"/>
      <c r="T144" s="153"/>
      <c r="U144" s="153"/>
      <c r="V144" s="153"/>
    </row>
    <row r="145" spans="1:22" ht="13" customHeight="1" thickBot="1" x14ac:dyDescent="0.25">
      <c r="A145" s="371" t="s">
        <v>334</v>
      </c>
      <c r="B145" s="306"/>
      <c r="C145" s="307" t="s">
        <v>333</v>
      </c>
      <c r="D145" s="306"/>
      <c r="E145" s="306"/>
      <c r="F145" s="289"/>
      <c r="G145" s="308">
        <f>SUM(G143:G144)</f>
        <v>0</v>
      </c>
      <c r="H145" s="306"/>
      <c r="I145" s="306"/>
      <c r="J145" s="306"/>
      <c r="K145" s="306"/>
      <c r="L145" s="309">
        <f>SUM(L143:L144)</f>
        <v>0</v>
      </c>
      <c r="M145" s="310">
        <f>SUM(M143:M144)</f>
        <v>0</v>
      </c>
      <c r="N145" s="310">
        <f>SUM(N143:N144)</f>
        <v>0</v>
      </c>
      <c r="O145" s="311">
        <f>SUM(O143:O144)</f>
        <v>0</v>
      </c>
      <c r="P145" s="370"/>
      <c r="Q145" s="32"/>
      <c r="R145" s="32"/>
      <c r="S145" s="32"/>
      <c r="T145" s="32"/>
      <c r="U145" s="32"/>
      <c r="V145" s="32"/>
    </row>
    <row r="146" spans="1:22" ht="13" customHeight="1" x14ac:dyDescent="0.2">
      <c r="A146" s="372"/>
      <c r="B146" s="312"/>
      <c r="C146" s="313"/>
      <c r="D146" s="313"/>
      <c r="E146" s="313"/>
      <c r="F146" s="313"/>
      <c r="G146" s="313"/>
      <c r="H146" s="313"/>
      <c r="I146" s="313"/>
      <c r="J146" s="313"/>
      <c r="K146" s="313"/>
      <c r="L146" s="313"/>
      <c r="M146" s="313"/>
      <c r="N146" s="313"/>
      <c r="O146" s="313"/>
      <c r="P146" s="370"/>
      <c r="Q146" s="32"/>
      <c r="R146" s="32"/>
      <c r="S146" s="32"/>
      <c r="T146" s="32"/>
      <c r="U146" s="32"/>
      <c r="V146" s="32"/>
    </row>
    <row r="147" spans="1:22" ht="13" customHeight="1" x14ac:dyDescent="0.2">
      <c r="A147" s="1348" t="s">
        <v>59</v>
      </c>
      <c r="B147" s="1349"/>
      <c r="C147" s="322" t="s">
        <v>169</v>
      </c>
      <c r="D147" s="322" t="s">
        <v>328</v>
      </c>
      <c r="E147" s="322" t="s">
        <v>85</v>
      </c>
      <c r="F147" s="1350"/>
      <c r="G147" s="1350"/>
      <c r="H147" s="322"/>
      <c r="I147" s="322"/>
      <c r="J147" s="322"/>
      <c r="K147" s="322"/>
      <c r="L147" s="322" t="s">
        <v>225</v>
      </c>
      <c r="M147" s="322"/>
      <c r="N147" s="322"/>
      <c r="O147" s="322" t="s">
        <v>171</v>
      </c>
      <c r="P147" s="370"/>
      <c r="Q147" s="32"/>
      <c r="R147" s="32"/>
      <c r="S147" s="32"/>
      <c r="T147" s="32"/>
      <c r="U147" s="32"/>
      <c r="V147" s="32"/>
    </row>
    <row r="148" spans="1:22" ht="13" customHeight="1" x14ac:dyDescent="0.2">
      <c r="A148" s="373"/>
      <c r="B148" s="297"/>
      <c r="C148" s="293"/>
      <c r="D148" s="294"/>
      <c r="E148" s="294"/>
      <c r="F148" s="299"/>
      <c r="G148" s="300"/>
      <c r="H148" s="295"/>
      <c r="I148" s="295"/>
      <c r="J148" s="295"/>
      <c r="K148" s="295"/>
      <c r="L148" s="301"/>
      <c r="M148" s="296"/>
      <c r="N148" s="296"/>
      <c r="O148" s="302">
        <f>IF(D148="E",(E148*L148)/(1-'CO Set Up'!$J$17),0)+IF(D148="S",(E148*L148)/(1-'CO Set Up'!$K$17),0)+IF(D148="SC",(E148*L148)/(1-'CO Set Up'!$L$17),0)</f>
        <v>0</v>
      </c>
      <c r="P148" s="370"/>
      <c r="Q148" s="32"/>
      <c r="R148" s="32"/>
      <c r="S148" s="32"/>
      <c r="T148" s="32"/>
      <c r="U148" s="32"/>
      <c r="V148" s="32"/>
    </row>
    <row r="149" spans="1:22" ht="13" hidden="1" customHeight="1" x14ac:dyDescent="0.2">
      <c r="A149" s="374"/>
      <c r="B149" s="298"/>
      <c r="C149" s="293"/>
      <c r="D149" s="294"/>
      <c r="E149" s="294"/>
      <c r="F149" s="299"/>
      <c r="G149" s="300"/>
      <c r="H149" s="295"/>
      <c r="I149" s="295"/>
      <c r="J149" s="295"/>
      <c r="K149" s="295"/>
      <c r="L149" s="301"/>
      <c r="M149" s="296"/>
      <c r="N149" s="296"/>
      <c r="O149" s="303">
        <f>IF(D149="E",(E149*L149)/(1-'CO Set Up'!$J$17),0)+IF(D149="S",(E149*L149)/(1-'CO Set Up'!$K$17),0)+IF(D149="SC",(E149*L149)/(1-'CO Set Up'!$L$17),0)</f>
        <v>0</v>
      </c>
      <c r="P149" s="370"/>
      <c r="Q149" s="32"/>
      <c r="R149" s="32"/>
      <c r="S149" s="32"/>
      <c r="T149" s="32"/>
      <c r="U149" s="32"/>
      <c r="V149" s="32"/>
    </row>
    <row r="150" spans="1:22" ht="13" customHeight="1" thickBot="1" x14ac:dyDescent="0.25">
      <c r="A150" s="375" t="s">
        <v>334</v>
      </c>
      <c r="B150" s="315"/>
      <c r="C150" s="307" t="s">
        <v>335</v>
      </c>
      <c r="D150" s="315"/>
      <c r="E150" s="315"/>
      <c r="F150" s="315"/>
      <c r="G150" s="315"/>
      <c r="H150" s="290"/>
      <c r="I150" s="290"/>
      <c r="J150" s="290"/>
      <c r="K150" s="290"/>
      <c r="L150" s="304" t="s">
        <v>336</v>
      </c>
      <c r="M150" s="304"/>
      <c r="N150" s="304"/>
      <c r="O150" s="316">
        <f>SUM(O148:O149)</f>
        <v>0</v>
      </c>
      <c r="P150" s="370"/>
      <c r="Q150" s="32"/>
      <c r="R150" s="32"/>
      <c r="S150" s="32"/>
      <c r="T150" s="32"/>
      <c r="U150" s="32"/>
      <c r="V150" s="32"/>
    </row>
    <row r="151" spans="1:22" ht="13" customHeight="1" x14ac:dyDescent="0.2">
      <c r="A151" s="376"/>
      <c r="B151" s="315"/>
      <c r="C151" s="315"/>
      <c r="D151" s="315"/>
      <c r="E151" s="315"/>
      <c r="F151" s="315"/>
      <c r="G151" s="315"/>
      <c r="H151" s="290"/>
      <c r="I151" s="290"/>
      <c r="J151" s="290"/>
      <c r="K151" s="290"/>
      <c r="L151" s="1351" t="s">
        <v>337</v>
      </c>
      <c r="M151" s="1351"/>
      <c r="N151" s="1351"/>
      <c r="O151" s="317">
        <f>IF('CO Set Up'!H145="yes",-(G145*'Admin Set Up'!$B$13),0)</f>
        <v>0</v>
      </c>
      <c r="P151" s="370"/>
      <c r="Q151" s="32"/>
      <c r="R151" s="32"/>
      <c r="S151" s="32"/>
      <c r="T151" s="32"/>
      <c r="U151" s="32"/>
      <c r="V151" s="32"/>
    </row>
    <row r="152" spans="1:22" ht="13" customHeight="1" x14ac:dyDescent="0.2">
      <c r="A152" s="377"/>
      <c r="B152" s="318"/>
      <c r="C152" s="318"/>
      <c r="D152" s="318"/>
      <c r="E152" s="318"/>
      <c r="F152" s="318"/>
      <c r="G152" s="318"/>
      <c r="H152" s="319"/>
      <c r="I152" s="319"/>
      <c r="J152" s="319"/>
      <c r="K152" s="319"/>
      <c r="L152" s="1351" t="s">
        <v>61</v>
      </c>
      <c r="M152" s="1351"/>
      <c r="N152" s="1351"/>
      <c r="O152" s="320">
        <f>IF('CO Set Up'!H146="yes",(O145+O150+O151)*'Admin Set Up'!B147,0)</f>
        <v>0</v>
      </c>
      <c r="P152" s="370"/>
      <c r="Q152" s="32"/>
      <c r="R152" s="32"/>
      <c r="S152" s="32"/>
      <c r="T152" s="32"/>
      <c r="U152" s="32"/>
      <c r="V152" s="32"/>
    </row>
    <row r="153" spans="1:22" ht="16" thickBot="1" x14ac:dyDescent="0.25">
      <c r="A153" s="378" t="s">
        <v>338</v>
      </c>
      <c r="B153" s="379"/>
      <c r="C153" s="379"/>
      <c r="D153" s="379"/>
      <c r="E153" s="379"/>
      <c r="F153" s="379"/>
      <c r="G153" s="379"/>
      <c r="H153" s="379"/>
      <c r="I153" s="379"/>
      <c r="J153" s="379"/>
      <c r="K153" s="379"/>
      <c r="L153" s="379"/>
      <c r="M153" s="379"/>
      <c r="N153" s="379"/>
      <c r="O153" s="380">
        <f>+O145+O150+O151+O152</f>
        <v>0</v>
      </c>
      <c r="P153" s="381"/>
      <c r="Q153" s="32"/>
      <c r="R153" s="32"/>
      <c r="S153" s="32"/>
      <c r="T153" s="32"/>
      <c r="U153" s="32"/>
      <c r="V153" s="32"/>
    </row>
    <row r="154" spans="1:22" ht="17" thickTop="1" thickBot="1" x14ac:dyDescent="0.25"/>
    <row r="155" spans="1:22" ht="15" customHeight="1" thickTop="1" thickBot="1" x14ac:dyDescent="0.25">
      <c r="A155" s="364" t="s">
        <v>301</v>
      </c>
      <c r="B155" s="365"/>
      <c r="C155" s="366" t="s">
        <v>358</v>
      </c>
      <c r="D155" s="367"/>
      <c r="E155" s="367"/>
      <c r="F155" s="367"/>
      <c r="G155" s="367"/>
      <c r="H155" s="367"/>
      <c r="I155" s="367"/>
      <c r="J155" s="367"/>
      <c r="K155" s="367"/>
      <c r="L155" s="367"/>
      <c r="M155" s="367"/>
      <c r="N155" s="367"/>
      <c r="O155" s="367"/>
      <c r="P155" s="368"/>
      <c r="Q155" s="419"/>
      <c r="R155" s="419"/>
      <c r="S155" s="419"/>
      <c r="T155" s="419"/>
      <c r="U155" s="419"/>
      <c r="V155" s="419"/>
    </row>
    <row r="156" spans="1:22" ht="17" thickBot="1" x14ac:dyDescent="0.3">
      <c r="A156" s="434"/>
      <c r="B156" s="1345"/>
      <c r="C156" s="1346"/>
      <c r="D156" s="1346"/>
      <c r="E156" s="1346"/>
      <c r="F156" s="1346"/>
      <c r="G156" s="1347"/>
      <c r="H156" s="258"/>
      <c r="I156" s="258"/>
      <c r="J156" s="258"/>
      <c r="K156" s="258"/>
      <c r="L156" s="432"/>
      <c r="M156" s="432"/>
      <c r="N156" s="432"/>
      <c r="O156" s="432"/>
      <c r="P156" s="433"/>
      <c r="Q156" s="430"/>
      <c r="R156" s="92"/>
      <c r="S156" s="92"/>
      <c r="T156" s="92"/>
      <c r="U156" s="431"/>
      <c r="V156" s="92"/>
    </row>
    <row r="157" spans="1:22" ht="51" customHeight="1" thickBot="1" x14ac:dyDescent="0.25">
      <c r="A157" s="382" t="s">
        <v>209</v>
      </c>
      <c r="B157" s="383" t="s">
        <v>210</v>
      </c>
      <c r="C157" s="384" t="s">
        <v>169</v>
      </c>
      <c r="D157" s="383" t="s">
        <v>212</v>
      </c>
      <c r="E157" s="385" t="s">
        <v>327</v>
      </c>
      <c r="F157" s="305" t="s">
        <v>215</v>
      </c>
      <c r="G157" s="386" t="s">
        <v>217</v>
      </c>
      <c r="H157" s="387" t="s">
        <v>218</v>
      </c>
      <c r="I157" s="387" t="s">
        <v>219</v>
      </c>
      <c r="J157" s="387" t="s">
        <v>220</v>
      </c>
      <c r="K157" s="387" t="s">
        <v>221</v>
      </c>
      <c r="L157" s="387" t="s">
        <v>222</v>
      </c>
      <c r="M157" s="387" t="s">
        <v>223</v>
      </c>
      <c r="N157" s="387" t="s">
        <v>213</v>
      </c>
      <c r="O157" s="385" t="s">
        <v>31</v>
      </c>
      <c r="P157" s="369">
        <v>11</v>
      </c>
      <c r="Q157" s="436" t="s">
        <v>345</v>
      </c>
      <c r="R157" s="409" t="s">
        <v>349</v>
      </c>
      <c r="S157" s="409" t="s">
        <v>348</v>
      </c>
      <c r="T157" s="410" t="s">
        <v>346</v>
      </c>
      <c r="U157" s="411" t="s">
        <v>347</v>
      </c>
      <c r="V157" s="412" t="s">
        <v>350</v>
      </c>
    </row>
    <row r="158" spans="1:22" ht="13" customHeight="1" thickBot="1" x14ac:dyDescent="0.25">
      <c r="A158" s="388"/>
      <c r="B158" s="398"/>
      <c r="C158" s="288"/>
      <c r="D158" s="390"/>
      <c r="E158" s="391"/>
      <c r="F158" s="392"/>
      <c r="G158" s="393">
        <f>IF(B158=0,0,A158/B158)</f>
        <v>0</v>
      </c>
      <c r="H158" s="394">
        <f>+'CO Set Up'!$B$24</f>
        <v>54.653594771241835</v>
      </c>
      <c r="I158" s="394">
        <f>+'CO Set Up'!$C$24</f>
        <v>58.690196078431363</v>
      </c>
      <c r="J158" s="394">
        <f>+'CO Set Up'!$D$24</f>
        <v>61.381263616557739</v>
      </c>
      <c r="K158" s="394">
        <f>IF(F158=40,H158,0)+IF(F158=50,I158,0)+IF(F158=60,J158,0)</f>
        <v>0</v>
      </c>
      <c r="L158" s="393">
        <f>IF(D158=0,0,A158/D158)</f>
        <v>0</v>
      </c>
      <c r="M158" s="395">
        <f>+G158*K158</f>
        <v>0</v>
      </c>
      <c r="N158" s="395">
        <f>IF('CO Set Up'!$H$9="yes",(L158*E158)/(1-'CO Set Up'!$I$17)+(('Change Order'!L158*'Change Order'!E158)*'Admin Set Up'!$B$11),L158*E158/(1-'CO Set Up'!$I$17))</f>
        <v>0</v>
      </c>
      <c r="O158" s="396">
        <f>SUM(M158:N158)</f>
        <v>0</v>
      </c>
      <c r="P158" s="397"/>
      <c r="Q158" s="403" t="s">
        <v>2</v>
      </c>
      <c r="R158" s="437">
        <f>IF(Q158="no",O168,0)</f>
        <v>0</v>
      </c>
      <c r="S158" s="438">
        <f>IF(Q158="yes",O168,0)</f>
        <v>0</v>
      </c>
      <c r="T158" s="439">
        <f>IF(Q158="yes",G160*V158,0)</f>
        <v>0</v>
      </c>
      <c r="U158" s="440"/>
      <c r="V158" s="413">
        <v>1</v>
      </c>
    </row>
    <row r="159" spans="1:22" ht="13" hidden="1" customHeight="1" thickBot="1" x14ac:dyDescent="0.25">
      <c r="A159" s="399"/>
      <c r="B159" s="389"/>
      <c r="C159" s="402"/>
      <c r="D159" s="400"/>
      <c r="E159" s="401"/>
      <c r="F159" s="392"/>
      <c r="G159" s="393">
        <f>IF(B159=0,0,A159/B159)</f>
        <v>0</v>
      </c>
      <c r="H159" s="394">
        <f>+H158</f>
        <v>54.653594771241835</v>
      </c>
      <c r="I159" s="394">
        <f>+I158</f>
        <v>58.690196078431363</v>
      </c>
      <c r="J159" s="394">
        <f>+J158</f>
        <v>61.381263616557739</v>
      </c>
      <c r="K159" s="394">
        <f>IF(F159=40,H159,0)+IF(F159=50,I159,0)+IF(F159=60,J159,0)</f>
        <v>0</v>
      </c>
      <c r="L159" s="393">
        <f>IF(D159=0,0,A159/D159)</f>
        <v>0</v>
      </c>
      <c r="M159" s="395">
        <f>+G159*K159</f>
        <v>0</v>
      </c>
      <c r="N159" s="395">
        <f>IF('CO Set Up'!$H$9="yes",(L159*E159)/(1-'CO Set Up'!$I$17)+(('Change Order'!L159*'Change Order'!E159)*'Admin Set Up'!$B$11),L159*E159/(1-'CO Set Up'!$I$17))</f>
        <v>0</v>
      </c>
      <c r="O159" s="396">
        <f>SUM(M159:N159)</f>
        <v>0</v>
      </c>
      <c r="P159" s="370"/>
      <c r="Q159" s="153"/>
      <c r="R159" s="153"/>
      <c r="S159" s="153"/>
      <c r="T159" s="153"/>
      <c r="U159" s="153"/>
      <c r="V159" s="153"/>
    </row>
    <row r="160" spans="1:22" ht="13" customHeight="1" thickBot="1" x14ac:dyDescent="0.25">
      <c r="A160" s="371" t="s">
        <v>334</v>
      </c>
      <c r="B160" s="306"/>
      <c r="C160" s="307" t="s">
        <v>333</v>
      </c>
      <c r="D160" s="306"/>
      <c r="E160" s="306"/>
      <c r="F160" s="289"/>
      <c r="G160" s="308">
        <f>SUM(G158:G159)</f>
        <v>0</v>
      </c>
      <c r="H160" s="306"/>
      <c r="I160" s="306"/>
      <c r="J160" s="306"/>
      <c r="K160" s="306"/>
      <c r="L160" s="309">
        <f>SUM(L158:L159)</f>
        <v>0</v>
      </c>
      <c r="M160" s="310">
        <f>SUM(M158:M159)</f>
        <v>0</v>
      </c>
      <c r="N160" s="310">
        <f>SUM(N158:N159)</f>
        <v>0</v>
      </c>
      <c r="O160" s="311">
        <f>SUM(O158:O159)</f>
        <v>0</v>
      </c>
      <c r="P160" s="370"/>
      <c r="Q160" s="32"/>
      <c r="R160" s="32"/>
      <c r="S160" s="32"/>
      <c r="T160" s="32"/>
      <c r="U160" s="32"/>
      <c r="V160" s="32"/>
    </row>
    <row r="161" spans="1:22" ht="13" customHeight="1" x14ac:dyDescent="0.2">
      <c r="A161" s="372"/>
      <c r="B161" s="312"/>
      <c r="C161" s="313"/>
      <c r="D161" s="313"/>
      <c r="E161" s="313"/>
      <c r="F161" s="313"/>
      <c r="G161" s="313"/>
      <c r="H161" s="313"/>
      <c r="I161" s="313"/>
      <c r="J161" s="313"/>
      <c r="K161" s="313"/>
      <c r="L161" s="313"/>
      <c r="M161" s="313"/>
      <c r="N161" s="313"/>
      <c r="O161" s="313"/>
      <c r="P161" s="370"/>
      <c r="Q161" s="32"/>
      <c r="R161" s="32"/>
      <c r="S161" s="32"/>
      <c r="T161" s="32"/>
      <c r="U161" s="32"/>
      <c r="V161" s="32"/>
    </row>
    <row r="162" spans="1:22" ht="13" customHeight="1" x14ac:dyDescent="0.2">
      <c r="A162" s="1348" t="s">
        <v>59</v>
      </c>
      <c r="B162" s="1349"/>
      <c r="C162" s="322" t="s">
        <v>169</v>
      </c>
      <c r="D162" s="322" t="s">
        <v>328</v>
      </c>
      <c r="E162" s="322" t="s">
        <v>85</v>
      </c>
      <c r="F162" s="1350"/>
      <c r="G162" s="1350"/>
      <c r="H162" s="322"/>
      <c r="I162" s="322"/>
      <c r="J162" s="322"/>
      <c r="K162" s="322"/>
      <c r="L162" s="322" t="s">
        <v>225</v>
      </c>
      <c r="M162" s="322"/>
      <c r="N162" s="322"/>
      <c r="O162" s="322" t="s">
        <v>171</v>
      </c>
      <c r="P162" s="370"/>
      <c r="Q162" s="32"/>
      <c r="R162" s="32"/>
      <c r="S162" s="32"/>
      <c r="T162" s="32"/>
      <c r="U162" s="32"/>
      <c r="V162" s="32"/>
    </row>
    <row r="163" spans="1:22" ht="13" customHeight="1" x14ac:dyDescent="0.2">
      <c r="A163" s="373"/>
      <c r="B163" s="297"/>
      <c r="C163" s="293"/>
      <c r="D163" s="294"/>
      <c r="E163" s="294"/>
      <c r="F163" s="299"/>
      <c r="G163" s="300"/>
      <c r="H163" s="295"/>
      <c r="I163" s="295"/>
      <c r="J163" s="295"/>
      <c r="K163" s="295"/>
      <c r="L163" s="301"/>
      <c r="M163" s="296"/>
      <c r="N163" s="296"/>
      <c r="O163" s="302">
        <f>IF(D163="E",(E163*L163)/(1-'CO Set Up'!$J$17),0)+IF(D163="S",(E163*L163)/(1-'CO Set Up'!$K$17),0)+IF(D163="SC",(E163*L163)/(1-'CO Set Up'!$L$17),0)</f>
        <v>0</v>
      </c>
      <c r="P163" s="370"/>
      <c r="Q163" s="32"/>
      <c r="R163" s="32"/>
      <c r="S163" s="32"/>
      <c r="T163" s="32"/>
      <c r="U163" s="32"/>
      <c r="V163" s="32"/>
    </row>
    <row r="164" spans="1:22" ht="13" hidden="1" customHeight="1" x14ac:dyDescent="0.2">
      <c r="A164" s="374"/>
      <c r="B164" s="298"/>
      <c r="C164" s="293"/>
      <c r="D164" s="294"/>
      <c r="E164" s="294"/>
      <c r="F164" s="299"/>
      <c r="G164" s="300"/>
      <c r="H164" s="295"/>
      <c r="I164" s="295"/>
      <c r="J164" s="295"/>
      <c r="K164" s="295"/>
      <c r="L164" s="301"/>
      <c r="M164" s="296"/>
      <c r="N164" s="296"/>
      <c r="O164" s="303">
        <f>IF(D164="E",(E164*L164)/(1-'CO Set Up'!$J$17),0)+IF(D164="S",(E164*L164)/(1-'CO Set Up'!$K$17),0)+IF(D164="SC",(E164*L164)/(1-'CO Set Up'!$L$17),0)</f>
        <v>0</v>
      </c>
      <c r="P164" s="370"/>
      <c r="Q164" s="32"/>
      <c r="R164" s="32"/>
      <c r="S164" s="32"/>
      <c r="T164" s="32"/>
      <c r="U164" s="32"/>
      <c r="V164" s="32"/>
    </row>
    <row r="165" spans="1:22" ht="13" customHeight="1" thickBot="1" x14ac:dyDescent="0.25">
      <c r="A165" s="375" t="s">
        <v>334</v>
      </c>
      <c r="B165" s="315"/>
      <c r="C165" s="307" t="s">
        <v>335</v>
      </c>
      <c r="D165" s="315"/>
      <c r="E165" s="315"/>
      <c r="F165" s="315"/>
      <c r="G165" s="315"/>
      <c r="H165" s="290"/>
      <c r="I165" s="290"/>
      <c r="J165" s="290"/>
      <c r="K165" s="290"/>
      <c r="L165" s="304" t="s">
        <v>336</v>
      </c>
      <c r="M165" s="304"/>
      <c r="N165" s="304"/>
      <c r="O165" s="316">
        <f>SUM(O163:O164)</f>
        <v>0</v>
      </c>
      <c r="P165" s="370"/>
      <c r="Q165" s="32"/>
      <c r="R165" s="32"/>
      <c r="S165" s="32"/>
      <c r="T165" s="32"/>
      <c r="U165" s="32"/>
      <c r="V165" s="32"/>
    </row>
    <row r="166" spans="1:22" ht="13" customHeight="1" x14ac:dyDescent="0.2">
      <c r="A166" s="376"/>
      <c r="B166" s="315"/>
      <c r="C166" s="315"/>
      <c r="D166" s="315"/>
      <c r="E166" s="315"/>
      <c r="F166" s="315"/>
      <c r="G166" s="315"/>
      <c r="H166" s="290"/>
      <c r="I166" s="290"/>
      <c r="J166" s="290"/>
      <c r="K166" s="290"/>
      <c r="L166" s="1351" t="s">
        <v>337</v>
      </c>
      <c r="M166" s="1351"/>
      <c r="N166" s="1351"/>
      <c r="O166" s="317">
        <f>IF('CO Set Up'!H160="yes",-(G160*'Admin Set Up'!$B$13),0)</f>
        <v>0</v>
      </c>
      <c r="P166" s="370"/>
      <c r="Q166" s="32"/>
      <c r="R166" s="32"/>
      <c r="S166" s="32"/>
      <c r="T166" s="32"/>
      <c r="U166" s="32"/>
      <c r="V166" s="32"/>
    </row>
    <row r="167" spans="1:22" ht="13" customHeight="1" x14ac:dyDescent="0.2">
      <c r="A167" s="377"/>
      <c r="B167" s="318"/>
      <c r="C167" s="318"/>
      <c r="D167" s="318"/>
      <c r="E167" s="318"/>
      <c r="F167" s="318"/>
      <c r="G167" s="318"/>
      <c r="H167" s="319"/>
      <c r="I167" s="319"/>
      <c r="J167" s="319"/>
      <c r="K167" s="319"/>
      <c r="L167" s="1351" t="s">
        <v>61</v>
      </c>
      <c r="M167" s="1351"/>
      <c r="N167" s="1351"/>
      <c r="O167" s="320">
        <f>IF('CO Set Up'!H161="yes",(O160+O165+O166)*'Admin Set Up'!B162,0)</f>
        <v>0</v>
      </c>
      <c r="P167" s="370"/>
      <c r="Q167" s="32"/>
      <c r="R167" s="32"/>
      <c r="S167" s="32"/>
      <c r="T167" s="32"/>
      <c r="U167" s="32"/>
      <c r="V167" s="32"/>
    </row>
    <row r="168" spans="1:22" ht="16" thickBot="1" x14ac:dyDescent="0.25">
      <c r="A168" s="378" t="s">
        <v>338</v>
      </c>
      <c r="B168" s="379"/>
      <c r="C168" s="379"/>
      <c r="D168" s="379"/>
      <c r="E168" s="379"/>
      <c r="F168" s="379"/>
      <c r="G168" s="379"/>
      <c r="H168" s="379"/>
      <c r="I168" s="379"/>
      <c r="J168" s="379"/>
      <c r="K168" s="379"/>
      <c r="L168" s="379"/>
      <c r="M168" s="379"/>
      <c r="N168" s="379"/>
      <c r="O168" s="380">
        <f>+O160+O165+O166+O167</f>
        <v>0</v>
      </c>
      <c r="P168" s="381"/>
      <c r="Q168" s="32"/>
      <c r="R168" s="32"/>
      <c r="S168" s="32"/>
      <c r="T168" s="32"/>
      <c r="U168" s="32"/>
      <c r="V168" s="32"/>
    </row>
    <row r="169" spans="1:22" ht="17" thickTop="1" thickBot="1" x14ac:dyDescent="0.25"/>
    <row r="170" spans="1:22" ht="15" customHeight="1" thickTop="1" thickBot="1" x14ac:dyDescent="0.25">
      <c r="A170" s="364" t="s">
        <v>301</v>
      </c>
      <c r="B170" s="365"/>
      <c r="C170" s="366" t="s">
        <v>358</v>
      </c>
      <c r="D170" s="367"/>
      <c r="E170" s="367"/>
      <c r="F170" s="367"/>
      <c r="G170" s="367"/>
      <c r="H170" s="367"/>
      <c r="I170" s="367"/>
      <c r="J170" s="367"/>
      <c r="K170" s="367"/>
      <c r="L170" s="367"/>
      <c r="M170" s="367"/>
      <c r="N170" s="367"/>
      <c r="O170" s="367"/>
      <c r="P170" s="368"/>
      <c r="Q170" s="419"/>
      <c r="R170" s="419"/>
      <c r="S170" s="419"/>
      <c r="T170" s="419"/>
      <c r="U170" s="419"/>
      <c r="V170" s="419"/>
    </row>
    <row r="171" spans="1:22" ht="17" thickBot="1" x14ac:dyDescent="0.3">
      <c r="A171" s="434"/>
      <c r="B171" s="1345"/>
      <c r="C171" s="1346"/>
      <c r="D171" s="1346"/>
      <c r="E171" s="1346"/>
      <c r="F171" s="1346"/>
      <c r="G171" s="1347"/>
      <c r="H171" s="258"/>
      <c r="I171" s="258"/>
      <c r="J171" s="258"/>
      <c r="K171" s="258"/>
      <c r="L171" s="432"/>
      <c r="M171" s="432"/>
      <c r="N171" s="432"/>
      <c r="O171" s="432"/>
      <c r="P171" s="433"/>
      <c r="Q171" s="430"/>
      <c r="R171" s="92"/>
      <c r="S171" s="92"/>
      <c r="T171" s="92"/>
      <c r="U171" s="431"/>
      <c r="V171" s="92"/>
    </row>
    <row r="172" spans="1:22" ht="51" customHeight="1" thickBot="1" x14ac:dyDescent="0.25">
      <c r="A172" s="382" t="s">
        <v>209</v>
      </c>
      <c r="B172" s="383" t="s">
        <v>210</v>
      </c>
      <c r="C172" s="384" t="s">
        <v>169</v>
      </c>
      <c r="D172" s="383" t="s">
        <v>212</v>
      </c>
      <c r="E172" s="385" t="s">
        <v>327</v>
      </c>
      <c r="F172" s="305" t="s">
        <v>215</v>
      </c>
      <c r="G172" s="386" t="s">
        <v>217</v>
      </c>
      <c r="H172" s="387" t="s">
        <v>218</v>
      </c>
      <c r="I172" s="387" t="s">
        <v>219</v>
      </c>
      <c r="J172" s="387" t="s">
        <v>220</v>
      </c>
      <c r="K172" s="387" t="s">
        <v>221</v>
      </c>
      <c r="L172" s="387" t="s">
        <v>222</v>
      </c>
      <c r="M172" s="387" t="s">
        <v>223</v>
      </c>
      <c r="N172" s="387" t="s">
        <v>213</v>
      </c>
      <c r="O172" s="385" t="s">
        <v>31</v>
      </c>
      <c r="P172" s="369">
        <v>12</v>
      </c>
      <c r="Q172" s="436" t="s">
        <v>345</v>
      </c>
      <c r="R172" s="409" t="s">
        <v>349</v>
      </c>
      <c r="S172" s="409" t="s">
        <v>348</v>
      </c>
      <c r="T172" s="410" t="s">
        <v>346</v>
      </c>
      <c r="U172" s="411" t="s">
        <v>347</v>
      </c>
      <c r="V172" s="412" t="s">
        <v>350</v>
      </c>
    </row>
    <row r="173" spans="1:22" ht="13" customHeight="1" thickBot="1" x14ac:dyDescent="0.25">
      <c r="A173" s="388"/>
      <c r="B173" s="398"/>
      <c r="C173" s="288"/>
      <c r="D173" s="390"/>
      <c r="E173" s="391"/>
      <c r="F173" s="392"/>
      <c r="G173" s="393">
        <f>IF(B173=0,0,A173/B173)</f>
        <v>0</v>
      </c>
      <c r="H173" s="394">
        <f>+'CO Set Up'!$B$24</f>
        <v>54.653594771241835</v>
      </c>
      <c r="I173" s="394">
        <f>+'CO Set Up'!$C$24</f>
        <v>58.690196078431363</v>
      </c>
      <c r="J173" s="394">
        <f>+'CO Set Up'!$D$24</f>
        <v>61.381263616557739</v>
      </c>
      <c r="K173" s="394">
        <f>IF(F173=40,H173,0)+IF(F173=50,I173,0)+IF(F173=60,J173,0)</f>
        <v>0</v>
      </c>
      <c r="L173" s="393">
        <f>IF(D173=0,0,A173/D173)</f>
        <v>0</v>
      </c>
      <c r="M173" s="395">
        <f>+G173*K173</f>
        <v>0</v>
      </c>
      <c r="N173" s="395">
        <f>IF('CO Set Up'!$H$9="yes",(L173*E173)/(1-'CO Set Up'!$I$17)+(('Change Order'!L173*'Change Order'!E173)*'Admin Set Up'!$B$11),L173*E173/(1-'CO Set Up'!$I$17))</f>
        <v>0</v>
      </c>
      <c r="O173" s="396">
        <f>SUM(M173:N173)</f>
        <v>0</v>
      </c>
      <c r="P173" s="397"/>
      <c r="Q173" s="403" t="s">
        <v>2</v>
      </c>
      <c r="R173" s="437">
        <f>IF(Q173="no",O183,0)</f>
        <v>0</v>
      </c>
      <c r="S173" s="438">
        <f>IF(Q173="yes",O183,0)</f>
        <v>0</v>
      </c>
      <c r="T173" s="439">
        <f>IF(Q173="yes",G175*V173,0)</f>
        <v>0</v>
      </c>
      <c r="U173" s="440"/>
      <c r="V173" s="413">
        <v>1</v>
      </c>
    </row>
    <row r="174" spans="1:22" ht="13" hidden="1" customHeight="1" thickBot="1" x14ac:dyDescent="0.25">
      <c r="A174" s="399"/>
      <c r="B174" s="389"/>
      <c r="C174" s="402"/>
      <c r="D174" s="400"/>
      <c r="E174" s="401"/>
      <c r="F174" s="392"/>
      <c r="G174" s="393">
        <f>IF(B174=0,0,A174/B174)</f>
        <v>0</v>
      </c>
      <c r="H174" s="394">
        <f>+H173</f>
        <v>54.653594771241835</v>
      </c>
      <c r="I174" s="394">
        <f>+I173</f>
        <v>58.690196078431363</v>
      </c>
      <c r="J174" s="394">
        <f>+J173</f>
        <v>61.381263616557739</v>
      </c>
      <c r="K174" s="394">
        <f>IF(F174=40,H174,0)+IF(F174=50,I174,0)+IF(F174=60,J174,0)</f>
        <v>0</v>
      </c>
      <c r="L174" s="393">
        <f>IF(D174=0,0,A174/D174)</f>
        <v>0</v>
      </c>
      <c r="M174" s="395">
        <f>+G174*K174</f>
        <v>0</v>
      </c>
      <c r="N174" s="395">
        <f>IF('CO Set Up'!$H$9="yes",(L174*E174)/(1-'CO Set Up'!$I$17)+(('Change Order'!L174*'Change Order'!E174)*'Admin Set Up'!$B$11),L174*E174/(1-'CO Set Up'!$I$17))</f>
        <v>0</v>
      </c>
      <c r="O174" s="396">
        <f>SUM(M174:N174)</f>
        <v>0</v>
      </c>
      <c r="P174" s="370"/>
      <c r="Q174" s="153"/>
      <c r="R174" s="153"/>
      <c r="S174" s="153"/>
      <c r="T174" s="153"/>
      <c r="U174" s="153"/>
      <c r="V174" s="153"/>
    </row>
    <row r="175" spans="1:22" ht="13" customHeight="1" thickBot="1" x14ac:dyDescent="0.25">
      <c r="A175" s="371" t="s">
        <v>334</v>
      </c>
      <c r="B175" s="306"/>
      <c r="C175" s="307" t="s">
        <v>333</v>
      </c>
      <c r="D175" s="306"/>
      <c r="E175" s="306"/>
      <c r="F175" s="289"/>
      <c r="G175" s="308">
        <f>SUM(G173:G174)</f>
        <v>0</v>
      </c>
      <c r="H175" s="306"/>
      <c r="I175" s="306"/>
      <c r="J175" s="306"/>
      <c r="K175" s="306"/>
      <c r="L175" s="309">
        <f>SUM(L173:L174)</f>
        <v>0</v>
      </c>
      <c r="M175" s="310">
        <f>SUM(M173:M174)</f>
        <v>0</v>
      </c>
      <c r="N175" s="310">
        <f>SUM(N173:N174)</f>
        <v>0</v>
      </c>
      <c r="O175" s="311">
        <f>SUM(O173:O174)</f>
        <v>0</v>
      </c>
      <c r="P175" s="370"/>
      <c r="Q175" s="32"/>
      <c r="R175" s="32"/>
      <c r="S175" s="32"/>
      <c r="T175" s="32"/>
      <c r="U175" s="32"/>
      <c r="V175" s="32"/>
    </row>
    <row r="176" spans="1:22" ht="13" customHeight="1" x14ac:dyDescent="0.2">
      <c r="A176" s="372"/>
      <c r="B176" s="312"/>
      <c r="C176" s="313"/>
      <c r="D176" s="313"/>
      <c r="E176" s="313"/>
      <c r="F176" s="313"/>
      <c r="G176" s="313"/>
      <c r="H176" s="313"/>
      <c r="I176" s="313"/>
      <c r="J176" s="313"/>
      <c r="K176" s="313"/>
      <c r="L176" s="313"/>
      <c r="M176" s="313"/>
      <c r="N176" s="313"/>
      <c r="O176" s="313"/>
      <c r="P176" s="370"/>
      <c r="Q176" s="32"/>
      <c r="R176" s="32"/>
      <c r="S176" s="32"/>
      <c r="T176" s="32"/>
      <c r="U176" s="32"/>
      <c r="V176" s="32"/>
    </row>
    <row r="177" spans="1:22" ht="13" customHeight="1" x14ac:dyDescent="0.2">
      <c r="A177" s="1348" t="s">
        <v>59</v>
      </c>
      <c r="B177" s="1349"/>
      <c r="C177" s="322" t="s">
        <v>169</v>
      </c>
      <c r="D177" s="322" t="s">
        <v>328</v>
      </c>
      <c r="E177" s="322" t="s">
        <v>85</v>
      </c>
      <c r="F177" s="1350"/>
      <c r="G177" s="1350"/>
      <c r="H177" s="322"/>
      <c r="I177" s="322"/>
      <c r="J177" s="322"/>
      <c r="K177" s="322"/>
      <c r="L177" s="322" t="s">
        <v>225</v>
      </c>
      <c r="M177" s="322"/>
      <c r="N177" s="322"/>
      <c r="O177" s="322" t="s">
        <v>171</v>
      </c>
      <c r="P177" s="370"/>
      <c r="Q177" s="32"/>
      <c r="R177" s="32"/>
      <c r="S177" s="32"/>
      <c r="T177" s="32"/>
      <c r="U177" s="32"/>
      <c r="V177" s="32"/>
    </row>
    <row r="178" spans="1:22" ht="13" customHeight="1" x14ac:dyDescent="0.2">
      <c r="A178" s="373"/>
      <c r="B178" s="297"/>
      <c r="C178" s="293"/>
      <c r="D178" s="294"/>
      <c r="E178" s="294"/>
      <c r="F178" s="299"/>
      <c r="G178" s="300"/>
      <c r="H178" s="295"/>
      <c r="I178" s="295"/>
      <c r="J178" s="295"/>
      <c r="K178" s="295"/>
      <c r="L178" s="301"/>
      <c r="M178" s="296"/>
      <c r="N178" s="296"/>
      <c r="O178" s="302">
        <f>IF(D178="E",(E178*L178)/(1-'CO Set Up'!$J$17),0)+IF(D178="S",(E178*L178)/(1-'CO Set Up'!$K$17),0)+IF(D178="SC",(E178*L178)/(1-'CO Set Up'!$L$17),0)</f>
        <v>0</v>
      </c>
      <c r="P178" s="370"/>
      <c r="Q178" s="32"/>
      <c r="R178" s="32"/>
      <c r="S178" s="32"/>
      <c r="T178" s="32"/>
      <c r="U178" s="32"/>
      <c r="V178" s="32"/>
    </row>
    <row r="179" spans="1:22" ht="13" hidden="1" customHeight="1" x14ac:dyDescent="0.2">
      <c r="A179" s="374"/>
      <c r="B179" s="298"/>
      <c r="C179" s="293"/>
      <c r="D179" s="294"/>
      <c r="E179" s="294"/>
      <c r="F179" s="299"/>
      <c r="G179" s="300"/>
      <c r="H179" s="295"/>
      <c r="I179" s="295"/>
      <c r="J179" s="295"/>
      <c r="K179" s="295"/>
      <c r="L179" s="301"/>
      <c r="M179" s="296"/>
      <c r="N179" s="296"/>
      <c r="O179" s="303">
        <f>IF(D179="E",(E179*L179)/(1-'CO Set Up'!$J$17),0)+IF(D179="S",(E179*L179)/(1-'CO Set Up'!$K$17),0)+IF(D179="SC",(E179*L179)/(1-'CO Set Up'!$L$17),0)</f>
        <v>0</v>
      </c>
      <c r="P179" s="370"/>
      <c r="Q179" s="32"/>
      <c r="R179" s="32"/>
      <c r="S179" s="32"/>
      <c r="T179" s="32"/>
      <c r="U179" s="32"/>
      <c r="V179" s="32"/>
    </row>
    <row r="180" spans="1:22" ht="13" customHeight="1" thickBot="1" x14ac:dyDescent="0.25">
      <c r="A180" s="375" t="s">
        <v>334</v>
      </c>
      <c r="B180" s="315"/>
      <c r="C180" s="307" t="s">
        <v>335</v>
      </c>
      <c r="D180" s="315"/>
      <c r="E180" s="315"/>
      <c r="F180" s="315"/>
      <c r="G180" s="315"/>
      <c r="H180" s="290"/>
      <c r="I180" s="290"/>
      <c r="J180" s="290"/>
      <c r="K180" s="290"/>
      <c r="L180" s="304" t="s">
        <v>336</v>
      </c>
      <c r="M180" s="304"/>
      <c r="N180" s="304"/>
      <c r="O180" s="316">
        <f>SUM(O178:O179)</f>
        <v>0</v>
      </c>
      <c r="P180" s="370"/>
      <c r="Q180" s="32"/>
      <c r="R180" s="32"/>
      <c r="S180" s="32"/>
      <c r="T180" s="32"/>
      <c r="U180" s="32"/>
      <c r="V180" s="32"/>
    </row>
    <row r="181" spans="1:22" ht="13" customHeight="1" x14ac:dyDescent="0.2">
      <c r="A181" s="376"/>
      <c r="B181" s="315"/>
      <c r="C181" s="315"/>
      <c r="D181" s="315"/>
      <c r="E181" s="315"/>
      <c r="F181" s="315"/>
      <c r="G181" s="315"/>
      <c r="H181" s="290"/>
      <c r="I181" s="290"/>
      <c r="J181" s="290"/>
      <c r="K181" s="290"/>
      <c r="L181" s="1351" t="s">
        <v>337</v>
      </c>
      <c r="M181" s="1351"/>
      <c r="N181" s="1351"/>
      <c r="O181" s="317">
        <f>IF('CO Set Up'!H175="yes",-(G175*'Admin Set Up'!$B$13),0)</f>
        <v>0</v>
      </c>
      <c r="P181" s="370"/>
      <c r="Q181" s="32"/>
      <c r="R181" s="32"/>
      <c r="S181" s="32"/>
      <c r="T181" s="32"/>
      <c r="U181" s="32"/>
      <c r="V181" s="32"/>
    </row>
    <row r="182" spans="1:22" ht="13" customHeight="1" x14ac:dyDescent="0.2">
      <c r="A182" s="377"/>
      <c r="B182" s="318"/>
      <c r="C182" s="318"/>
      <c r="D182" s="318"/>
      <c r="E182" s="318"/>
      <c r="F182" s="318"/>
      <c r="G182" s="318"/>
      <c r="H182" s="319"/>
      <c r="I182" s="319"/>
      <c r="J182" s="319"/>
      <c r="K182" s="319"/>
      <c r="L182" s="1351" t="s">
        <v>61</v>
      </c>
      <c r="M182" s="1351"/>
      <c r="N182" s="1351"/>
      <c r="O182" s="320">
        <f>IF('CO Set Up'!H176="yes",(O175+O180+O181)*'Admin Set Up'!B177,0)</f>
        <v>0</v>
      </c>
      <c r="P182" s="370"/>
      <c r="Q182" s="32"/>
      <c r="R182" s="32"/>
      <c r="S182" s="32"/>
      <c r="T182" s="32"/>
      <c r="U182" s="32"/>
      <c r="V182" s="32"/>
    </row>
    <row r="183" spans="1:22" ht="16" thickBot="1" x14ac:dyDescent="0.25">
      <c r="A183" s="378" t="s">
        <v>338</v>
      </c>
      <c r="B183" s="379"/>
      <c r="C183" s="379"/>
      <c r="D183" s="379"/>
      <c r="E183" s="379"/>
      <c r="F183" s="379"/>
      <c r="G183" s="379"/>
      <c r="H183" s="379"/>
      <c r="I183" s="379"/>
      <c r="J183" s="379"/>
      <c r="K183" s="379"/>
      <c r="L183" s="379"/>
      <c r="M183" s="379"/>
      <c r="N183" s="379"/>
      <c r="O183" s="380">
        <f>+O175+O180+O181+O182</f>
        <v>0</v>
      </c>
      <c r="P183" s="381"/>
      <c r="Q183" s="32"/>
      <c r="R183" s="32"/>
      <c r="S183" s="32"/>
      <c r="T183" s="32"/>
      <c r="U183" s="32"/>
      <c r="V183" s="32"/>
    </row>
    <row r="184" spans="1:22" ht="17" thickTop="1" thickBot="1" x14ac:dyDescent="0.25"/>
    <row r="185" spans="1:22" ht="15" customHeight="1" thickTop="1" thickBot="1" x14ac:dyDescent="0.25">
      <c r="A185" s="364" t="s">
        <v>301</v>
      </c>
      <c r="B185" s="365"/>
      <c r="C185" s="366" t="s">
        <v>358</v>
      </c>
      <c r="D185" s="367"/>
      <c r="E185" s="367"/>
      <c r="F185" s="367"/>
      <c r="G185" s="367"/>
      <c r="H185" s="367"/>
      <c r="I185" s="367"/>
      <c r="J185" s="367"/>
      <c r="K185" s="367"/>
      <c r="L185" s="367"/>
      <c r="M185" s="367"/>
      <c r="N185" s="367"/>
      <c r="O185" s="367"/>
      <c r="P185" s="368"/>
      <c r="Q185" s="419"/>
      <c r="R185" s="419"/>
      <c r="S185" s="419"/>
      <c r="T185" s="419"/>
      <c r="U185" s="419"/>
      <c r="V185" s="419"/>
    </row>
    <row r="186" spans="1:22" ht="17" thickBot="1" x14ac:dyDescent="0.3">
      <c r="A186" s="434"/>
      <c r="B186" s="1345"/>
      <c r="C186" s="1346"/>
      <c r="D186" s="1346"/>
      <c r="E186" s="1346"/>
      <c r="F186" s="1346"/>
      <c r="G186" s="1347"/>
      <c r="H186" s="258"/>
      <c r="I186" s="258"/>
      <c r="J186" s="258"/>
      <c r="K186" s="258"/>
      <c r="L186" s="432"/>
      <c r="M186" s="432"/>
      <c r="N186" s="432"/>
      <c r="O186" s="432"/>
      <c r="P186" s="433"/>
      <c r="Q186" s="430"/>
      <c r="R186" s="92"/>
      <c r="S186" s="92"/>
      <c r="T186" s="92"/>
      <c r="U186" s="431"/>
      <c r="V186" s="92"/>
    </row>
    <row r="187" spans="1:22" ht="51" customHeight="1" thickBot="1" x14ac:dyDescent="0.25">
      <c r="A187" s="382" t="s">
        <v>209</v>
      </c>
      <c r="B187" s="383" t="s">
        <v>210</v>
      </c>
      <c r="C187" s="384" t="s">
        <v>169</v>
      </c>
      <c r="D187" s="383" t="s">
        <v>212</v>
      </c>
      <c r="E187" s="385" t="s">
        <v>327</v>
      </c>
      <c r="F187" s="305" t="s">
        <v>215</v>
      </c>
      <c r="G187" s="386" t="s">
        <v>217</v>
      </c>
      <c r="H187" s="387" t="s">
        <v>218</v>
      </c>
      <c r="I187" s="387" t="s">
        <v>219</v>
      </c>
      <c r="J187" s="387" t="s">
        <v>220</v>
      </c>
      <c r="K187" s="387" t="s">
        <v>221</v>
      </c>
      <c r="L187" s="387" t="s">
        <v>222</v>
      </c>
      <c r="M187" s="387" t="s">
        <v>223</v>
      </c>
      <c r="N187" s="387" t="s">
        <v>213</v>
      </c>
      <c r="O187" s="385" t="s">
        <v>31</v>
      </c>
      <c r="P187" s="369">
        <v>13</v>
      </c>
      <c r="Q187" s="436" t="s">
        <v>345</v>
      </c>
      <c r="R187" s="409" t="s">
        <v>349</v>
      </c>
      <c r="S187" s="409" t="s">
        <v>348</v>
      </c>
      <c r="T187" s="410" t="s">
        <v>346</v>
      </c>
      <c r="U187" s="411" t="s">
        <v>347</v>
      </c>
      <c r="V187" s="412" t="s">
        <v>350</v>
      </c>
    </row>
    <row r="188" spans="1:22" ht="13" customHeight="1" thickBot="1" x14ac:dyDescent="0.25">
      <c r="A188" s="388"/>
      <c r="B188" s="398"/>
      <c r="C188" s="288"/>
      <c r="D188" s="390"/>
      <c r="E188" s="391"/>
      <c r="F188" s="392"/>
      <c r="G188" s="393">
        <f>IF(B188=0,0,A188/B188)</f>
        <v>0</v>
      </c>
      <c r="H188" s="394">
        <f>+'CO Set Up'!$B$24</f>
        <v>54.653594771241835</v>
      </c>
      <c r="I188" s="394">
        <f>+'CO Set Up'!$C$24</f>
        <v>58.690196078431363</v>
      </c>
      <c r="J188" s="394">
        <f>+'CO Set Up'!$D$24</f>
        <v>61.381263616557739</v>
      </c>
      <c r="K188" s="394">
        <f>IF(F188=40,H188,0)+IF(F188=50,I188,0)+IF(F188=60,J188,0)</f>
        <v>0</v>
      </c>
      <c r="L188" s="393">
        <f>IF(D188=0,0,A188/D188)</f>
        <v>0</v>
      </c>
      <c r="M188" s="395">
        <f>+G188*K188</f>
        <v>0</v>
      </c>
      <c r="N188" s="395">
        <f>IF('CO Set Up'!$H$9="yes",(L188*E188)/(1-'CO Set Up'!$I$17)+(('Change Order'!L188*'Change Order'!E188)*'Admin Set Up'!$B$11),L188*E188/(1-'CO Set Up'!$I$17))</f>
        <v>0</v>
      </c>
      <c r="O188" s="396">
        <f>SUM(M188:N188)</f>
        <v>0</v>
      </c>
      <c r="P188" s="397"/>
      <c r="Q188" s="403" t="s">
        <v>2</v>
      </c>
      <c r="R188" s="437">
        <f>IF(Q188="no",O198,0)</f>
        <v>0</v>
      </c>
      <c r="S188" s="438">
        <f>IF(Q188="yes",O198,0)</f>
        <v>0</v>
      </c>
      <c r="T188" s="439">
        <f>IF(Q188="yes",G190*V188,0)</f>
        <v>0</v>
      </c>
      <c r="U188" s="440"/>
      <c r="V188" s="413">
        <v>1</v>
      </c>
    </row>
    <row r="189" spans="1:22" ht="13" hidden="1" customHeight="1" thickBot="1" x14ac:dyDescent="0.25">
      <c r="A189" s="399"/>
      <c r="B189" s="389"/>
      <c r="C189" s="402"/>
      <c r="D189" s="400"/>
      <c r="E189" s="401"/>
      <c r="F189" s="392"/>
      <c r="G189" s="393">
        <f>IF(B189=0,0,A189/B189)</f>
        <v>0</v>
      </c>
      <c r="H189" s="394">
        <f>+H188</f>
        <v>54.653594771241835</v>
      </c>
      <c r="I189" s="394">
        <f>+I188</f>
        <v>58.690196078431363</v>
      </c>
      <c r="J189" s="394">
        <f>+J188</f>
        <v>61.381263616557739</v>
      </c>
      <c r="K189" s="394">
        <f>IF(F189=40,H189,0)+IF(F189=50,I189,0)+IF(F189=60,J189,0)</f>
        <v>0</v>
      </c>
      <c r="L189" s="393">
        <f>IF(D189=0,0,A189/D189)</f>
        <v>0</v>
      </c>
      <c r="M189" s="395">
        <f>+G189*K189</f>
        <v>0</v>
      </c>
      <c r="N189" s="395">
        <f>IF('CO Set Up'!$H$9="yes",(L189*E189)/(1-'CO Set Up'!$I$17)+(('Change Order'!L189*'Change Order'!E189)*'Admin Set Up'!$B$11),L189*E189/(1-'CO Set Up'!$I$17))</f>
        <v>0</v>
      </c>
      <c r="O189" s="396">
        <f>SUM(M189:N189)</f>
        <v>0</v>
      </c>
      <c r="P189" s="370"/>
      <c r="Q189" s="153"/>
      <c r="R189" s="153"/>
      <c r="S189" s="153"/>
      <c r="T189" s="153"/>
      <c r="U189" s="153"/>
      <c r="V189" s="153"/>
    </row>
    <row r="190" spans="1:22" ht="13" customHeight="1" thickBot="1" x14ac:dyDescent="0.25">
      <c r="A190" s="371" t="s">
        <v>334</v>
      </c>
      <c r="B190" s="306"/>
      <c r="C190" s="307" t="s">
        <v>333</v>
      </c>
      <c r="D190" s="306"/>
      <c r="E190" s="306"/>
      <c r="F190" s="289"/>
      <c r="G190" s="308">
        <f>SUM(G188:G189)</f>
        <v>0</v>
      </c>
      <c r="H190" s="306"/>
      <c r="I190" s="306"/>
      <c r="J190" s="306"/>
      <c r="K190" s="306"/>
      <c r="L190" s="309">
        <f>SUM(L188:L189)</f>
        <v>0</v>
      </c>
      <c r="M190" s="310">
        <f>SUM(M188:M189)</f>
        <v>0</v>
      </c>
      <c r="N190" s="310">
        <f>SUM(N188:N189)</f>
        <v>0</v>
      </c>
      <c r="O190" s="311">
        <f>SUM(O188:O189)</f>
        <v>0</v>
      </c>
      <c r="P190" s="370"/>
      <c r="Q190" s="32"/>
      <c r="R190" s="32"/>
      <c r="S190" s="32"/>
      <c r="T190" s="32"/>
      <c r="U190" s="32"/>
      <c r="V190" s="32"/>
    </row>
    <row r="191" spans="1:22" ht="13" customHeight="1" x14ac:dyDescent="0.2">
      <c r="A191" s="372"/>
      <c r="B191" s="312"/>
      <c r="C191" s="313"/>
      <c r="D191" s="313"/>
      <c r="E191" s="313"/>
      <c r="F191" s="313"/>
      <c r="G191" s="313"/>
      <c r="H191" s="313"/>
      <c r="I191" s="313"/>
      <c r="J191" s="313"/>
      <c r="K191" s="313"/>
      <c r="L191" s="313"/>
      <c r="M191" s="313"/>
      <c r="N191" s="313"/>
      <c r="O191" s="313"/>
      <c r="P191" s="370"/>
      <c r="Q191" s="32"/>
      <c r="R191" s="32"/>
      <c r="S191" s="32"/>
      <c r="T191" s="32"/>
      <c r="U191" s="32"/>
      <c r="V191" s="32"/>
    </row>
    <row r="192" spans="1:22" ht="13" customHeight="1" x14ac:dyDescent="0.2">
      <c r="A192" s="1348" t="s">
        <v>59</v>
      </c>
      <c r="B192" s="1349"/>
      <c r="C192" s="322" t="s">
        <v>169</v>
      </c>
      <c r="D192" s="322" t="s">
        <v>328</v>
      </c>
      <c r="E192" s="322" t="s">
        <v>85</v>
      </c>
      <c r="F192" s="1350"/>
      <c r="G192" s="1350"/>
      <c r="H192" s="322"/>
      <c r="I192" s="322"/>
      <c r="J192" s="322"/>
      <c r="K192" s="322"/>
      <c r="L192" s="322" t="s">
        <v>225</v>
      </c>
      <c r="M192" s="322"/>
      <c r="N192" s="322"/>
      <c r="O192" s="322" t="s">
        <v>171</v>
      </c>
      <c r="P192" s="370"/>
      <c r="Q192" s="32"/>
      <c r="R192" s="32"/>
      <c r="S192" s="32"/>
      <c r="T192" s="32"/>
      <c r="U192" s="32"/>
      <c r="V192" s="32"/>
    </row>
    <row r="193" spans="1:22" ht="13" customHeight="1" x14ac:dyDescent="0.2">
      <c r="A193" s="373"/>
      <c r="B193" s="297"/>
      <c r="C193" s="293"/>
      <c r="D193" s="294"/>
      <c r="E193" s="294"/>
      <c r="F193" s="299"/>
      <c r="G193" s="300"/>
      <c r="H193" s="295"/>
      <c r="I193" s="295"/>
      <c r="J193" s="295"/>
      <c r="K193" s="295"/>
      <c r="L193" s="301"/>
      <c r="M193" s="296"/>
      <c r="N193" s="296"/>
      <c r="O193" s="302">
        <f>IF(D193="E",(E193*L193)/(1-'CO Set Up'!$J$17),0)+IF(D193="S",(E193*L193)/(1-'CO Set Up'!$K$17),0)+IF(D193="SC",(E193*L193)/(1-'CO Set Up'!$L$17),0)</f>
        <v>0</v>
      </c>
      <c r="P193" s="370"/>
      <c r="Q193" s="32"/>
      <c r="R193" s="32"/>
      <c r="S193" s="32"/>
      <c r="T193" s="32"/>
      <c r="U193" s="32"/>
      <c r="V193" s="32"/>
    </row>
    <row r="194" spans="1:22" ht="13" hidden="1" customHeight="1" x14ac:dyDescent="0.2">
      <c r="A194" s="374"/>
      <c r="B194" s="298"/>
      <c r="C194" s="293"/>
      <c r="D194" s="294"/>
      <c r="E194" s="294"/>
      <c r="F194" s="299"/>
      <c r="G194" s="300"/>
      <c r="H194" s="295"/>
      <c r="I194" s="295"/>
      <c r="J194" s="295"/>
      <c r="K194" s="295"/>
      <c r="L194" s="301"/>
      <c r="M194" s="296"/>
      <c r="N194" s="296"/>
      <c r="O194" s="303">
        <f>IF(D194="E",(E194*L194)/(1-'CO Set Up'!$J$17),0)+IF(D194="S",(E194*L194)/(1-'CO Set Up'!$K$17),0)+IF(D194="SC",(E194*L194)/(1-'CO Set Up'!$L$17),0)</f>
        <v>0</v>
      </c>
      <c r="P194" s="370"/>
      <c r="Q194" s="32"/>
      <c r="R194" s="32"/>
      <c r="S194" s="32"/>
      <c r="T194" s="32"/>
      <c r="U194" s="32"/>
      <c r="V194" s="32"/>
    </row>
    <row r="195" spans="1:22" ht="13" customHeight="1" thickBot="1" x14ac:dyDescent="0.25">
      <c r="A195" s="375" t="s">
        <v>334</v>
      </c>
      <c r="B195" s="315"/>
      <c r="C195" s="307" t="s">
        <v>335</v>
      </c>
      <c r="D195" s="315"/>
      <c r="E195" s="315"/>
      <c r="F195" s="315"/>
      <c r="G195" s="315"/>
      <c r="H195" s="290"/>
      <c r="I195" s="290"/>
      <c r="J195" s="290"/>
      <c r="K195" s="290"/>
      <c r="L195" s="304" t="s">
        <v>336</v>
      </c>
      <c r="M195" s="304"/>
      <c r="N195" s="304"/>
      <c r="O195" s="316">
        <f>SUM(O193:O194)</f>
        <v>0</v>
      </c>
      <c r="P195" s="370"/>
      <c r="Q195" s="32"/>
      <c r="R195" s="32"/>
      <c r="S195" s="32"/>
      <c r="T195" s="32"/>
      <c r="U195" s="32"/>
      <c r="V195" s="32"/>
    </row>
    <row r="196" spans="1:22" ht="13" customHeight="1" x14ac:dyDescent="0.2">
      <c r="A196" s="376"/>
      <c r="B196" s="315"/>
      <c r="C196" s="315"/>
      <c r="D196" s="315"/>
      <c r="E196" s="315"/>
      <c r="F196" s="315"/>
      <c r="G196" s="315"/>
      <c r="H196" s="290"/>
      <c r="I196" s="290"/>
      <c r="J196" s="290"/>
      <c r="K196" s="290"/>
      <c r="L196" s="1351" t="s">
        <v>337</v>
      </c>
      <c r="M196" s="1351"/>
      <c r="N196" s="1351"/>
      <c r="O196" s="317">
        <f>IF('CO Set Up'!H190="yes",-(G190*'Admin Set Up'!$B$13),0)</f>
        <v>0</v>
      </c>
      <c r="P196" s="370"/>
      <c r="Q196" s="32"/>
      <c r="R196" s="32"/>
      <c r="S196" s="32"/>
      <c r="T196" s="32"/>
      <c r="U196" s="32"/>
      <c r="V196" s="32"/>
    </row>
    <row r="197" spans="1:22" ht="13" customHeight="1" x14ac:dyDescent="0.2">
      <c r="A197" s="377"/>
      <c r="B197" s="318"/>
      <c r="C197" s="318"/>
      <c r="D197" s="318"/>
      <c r="E197" s="318"/>
      <c r="F197" s="318"/>
      <c r="G197" s="318"/>
      <c r="H197" s="319"/>
      <c r="I197" s="319"/>
      <c r="J197" s="319"/>
      <c r="K197" s="319"/>
      <c r="L197" s="1351" t="s">
        <v>61</v>
      </c>
      <c r="M197" s="1351"/>
      <c r="N197" s="1351"/>
      <c r="O197" s="320">
        <f>IF('CO Set Up'!H191="yes",(O190+O195+O196)*'Admin Set Up'!B192,0)</f>
        <v>0</v>
      </c>
      <c r="P197" s="370"/>
      <c r="Q197" s="32"/>
      <c r="R197" s="32"/>
      <c r="S197" s="32"/>
      <c r="T197" s="32"/>
      <c r="U197" s="32"/>
      <c r="V197" s="32"/>
    </row>
    <row r="198" spans="1:22" ht="16" thickBot="1" x14ac:dyDescent="0.25">
      <c r="A198" s="378" t="s">
        <v>338</v>
      </c>
      <c r="B198" s="379"/>
      <c r="C198" s="379"/>
      <c r="D198" s="379"/>
      <c r="E198" s="379"/>
      <c r="F198" s="379"/>
      <c r="G198" s="379"/>
      <c r="H198" s="379"/>
      <c r="I198" s="379"/>
      <c r="J198" s="379"/>
      <c r="K198" s="379"/>
      <c r="L198" s="379"/>
      <c r="M198" s="379"/>
      <c r="N198" s="379"/>
      <c r="O198" s="380">
        <f>+O190+O195+O196+O197</f>
        <v>0</v>
      </c>
      <c r="P198" s="381"/>
      <c r="Q198" s="32"/>
      <c r="R198" s="32"/>
      <c r="S198" s="32"/>
      <c r="T198" s="32"/>
      <c r="U198" s="32"/>
      <c r="V198" s="32"/>
    </row>
    <row r="199" spans="1:22" ht="17" thickTop="1" thickBot="1" x14ac:dyDescent="0.25"/>
    <row r="200" spans="1:22" ht="15" customHeight="1" thickTop="1" thickBot="1" x14ac:dyDescent="0.25">
      <c r="A200" s="364" t="s">
        <v>301</v>
      </c>
      <c r="B200" s="365"/>
      <c r="C200" s="366" t="s">
        <v>358</v>
      </c>
      <c r="D200" s="367"/>
      <c r="E200" s="367"/>
      <c r="F200" s="367"/>
      <c r="G200" s="367"/>
      <c r="H200" s="367"/>
      <c r="I200" s="367"/>
      <c r="J200" s="367"/>
      <c r="K200" s="367"/>
      <c r="L200" s="367"/>
      <c r="M200" s="367"/>
      <c r="N200" s="367"/>
      <c r="O200" s="367"/>
      <c r="P200" s="368"/>
      <c r="Q200" s="419"/>
      <c r="R200" s="419"/>
      <c r="S200" s="419"/>
      <c r="T200" s="419"/>
      <c r="U200" s="419"/>
      <c r="V200" s="419"/>
    </row>
    <row r="201" spans="1:22" ht="17" thickBot="1" x14ac:dyDescent="0.3">
      <c r="A201" s="434"/>
      <c r="B201" s="1345"/>
      <c r="C201" s="1346"/>
      <c r="D201" s="1346"/>
      <c r="E201" s="1346"/>
      <c r="F201" s="1346"/>
      <c r="G201" s="1347"/>
      <c r="H201" s="258"/>
      <c r="I201" s="258"/>
      <c r="J201" s="258"/>
      <c r="K201" s="258"/>
      <c r="L201" s="432"/>
      <c r="M201" s="432"/>
      <c r="N201" s="432"/>
      <c r="O201" s="432"/>
      <c r="P201" s="433"/>
      <c r="Q201" s="430"/>
      <c r="R201" s="92"/>
      <c r="S201" s="92"/>
      <c r="T201" s="92"/>
      <c r="U201" s="431"/>
      <c r="V201" s="92"/>
    </row>
    <row r="202" spans="1:22" ht="51" customHeight="1" thickBot="1" x14ac:dyDescent="0.25">
      <c r="A202" s="382" t="s">
        <v>209</v>
      </c>
      <c r="B202" s="383" t="s">
        <v>210</v>
      </c>
      <c r="C202" s="384" t="s">
        <v>169</v>
      </c>
      <c r="D202" s="383" t="s">
        <v>212</v>
      </c>
      <c r="E202" s="385" t="s">
        <v>327</v>
      </c>
      <c r="F202" s="305" t="s">
        <v>215</v>
      </c>
      <c r="G202" s="386" t="s">
        <v>217</v>
      </c>
      <c r="H202" s="387" t="s">
        <v>218</v>
      </c>
      <c r="I202" s="387" t="s">
        <v>219</v>
      </c>
      <c r="J202" s="387" t="s">
        <v>220</v>
      </c>
      <c r="K202" s="387" t="s">
        <v>221</v>
      </c>
      <c r="L202" s="387" t="s">
        <v>222</v>
      </c>
      <c r="M202" s="387" t="s">
        <v>223</v>
      </c>
      <c r="N202" s="387" t="s">
        <v>213</v>
      </c>
      <c r="O202" s="385" t="s">
        <v>31</v>
      </c>
      <c r="P202" s="369">
        <v>14</v>
      </c>
      <c r="Q202" s="436" t="s">
        <v>345</v>
      </c>
      <c r="R202" s="409" t="s">
        <v>349</v>
      </c>
      <c r="S202" s="409" t="s">
        <v>348</v>
      </c>
      <c r="T202" s="410" t="s">
        <v>346</v>
      </c>
      <c r="U202" s="411" t="s">
        <v>347</v>
      </c>
      <c r="V202" s="412" t="s">
        <v>350</v>
      </c>
    </row>
    <row r="203" spans="1:22" ht="13" customHeight="1" thickBot="1" x14ac:dyDescent="0.25">
      <c r="A203" s="388"/>
      <c r="B203" s="398"/>
      <c r="C203" s="288"/>
      <c r="D203" s="390"/>
      <c r="E203" s="391"/>
      <c r="F203" s="392"/>
      <c r="G203" s="393">
        <f>IF(B203=0,0,A203/B203)</f>
        <v>0</v>
      </c>
      <c r="H203" s="394">
        <f>+'CO Set Up'!$B$24</f>
        <v>54.653594771241835</v>
      </c>
      <c r="I203" s="394">
        <f>+'CO Set Up'!$C$24</f>
        <v>58.690196078431363</v>
      </c>
      <c r="J203" s="394">
        <f>+'CO Set Up'!$D$24</f>
        <v>61.381263616557739</v>
      </c>
      <c r="K203" s="394">
        <f>IF(F203=40,H203,0)+IF(F203=50,I203,0)+IF(F203=60,J203,0)</f>
        <v>0</v>
      </c>
      <c r="L203" s="393">
        <f>IF(D203=0,0,A203/D203)</f>
        <v>0</v>
      </c>
      <c r="M203" s="395">
        <f>+G203*K203</f>
        <v>0</v>
      </c>
      <c r="N203" s="395">
        <f>IF('CO Set Up'!$H$9="yes",(L203*E203)/(1-'CO Set Up'!$I$17)+(('Change Order'!L203*'Change Order'!E203)*'Admin Set Up'!$B$11),L203*E203/(1-'CO Set Up'!$I$17))</f>
        <v>0</v>
      </c>
      <c r="O203" s="396">
        <f>SUM(M203:N203)</f>
        <v>0</v>
      </c>
      <c r="P203" s="397"/>
      <c r="Q203" s="403" t="s">
        <v>2</v>
      </c>
      <c r="R203" s="437">
        <f>IF(Q203="no",O213,0)</f>
        <v>0</v>
      </c>
      <c r="S203" s="438">
        <f>IF(Q203="yes",O213,0)</f>
        <v>0</v>
      </c>
      <c r="T203" s="439">
        <f>IF(Q203="yes",G205*V203,0)</f>
        <v>0</v>
      </c>
      <c r="U203" s="440"/>
      <c r="V203" s="413">
        <v>1</v>
      </c>
    </row>
    <row r="204" spans="1:22" ht="13" hidden="1" customHeight="1" thickBot="1" x14ac:dyDescent="0.25">
      <c r="A204" s="399"/>
      <c r="B204" s="389"/>
      <c r="C204" s="402"/>
      <c r="D204" s="400"/>
      <c r="E204" s="401"/>
      <c r="F204" s="392"/>
      <c r="G204" s="393">
        <f>IF(B204=0,0,A204/B204)</f>
        <v>0</v>
      </c>
      <c r="H204" s="394">
        <f>+H203</f>
        <v>54.653594771241835</v>
      </c>
      <c r="I204" s="394">
        <f>+I203</f>
        <v>58.690196078431363</v>
      </c>
      <c r="J204" s="394">
        <f>+J203</f>
        <v>61.381263616557739</v>
      </c>
      <c r="K204" s="394">
        <f>IF(F204=40,H204,0)+IF(F204=50,I204,0)+IF(F204=60,J204,0)</f>
        <v>0</v>
      </c>
      <c r="L204" s="393">
        <f>IF(D204=0,0,A204/D204)</f>
        <v>0</v>
      </c>
      <c r="M204" s="395">
        <f>+G204*K204</f>
        <v>0</v>
      </c>
      <c r="N204" s="395">
        <f>IF('CO Set Up'!$H$9="yes",(L204*E204)/(1-'CO Set Up'!$I$17)+(('Change Order'!L204*'Change Order'!E204)*'Admin Set Up'!$B$11),L204*E204/(1-'CO Set Up'!$I$17))</f>
        <v>0</v>
      </c>
      <c r="O204" s="396">
        <f>SUM(M204:N204)</f>
        <v>0</v>
      </c>
      <c r="P204" s="370"/>
      <c r="Q204" s="153"/>
      <c r="R204" s="153"/>
      <c r="S204" s="153"/>
      <c r="T204" s="153"/>
      <c r="U204" s="153"/>
      <c r="V204" s="153"/>
    </row>
    <row r="205" spans="1:22" ht="13" customHeight="1" thickBot="1" x14ac:dyDescent="0.25">
      <c r="A205" s="371" t="s">
        <v>334</v>
      </c>
      <c r="B205" s="306"/>
      <c r="C205" s="307" t="s">
        <v>333</v>
      </c>
      <c r="D205" s="306"/>
      <c r="E205" s="306"/>
      <c r="F205" s="289"/>
      <c r="G205" s="308">
        <f>SUM(G203:G204)</f>
        <v>0</v>
      </c>
      <c r="H205" s="306"/>
      <c r="I205" s="306"/>
      <c r="J205" s="306"/>
      <c r="K205" s="306"/>
      <c r="L205" s="309">
        <f>SUM(L203:L204)</f>
        <v>0</v>
      </c>
      <c r="M205" s="310">
        <f>SUM(M203:M204)</f>
        <v>0</v>
      </c>
      <c r="N205" s="310">
        <f>SUM(N203:N204)</f>
        <v>0</v>
      </c>
      <c r="O205" s="311">
        <f>SUM(O203:O204)</f>
        <v>0</v>
      </c>
      <c r="P205" s="370"/>
      <c r="Q205" s="32"/>
      <c r="R205" s="32"/>
      <c r="S205" s="32"/>
      <c r="T205" s="32"/>
      <c r="U205" s="32"/>
      <c r="V205" s="32"/>
    </row>
    <row r="206" spans="1:22" ht="13" customHeight="1" x14ac:dyDescent="0.2">
      <c r="A206" s="372"/>
      <c r="B206" s="312"/>
      <c r="C206" s="313"/>
      <c r="D206" s="313"/>
      <c r="E206" s="313"/>
      <c r="F206" s="313"/>
      <c r="G206" s="313"/>
      <c r="H206" s="313"/>
      <c r="I206" s="313"/>
      <c r="J206" s="313"/>
      <c r="K206" s="313"/>
      <c r="L206" s="313"/>
      <c r="M206" s="313"/>
      <c r="N206" s="313"/>
      <c r="O206" s="313"/>
      <c r="P206" s="370"/>
      <c r="Q206" s="32"/>
      <c r="R206" s="32"/>
      <c r="S206" s="32"/>
      <c r="T206" s="32"/>
      <c r="U206" s="32"/>
      <c r="V206" s="32"/>
    </row>
    <row r="207" spans="1:22" ht="13" customHeight="1" x14ac:dyDescent="0.2">
      <c r="A207" s="1348" t="s">
        <v>59</v>
      </c>
      <c r="B207" s="1349"/>
      <c r="C207" s="322" t="s">
        <v>169</v>
      </c>
      <c r="D207" s="322" t="s">
        <v>328</v>
      </c>
      <c r="E207" s="322" t="s">
        <v>85</v>
      </c>
      <c r="F207" s="1350"/>
      <c r="G207" s="1350"/>
      <c r="H207" s="322"/>
      <c r="I207" s="322"/>
      <c r="J207" s="322"/>
      <c r="K207" s="322"/>
      <c r="L207" s="322" t="s">
        <v>225</v>
      </c>
      <c r="M207" s="322"/>
      <c r="N207" s="322"/>
      <c r="O207" s="322" t="s">
        <v>171</v>
      </c>
      <c r="P207" s="370"/>
      <c r="Q207" s="32"/>
      <c r="R207" s="32"/>
      <c r="S207" s="32"/>
      <c r="T207" s="32"/>
      <c r="U207" s="32"/>
      <c r="V207" s="32"/>
    </row>
    <row r="208" spans="1:22" ht="13" customHeight="1" x14ac:dyDescent="0.2">
      <c r="A208" s="373"/>
      <c r="B208" s="297"/>
      <c r="C208" s="293"/>
      <c r="D208" s="294"/>
      <c r="E208" s="294"/>
      <c r="F208" s="299"/>
      <c r="G208" s="300"/>
      <c r="H208" s="295"/>
      <c r="I208" s="295"/>
      <c r="J208" s="295"/>
      <c r="K208" s="295"/>
      <c r="L208" s="301"/>
      <c r="M208" s="296"/>
      <c r="N208" s="296"/>
      <c r="O208" s="302">
        <f>IF(D208="E",(E208*L208)/(1-'CO Set Up'!$J$17),0)+IF(D208="S",(E208*L208)/(1-'CO Set Up'!$K$17),0)+IF(D208="SC",(E208*L208)/(1-'CO Set Up'!$L$17),0)</f>
        <v>0</v>
      </c>
      <c r="P208" s="370"/>
      <c r="Q208" s="32"/>
      <c r="R208" s="32"/>
      <c r="S208" s="32"/>
      <c r="T208" s="32"/>
      <c r="U208" s="32"/>
      <c r="V208" s="32"/>
    </row>
    <row r="209" spans="1:22" ht="13" hidden="1" customHeight="1" x14ac:dyDescent="0.2">
      <c r="A209" s="374"/>
      <c r="B209" s="298"/>
      <c r="C209" s="293"/>
      <c r="D209" s="294"/>
      <c r="E209" s="294"/>
      <c r="F209" s="299"/>
      <c r="G209" s="300"/>
      <c r="H209" s="295"/>
      <c r="I209" s="295"/>
      <c r="J209" s="295"/>
      <c r="K209" s="295"/>
      <c r="L209" s="301"/>
      <c r="M209" s="296"/>
      <c r="N209" s="296"/>
      <c r="O209" s="303">
        <f>IF(D209="E",(E209*L209)/(1-'CO Set Up'!$J$17),0)+IF(D209="S",(E209*L209)/(1-'CO Set Up'!$K$17),0)+IF(D209="SC",(E209*L209)/(1-'CO Set Up'!$L$17),0)</f>
        <v>0</v>
      </c>
      <c r="P209" s="370"/>
      <c r="Q209" s="32"/>
      <c r="R209" s="32"/>
      <c r="S209" s="32"/>
      <c r="T209" s="32"/>
      <c r="U209" s="32"/>
      <c r="V209" s="32"/>
    </row>
    <row r="210" spans="1:22" ht="13" customHeight="1" thickBot="1" x14ac:dyDescent="0.25">
      <c r="A210" s="375" t="s">
        <v>334</v>
      </c>
      <c r="B210" s="315"/>
      <c r="C210" s="307" t="s">
        <v>335</v>
      </c>
      <c r="D210" s="315"/>
      <c r="E210" s="315"/>
      <c r="F210" s="315"/>
      <c r="G210" s="315"/>
      <c r="H210" s="290"/>
      <c r="I210" s="290"/>
      <c r="J210" s="290"/>
      <c r="K210" s="290"/>
      <c r="L210" s="304" t="s">
        <v>336</v>
      </c>
      <c r="M210" s="304"/>
      <c r="N210" s="304"/>
      <c r="O210" s="316">
        <f>SUM(O208:O209)</f>
        <v>0</v>
      </c>
      <c r="P210" s="370"/>
      <c r="Q210" s="32"/>
      <c r="R210" s="32"/>
      <c r="S210" s="32"/>
      <c r="T210" s="32"/>
      <c r="U210" s="32"/>
      <c r="V210" s="32"/>
    </row>
    <row r="211" spans="1:22" ht="13" customHeight="1" x14ac:dyDescent="0.2">
      <c r="A211" s="376"/>
      <c r="B211" s="315"/>
      <c r="C211" s="315"/>
      <c r="D211" s="315"/>
      <c r="E211" s="315"/>
      <c r="F211" s="315"/>
      <c r="G211" s="315"/>
      <c r="H211" s="290"/>
      <c r="I211" s="290"/>
      <c r="J211" s="290"/>
      <c r="K211" s="290"/>
      <c r="L211" s="1351" t="s">
        <v>337</v>
      </c>
      <c r="M211" s="1351"/>
      <c r="N211" s="1351"/>
      <c r="O211" s="317">
        <f>IF('CO Set Up'!H205="yes",-(G205*'Admin Set Up'!$B$13),0)</f>
        <v>0</v>
      </c>
      <c r="P211" s="370"/>
      <c r="Q211" s="32"/>
      <c r="R211" s="32"/>
      <c r="S211" s="32"/>
      <c r="T211" s="32"/>
      <c r="U211" s="32"/>
      <c r="V211" s="32"/>
    </row>
    <row r="212" spans="1:22" ht="13" customHeight="1" x14ac:dyDescent="0.2">
      <c r="A212" s="377"/>
      <c r="B212" s="318"/>
      <c r="C212" s="318"/>
      <c r="D212" s="318"/>
      <c r="E212" s="318"/>
      <c r="F212" s="318"/>
      <c r="G212" s="318"/>
      <c r="H212" s="319"/>
      <c r="I212" s="319"/>
      <c r="J212" s="319"/>
      <c r="K212" s="319"/>
      <c r="L212" s="1351" t="s">
        <v>61</v>
      </c>
      <c r="M212" s="1351"/>
      <c r="N212" s="1351"/>
      <c r="O212" s="320">
        <f>IF('CO Set Up'!H206="yes",(O205+O210+O211)*'Admin Set Up'!B207,0)</f>
        <v>0</v>
      </c>
      <c r="P212" s="370"/>
      <c r="Q212" s="32"/>
      <c r="R212" s="32"/>
      <c r="S212" s="32"/>
      <c r="T212" s="32"/>
      <c r="U212" s="32"/>
      <c r="V212" s="32"/>
    </row>
    <row r="213" spans="1:22" ht="16" thickBot="1" x14ac:dyDescent="0.25">
      <c r="A213" s="378" t="s">
        <v>338</v>
      </c>
      <c r="B213" s="379"/>
      <c r="C213" s="379"/>
      <c r="D213" s="379"/>
      <c r="E213" s="379"/>
      <c r="F213" s="379"/>
      <c r="G213" s="379"/>
      <c r="H213" s="379"/>
      <c r="I213" s="379"/>
      <c r="J213" s="379"/>
      <c r="K213" s="379"/>
      <c r="L213" s="379"/>
      <c r="M213" s="379"/>
      <c r="N213" s="379"/>
      <c r="O213" s="380">
        <f>+O205+O210+O211+O212</f>
        <v>0</v>
      </c>
      <c r="P213" s="381"/>
      <c r="Q213" s="32"/>
      <c r="R213" s="32"/>
      <c r="S213" s="32"/>
      <c r="T213" s="32"/>
      <c r="U213" s="32"/>
      <c r="V213" s="32"/>
    </row>
    <row r="214" spans="1:22" ht="17" thickTop="1" thickBot="1" x14ac:dyDescent="0.25"/>
    <row r="215" spans="1:22" ht="15" customHeight="1" thickTop="1" thickBot="1" x14ac:dyDescent="0.25">
      <c r="A215" s="364" t="s">
        <v>301</v>
      </c>
      <c r="B215" s="365"/>
      <c r="C215" s="366" t="s">
        <v>358</v>
      </c>
      <c r="D215" s="367"/>
      <c r="E215" s="367"/>
      <c r="F215" s="367"/>
      <c r="G215" s="367"/>
      <c r="H215" s="367"/>
      <c r="I215" s="367"/>
      <c r="J215" s="367"/>
      <c r="K215" s="367"/>
      <c r="L215" s="367"/>
      <c r="M215" s="367"/>
      <c r="N215" s="367"/>
      <c r="O215" s="367"/>
      <c r="P215" s="368"/>
      <c r="Q215" s="419"/>
      <c r="R215" s="419"/>
      <c r="S215" s="419"/>
      <c r="T215" s="419"/>
      <c r="U215" s="419"/>
      <c r="V215" s="419"/>
    </row>
    <row r="216" spans="1:22" ht="17" thickBot="1" x14ac:dyDescent="0.3">
      <c r="A216" s="434"/>
      <c r="B216" s="1345"/>
      <c r="C216" s="1346"/>
      <c r="D216" s="1346"/>
      <c r="E216" s="1346"/>
      <c r="F216" s="1346"/>
      <c r="G216" s="1347"/>
      <c r="H216" s="258"/>
      <c r="I216" s="258"/>
      <c r="J216" s="258"/>
      <c r="K216" s="258"/>
      <c r="L216" s="432"/>
      <c r="M216" s="432"/>
      <c r="N216" s="432"/>
      <c r="O216" s="432"/>
      <c r="P216" s="433"/>
      <c r="Q216" s="430"/>
      <c r="R216" s="92"/>
      <c r="S216" s="92"/>
      <c r="T216" s="92"/>
      <c r="U216" s="431"/>
      <c r="V216" s="92"/>
    </row>
    <row r="217" spans="1:22" ht="51" customHeight="1" thickBot="1" x14ac:dyDescent="0.25">
      <c r="A217" s="382" t="s">
        <v>209</v>
      </c>
      <c r="B217" s="383" t="s">
        <v>210</v>
      </c>
      <c r="C217" s="384" t="s">
        <v>169</v>
      </c>
      <c r="D217" s="383" t="s">
        <v>212</v>
      </c>
      <c r="E217" s="385" t="s">
        <v>327</v>
      </c>
      <c r="F217" s="305" t="s">
        <v>215</v>
      </c>
      <c r="G217" s="386" t="s">
        <v>217</v>
      </c>
      <c r="H217" s="387" t="s">
        <v>218</v>
      </c>
      <c r="I217" s="387" t="s">
        <v>219</v>
      </c>
      <c r="J217" s="387" t="s">
        <v>220</v>
      </c>
      <c r="K217" s="387" t="s">
        <v>221</v>
      </c>
      <c r="L217" s="387" t="s">
        <v>222</v>
      </c>
      <c r="M217" s="387" t="s">
        <v>223</v>
      </c>
      <c r="N217" s="387" t="s">
        <v>213</v>
      </c>
      <c r="O217" s="385" t="s">
        <v>31</v>
      </c>
      <c r="P217" s="369">
        <v>15</v>
      </c>
      <c r="Q217" s="436" t="s">
        <v>345</v>
      </c>
      <c r="R217" s="409" t="s">
        <v>349</v>
      </c>
      <c r="S217" s="409" t="s">
        <v>348</v>
      </c>
      <c r="T217" s="410" t="s">
        <v>346</v>
      </c>
      <c r="U217" s="411" t="s">
        <v>347</v>
      </c>
      <c r="V217" s="412" t="s">
        <v>350</v>
      </c>
    </row>
    <row r="218" spans="1:22" ht="13" customHeight="1" thickBot="1" x14ac:dyDescent="0.25">
      <c r="A218" s="388"/>
      <c r="B218" s="398"/>
      <c r="C218" s="288"/>
      <c r="D218" s="390"/>
      <c r="E218" s="391"/>
      <c r="F218" s="392"/>
      <c r="G218" s="393">
        <f>IF(B218=0,0,A218/B218)</f>
        <v>0</v>
      </c>
      <c r="H218" s="394">
        <f>+'CO Set Up'!$B$24</f>
        <v>54.653594771241835</v>
      </c>
      <c r="I218" s="394">
        <f>+'CO Set Up'!$C$24</f>
        <v>58.690196078431363</v>
      </c>
      <c r="J218" s="394">
        <f>+'CO Set Up'!$D$24</f>
        <v>61.381263616557739</v>
      </c>
      <c r="K218" s="394">
        <f>IF(F218=40,H218,0)+IF(F218=50,I218,0)+IF(F218=60,J218,0)</f>
        <v>0</v>
      </c>
      <c r="L218" s="393">
        <f>IF(D218=0,0,A218/D218)</f>
        <v>0</v>
      </c>
      <c r="M218" s="395">
        <f>+G218*K218</f>
        <v>0</v>
      </c>
      <c r="N218" s="395">
        <f>IF('CO Set Up'!$H$9="yes",(L218*E218)/(1-'CO Set Up'!$I$17)+(('Change Order'!L218*'Change Order'!E218)*'Admin Set Up'!$B$11),L218*E218/(1-'CO Set Up'!$I$17))</f>
        <v>0</v>
      </c>
      <c r="O218" s="396">
        <f>SUM(M218:N218)</f>
        <v>0</v>
      </c>
      <c r="P218" s="397"/>
      <c r="Q218" s="403" t="s">
        <v>2</v>
      </c>
      <c r="R218" s="437">
        <f>IF(Q218="no",O228,0)</f>
        <v>0</v>
      </c>
      <c r="S218" s="438">
        <f>IF(Q218="yes",O228,0)</f>
        <v>0</v>
      </c>
      <c r="T218" s="439">
        <f>IF(Q218="yes",G220*V218,0)</f>
        <v>0</v>
      </c>
      <c r="U218" s="440"/>
      <c r="V218" s="413">
        <v>1</v>
      </c>
    </row>
    <row r="219" spans="1:22" ht="13" hidden="1" customHeight="1" thickBot="1" x14ac:dyDescent="0.25">
      <c r="A219" s="399"/>
      <c r="B219" s="389"/>
      <c r="C219" s="402"/>
      <c r="D219" s="400"/>
      <c r="E219" s="401"/>
      <c r="F219" s="392"/>
      <c r="G219" s="393">
        <f>IF(B219=0,0,A219/B219)</f>
        <v>0</v>
      </c>
      <c r="H219" s="394">
        <f>+H218</f>
        <v>54.653594771241835</v>
      </c>
      <c r="I219" s="394">
        <f>+I218</f>
        <v>58.690196078431363</v>
      </c>
      <c r="J219" s="394">
        <f>+J218</f>
        <v>61.381263616557739</v>
      </c>
      <c r="K219" s="394">
        <f>IF(F219=40,H219,0)+IF(F219=50,I219,0)+IF(F219=60,J219,0)</f>
        <v>0</v>
      </c>
      <c r="L219" s="393">
        <f>IF(D219=0,0,A219/D219)</f>
        <v>0</v>
      </c>
      <c r="M219" s="395">
        <f>+G219*K219</f>
        <v>0</v>
      </c>
      <c r="N219" s="395">
        <f>IF('CO Set Up'!$H$9="yes",(L219*E219)/(1-'CO Set Up'!$I$17)+(('Change Order'!L219*'Change Order'!E219)*'Admin Set Up'!$B$11),L219*E219/(1-'CO Set Up'!$I$17))</f>
        <v>0</v>
      </c>
      <c r="O219" s="396">
        <f>SUM(M219:N219)</f>
        <v>0</v>
      </c>
      <c r="P219" s="370"/>
      <c r="Q219" s="153"/>
      <c r="R219" s="153"/>
      <c r="S219" s="153"/>
      <c r="T219" s="153"/>
      <c r="U219" s="153"/>
      <c r="V219" s="153"/>
    </row>
    <row r="220" spans="1:22" ht="13" customHeight="1" thickBot="1" x14ac:dyDescent="0.25">
      <c r="A220" s="371" t="s">
        <v>334</v>
      </c>
      <c r="B220" s="306"/>
      <c r="C220" s="307" t="s">
        <v>333</v>
      </c>
      <c r="D220" s="306"/>
      <c r="E220" s="306"/>
      <c r="F220" s="289"/>
      <c r="G220" s="308">
        <f>SUM(G218:G219)</f>
        <v>0</v>
      </c>
      <c r="H220" s="306"/>
      <c r="I220" s="306"/>
      <c r="J220" s="306"/>
      <c r="K220" s="306"/>
      <c r="L220" s="309">
        <f>SUM(L218:L219)</f>
        <v>0</v>
      </c>
      <c r="M220" s="310">
        <f>SUM(M218:M219)</f>
        <v>0</v>
      </c>
      <c r="N220" s="310">
        <f>SUM(N218:N219)</f>
        <v>0</v>
      </c>
      <c r="O220" s="311">
        <f>SUM(O218:O219)</f>
        <v>0</v>
      </c>
      <c r="P220" s="370"/>
      <c r="Q220" s="32"/>
      <c r="R220" s="32"/>
      <c r="S220" s="32"/>
      <c r="T220" s="32"/>
      <c r="U220" s="32"/>
      <c r="V220" s="32"/>
    </row>
    <row r="221" spans="1:22" ht="13" customHeight="1" x14ac:dyDescent="0.2">
      <c r="A221" s="372"/>
      <c r="B221" s="312"/>
      <c r="C221" s="313"/>
      <c r="D221" s="313"/>
      <c r="E221" s="313"/>
      <c r="F221" s="313"/>
      <c r="G221" s="313"/>
      <c r="H221" s="313"/>
      <c r="I221" s="313"/>
      <c r="J221" s="313"/>
      <c r="K221" s="313"/>
      <c r="L221" s="313"/>
      <c r="M221" s="313"/>
      <c r="N221" s="313"/>
      <c r="O221" s="313"/>
      <c r="P221" s="370"/>
      <c r="Q221" s="32"/>
      <c r="R221" s="32"/>
      <c r="S221" s="32"/>
      <c r="T221" s="32"/>
      <c r="U221" s="32"/>
      <c r="V221" s="32"/>
    </row>
    <row r="222" spans="1:22" ht="13" customHeight="1" x14ac:dyDescent="0.2">
      <c r="A222" s="1348" t="s">
        <v>59</v>
      </c>
      <c r="B222" s="1349"/>
      <c r="C222" s="322" t="s">
        <v>169</v>
      </c>
      <c r="D222" s="322" t="s">
        <v>328</v>
      </c>
      <c r="E222" s="322" t="s">
        <v>85</v>
      </c>
      <c r="F222" s="1350"/>
      <c r="G222" s="1350"/>
      <c r="H222" s="322"/>
      <c r="I222" s="322"/>
      <c r="J222" s="322"/>
      <c r="K222" s="322"/>
      <c r="L222" s="322" t="s">
        <v>225</v>
      </c>
      <c r="M222" s="322"/>
      <c r="N222" s="322"/>
      <c r="O222" s="322" t="s">
        <v>171</v>
      </c>
      <c r="P222" s="370"/>
      <c r="Q222" s="32"/>
      <c r="R222" s="32"/>
      <c r="S222" s="32"/>
      <c r="T222" s="32"/>
      <c r="U222" s="32"/>
      <c r="V222" s="32"/>
    </row>
    <row r="223" spans="1:22" ht="13" customHeight="1" x14ac:dyDescent="0.2">
      <c r="A223" s="373"/>
      <c r="B223" s="297"/>
      <c r="C223" s="293"/>
      <c r="D223" s="294"/>
      <c r="E223" s="294"/>
      <c r="F223" s="299"/>
      <c r="G223" s="300"/>
      <c r="H223" s="295"/>
      <c r="I223" s="295"/>
      <c r="J223" s="295"/>
      <c r="K223" s="295"/>
      <c r="L223" s="301"/>
      <c r="M223" s="296"/>
      <c r="N223" s="296"/>
      <c r="O223" s="302">
        <f>IF(D223="E",(E223*L223)/(1-'CO Set Up'!$J$17),0)+IF(D223="S",(E223*L223)/(1-'CO Set Up'!$K$17),0)+IF(D223="SC",(E223*L223)/(1-'CO Set Up'!$L$17),0)</f>
        <v>0</v>
      </c>
      <c r="P223" s="370"/>
      <c r="Q223" s="32"/>
      <c r="R223" s="32"/>
      <c r="S223" s="32"/>
      <c r="T223" s="32"/>
      <c r="U223" s="32"/>
      <c r="V223" s="32"/>
    </row>
    <row r="224" spans="1:22" ht="13" hidden="1" customHeight="1" x14ac:dyDescent="0.2">
      <c r="A224" s="374"/>
      <c r="B224" s="298"/>
      <c r="C224" s="293"/>
      <c r="D224" s="294"/>
      <c r="E224" s="294"/>
      <c r="F224" s="299"/>
      <c r="G224" s="300"/>
      <c r="H224" s="295"/>
      <c r="I224" s="295"/>
      <c r="J224" s="295"/>
      <c r="K224" s="295"/>
      <c r="L224" s="301"/>
      <c r="M224" s="296"/>
      <c r="N224" s="296"/>
      <c r="O224" s="303">
        <f>IF(D224="E",(E224*L224)/(1-'CO Set Up'!$J$17),0)+IF(D224="S",(E224*L224)/(1-'CO Set Up'!$K$17),0)+IF(D224="SC",(E224*L224)/(1-'CO Set Up'!$L$17),0)</f>
        <v>0</v>
      </c>
      <c r="P224" s="370"/>
      <c r="Q224" s="32"/>
      <c r="R224" s="32"/>
      <c r="S224" s="32"/>
      <c r="T224" s="32"/>
      <c r="U224" s="32"/>
      <c r="V224" s="32"/>
    </row>
    <row r="225" spans="1:22" ht="13" customHeight="1" thickBot="1" x14ac:dyDescent="0.25">
      <c r="A225" s="375" t="s">
        <v>334</v>
      </c>
      <c r="B225" s="315"/>
      <c r="C225" s="307" t="s">
        <v>335</v>
      </c>
      <c r="D225" s="315"/>
      <c r="E225" s="315"/>
      <c r="F225" s="315"/>
      <c r="G225" s="315"/>
      <c r="H225" s="290"/>
      <c r="I225" s="290"/>
      <c r="J225" s="290"/>
      <c r="K225" s="290"/>
      <c r="L225" s="304" t="s">
        <v>336</v>
      </c>
      <c r="M225" s="304"/>
      <c r="N225" s="304"/>
      <c r="O225" s="316">
        <f>SUM(O223:O224)</f>
        <v>0</v>
      </c>
      <c r="P225" s="370"/>
      <c r="Q225" s="32"/>
      <c r="R225" s="32"/>
      <c r="S225" s="32"/>
      <c r="T225" s="32"/>
      <c r="U225" s="32"/>
      <c r="V225" s="32"/>
    </row>
    <row r="226" spans="1:22" ht="13" customHeight="1" x14ac:dyDescent="0.2">
      <c r="A226" s="376"/>
      <c r="B226" s="315"/>
      <c r="C226" s="315"/>
      <c r="D226" s="315"/>
      <c r="E226" s="315"/>
      <c r="F226" s="315"/>
      <c r="G226" s="315"/>
      <c r="H226" s="290"/>
      <c r="I226" s="290"/>
      <c r="J226" s="290"/>
      <c r="K226" s="290"/>
      <c r="L226" s="1351" t="s">
        <v>337</v>
      </c>
      <c r="M226" s="1351"/>
      <c r="N226" s="1351"/>
      <c r="O226" s="317">
        <f>IF('CO Set Up'!H220="yes",-(G220*'Admin Set Up'!$B$13),0)</f>
        <v>0</v>
      </c>
      <c r="P226" s="370"/>
      <c r="Q226" s="32"/>
      <c r="R226" s="32"/>
      <c r="S226" s="32"/>
      <c r="T226" s="32"/>
      <c r="U226" s="32"/>
      <c r="V226" s="32"/>
    </row>
    <row r="227" spans="1:22" ht="13" customHeight="1" x14ac:dyDescent="0.2">
      <c r="A227" s="377"/>
      <c r="B227" s="318"/>
      <c r="C227" s="318"/>
      <c r="D227" s="318"/>
      <c r="E227" s="318"/>
      <c r="F227" s="318"/>
      <c r="G227" s="318"/>
      <c r="H227" s="319"/>
      <c r="I227" s="319"/>
      <c r="J227" s="319"/>
      <c r="K227" s="319"/>
      <c r="L227" s="1351" t="s">
        <v>61</v>
      </c>
      <c r="M227" s="1351"/>
      <c r="N227" s="1351"/>
      <c r="O227" s="320">
        <f>IF('CO Set Up'!H221="yes",(O220+O225+O226)*'Admin Set Up'!B222,0)</f>
        <v>0</v>
      </c>
      <c r="P227" s="370"/>
      <c r="Q227" s="32"/>
      <c r="R227" s="32"/>
      <c r="S227" s="32"/>
      <c r="T227" s="32"/>
      <c r="U227" s="32"/>
      <c r="V227" s="32"/>
    </row>
    <row r="228" spans="1:22" ht="16" thickBot="1" x14ac:dyDescent="0.25">
      <c r="A228" s="378" t="s">
        <v>338</v>
      </c>
      <c r="B228" s="379"/>
      <c r="C228" s="379"/>
      <c r="D228" s="379"/>
      <c r="E228" s="379"/>
      <c r="F228" s="379"/>
      <c r="G228" s="379"/>
      <c r="H228" s="379"/>
      <c r="I228" s="379"/>
      <c r="J228" s="379"/>
      <c r="K228" s="379"/>
      <c r="L228" s="379"/>
      <c r="M228" s="379"/>
      <c r="N228" s="379"/>
      <c r="O228" s="380">
        <f>+O220+O225+O226+O227</f>
        <v>0</v>
      </c>
      <c r="P228" s="381"/>
      <c r="Q228" s="32"/>
      <c r="R228" s="32"/>
      <c r="S228" s="32"/>
      <c r="T228" s="32"/>
      <c r="U228" s="32"/>
      <c r="V228" s="32"/>
    </row>
    <row r="229" spans="1:22" ht="17" thickTop="1" thickBot="1" x14ac:dyDescent="0.25"/>
    <row r="230" spans="1:22" ht="15" customHeight="1" thickTop="1" thickBot="1" x14ac:dyDescent="0.25">
      <c r="A230" s="364" t="s">
        <v>301</v>
      </c>
      <c r="B230" s="365"/>
      <c r="C230" s="366" t="s">
        <v>358</v>
      </c>
      <c r="D230" s="367"/>
      <c r="E230" s="367"/>
      <c r="F230" s="367"/>
      <c r="G230" s="367"/>
      <c r="H230" s="367"/>
      <c r="I230" s="367"/>
      <c r="J230" s="367"/>
      <c r="K230" s="367"/>
      <c r="L230" s="367"/>
      <c r="M230" s="367"/>
      <c r="N230" s="367"/>
      <c r="O230" s="367"/>
      <c r="P230" s="368"/>
      <c r="Q230" s="419"/>
      <c r="R230" s="419"/>
      <c r="S230" s="419"/>
      <c r="T230" s="419"/>
      <c r="U230" s="419"/>
      <c r="V230" s="419"/>
    </row>
    <row r="231" spans="1:22" ht="17" thickBot="1" x14ac:dyDescent="0.3">
      <c r="A231" s="434"/>
      <c r="B231" s="1345"/>
      <c r="C231" s="1346"/>
      <c r="D231" s="1346"/>
      <c r="E231" s="1346"/>
      <c r="F231" s="1346"/>
      <c r="G231" s="1347"/>
      <c r="H231" s="258"/>
      <c r="I231" s="258"/>
      <c r="J231" s="258"/>
      <c r="K231" s="258"/>
      <c r="L231" s="432"/>
      <c r="M231" s="432"/>
      <c r="N231" s="432"/>
      <c r="O231" s="432"/>
      <c r="P231" s="433"/>
      <c r="Q231" s="430"/>
      <c r="R231" s="92"/>
      <c r="S231" s="92"/>
      <c r="T231" s="92"/>
      <c r="U231" s="431"/>
      <c r="V231" s="92"/>
    </row>
    <row r="232" spans="1:22" ht="51" customHeight="1" thickBot="1" x14ac:dyDescent="0.25">
      <c r="A232" s="382" t="s">
        <v>209</v>
      </c>
      <c r="B232" s="383" t="s">
        <v>210</v>
      </c>
      <c r="C232" s="384" t="s">
        <v>169</v>
      </c>
      <c r="D232" s="383" t="s">
        <v>212</v>
      </c>
      <c r="E232" s="385" t="s">
        <v>327</v>
      </c>
      <c r="F232" s="305" t="s">
        <v>215</v>
      </c>
      <c r="G232" s="386" t="s">
        <v>217</v>
      </c>
      <c r="H232" s="387" t="s">
        <v>218</v>
      </c>
      <c r="I232" s="387" t="s">
        <v>219</v>
      </c>
      <c r="J232" s="387" t="s">
        <v>220</v>
      </c>
      <c r="K232" s="387" t="s">
        <v>221</v>
      </c>
      <c r="L232" s="387" t="s">
        <v>222</v>
      </c>
      <c r="M232" s="387" t="s">
        <v>223</v>
      </c>
      <c r="N232" s="387" t="s">
        <v>213</v>
      </c>
      <c r="O232" s="385" t="s">
        <v>31</v>
      </c>
      <c r="P232" s="369">
        <v>16</v>
      </c>
      <c r="Q232" s="436" t="s">
        <v>345</v>
      </c>
      <c r="R232" s="409" t="s">
        <v>349</v>
      </c>
      <c r="S232" s="409" t="s">
        <v>348</v>
      </c>
      <c r="T232" s="410" t="s">
        <v>346</v>
      </c>
      <c r="U232" s="411" t="s">
        <v>347</v>
      </c>
      <c r="V232" s="412" t="s">
        <v>350</v>
      </c>
    </row>
    <row r="233" spans="1:22" ht="13" customHeight="1" thickBot="1" x14ac:dyDescent="0.25">
      <c r="A233" s="388"/>
      <c r="B233" s="398"/>
      <c r="C233" s="288"/>
      <c r="D233" s="390"/>
      <c r="E233" s="391"/>
      <c r="F233" s="392"/>
      <c r="G233" s="393">
        <f>IF(B233=0,0,A233/B233)</f>
        <v>0</v>
      </c>
      <c r="H233" s="394">
        <f>+'CO Set Up'!$B$24</f>
        <v>54.653594771241835</v>
      </c>
      <c r="I233" s="394">
        <f>+'CO Set Up'!$C$24</f>
        <v>58.690196078431363</v>
      </c>
      <c r="J233" s="394">
        <f>+'CO Set Up'!$D$24</f>
        <v>61.381263616557739</v>
      </c>
      <c r="K233" s="394">
        <f>IF(F233=40,H233,0)+IF(F233=50,I233,0)+IF(F233=60,J233,0)</f>
        <v>0</v>
      </c>
      <c r="L233" s="393">
        <f>IF(D233=0,0,A233/D233)</f>
        <v>0</v>
      </c>
      <c r="M233" s="395">
        <f>+G233*K233</f>
        <v>0</v>
      </c>
      <c r="N233" s="395">
        <f>IF('CO Set Up'!$H$9="yes",(L233*E233)/(1-'CO Set Up'!$I$17)+(('Change Order'!L233*'Change Order'!E233)*'Admin Set Up'!$B$11),L233*E233/(1-'CO Set Up'!$I$17))</f>
        <v>0</v>
      </c>
      <c r="O233" s="396">
        <f>SUM(M233:N233)</f>
        <v>0</v>
      </c>
      <c r="P233" s="397"/>
      <c r="Q233" s="403" t="s">
        <v>2</v>
      </c>
      <c r="R233" s="437">
        <f>IF(Q233="no",O243,0)</f>
        <v>0</v>
      </c>
      <c r="S233" s="438">
        <f>IF(Q233="yes",O243,0)</f>
        <v>0</v>
      </c>
      <c r="T233" s="439">
        <f>IF(Q233="yes",G235*V233,0)</f>
        <v>0</v>
      </c>
      <c r="U233" s="440"/>
      <c r="V233" s="413">
        <v>1</v>
      </c>
    </row>
    <row r="234" spans="1:22" ht="13" hidden="1" customHeight="1" thickBot="1" x14ac:dyDescent="0.25">
      <c r="A234" s="399"/>
      <c r="B234" s="389"/>
      <c r="C234" s="402"/>
      <c r="D234" s="400"/>
      <c r="E234" s="401"/>
      <c r="F234" s="392"/>
      <c r="G234" s="393">
        <f>IF(B234=0,0,A234/B234)</f>
        <v>0</v>
      </c>
      <c r="H234" s="394">
        <f>+H233</f>
        <v>54.653594771241835</v>
      </c>
      <c r="I234" s="394">
        <f>+I233</f>
        <v>58.690196078431363</v>
      </c>
      <c r="J234" s="394">
        <f>+J233</f>
        <v>61.381263616557739</v>
      </c>
      <c r="K234" s="394">
        <f>IF(F234=40,H234,0)+IF(F234=50,I234,0)+IF(F234=60,J234,0)</f>
        <v>0</v>
      </c>
      <c r="L234" s="393">
        <f>IF(D234=0,0,A234/D234)</f>
        <v>0</v>
      </c>
      <c r="M234" s="395">
        <f>+G234*K234</f>
        <v>0</v>
      </c>
      <c r="N234" s="395">
        <f>IF('CO Set Up'!$H$9="yes",(L234*E234)/(1-'CO Set Up'!$I$17)+(('Change Order'!L234*'Change Order'!E234)*'Admin Set Up'!$B$11),L234*E234/(1-'CO Set Up'!$I$17))</f>
        <v>0</v>
      </c>
      <c r="O234" s="396">
        <f>SUM(M234:N234)</f>
        <v>0</v>
      </c>
      <c r="P234" s="370"/>
      <c r="Q234" s="153"/>
      <c r="R234" s="153"/>
      <c r="S234" s="153"/>
      <c r="T234" s="153"/>
      <c r="U234" s="153"/>
      <c r="V234" s="153"/>
    </row>
    <row r="235" spans="1:22" ht="13" customHeight="1" thickBot="1" x14ac:dyDescent="0.25">
      <c r="A235" s="371" t="s">
        <v>334</v>
      </c>
      <c r="B235" s="306"/>
      <c r="C235" s="307" t="s">
        <v>333</v>
      </c>
      <c r="D235" s="306"/>
      <c r="E235" s="306"/>
      <c r="F235" s="289"/>
      <c r="G235" s="308">
        <f>SUM(G233:G234)</f>
        <v>0</v>
      </c>
      <c r="H235" s="306"/>
      <c r="I235" s="306"/>
      <c r="J235" s="306"/>
      <c r="K235" s="306"/>
      <c r="L235" s="309">
        <f>SUM(L233:L234)</f>
        <v>0</v>
      </c>
      <c r="M235" s="310">
        <f>SUM(M233:M234)</f>
        <v>0</v>
      </c>
      <c r="N235" s="310">
        <f>SUM(N233:N234)</f>
        <v>0</v>
      </c>
      <c r="O235" s="311">
        <f>SUM(O233:O234)</f>
        <v>0</v>
      </c>
      <c r="P235" s="370"/>
      <c r="Q235" s="32"/>
      <c r="R235" s="32"/>
      <c r="S235" s="32"/>
      <c r="T235" s="32"/>
      <c r="U235" s="32"/>
      <c r="V235" s="32"/>
    </row>
    <row r="236" spans="1:22" ht="13" customHeight="1" x14ac:dyDescent="0.2">
      <c r="A236" s="372"/>
      <c r="B236" s="312"/>
      <c r="C236" s="313"/>
      <c r="D236" s="313"/>
      <c r="E236" s="313"/>
      <c r="F236" s="313"/>
      <c r="G236" s="313"/>
      <c r="H236" s="313"/>
      <c r="I236" s="313"/>
      <c r="J236" s="313"/>
      <c r="K236" s="313"/>
      <c r="L236" s="313"/>
      <c r="M236" s="313"/>
      <c r="N236" s="313"/>
      <c r="O236" s="313"/>
      <c r="P236" s="370"/>
      <c r="Q236" s="32"/>
      <c r="R236" s="32"/>
      <c r="S236" s="32"/>
      <c r="T236" s="32"/>
      <c r="U236" s="32"/>
      <c r="V236" s="32"/>
    </row>
    <row r="237" spans="1:22" ht="13" customHeight="1" x14ac:dyDescent="0.2">
      <c r="A237" s="1348" t="s">
        <v>59</v>
      </c>
      <c r="B237" s="1349"/>
      <c r="C237" s="322" t="s">
        <v>169</v>
      </c>
      <c r="D237" s="322" t="s">
        <v>328</v>
      </c>
      <c r="E237" s="322" t="s">
        <v>85</v>
      </c>
      <c r="F237" s="1350"/>
      <c r="G237" s="1350"/>
      <c r="H237" s="322"/>
      <c r="I237" s="322"/>
      <c r="J237" s="322"/>
      <c r="K237" s="322"/>
      <c r="L237" s="322" t="s">
        <v>225</v>
      </c>
      <c r="M237" s="322"/>
      <c r="N237" s="322"/>
      <c r="O237" s="322" t="s">
        <v>171</v>
      </c>
      <c r="P237" s="370"/>
      <c r="Q237" s="32"/>
      <c r="R237" s="32"/>
      <c r="S237" s="32"/>
      <c r="T237" s="32"/>
      <c r="U237" s="32"/>
      <c r="V237" s="32"/>
    </row>
    <row r="238" spans="1:22" ht="13" customHeight="1" x14ac:dyDescent="0.2">
      <c r="A238" s="373"/>
      <c r="B238" s="297"/>
      <c r="C238" s="293"/>
      <c r="D238" s="294"/>
      <c r="E238" s="294"/>
      <c r="F238" s="299"/>
      <c r="G238" s="300"/>
      <c r="H238" s="295"/>
      <c r="I238" s="295"/>
      <c r="J238" s="295"/>
      <c r="K238" s="295"/>
      <c r="L238" s="301"/>
      <c r="M238" s="296"/>
      <c r="N238" s="296"/>
      <c r="O238" s="302">
        <f>IF(D238="E",(E238*L238)/(1-'CO Set Up'!$J$17),0)+IF(D238="S",(E238*L238)/(1-'CO Set Up'!$K$17),0)+IF(D238="SC",(E238*L238)/(1-'CO Set Up'!$L$17),0)</f>
        <v>0</v>
      </c>
      <c r="P238" s="370"/>
      <c r="Q238" s="32"/>
      <c r="R238" s="32"/>
      <c r="S238" s="32"/>
      <c r="T238" s="32"/>
      <c r="U238" s="32"/>
      <c r="V238" s="32"/>
    </row>
    <row r="239" spans="1:22" ht="13" hidden="1" customHeight="1" x14ac:dyDescent="0.2">
      <c r="A239" s="374"/>
      <c r="B239" s="298"/>
      <c r="C239" s="293"/>
      <c r="D239" s="294"/>
      <c r="E239" s="294"/>
      <c r="F239" s="299"/>
      <c r="G239" s="300"/>
      <c r="H239" s="295"/>
      <c r="I239" s="295"/>
      <c r="J239" s="295"/>
      <c r="K239" s="295"/>
      <c r="L239" s="301"/>
      <c r="M239" s="296"/>
      <c r="N239" s="296"/>
      <c r="O239" s="303">
        <f>IF(D239="E",(E239*L239)/(1-'CO Set Up'!$J$17),0)+IF(D239="S",(E239*L239)/(1-'CO Set Up'!$K$17),0)+IF(D239="SC",(E239*L239)/(1-'CO Set Up'!$L$17),0)</f>
        <v>0</v>
      </c>
      <c r="P239" s="370"/>
      <c r="Q239" s="32"/>
      <c r="R239" s="32"/>
      <c r="S239" s="32"/>
      <c r="T239" s="32"/>
      <c r="U239" s="32"/>
      <c r="V239" s="32"/>
    </row>
    <row r="240" spans="1:22" ht="13" customHeight="1" thickBot="1" x14ac:dyDescent="0.25">
      <c r="A240" s="375" t="s">
        <v>334</v>
      </c>
      <c r="B240" s="315"/>
      <c r="C240" s="307" t="s">
        <v>335</v>
      </c>
      <c r="D240" s="315"/>
      <c r="E240" s="315"/>
      <c r="F240" s="315"/>
      <c r="G240" s="315"/>
      <c r="H240" s="290"/>
      <c r="I240" s="290"/>
      <c r="J240" s="290"/>
      <c r="K240" s="290"/>
      <c r="L240" s="304" t="s">
        <v>336</v>
      </c>
      <c r="M240" s="304"/>
      <c r="N240" s="304"/>
      <c r="O240" s="316">
        <f>SUM(O238:O239)</f>
        <v>0</v>
      </c>
      <c r="P240" s="370"/>
      <c r="Q240" s="32"/>
      <c r="R240" s="32"/>
      <c r="S240" s="32"/>
      <c r="T240" s="32"/>
      <c r="U240" s="32"/>
      <c r="V240" s="32"/>
    </row>
    <row r="241" spans="1:22" ht="13" customHeight="1" x14ac:dyDescent="0.2">
      <c r="A241" s="376"/>
      <c r="B241" s="315"/>
      <c r="C241" s="315"/>
      <c r="D241" s="315"/>
      <c r="E241" s="315"/>
      <c r="F241" s="315"/>
      <c r="G241" s="315"/>
      <c r="H241" s="290"/>
      <c r="I241" s="290"/>
      <c r="J241" s="290"/>
      <c r="K241" s="290"/>
      <c r="L241" s="1351" t="s">
        <v>337</v>
      </c>
      <c r="M241" s="1351"/>
      <c r="N241" s="1351"/>
      <c r="O241" s="317">
        <f>IF('CO Set Up'!H235="yes",-(G235*'Admin Set Up'!$B$13),0)</f>
        <v>0</v>
      </c>
      <c r="P241" s="370"/>
      <c r="Q241" s="32"/>
      <c r="R241" s="32"/>
      <c r="S241" s="32"/>
      <c r="T241" s="32"/>
      <c r="U241" s="32"/>
      <c r="V241" s="32"/>
    </row>
    <row r="242" spans="1:22" ht="13" customHeight="1" x14ac:dyDescent="0.2">
      <c r="A242" s="377"/>
      <c r="B242" s="318"/>
      <c r="C242" s="318"/>
      <c r="D242" s="318"/>
      <c r="E242" s="318"/>
      <c r="F242" s="318"/>
      <c r="G242" s="318"/>
      <c r="H242" s="319"/>
      <c r="I242" s="319"/>
      <c r="J242" s="319"/>
      <c r="K242" s="319"/>
      <c r="L242" s="1351" t="s">
        <v>61</v>
      </c>
      <c r="M242" s="1351"/>
      <c r="N242" s="1351"/>
      <c r="O242" s="320">
        <f>IF('CO Set Up'!H236="yes",(O235+O240+O241)*'Admin Set Up'!B237,0)</f>
        <v>0</v>
      </c>
      <c r="P242" s="370"/>
      <c r="Q242" s="32"/>
      <c r="R242" s="32"/>
      <c r="S242" s="32"/>
      <c r="T242" s="32"/>
      <c r="U242" s="32"/>
      <c r="V242" s="32"/>
    </row>
    <row r="243" spans="1:22" ht="16" thickBot="1" x14ac:dyDescent="0.25">
      <c r="A243" s="378" t="s">
        <v>338</v>
      </c>
      <c r="B243" s="379"/>
      <c r="C243" s="379"/>
      <c r="D243" s="379"/>
      <c r="E243" s="379"/>
      <c r="F243" s="379"/>
      <c r="G243" s="379"/>
      <c r="H243" s="379"/>
      <c r="I243" s="379"/>
      <c r="J243" s="379"/>
      <c r="K243" s="379"/>
      <c r="L243" s="379"/>
      <c r="M243" s="379"/>
      <c r="N243" s="379"/>
      <c r="O243" s="380">
        <f>+O235+O240+O241+O242</f>
        <v>0</v>
      </c>
      <c r="P243" s="381"/>
      <c r="Q243" s="32"/>
      <c r="R243" s="32"/>
      <c r="S243" s="32"/>
      <c r="T243" s="32"/>
      <c r="U243" s="32"/>
      <c r="V243" s="32"/>
    </row>
    <row r="244" spans="1:22" ht="17" thickTop="1" thickBot="1" x14ac:dyDescent="0.25"/>
    <row r="245" spans="1:22" ht="15" customHeight="1" thickTop="1" thickBot="1" x14ac:dyDescent="0.25">
      <c r="A245" s="364" t="s">
        <v>301</v>
      </c>
      <c r="B245" s="365"/>
      <c r="C245" s="366" t="s">
        <v>358</v>
      </c>
      <c r="D245" s="367"/>
      <c r="E245" s="367"/>
      <c r="F245" s="367"/>
      <c r="G245" s="367"/>
      <c r="H245" s="367"/>
      <c r="I245" s="367"/>
      <c r="J245" s="367"/>
      <c r="K245" s="367"/>
      <c r="L245" s="367"/>
      <c r="M245" s="367"/>
      <c r="N245" s="367"/>
      <c r="O245" s="367"/>
      <c r="P245" s="368"/>
      <c r="Q245" s="419"/>
      <c r="R245" s="419"/>
      <c r="S245" s="419"/>
      <c r="T245" s="419"/>
      <c r="U245" s="419"/>
      <c r="V245" s="419"/>
    </row>
    <row r="246" spans="1:22" ht="17" thickBot="1" x14ac:dyDescent="0.3">
      <c r="A246" s="434"/>
      <c r="B246" s="1345"/>
      <c r="C246" s="1346"/>
      <c r="D246" s="1346"/>
      <c r="E246" s="1346"/>
      <c r="F246" s="1346"/>
      <c r="G246" s="1347"/>
      <c r="H246" s="258"/>
      <c r="I246" s="258"/>
      <c r="J246" s="258"/>
      <c r="K246" s="258"/>
      <c r="L246" s="432"/>
      <c r="M246" s="432"/>
      <c r="N246" s="432"/>
      <c r="O246" s="432"/>
      <c r="P246" s="433"/>
      <c r="Q246" s="430"/>
      <c r="R246" s="92"/>
      <c r="S246" s="92"/>
      <c r="T246" s="92"/>
      <c r="U246" s="431"/>
      <c r="V246" s="92"/>
    </row>
    <row r="247" spans="1:22" ht="51" customHeight="1" thickBot="1" x14ac:dyDescent="0.25">
      <c r="A247" s="382" t="s">
        <v>209</v>
      </c>
      <c r="B247" s="383" t="s">
        <v>210</v>
      </c>
      <c r="C247" s="384" t="s">
        <v>169</v>
      </c>
      <c r="D247" s="383" t="s">
        <v>212</v>
      </c>
      <c r="E247" s="385" t="s">
        <v>327</v>
      </c>
      <c r="F247" s="305" t="s">
        <v>215</v>
      </c>
      <c r="G247" s="386" t="s">
        <v>217</v>
      </c>
      <c r="H247" s="387" t="s">
        <v>218</v>
      </c>
      <c r="I247" s="387" t="s">
        <v>219</v>
      </c>
      <c r="J247" s="387" t="s">
        <v>220</v>
      </c>
      <c r="K247" s="387" t="s">
        <v>221</v>
      </c>
      <c r="L247" s="387" t="s">
        <v>222</v>
      </c>
      <c r="M247" s="387" t="s">
        <v>223</v>
      </c>
      <c r="N247" s="387" t="s">
        <v>213</v>
      </c>
      <c r="O247" s="385" t="s">
        <v>31</v>
      </c>
      <c r="P247" s="369">
        <v>17</v>
      </c>
      <c r="Q247" s="436" t="s">
        <v>345</v>
      </c>
      <c r="R247" s="409" t="s">
        <v>349</v>
      </c>
      <c r="S247" s="409" t="s">
        <v>348</v>
      </c>
      <c r="T247" s="410" t="s">
        <v>346</v>
      </c>
      <c r="U247" s="411" t="s">
        <v>347</v>
      </c>
      <c r="V247" s="412" t="s">
        <v>350</v>
      </c>
    </row>
    <row r="248" spans="1:22" ht="13" customHeight="1" thickBot="1" x14ac:dyDescent="0.25">
      <c r="A248" s="388"/>
      <c r="B248" s="398"/>
      <c r="C248" s="288"/>
      <c r="D248" s="390"/>
      <c r="E248" s="391"/>
      <c r="F248" s="392"/>
      <c r="G248" s="393">
        <f>IF(B248=0,0,A248/B248)</f>
        <v>0</v>
      </c>
      <c r="H248" s="394">
        <f>+'CO Set Up'!$B$24</f>
        <v>54.653594771241835</v>
      </c>
      <c r="I248" s="394">
        <f>+'CO Set Up'!$C$24</f>
        <v>58.690196078431363</v>
      </c>
      <c r="J248" s="394">
        <f>+'CO Set Up'!$D$24</f>
        <v>61.381263616557739</v>
      </c>
      <c r="K248" s="394">
        <f>IF(F248=40,H248,0)+IF(F248=50,I248,0)+IF(F248=60,J248,0)</f>
        <v>0</v>
      </c>
      <c r="L248" s="393">
        <f>IF(D248=0,0,A248/D248)</f>
        <v>0</v>
      </c>
      <c r="M248" s="395">
        <f>+G248*K248</f>
        <v>0</v>
      </c>
      <c r="N248" s="395">
        <f>IF('CO Set Up'!$H$9="yes",(L248*E248)/(1-'CO Set Up'!$I$17)+(('Change Order'!L248*'Change Order'!E248)*'Admin Set Up'!$B$11),L248*E248/(1-'CO Set Up'!$I$17))</f>
        <v>0</v>
      </c>
      <c r="O248" s="396">
        <f>SUM(M248:N248)</f>
        <v>0</v>
      </c>
      <c r="P248" s="397"/>
      <c r="Q248" s="403" t="s">
        <v>2</v>
      </c>
      <c r="R248" s="437">
        <f>IF(Q248="no",O258,0)</f>
        <v>0</v>
      </c>
      <c r="S248" s="438">
        <f>IF(Q248="yes",O258,0)</f>
        <v>0</v>
      </c>
      <c r="T248" s="439">
        <f>IF(Q248="yes",G250*V248,0)</f>
        <v>0</v>
      </c>
      <c r="U248" s="440"/>
      <c r="V248" s="413">
        <v>1</v>
      </c>
    </row>
    <row r="249" spans="1:22" ht="13" hidden="1" customHeight="1" thickBot="1" x14ac:dyDescent="0.25">
      <c r="A249" s="399"/>
      <c r="B249" s="389"/>
      <c r="C249" s="402"/>
      <c r="D249" s="400"/>
      <c r="E249" s="401"/>
      <c r="F249" s="392"/>
      <c r="G249" s="393">
        <f>IF(B249=0,0,A249/B249)</f>
        <v>0</v>
      </c>
      <c r="H249" s="394">
        <f>+H248</f>
        <v>54.653594771241835</v>
      </c>
      <c r="I249" s="394">
        <f>+I248</f>
        <v>58.690196078431363</v>
      </c>
      <c r="J249" s="394">
        <f>+J248</f>
        <v>61.381263616557739</v>
      </c>
      <c r="K249" s="394">
        <f>IF(F249=40,H249,0)+IF(F249=50,I249,0)+IF(F249=60,J249,0)</f>
        <v>0</v>
      </c>
      <c r="L249" s="393">
        <f>IF(D249=0,0,A249/D249)</f>
        <v>0</v>
      </c>
      <c r="M249" s="395">
        <f>+G249*K249</f>
        <v>0</v>
      </c>
      <c r="N249" s="395">
        <f>IF('CO Set Up'!$H$9="yes",(L249*E249)/(1-'CO Set Up'!$I$17)+(('Change Order'!L249*'Change Order'!E249)*'Admin Set Up'!$B$11),L249*E249/(1-'CO Set Up'!$I$17))</f>
        <v>0</v>
      </c>
      <c r="O249" s="396">
        <f>SUM(M249:N249)</f>
        <v>0</v>
      </c>
      <c r="P249" s="370"/>
      <c r="Q249" s="153"/>
      <c r="R249" s="153"/>
      <c r="S249" s="153"/>
      <c r="T249" s="153"/>
      <c r="U249" s="153"/>
      <c r="V249" s="153"/>
    </row>
    <row r="250" spans="1:22" ht="13" customHeight="1" thickBot="1" x14ac:dyDescent="0.25">
      <c r="A250" s="371" t="s">
        <v>334</v>
      </c>
      <c r="B250" s="306"/>
      <c r="C250" s="307" t="s">
        <v>333</v>
      </c>
      <c r="D250" s="306"/>
      <c r="E250" s="306"/>
      <c r="F250" s="289"/>
      <c r="G250" s="308">
        <f>SUM(G248:G249)</f>
        <v>0</v>
      </c>
      <c r="H250" s="306"/>
      <c r="I250" s="306"/>
      <c r="J250" s="306"/>
      <c r="K250" s="306"/>
      <c r="L250" s="309">
        <f>SUM(L248:L249)</f>
        <v>0</v>
      </c>
      <c r="M250" s="310">
        <f>SUM(M248:M249)</f>
        <v>0</v>
      </c>
      <c r="N250" s="310">
        <f>SUM(N248:N249)</f>
        <v>0</v>
      </c>
      <c r="O250" s="311">
        <f>SUM(O248:O249)</f>
        <v>0</v>
      </c>
      <c r="P250" s="370"/>
      <c r="Q250" s="32"/>
      <c r="R250" s="32"/>
      <c r="S250" s="32"/>
      <c r="T250" s="32"/>
      <c r="U250" s="32"/>
      <c r="V250" s="32"/>
    </row>
    <row r="251" spans="1:22" ht="13" customHeight="1" x14ac:dyDescent="0.2">
      <c r="A251" s="372"/>
      <c r="B251" s="312"/>
      <c r="C251" s="313"/>
      <c r="D251" s="313"/>
      <c r="E251" s="313"/>
      <c r="F251" s="313"/>
      <c r="G251" s="313"/>
      <c r="H251" s="313"/>
      <c r="I251" s="313"/>
      <c r="J251" s="313"/>
      <c r="K251" s="313"/>
      <c r="L251" s="313"/>
      <c r="M251" s="313"/>
      <c r="N251" s="313"/>
      <c r="O251" s="313"/>
      <c r="P251" s="370"/>
      <c r="Q251" s="32"/>
      <c r="R251" s="32"/>
      <c r="S251" s="32"/>
      <c r="T251" s="32"/>
      <c r="U251" s="32"/>
      <c r="V251" s="32"/>
    </row>
    <row r="252" spans="1:22" ht="13" customHeight="1" x14ac:dyDescent="0.2">
      <c r="A252" s="1348" t="s">
        <v>59</v>
      </c>
      <c r="B252" s="1349"/>
      <c r="C252" s="322" t="s">
        <v>169</v>
      </c>
      <c r="D252" s="322" t="s">
        <v>328</v>
      </c>
      <c r="E252" s="322" t="s">
        <v>85</v>
      </c>
      <c r="F252" s="1350"/>
      <c r="G252" s="1350"/>
      <c r="H252" s="322"/>
      <c r="I252" s="322"/>
      <c r="J252" s="322"/>
      <c r="K252" s="322"/>
      <c r="L252" s="322" t="s">
        <v>225</v>
      </c>
      <c r="M252" s="322"/>
      <c r="N252" s="322"/>
      <c r="O252" s="322" t="s">
        <v>171</v>
      </c>
      <c r="P252" s="370"/>
      <c r="Q252" s="32"/>
      <c r="R252" s="32"/>
      <c r="S252" s="32"/>
      <c r="T252" s="32"/>
      <c r="U252" s="32"/>
      <c r="V252" s="32"/>
    </row>
    <row r="253" spans="1:22" ht="13" customHeight="1" x14ac:dyDescent="0.2">
      <c r="A253" s="373"/>
      <c r="B253" s="297"/>
      <c r="C253" s="293"/>
      <c r="D253" s="294"/>
      <c r="E253" s="294"/>
      <c r="F253" s="299"/>
      <c r="G253" s="300"/>
      <c r="H253" s="295"/>
      <c r="I253" s="295"/>
      <c r="J253" s="295"/>
      <c r="K253" s="295"/>
      <c r="L253" s="301"/>
      <c r="M253" s="296"/>
      <c r="N253" s="296"/>
      <c r="O253" s="302">
        <f>IF(D253="E",(E253*L253)/(1-'CO Set Up'!$J$17),0)+IF(D253="S",(E253*L253)/(1-'CO Set Up'!$K$17),0)+IF(D253="SC",(E253*L253)/(1-'CO Set Up'!$L$17),0)</f>
        <v>0</v>
      </c>
      <c r="P253" s="370"/>
      <c r="Q253" s="32"/>
      <c r="R253" s="32"/>
      <c r="S253" s="32"/>
      <c r="T253" s="32"/>
      <c r="U253" s="32"/>
      <c r="V253" s="32"/>
    </row>
    <row r="254" spans="1:22" ht="13" hidden="1" customHeight="1" x14ac:dyDescent="0.2">
      <c r="A254" s="374"/>
      <c r="B254" s="298"/>
      <c r="C254" s="293"/>
      <c r="D254" s="294"/>
      <c r="E254" s="294"/>
      <c r="F254" s="299"/>
      <c r="G254" s="300"/>
      <c r="H254" s="295"/>
      <c r="I254" s="295"/>
      <c r="J254" s="295"/>
      <c r="K254" s="295"/>
      <c r="L254" s="301"/>
      <c r="M254" s="296"/>
      <c r="N254" s="296"/>
      <c r="O254" s="303">
        <f>IF(D254="E",(E254*L254)/(1-'CO Set Up'!$J$17),0)+IF(D254="S",(E254*L254)/(1-'CO Set Up'!$K$17),0)+IF(D254="SC",(E254*L254)/(1-'CO Set Up'!$L$17),0)</f>
        <v>0</v>
      </c>
      <c r="P254" s="370"/>
      <c r="Q254" s="32"/>
      <c r="R254" s="32"/>
      <c r="S254" s="32"/>
      <c r="T254" s="32"/>
      <c r="U254" s="32"/>
      <c r="V254" s="32"/>
    </row>
    <row r="255" spans="1:22" ht="13" customHeight="1" thickBot="1" x14ac:dyDescent="0.25">
      <c r="A255" s="375" t="s">
        <v>334</v>
      </c>
      <c r="B255" s="315"/>
      <c r="C255" s="307" t="s">
        <v>335</v>
      </c>
      <c r="D255" s="315"/>
      <c r="E255" s="315"/>
      <c r="F255" s="315"/>
      <c r="G255" s="315"/>
      <c r="H255" s="290"/>
      <c r="I255" s="290"/>
      <c r="J255" s="290"/>
      <c r="K255" s="290"/>
      <c r="L255" s="304" t="s">
        <v>336</v>
      </c>
      <c r="M255" s="304"/>
      <c r="N255" s="304"/>
      <c r="O255" s="316">
        <f>SUM(O253:O254)</f>
        <v>0</v>
      </c>
      <c r="P255" s="370"/>
      <c r="Q255" s="32"/>
      <c r="R255" s="32"/>
      <c r="S255" s="32"/>
      <c r="T255" s="32"/>
      <c r="U255" s="32"/>
      <c r="V255" s="32"/>
    </row>
    <row r="256" spans="1:22" ht="13" customHeight="1" x14ac:dyDescent="0.2">
      <c r="A256" s="376"/>
      <c r="B256" s="315"/>
      <c r="C256" s="315"/>
      <c r="D256" s="315"/>
      <c r="E256" s="315"/>
      <c r="F256" s="315"/>
      <c r="G256" s="315"/>
      <c r="H256" s="290"/>
      <c r="I256" s="290"/>
      <c r="J256" s="290"/>
      <c r="K256" s="290"/>
      <c r="L256" s="1351" t="s">
        <v>337</v>
      </c>
      <c r="M256" s="1351"/>
      <c r="N256" s="1351"/>
      <c r="O256" s="317">
        <f>IF('CO Set Up'!H250="yes",-(G250*'Admin Set Up'!$B$13),0)</f>
        <v>0</v>
      </c>
      <c r="P256" s="370"/>
      <c r="Q256" s="32"/>
      <c r="R256" s="32"/>
      <c r="S256" s="32"/>
      <c r="T256" s="32"/>
      <c r="U256" s="32"/>
      <c r="V256" s="32"/>
    </row>
    <row r="257" spans="1:22" ht="13" customHeight="1" x14ac:dyDescent="0.2">
      <c r="A257" s="377"/>
      <c r="B257" s="318"/>
      <c r="C257" s="318"/>
      <c r="D257" s="318"/>
      <c r="E257" s="318"/>
      <c r="F257" s="318"/>
      <c r="G257" s="318"/>
      <c r="H257" s="319"/>
      <c r="I257" s="319"/>
      <c r="J257" s="319"/>
      <c r="K257" s="319"/>
      <c r="L257" s="1351" t="s">
        <v>61</v>
      </c>
      <c r="M257" s="1351"/>
      <c r="N257" s="1351"/>
      <c r="O257" s="320">
        <f>IF('CO Set Up'!H251="yes",(O250+O255+O256)*'Admin Set Up'!B252,0)</f>
        <v>0</v>
      </c>
      <c r="P257" s="370"/>
      <c r="Q257" s="32"/>
      <c r="R257" s="32"/>
      <c r="S257" s="32"/>
      <c r="T257" s="32"/>
      <c r="U257" s="32"/>
      <c r="V257" s="32"/>
    </row>
    <row r="258" spans="1:22" ht="16" thickBot="1" x14ac:dyDescent="0.25">
      <c r="A258" s="378" t="s">
        <v>338</v>
      </c>
      <c r="B258" s="379"/>
      <c r="C258" s="379"/>
      <c r="D258" s="379"/>
      <c r="E258" s="379"/>
      <c r="F258" s="379"/>
      <c r="G258" s="379"/>
      <c r="H258" s="379"/>
      <c r="I258" s="379"/>
      <c r="J258" s="379"/>
      <c r="K258" s="379"/>
      <c r="L258" s="379"/>
      <c r="M258" s="379"/>
      <c r="N258" s="379"/>
      <c r="O258" s="380">
        <f>+O250+O255+O256+O257</f>
        <v>0</v>
      </c>
      <c r="P258" s="381"/>
      <c r="Q258" s="32"/>
      <c r="R258" s="32"/>
      <c r="S258" s="32"/>
      <c r="T258" s="32"/>
      <c r="U258" s="32"/>
      <c r="V258" s="32"/>
    </row>
    <row r="259" spans="1:22" ht="17" thickTop="1" thickBot="1" x14ac:dyDescent="0.25"/>
    <row r="260" spans="1:22" ht="15" customHeight="1" thickTop="1" thickBot="1" x14ac:dyDescent="0.25">
      <c r="A260" s="364" t="s">
        <v>301</v>
      </c>
      <c r="B260" s="365"/>
      <c r="C260" s="366" t="s">
        <v>358</v>
      </c>
      <c r="D260" s="367"/>
      <c r="E260" s="367"/>
      <c r="F260" s="367"/>
      <c r="G260" s="367"/>
      <c r="H260" s="367"/>
      <c r="I260" s="367"/>
      <c r="J260" s="367"/>
      <c r="K260" s="367"/>
      <c r="L260" s="367"/>
      <c r="M260" s="367"/>
      <c r="N260" s="367"/>
      <c r="O260" s="367"/>
      <c r="P260" s="368"/>
      <c r="Q260" s="419"/>
      <c r="R260" s="419"/>
      <c r="S260" s="419"/>
      <c r="T260" s="419"/>
      <c r="U260" s="419"/>
      <c r="V260" s="419"/>
    </row>
    <row r="261" spans="1:22" ht="17" thickBot="1" x14ac:dyDescent="0.3">
      <c r="A261" s="434"/>
      <c r="B261" s="1345"/>
      <c r="C261" s="1346"/>
      <c r="D261" s="1346"/>
      <c r="E261" s="1346"/>
      <c r="F261" s="1346"/>
      <c r="G261" s="1347"/>
      <c r="H261" s="258"/>
      <c r="I261" s="258"/>
      <c r="J261" s="258"/>
      <c r="K261" s="258"/>
      <c r="L261" s="432"/>
      <c r="M261" s="432"/>
      <c r="N261" s="432"/>
      <c r="O261" s="432"/>
      <c r="P261" s="433"/>
      <c r="Q261" s="430"/>
      <c r="R261" s="92"/>
      <c r="S261" s="92"/>
      <c r="T261" s="92"/>
      <c r="U261" s="431"/>
      <c r="V261" s="92"/>
    </row>
    <row r="262" spans="1:22" ht="51" customHeight="1" thickBot="1" x14ac:dyDescent="0.25">
      <c r="A262" s="382" t="s">
        <v>209</v>
      </c>
      <c r="B262" s="383" t="s">
        <v>210</v>
      </c>
      <c r="C262" s="384" t="s">
        <v>169</v>
      </c>
      <c r="D262" s="383" t="s">
        <v>212</v>
      </c>
      <c r="E262" s="385" t="s">
        <v>327</v>
      </c>
      <c r="F262" s="305" t="s">
        <v>215</v>
      </c>
      <c r="G262" s="386" t="s">
        <v>217</v>
      </c>
      <c r="H262" s="387" t="s">
        <v>218</v>
      </c>
      <c r="I262" s="387" t="s">
        <v>219</v>
      </c>
      <c r="J262" s="387" t="s">
        <v>220</v>
      </c>
      <c r="K262" s="387" t="s">
        <v>221</v>
      </c>
      <c r="L262" s="387" t="s">
        <v>222</v>
      </c>
      <c r="M262" s="387" t="s">
        <v>223</v>
      </c>
      <c r="N262" s="387" t="s">
        <v>213</v>
      </c>
      <c r="O262" s="385" t="s">
        <v>31</v>
      </c>
      <c r="P262" s="369">
        <v>18</v>
      </c>
      <c r="Q262" s="436" t="s">
        <v>345</v>
      </c>
      <c r="R262" s="409" t="s">
        <v>349</v>
      </c>
      <c r="S262" s="409" t="s">
        <v>348</v>
      </c>
      <c r="T262" s="410" t="s">
        <v>346</v>
      </c>
      <c r="U262" s="411" t="s">
        <v>347</v>
      </c>
      <c r="V262" s="412" t="s">
        <v>350</v>
      </c>
    </row>
    <row r="263" spans="1:22" ht="13" customHeight="1" thickBot="1" x14ac:dyDescent="0.25">
      <c r="A263" s="388"/>
      <c r="B263" s="398"/>
      <c r="C263" s="288"/>
      <c r="D263" s="390"/>
      <c r="E263" s="391"/>
      <c r="F263" s="392"/>
      <c r="G263" s="393">
        <f>IF(B263=0,0,A263/B263)</f>
        <v>0</v>
      </c>
      <c r="H263" s="394">
        <f>+'CO Set Up'!$B$24</f>
        <v>54.653594771241835</v>
      </c>
      <c r="I263" s="394">
        <f>+'CO Set Up'!$C$24</f>
        <v>58.690196078431363</v>
      </c>
      <c r="J263" s="394">
        <f>+'CO Set Up'!$D$24</f>
        <v>61.381263616557739</v>
      </c>
      <c r="K263" s="394">
        <f>IF(F263=40,H263,0)+IF(F263=50,I263,0)+IF(F263=60,J263,0)</f>
        <v>0</v>
      </c>
      <c r="L263" s="393">
        <f>IF(D263=0,0,A263/D263)</f>
        <v>0</v>
      </c>
      <c r="M263" s="395">
        <f>+G263*K263</f>
        <v>0</v>
      </c>
      <c r="N263" s="395">
        <f>IF('CO Set Up'!$H$9="yes",(L263*E263)/(1-'CO Set Up'!$I$17)+(('Change Order'!L263*'Change Order'!E263)*'Admin Set Up'!$B$11),L263*E263/(1-'CO Set Up'!$I$17))</f>
        <v>0</v>
      </c>
      <c r="O263" s="396">
        <f>SUM(M263:N263)</f>
        <v>0</v>
      </c>
      <c r="P263" s="397"/>
      <c r="Q263" s="403" t="s">
        <v>2</v>
      </c>
      <c r="R263" s="437">
        <f>IF(Q263="no",O273,0)</f>
        <v>0</v>
      </c>
      <c r="S263" s="438">
        <f>IF(Q263="yes",O273,0)</f>
        <v>0</v>
      </c>
      <c r="T263" s="439">
        <f>IF(Q263="yes",G265*V263,0)</f>
        <v>0</v>
      </c>
      <c r="U263" s="440"/>
      <c r="V263" s="413">
        <v>1</v>
      </c>
    </row>
    <row r="264" spans="1:22" ht="13" hidden="1" customHeight="1" thickBot="1" x14ac:dyDescent="0.25">
      <c r="A264" s="399"/>
      <c r="B264" s="389"/>
      <c r="C264" s="402"/>
      <c r="D264" s="400"/>
      <c r="E264" s="401"/>
      <c r="F264" s="392"/>
      <c r="G264" s="393">
        <f>IF(B264=0,0,A264/B264)</f>
        <v>0</v>
      </c>
      <c r="H264" s="394">
        <f>+H263</f>
        <v>54.653594771241835</v>
      </c>
      <c r="I264" s="394">
        <f>+I263</f>
        <v>58.690196078431363</v>
      </c>
      <c r="J264" s="394">
        <f>+J263</f>
        <v>61.381263616557739</v>
      </c>
      <c r="K264" s="394">
        <f>IF(F264=40,H264,0)+IF(F264=50,I264,0)+IF(F264=60,J264,0)</f>
        <v>0</v>
      </c>
      <c r="L264" s="393">
        <f>IF(D264=0,0,A264/D264)</f>
        <v>0</v>
      </c>
      <c r="M264" s="395">
        <f>+G264*K264</f>
        <v>0</v>
      </c>
      <c r="N264" s="395">
        <f>IF('CO Set Up'!$H$9="yes",(L264*E264)/(1-'CO Set Up'!$I$17)+(('Change Order'!L264*'Change Order'!E264)*'Admin Set Up'!$B$11),L264*E264/(1-'CO Set Up'!$I$17))</f>
        <v>0</v>
      </c>
      <c r="O264" s="396">
        <f>SUM(M264:N264)</f>
        <v>0</v>
      </c>
      <c r="P264" s="370"/>
      <c r="Q264" s="153"/>
      <c r="R264" s="153"/>
      <c r="S264" s="153"/>
      <c r="T264" s="153"/>
      <c r="U264" s="153"/>
      <c r="V264" s="153"/>
    </row>
    <row r="265" spans="1:22" ht="13" customHeight="1" thickBot="1" x14ac:dyDescent="0.25">
      <c r="A265" s="371" t="s">
        <v>334</v>
      </c>
      <c r="B265" s="306"/>
      <c r="C265" s="307" t="s">
        <v>333</v>
      </c>
      <c r="D265" s="306"/>
      <c r="E265" s="306"/>
      <c r="F265" s="289"/>
      <c r="G265" s="308">
        <f>SUM(G263:G264)</f>
        <v>0</v>
      </c>
      <c r="H265" s="306"/>
      <c r="I265" s="306"/>
      <c r="J265" s="306"/>
      <c r="K265" s="306"/>
      <c r="L265" s="309">
        <f>SUM(L263:L264)</f>
        <v>0</v>
      </c>
      <c r="M265" s="310">
        <f>SUM(M263:M264)</f>
        <v>0</v>
      </c>
      <c r="N265" s="310">
        <f>SUM(N263:N264)</f>
        <v>0</v>
      </c>
      <c r="O265" s="311">
        <f>SUM(O263:O264)</f>
        <v>0</v>
      </c>
      <c r="P265" s="370"/>
      <c r="Q265" s="32"/>
      <c r="R265" s="32"/>
      <c r="S265" s="32"/>
      <c r="T265" s="32"/>
      <c r="U265" s="32"/>
      <c r="V265" s="32"/>
    </row>
    <row r="266" spans="1:22" ht="13" customHeight="1" x14ac:dyDescent="0.2">
      <c r="A266" s="372"/>
      <c r="B266" s="312"/>
      <c r="C266" s="313"/>
      <c r="D266" s="313"/>
      <c r="E266" s="313"/>
      <c r="F266" s="313"/>
      <c r="G266" s="313"/>
      <c r="H266" s="313"/>
      <c r="I266" s="313"/>
      <c r="J266" s="313"/>
      <c r="K266" s="313"/>
      <c r="L266" s="313"/>
      <c r="M266" s="313"/>
      <c r="N266" s="313"/>
      <c r="O266" s="313"/>
      <c r="P266" s="370"/>
      <c r="Q266" s="32"/>
      <c r="R266" s="32"/>
      <c r="S266" s="32"/>
      <c r="T266" s="32"/>
      <c r="U266" s="32"/>
      <c r="V266" s="32"/>
    </row>
    <row r="267" spans="1:22" ht="13" customHeight="1" x14ac:dyDescent="0.2">
      <c r="A267" s="1348" t="s">
        <v>59</v>
      </c>
      <c r="B267" s="1349"/>
      <c r="C267" s="322" t="s">
        <v>169</v>
      </c>
      <c r="D267" s="322" t="s">
        <v>328</v>
      </c>
      <c r="E267" s="322" t="s">
        <v>85</v>
      </c>
      <c r="F267" s="1350"/>
      <c r="G267" s="1350"/>
      <c r="H267" s="322"/>
      <c r="I267" s="322"/>
      <c r="J267" s="322"/>
      <c r="K267" s="322"/>
      <c r="L267" s="322" t="s">
        <v>225</v>
      </c>
      <c r="M267" s="322"/>
      <c r="N267" s="322"/>
      <c r="O267" s="322" t="s">
        <v>171</v>
      </c>
      <c r="P267" s="370"/>
      <c r="Q267" s="32"/>
      <c r="R267" s="32"/>
      <c r="S267" s="32"/>
      <c r="T267" s="32"/>
      <c r="U267" s="32"/>
      <c r="V267" s="32"/>
    </row>
    <row r="268" spans="1:22" ht="13" customHeight="1" x14ac:dyDescent="0.2">
      <c r="A268" s="373"/>
      <c r="B268" s="297"/>
      <c r="C268" s="293"/>
      <c r="D268" s="294"/>
      <c r="E268" s="294"/>
      <c r="F268" s="299"/>
      <c r="G268" s="300"/>
      <c r="H268" s="295"/>
      <c r="I268" s="295"/>
      <c r="J268" s="295"/>
      <c r="K268" s="295"/>
      <c r="L268" s="301"/>
      <c r="M268" s="296"/>
      <c r="N268" s="296"/>
      <c r="O268" s="302">
        <f>IF(D268="E",(E268*L268)/(1-'CO Set Up'!$J$17),0)+IF(D268="S",(E268*L268)/(1-'CO Set Up'!$K$17),0)+IF(D268="SC",(E268*L268)/(1-'CO Set Up'!$L$17),0)</f>
        <v>0</v>
      </c>
      <c r="P268" s="370"/>
      <c r="Q268" s="32"/>
      <c r="R268" s="32"/>
      <c r="S268" s="32"/>
      <c r="T268" s="32"/>
      <c r="U268" s="32"/>
      <c r="V268" s="32"/>
    </row>
    <row r="269" spans="1:22" ht="13" hidden="1" customHeight="1" x14ac:dyDescent="0.2">
      <c r="A269" s="374"/>
      <c r="B269" s="298"/>
      <c r="C269" s="293"/>
      <c r="D269" s="294"/>
      <c r="E269" s="294"/>
      <c r="F269" s="299"/>
      <c r="G269" s="300"/>
      <c r="H269" s="295"/>
      <c r="I269" s="295"/>
      <c r="J269" s="295"/>
      <c r="K269" s="295"/>
      <c r="L269" s="301"/>
      <c r="M269" s="296"/>
      <c r="N269" s="296"/>
      <c r="O269" s="303">
        <f>IF(D269="E",(E269*L269)/(1-'CO Set Up'!$J$17),0)+IF(D269="S",(E269*L269)/(1-'CO Set Up'!$K$17),0)+IF(D269="SC",(E269*L269)/(1-'CO Set Up'!$L$17),0)</f>
        <v>0</v>
      </c>
      <c r="P269" s="370"/>
      <c r="Q269" s="32"/>
      <c r="R269" s="32"/>
      <c r="S269" s="32"/>
      <c r="T269" s="32"/>
      <c r="U269" s="32"/>
      <c r="V269" s="32"/>
    </row>
    <row r="270" spans="1:22" ht="13" customHeight="1" thickBot="1" x14ac:dyDescent="0.25">
      <c r="A270" s="375" t="s">
        <v>334</v>
      </c>
      <c r="B270" s="315"/>
      <c r="C270" s="307" t="s">
        <v>335</v>
      </c>
      <c r="D270" s="315"/>
      <c r="E270" s="315"/>
      <c r="F270" s="315"/>
      <c r="G270" s="315"/>
      <c r="H270" s="290"/>
      <c r="I270" s="290"/>
      <c r="J270" s="290"/>
      <c r="K270" s="290"/>
      <c r="L270" s="304" t="s">
        <v>336</v>
      </c>
      <c r="M270" s="304"/>
      <c r="N270" s="304"/>
      <c r="O270" s="316">
        <f>SUM(O268:O269)</f>
        <v>0</v>
      </c>
      <c r="P270" s="370"/>
      <c r="Q270" s="32"/>
      <c r="R270" s="32"/>
      <c r="S270" s="32"/>
      <c r="T270" s="32"/>
      <c r="U270" s="32"/>
      <c r="V270" s="32"/>
    </row>
    <row r="271" spans="1:22" ht="13" customHeight="1" x14ac:dyDescent="0.2">
      <c r="A271" s="376"/>
      <c r="B271" s="315"/>
      <c r="C271" s="315"/>
      <c r="D271" s="315"/>
      <c r="E271" s="315"/>
      <c r="F271" s="315"/>
      <c r="G271" s="315"/>
      <c r="H271" s="290"/>
      <c r="I271" s="290"/>
      <c r="J271" s="290"/>
      <c r="K271" s="290"/>
      <c r="L271" s="1351" t="s">
        <v>337</v>
      </c>
      <c r="M271" s="1351"/>
      <c r="N271" s="1351"/>
      <c r="O271" s="317">
        <f>IF('CO Set Up'!H265="yes",-(G265*'Admin Set Up'!$B$13),0)</f>
        <v>0</v>
      </c>
      <c r="P271" s="370"/>
      <c r="Q271" s="32"/>
      <c r="R271" s="32"/>
      <c r="S271" s="32"/>
      <c r="T271" s="32"/>
      <c r="U271" s="32"/>
      <c r="V271" s="32"/>
    </row>
    <row r="272" spans="1:22" ht="13" customHeight="1" x14ac:dyDescent="0.2">
      <c r="A272" s="377"/>
      <c r="B272" s="318"/>
      <c r="C272" s="318"/>
      <c r="D272" s="318"/>
      <c r="E272" s="318"/>
      <c r="F272" s="318"/>
      <c r="G272" s="318"/>
      <c r="H272" s="319"/>
      <c r="I272" s="319"/>
      <c r="J272" s="319"/>
      <c r="K272" s="319"/>
      <c r="L272" s="1351" t="s">
        <v>61</v>
      </c>
      <c r="M272" s="1351"/>
      <c r="N272" s="1351"/>
      <c r="O272" s="320">
        <f>IF('CO Set Up'!H266="yes",(O265+O270+O271)*'Admin Set Up'!B267,0)</f>
        <v>0</v>
      </c>
      <c r="P272" s="370"/>
      <c r="Q272" s="32"/>
      <c r="R272" s="32"/>
      <c r="S272" s="32"/>
      <c r="T272" s="32"/>
      <c r="U272" s="32"/>
      <c r="V272" s="32"/>
    </row>
    <row r="273" spans="1:22" ht="16" thickBot="1" x14ac:dyDescent="0.25">
      <c r="A273" s="378" t="s">
        <v>338</v>
      </c>
      <c r="B273" s="379"/>
      <c r="C273" s="379"/>
      <c r="D273" s="379"/>
      <c r="E273" s="379"/>
      <c r="F273" s="379"/>
      <c r="G273" s="379"/>
      <c r="H273" s="379"/>
      <c r="I273" s="379"/>
      <c r="J273" s="379"/>
      <c r="K273" s="379"/>
      <c r="L273" s="379"/>
      <c r="M273" s="379"/>
      <c r="N273" s="379"/>
      <c r="O273" s="380">
        <f>+O265+O270+O271+O272</f>
        <v>0</v>
      </c>
      <c r="P273" s="381"/>
      <c r="Q273" s="32"/>
      <c r="R273" s="32"/>
      <c r="S273" s="32"/>
      <c r="T273" s="32"/>
      <c r="U273" s="32"/>
      <c r="V273" s="32"/>
    </row>
    <row r="274" spans="1:22" ht="17" thickTop="1" thickBot="1" x14ac:dyDescent="0.25"/>
    <row r="275" spans="1:22" ht="15.75" customHeight="1" thickTop="1" thickBot="1" x14ac:dyDescent="0.25">
      <c r="A275" s="364" t="s">
        <v>301</v>
      </c>
      <c r="B275" s="365"/>
      <c r="C275" s="366" t="s">
        <v>358</v>
      </c>
      <c r="D275" s="367"/>
      <c r="E275" s="367"/>
      <c r="F275" s="367"/>
      <c r="G275" s="367"/>
      <c r="H275" s="367"/>
      <c r="I275" s="367"/>
      <c r="J275" s="367"/>
      <c r="K275" s="367"/>
      <c r="L275" s="367"/>
      <c r="M275" s="367"/>
      <c r="N275" s="367"/>
      <c r="O275" s="367"/>
      <c r="P275" s="368"/>
      <c r="Q275" s="419"/>
      <c r="R275" s="419"/>
      <c r="S275" s="419"/>
      <c r="T275" s="419"/>
      <c r="U275" s="419"/>
      <c r="V275" s="419"/>
    </row>
    <row r="276" spans="1:22" ht="17" thickBot="1" x14ac:dyDescent="0.3">
      <c r="A276" s="434"/>
      <c r="B276" s="1345"/>
      <c r="C276" s="1346"/>
      <c r="D276" s="1346"/>
      <c r="E276" s="1346"/>
      <c r="F276" s="1346"/>
      <c r="G276" s="1347"/>
      <c r="H276" s="258"/>
      <c r="I276" s="258"/>
      <c r="J276" s="258"/>
      <c r="K276" s="258"/>
      <c r="L276" s="432"/>
      <c r="M276" s="432"/>
      <c r="N276" s="432"/>
      <c r="O276" s="432"/>
      <c r="P276" s="433"/>
      <c r="Q276" s="430"/>
      <c r="R276" s="92"/>
      <c r="S276" s="92"/>
      <c r="T276" s="92"/>
      <c r="U276" s="431"/>
      <c r="V276" s="92"/>
    </row>
    <row r="277" spans="1:22" ht="51" customHeight="1" thickBot="1" x14ac:dyDescent="0.25">
      <c r="A277" s="382" t="s">
        <v>209</v>
      </c>
      <c r="B277" s="383" t="s">
        <v>210</v>
      </c>
      <c r="C277" s="384" t="s">
        <v>169</v>
      </c>
      <c r="D277" s="383" t="s">
        <v>212</v>
      </c>
      <c r="E277" s="385" t="s">
        <v>327</v>
      </c>
      <c r="F277" s="305" t="s">
        <v>215</v>
      </c>
      <c r="G277" s="386" t="s">
        <v>217</v>
      </c>
      <c r="H277" s="387" t="s">
        <v>218</v>
      </c>
      <c r="I277" s="387" t="s">
        <v>219</v>
      </c>
      <c r="J277" s="387" t="s">
        <v>220</v>
      </c>
      <c r="K277" s="387" t="s">
        <v>221</v>
      </c>
      <c r="L277" s="387" t="s">
        <v>222</v>
      </c>
      <c r="M277" s="387" t="s">
        <v>223</v>
      </c>
      <c r="N277" s="387" t="s">
        <v>213</v>
      </c>
      <c r="O277" s="385" t="s">
        <v>31</v>
      </c>
      <c r="P277" s="369">
        <v>19</v>
      </c>
      <c r="Q277" s="436" t="s">
        <v>345</v>
      </c>
      <c r="R277" s="409" t="s">
        <v>349</v>
      </c>
      <c r="S277" s="409" t="s">
        <v>348</v>
      </c>
      <c r="T277" s="410" t="s">
        <v>346</v>
      </c>
      <c r="U277" s="411" t="s">
        <v>347</v>
      </c>
      <c r="V277" s="412" t="s">
        <v>350</v>
      </c>
    </row>
    <row r="278" spans="1:22" ht="13" customHeight="1" thickBot="1" x14ac:dyDescent="0.25">
      <c r="A278" s="388"/>
      <c r="B278" s="398"/>
      <c r="C278" s="288"/>
      <c r="D278" s="390"/>
      <c r="E278" s="391"/>
      <c r="F278" s="392"/>
      <c r="G278" s="393">
        <f>IF(B278=0,0,A278/B278)</f>
        <v>0</v>
      </c>
      <c r="H278" s="394">
        <f>+'CO Set Up'!$B$24</f>
        <v>54.653594771241835</v>
      </c>
      <c r="I278" s="394">
        <f>+'CO Set Up'!$C$24</f>
        <v>58.690196078431363</v>
      </c>
      <c r="J278" s="394">
        <f>+'CO Set Up'!$D$24</f>
        <v>61.381263616557739</v>
      </c>
      <c r="K278" s="394">
        <f>IF(F278=40,H278,0)+IF(F278=50,I278,0)+IF(F278=60,J278,0)</f>
        <v>0</v>
      </c>
      <c r="L278" s="393">
        <f>IF(D278=0,0,A278/D278)</f>
        <v>0</v>
      </c>
      <c r="M278" s="395">
        <f>+G278*K278</f>
        <v>0</v>
      </c>
      <c r="N278" s="395">
        <f>IF('CO Set Up'!$H$9="yes",(L278*E278)/(1-'CO Set Up'!$I$17)+(('Change Order'!L278*'Change Order'!E278)*'Admin Set Up'!$B$11),L278*E278/(1-'CO Set Up'!$I$17))</f>
        <v>0</v>
      </c>
      <c r="O278" s="396">
        <f>SUM(M278:N278)</f>
        <v>0</v>
      </c>
      <c r="P278" s="397"/>
      <c r="Q278" s="403" t="s">
        <v>2</v>
      </c>
      <c r="R278" s="437">
        <f>IF(Q278="no",O288,0)</f>
        <v>0</v>
      </c>
      <c r="S278" s="438">
        <f>IF(Q278="yes",O288,0)</f>
        <v>0</v>
      </c>
      <c r="T278" s="439">
        <f>IF(Q278="yes",G280*V278,0)</f>
        <v>0</v>
      </c>
      <c r="U278" s="440"/>
      <c r="V278" s="413">
        <v>1</v>
      </c>
    </row>
    <row r="279" spans="1:22" ht="13" hidden="1" customHeight="1" thickBot="1" x14ac:dyDescent="0.25">
      <c r="A279" s="399"/>
      <c r="B279" s="389"/>
      <c r="C279" s="402"/>
      <c r="D279" s="400"/>
      <c r="E279" s="401"/>
      <c r="F279" s="392"/>
      <c r="G279" s="393">
        <f>IF(B279=0,0,A279/B279)</f>
        <v>0</v>
      </c>
      <c r="H279" s="394">
        <f>+H278</f>
        <v>54.653594771241835</v>
      </c>
      <c r="I279" s="394">
        <f>+I278</f>
        <v>58.690196078431363</v>
      </c>
      <c r="J279" s="394">
        <f>+J278</f>
        <v>61.381263616557739</v>
      </c>
      <c r="K279" s="394">
        <f>IF(F279=40,H279,0)+IF(F279=50,I279,0)+IF(F279=60,J279,0)</f>
        <v>0</v>
      </c>
      <c r="L279" s="393">
        <f>IF(D279=0,0,A279/D279)</f>
        <v>0</v>
      </c>
      <c r="M279" s="395">
        <f>+G279*K279</f>
        <v>0</v>
      </c>
      <c r="N279" s="395">
        <f>IF('CO Set Up'!$H$9="yes",(L279*E279)/(1-'CO Set Up'!$I$17)+(('Change Order'!L279*'Change Order'!E279)*'Admin Set Up'!$B$11),L279*E279/(1-'CO Set Up'!$I$17))</f>
        <v>0</v>
      </c>
      <c r="O279" s="396">
        <f>SUM(M279:N279)</f>
        <v>0</v>
      </c>
      <c r="P279" s="370"/>
      <c r="Q279" s="153"/>
      <c r="R279" s="153"/>
      <c r="S279" s="153"/>
      <c r="T279" s="153"/>
      <c r="U279" s="153"/>
      <c r="V279" s="153"/>
    </row>
    <row r="280" spans="1:22" ht="13" customHeight="1" thickBot="1" x14ac:dyDescent="0.25">
      <c r="A280" s="371" t="s">
        <v>334</v>
      </c>
      <c r="B280" s="306"/>
      <c r="C280" s="307" t="s">
        <v>333</v>
      </c>
      <c r="D280" s="306"/>
      <c r="E280" s="306"/>
      <c r="F280" s="289"/>
      <c r="G280" s="308">
        <f>SUM(G278:G279)</f>
        <v>0</v>
      </c>
      <c r="H280" s="306"/>
      <c r="I280" s="306"/>
      <c r="J280" s="306"/>
      <c r="K280" s="306"/>
      <c r="L280" s="309">
        <f>SUM(L278:L279)</f>
        <v>0</v>
      </c>
      <c r="M280" s="310">
        <f>SUM(M278:M279)</f>
        <v>0</v>
      </c>
      <c r="N280" s="310">
        <f>SUM(N278:N279)</f>
        <v>0</v>
      </c>
      <c r="O280" s="311">
        <f>SUM(O278:O279)</f>
        <v>0</v>
      </c>
      <c r="P280" s="370"/>
      <c r="Q280" s="32"/>
      <c r="R280" s="32"/>
      <c r="S280" s="32"/>
      <c r="T280" s="32"/>
      <c r="U280" s="32"/>
      <c r="V280" s="32"/>
    </row>
    <row r="281" spans="1:22" ht="13" customHeight="1" x14ac:dyDescent="0.2">
      <c r="A281" s="372"/>
      <c r="B281" s="312"/>
      <c r="C281" s="313"/>
      <c r="D281" s="313"/>
      <c r="E281" s="313"/>
      <c r="F281" s="313"/>
      <c r="G281" s="313"/>
      <c r="H281" s="313"/>
      <c r="I281" s="313"/>
      <c r="J281" s="313"/>
      <c r="K281" s="313"/>
      <c r="L281" s="313"/>
      <c r="M281" s="313"/>
      <c r="N281" s="313"/>
      <c r="O281" s="313"/>
      <c r="P281" s="370"/>
      <c r="Q281" s="32"/>
      <c r="R281" s="32"/>
      <c r="S281" s="32"/>
      <c r="T281" s="32"/>
      <c r="U281" s="32"/>
      <c r="V281" s="32"/>
    </row>
    <row r="282" spans="1:22" ht="13" customHeight="1" x14ac:dyDescent="0.2">
      <c r="A282" s="1348" t="s">
        <v>59</v>
      </c>
      <c r="B282" s="1349"/>
      <c r="C282" s="322" t="s">
        <v>169</v>
      </c>
      <c r="D282" s="322" t="s">
        <v>328</v>
      </c>
      <c r="E282" s="322" t="s">
        <v>85</v>
      </c>
      <c r="F282" s="1350"/>
      <c r="G282" s="1350"/>
      <c r="H282" s="322"/>
      <c r="I282" s="322"/>
      <c r="J282" s="322"/>
      <c r="K282" s="322"/>
      <c r="L282" s="322" t="s">
        <v>225</v>
      </c>
      <c r="M282" s="322"/>
      <c r="N282" s="322"/>
      <c r="O282" s="322" t="s">
        <v>171</v>
      </c>
      <c r="P282" s="370"/>
      <c r="Q282" s="32"/>
      <c r="R282" s="32"/>
      <c r="S282" s="32"/>
      <c r="T282" s="32"/>
      <c r="U282" s="32"/>
      <c r="V282" s="32"/>
    </row>
    <row r="283" spans="1:22" ht="13" customHeight="1" x14ac:dyDescent="0.2">
      <c r="A283" s="373"/>
      <c r="B283" s="297"/>
      <c r="C283" s="293"/>
      <c r="D283" s="294"/>
      <c r="E283" s="294"/>
      <c r="F283" s="299"/>
      <c r="G283" s="300"/>
      <c r="H283" s="295"/>
      <c r="I283" s="295"/>
      <c r="J283" s="295"/>
      <c r="K283" s="295"/>
      <c r="L283" s="301"/>
      <c r="M283" s="296"/>
      <c r="N283" s="296"/>
      <c r="O283" s="302">
        <f>IF(D283="E",(E283*L283)/(1-'CO Set Up'!$J$17),0)+IF(D283="S",(E283*L283)/(1-'CO Set Up'!$K$17),0)+IF(D283="SC",(E283*L283)/(1-'CO Set Up'!$L$17),0)</f>
        <v>0</v>
      </c>
      <c r="P283" s="370"/>
      <c r="Q283" s="32"/>
      <c r="R283" s="32"/>
      <c r="S283" s="32"/>
      <c r="T283" s="32"/>
      <c r="U283" s="32"/>
      <c r="V283" s="32"/>
    </row>
    <row r="284" spans="1:22" ht="13" hidden="1" customHeight="1" x14ac:dyDescent="0.2">
      <c r="A284" s="374"/>
      <c r="B284" s="298"/>
      <c r="C284" s="293"/>
      <c r="D284" s="294"/>
      <c r="E284" s="294"/>
      <c r="F284" s="299"/>
      <c r="G284" s="300"/>
      <c r="H284" s="295"/>
      <c r="I284" s="295"/>
      <c r="J284" s="295"/>
      <c r="K284" s="295"/>
      <c r="L284" s="301"/>
      <c r="M284" s="296"/>
      <c r="N284" s="296"/>
      <c r="O284" s="303">
        <f>IF(D284="E",(E284*L284)/(1-'CO Set Up'!$J$17),0)+IF(D284="S",(E284*L284)/(1-'CO Set Up'!$K$17),0)+IF(D284="SC",(E284*L284)/(1-'CO Set Up'!$L$17),0)</f>
        <v>0</v>
      </c>
      <c r="P284" s="370"/>
      <c r="Q284" s="32"/>
      <c r="R284" s="32"/>
      <c r="S284" s="32"/>
      <c r="T284" s="32"/>
      <c r="U284" s="32"/>
      <c r="V284" s="32"/>
    </row>
    <row r="285" spans="1:22" ht="13" customHeight="1" thickBot="1" x14ac:dyDescent="0.25">
      <c r="A285" s="375" t="s">
        <v>334</v>
      </c>
      <c r="B285" s="315"/>
      <c r="C285" s="307" t="s">
        <v>335</v>
      </c>
      <c r="D285" s="315"/>
      <c r="E285" s="315"/>
      <c r="F285" s="315"/>
      <c r="G285" s="315"/>
      <c r="H285" s="290"/>
      <c r="I285" s="290"/>
      <c r="J285" s="290"/>
      <c r="K285" s="290"/>
      <c r="L285" s="304" t="s">
        <v>336</v>
      </c>
      <c r="M285" s="304"/>
      <c r="N285" s="304"/>
      <c r="O285" s="316">
        <f>SUM(O283:O284)</f>
        <v>0</v>
      </c>
      <c r="P285" s="370"/>
      <c r="Q285" s="32"/>
      <c r="R285" s="32"/>
      <c r="S285" s="32"/>
      <c r="T285" s="32"/>
      <c r="U285" s="32"/>
      <c r="V285" s="32"/>
    </row>
    <row r="286" spans="1:22" ht="13" customHeight="1" x14ac:dyDescent="0.2">
      <c r="A286" s="376"/>
      <c r="B286" s="315"/>
      <c r="C286" s="315"/>
      <c r="D286" s="315"/>
      <c r="E286" s="315"/>
      <c r="F286" s="315"/>
      <c r="G286" s="315"/>
      <c r="H286" s="290"/>
      <c r="I286" s="290"/>
      <c r="J286" s="290"/>
      <c r="K286" s="290"/>
      <c r="L286" s="1351" t="s">
        <v>337</v>
      </c>
      <c r="M286" s="1351"/>
      <c r="N286" s="1351"/>
      <c r="O286" s="317">
        <f>IF('CO Set Up'!H280="yes",-(G280*'Admin Set Up'!$B$13),0)</f>
        <v>0</v>
      </c>
      <c r="P286" s="370"/>
      <c r="Q286" s="32"/>
      <c r="R286" s="32"/>
      <c r="S286" s="32"/>
      <c r="T286" s="32"/>
      <c r="U286" s="32"/>
      <c r="V286" s="32"/>
    </row>
    <row r="287" spans="1:22" ht="13" customHeight="1" x14ac:dyDescent="0.2">
      <c r="A287" s="377"/>
      <c r="B287" s="318"/>
      <c r="C287" s="318"/>
      <c r="D287" s="318"/>
      <c r="E287" s="318"/>
      <c r="F287" s="318"/>
      <c r="G287" s="318"/>
      <c r="H287" s="319"/>
      <c r="I287" s="319"/>
      <c r="J287" s="319"/>
      <c r="K287" s="319"/>
      <c r="L287" s="1351" t="s">
        <v>61</v>
      </c>
      <c r="M287" s="1351"/>
      <c r="N287" s="1351"/>
      <c r="O287" s="320">
        <f>IF('CO Set Up'!H281="yes",(O280+O285+O286)*'Admin Set Up'!B282,0)</f>
        <v>0</v>
      </c>
      <c r="P287" s="370"/>
      <c r="Q287" s="32"/>
      <c r="R287" s="32"/>
      <c r="S287" s="32"/>
      <c r="T287" s="32"/>
      <c r="U287" s="32"/>
      <c r="V287" s="32"/>
    </row>
    <row r="288" spans="1:22" ht="16" thickBot="1" x14ac:dyDescent="0.25">
      <c r="A288" s="378" t="s">
        <v>338</v>
      </c>
      <c r="B288" s="379"/>
      <c r="C288" s="379"/>
      <c r="D288" s="379"/>
      <c r="E288" s="379"/>
      <c r="F288" s="379"/>
      <c r="G288" s="379"/>
      <c r="H288" s="379"/>
      <c r="I288" s="379"/>
      <c r="J288" s="379"/>
      <c r="K288" s="379"/>
      <c r="L288" s="379"/>
      <c r="M288" s="379"/>
      <c r="N288" s="379"/>
      <c r="O288" s="380">
        <f>+O280+O285+O286+O287</f>
        <v>0</v>
      </c>
      <c r="P288" s="381"/>
      <c r="Q288" s="32"/>
      <c r="R288" s="32"/>
      <c r="S288" s="32"/>
      <c r="T288" s="32"/>
      <c r="U288" s="32"/>
      <c r="V288" s="32"/>
    </row>
    <row r="289" spans="1:22" ht="17" thickTop="1" thickBot="1" x14ac:dyDescent="0.25"/>
    <row r="290" spans="1:22" ht="15" customHeight="1" thickTop="1" thickBot="1" x14ac:dyDescent="0.25">
      <c r="A290" s="364" t="s">
        <v>301</v>
      </c>
      <c r="B290" s="365"/>
      <c r="C290" s="366" t="s">
        <v>358</v>
      </c>
      <c r="D290" s="367"/>
      <c r="E290" s="367"/>
      <c r="F290" s="367"/>
      <c r="G290" s="367"/>
      <c r="H290" s="367"/>
      <c r="I290" s="367"/>
      <c r="J290" s="367"/>
      <c r="K290" s="367"/>
      <c r="L290" s="367"/>
      <c r="M290" s="367"/>
      <c r="N290" s="367"/>
      <c r="O290" s="367"/>
      <c r="P290" s="368"/>
      <c r="Q290" s="419"/>
      <c r="R290" s="419"/>
      <c r="S290" s="419"/>
      <c r="T290" s="419"/>
      <c r="U290" s="419"/>
      <c r="V290" s="419"/>
    </row>
    <row r="291" spans="1:22" ht="17" thickBot="1" x14ac:dyDescent="0.3">
      <c r="A291" s="434"/>
      <c r="B291" s="1345"/>
      <c r="C291" s="1346"/>
      <c r="D291" s="1346"/>
      <c r="E291" s="1346"/>
      <c r="F291" s="1346"/>
      <c r="G291" s="1347"/>
      <c r="H291" s="258"/>
      <c r="I291" s="258"/>
      <c r="J291" s="258"/>
      <c r="K291" s="258"/>
      <c r="L291" s="432"/>
      <c r="M291" s="432"/>
      <c r="N291" s="432"/>
      <c r="O291" s="432"/>
      <c r="P291" s="433"/>
      <c r="Q291" s="430"/>
      <c r="R291" s="92"/>
      <c r="S291" s="92"/>
      <c r="T291" s="92"/>
      <c r="U291" s="431"/>
      <c r="V291" s="92"/>
    </row>
    <row r="292" spans="1:22" ht="51" customHeight="1" thickBot="1" x14ac:dyDescent="0.25">
      <c r="A292" s="382" t="s">
        <v>209</v>
      </c>
      <c r="B292" s="383" t="s">
        <v>210</v>
      </c>
      <c r="C292" s="384" t="s">
        <v>169</v>
      </c>
      <c r="D292" s="383" t="s">
        <v>212</v>
      </c>
      <c r="E292" s="385" t="s">
        <v>327</v>
      </c>
      <c r="F292" s="305" t="s">
        <v>215</v>
      </c>
      <c r="G292" s="386" t="s">
        <v>217</v>
      </c>
      <c r="H292" s="387" t="s">
        <v>218</v>
      </c>
      <c r="I292" s="387" t="s">
        <v>219</v>
      </c>
      <c r="J292" s="387" t="s">
        <v>220</v>
      </c>
      <c r="K292" s="387" t="s">
        <v>221</v>
      </c>
      <c r="L292" s="387" t="s">
        <v>222</v>
      </c>
      <c r="M292" s="387" t="s">
        <v>223</v>
      </c>
      <c r="N292" s="387" t="s">
        <v>213</v>
      </c>
      <c r="O292" s="385" t="s">
        <v>31</v>
      </c>
      <c r="P292" s="369">
        <v>20</v>
      </c>
      <c r="Q292" s="436" t="s">
        <v>345</v>
      </c>
      <c r="R292" s="409" t="s">
        <v>349</v>
      </c>
      <c r="S292" s="409" t="s">
        <v>348</v>
      </c>
      <c r="T292" s="410" t="s">
        <v>346</v>
      </c>
      <c r="U292" s="411" t="s">
        <v>347</v>
      </c>
      <c r="V292" s="412" t="s">
        <v>350</v>
      </c>
    </row>
    <row r="293" spans="1:22" ht="13" customHeight="1" thickBot="1" x14ac:dyDescent="0.25">
      <c r="A293" s="388"/>
      <c r="B293" s="398"/>
      <c r="C293" s="288"/>
      <c r="D293" s="390"/>
      <c r="E293" s="391"/>
      <c r="F293" s="392"/>
      <c r="G293" s="393">
        <f>IF(B293=0,0,A293/B293)</f>
        <v>0</v>
      </c>
      <c r="H293" s="394">
        <f>+'CO Set Up'!$B$24</f>
        <v>54.653594771241835</v>
      </c>
      <c r="I293" s="394">
        <f>+'CO Set Up'!$C$24</f>
        <v>58.690196078431363</v>
      </c>
      <c r="J293" s="394">
        <f>+'CO Set Up'!$D$24</f>
        <v>61.381263616557739</v>
      </c>
      <c r="K293" s="394">
        <f>IF(F293=40,H293,0)+IF(F293=50,I293,0)+IF(F293=60,J293,0)</f>
        <v>0</v>
      </c>
      <c r="L293" s="393">
        <f>IF(D293=0,0,A293/D293)</f>
        <v>0</v>
      </c>
      <c r="M293" s="395">
        <f>+G293*K293</f>
        <v>0</v>
      </c>
      <c r="N293" s="395">
        <f>IF('CO Set Up'!$H$9="yes",(L293*E293)/(1-'CO Set Up'!$I$17)+(('Change Order'!L293*'Change Order'!E293)*'Admin Set Up'!$B$11),L293*E293/(1-'CO Set Up'!$I$17))</f>
        <v>0</v>
      </c>
      <c r="O293" s="396">
        <f>SUM(M293:N293)</f>
        <v>0</v>
      </c>
      <c r="P293" s="397"/>
      <c r="Q293" s="403" t="s">
        <v>2</v>
      </c>
      <c r="R293" s="437">
        <f>IF(Q293="no",O303,0)</f>
        <v>0</v>
      </c>
      <c r="S293" s="438">
        <f>IF(Q293="yes",O303,0)</f>
        <v>0</v>
      </c>
      <c r="T293" s="439">
        <f>IF(Q293="yes",G295*V293,0)</f>
        <v>0</v>
      </c>
      <c r="U293" s="440"/>
      <c r="V293" s="413">
        <v>1</v>
      </c>
    </row>
    <row r="294" spans="1:22" ht="13" hidden="1" customHeight="1" thickBot="1" x14ac:dyDescent="0.25">
      <c r="A294" s="399"/>
      <c r="B294" s="389"/>
      <c r="C294" s="402"/>
      <c r="D294" s="400"/>
      <c r="E294" s="401"/>
      <c r="F294" s="392"/>
      <c r="G294" s="393">
        <f>IF(B294=0,0,A294/B294)</f>
        <v>0</v>
      </c>
      <c r="H294" s="394">
        <f>+H293</f>
        <v>54.653594771241835</v>
      </c>
      <c r="I294" s="394">
        <f>+I293</f>
        <v>58.690196078431363</v>
      </c>
      <c r="J294" s="394">
        <f>+J293</f>
        <v>61.381263616557739</v>
      </c>
      <c r="K294" s="394">
        <f>IF(F294=40,H294,0)+IF(F294=50,I294,0)+IF(F294=60,J294,0)</f>
        <v>0</v>
      </c>
      <c r="L294" s="393">
        <f>IF(D294=0,0,A294/D294)</f>
        <v>0</v>
      </c>
      <c r="M294" s="395">
        <f>+G294*K294</f>
        <v>0</v>
      </c>
      <c r="N294" s="395">
        <f>IF('CO Set Up'!$H$9="yes",(L294*E294)/(1-'CO Set Up'!$I$17)+(('Change Order'!L294*'Change Order'!E294)*'Admin Set Up'!$B$11),L294*E294/(1-'CO Set Up'!$I$17))</f>
        <v>0</v>
      </c>
      <c r="O294" s="396">
        <f>SUM(M294:N294)</f>
        <v>0</v>
      </c>
      <c r="P294" s="370"/>
      <c r="Q294" s="153"/>
      <c r="R294" s="153"/>
      <c r="S294" s="153"/>
      <c r="T294" s="153"/>
      <c r="U294" s="153"/>
      <c r="V294" s="153"/>
    </row>
    <row r="295" spans="1:22" ht="13" customHeight="1" thickBot="1" x14ac:dyDescent="0.25">
      <c r="A295" s="371" t="s">
        <v>334</v>
      </c>
      <c r="B295" s="306"/>
      <c r="C295" s="307" t="s">
        <v>333</v>
      </c>
      <c r="D295" s="306"/>
      <c r="E295" s="306"/>
      <c r="F295" s="289"/>
      <c r="G295" s="308">
        <f>SUM(G293:G294)</f>
        <v>0</v>
      </c>
      <c r="H295" s="306"/>
      <c r="I295" s="306"/>
      <c r="J295" s="306"/>
      <c r="K295" s="306"/>
      <c r="L295" s="309">
        <f>SUM(L293:L294)</f>
        <v>0</v>
      </c>
      <c r="M295" s="310">
        <f>SUM(M293:M294)</f>
        <v>0</v>
      </c>
      <c r="N295" s="310">
        <f>SUM(N293:N294)</f>
        <v>0</v>
      </c>
      <c r="O295" s="311">
        <f>SUM(O293:O294)</f>
        <v>0</v>
      </c>
      <c r="P295" s="370"/>
      <c r="Q295" s="32"/>
      <c r="R295" s="32"/>
      <c r="S295" s="32"/>
      <c r="T295" s="32"/>
      <c r="U295" s="32"/>
      <c r="V295" s="32"/>
    </row>
    <row r="296" spans="1:22" ht="13" customHeight="1" x14ac:dyDescent="0.2">
      <c r="A296" s="372"/>
      <c r="B296" s="312"/>
      <c r="C296" s="313"/>
      <c r="D296" s="313"/>
      <c r="E296" s="313"/>
      <c r="F296" s="313"/>
      <c r="G296" s="313"/>
      <c r="H296" s="313"/>
      <c r="I296" s="313"/>
      <c r="J296" s="313"/>
      <c r="K296" s="313"/>
      <c r="L296" s="313"/>
      <c r="M296" s="313"/>
      <c r="N296" s="313"/>
      <c r="O296" s="313"/>
      <c r="P296" s="370"/>
      <c r="Q296" s="32"/>
      <c r="R296" s="32"/>
      <c r="S296" s="32"/>
      <c r="T296" s="32"/>
      <c r="U296" s="32"/>
      <c r="V296" s="32"/>
    </row>
    <row r="297" spans="1:22" ht="13" customHeight="1" x14ac:dyDescent="0.2">
      <c r="A297" s="1348" t="s">
        <v>59</v>
      </c>
      <c r="B297" s="1349"/>
      <c r="C297" s="322" t="s">
        <v>169</v>
      </c>
      <c r="D297" s="322" t="s">
        <v>328</v>
      </c>
      <c r="E297" s="322" t="s">
        <v>85</v>
      </c>
      <c r="F297" s="1350"/>
      <c r="G297" s="1350"/>
      <c r="H297" s="322"/>
      <c r="I297" s="322"/>
      <c r="J297" s="322"/>
      <c r="K297" s="322"/>
      <c r="L297" s="322" t="s">
        <v>225</v>
      </c>
      <c r="M297" s="322"/>
      <c r="N297" s="322"/>
      <c r="O297" s="322" t="s">
        <v>171</v>
      </c>
      <c r="P297" s="370"/>
      <c r="Q297" s="32"/>
      <c r="R297" s="32"/>
      <c r="S297" s="32"/>
      <c r="T297" s="32"/>
      <c r="U297" s="32"/>
      <c r="V297" s="32"/>
    </row>
    <row r="298" spans="1:22" ht="13" customHeight="1" x14ac:dyDescent="0.2">
      <c r="A298" s="373"/>
      <c r="B298" s="297"/>
      <c r="C298" s="293"/>
      <c r="D298" s="294"/>
      <c r="E298" s="294"/>
      <c r="F298" s="299"/>
      <c r="G298" s="300"/>
      <c r="H298" s="295"/>
      <c r="I298" s="295"/>
      <c r="J298" s="295"/>
      <c r="K298" s="295"/>
      <c r="L298" s="301"/>
      <c r="M298" s="296"/>
      <c r="N298" s="296"/>
      <c r="O298" s="302">
        <f>IF(D298="E",(E298*L298)/(1-'CO Set Up'!$J$17),0)+IF(D298="S",(E298*L298)/(1-'CO Set Up'!$K$17),0)+IF(D298="SC",(E298*L298)/(1-'CO Set Up'!$L$17),0)</f>
        <v>0</v>
      </c>
      <c r="P298" s="370"/>
      <c r="Q298" s="32"/>
      <c r="R298" s="32"/>
      <c r="S298" s="32"/>
      <c r="T298" s="32"/>
      <c r="U298" s="32"/>
      <c r="V298" s="32"/>
    </row>
    <row r="299" spans="1:22" ht="13" hidden="1" customHeight="1" x14ac:dyDescent="0.2">
      <c r="A299" s="374"/>
      <c r="B299" s="298"/>
      <c r="C299" s="293"/>
      <c r="D299" s="294"/>
      <c r="E299" s="294"/>
      <c r="F299" s="299"/>
      <c r="G299" s="300"/>
      <c r="H299" s="295"/>
      <c r="I299" s="295"/>
      <c r="J299" s="295"/>
      <c r="K299" s="295"/>
      <c r="L299" s="301"/>
      <c r="M299" s="296"/>
      <c r="N299" s="296"/>
      <c r="O299" s="303">
        <f>IF(D299="E",(E299*L299)/(1-'CO Set Up'!$J$17),0)+IF(D299="S",(E299*L299)/(1-'CO Set Up'!$K$17),0)+IF(D299="SC",(E299*L299)/(1-'CO Set Up'!$L$17),0)</f>
        <v>0</v>
      </c>
      <c r="P299" s="370"/>
      <c r="Q299" s="32"/>
      <c r="R299" s="32"/>
      <c r="S299" s="32"/>
      <c r="T299" s="32"/>
      <c r="U299" s="32"/>
      <c r="V299" s="32"/>
    </row>
    <row r="300" spans="1:22" ht="13" customHeight="1" thickBot="1" x14ac:dyDescent="0.25">
      <c r="A300" s="375" t="s">
        <v>334</v>
      </c>
      <c r="B300" s="315"/>
      <c r="C300" s="307" t="s">
        <v>335</v>
      </c>
      <c r="D300" s="315"/>
      <c r="E300" s="315"/>
      <c r="F300" s="315"/>
      <c r="G300" s="315"/>
      <c r="H300" s="290"/>
      <c r="I300" s="290"/>
      <c r="J300" s="290"/>
      <c r="K300" s="290"/>
      <c r="L300" s="304" t="s">
        <v>336</v>
      </c>
      <c r="M300" s="304"/>
      <c r="N300" s="304"/>
      <c r="O300" s="316">
        <f>SUM(O298:O299)</f>
        <v>0</v>
      </c>
      <c r="P300" s="370"/>
      <c r="Q300" s="32"/>
      <c r="R300" s="32"/>
      <c r="S300" s="32"/>
      <c r="T300" s="32"/>
      <c r="U300" s="32"/>
      <c r="V300" s="32"/>
    </row>
    <row r="301" spans="1:22" ht="13" customHeight="1" x14ac:dyDescent="0.2">
      <c r="A301" s="376"/>
      <c r="B301" s="315"/>
      <c r="C301" s="315"/>
      <c r="D301" s="315"/>
      <c r="E301" s="315"/>
      <c r="F301" s="315"/>
      <c r="G301" s="315"/>
      <c r="H301" s="290"/>
      <c r="I301" s="290"/>
      <c r="J301" s="290"/>
      <c r="K301" s="290"/>
      <c r="L301" s="1351" t="s">
        <v>337</v>
      </c>
      <c r="M301" s="1351"/>
      <c r="N301" s="1351"/>
      <c r="O301" s="317">
        <f>IF('CO Set Up'!H295="yes",-(G295*'Admin Set Up'!$B$13),0)</f>
        <v>0</v>
      </c>
      <c r="P301" s="370"/>
      <c r="Q301" s="32"/>
      <c r="R301" s="32"/>
      <c r="S301" s="32"/>
      <c r="T301" s="32"/>
      <c r="U301" s="32"/>
      <c r="V301" s="32"/>
    </row>
    <row r="302" spans="1:22" ht="13" customHeight="1" x14ac:dyDescent="0.2">
      <c r="A302" s="377"/>
      <c r="B302" s="318"/>
      <c r="C302" s="318"/>
      <c r="D302" s="318"/>
      <c r="E302" s="318"/>
      <c r="F302" s="318"/>
      <c r="G302" s="318"/>
      <c r="H302" s="319"/>
      <c r="I302" s="319"/>
      <c r="J302" s="319"/>
      <c r="K302" s="319"/>
      <c r="L302" s="1351" t="s">
        <v>61</v>
      </c>
      <c r="M302" s="1351"/>
      <c r="N302" s="1351"/>
      <c r="O302" s="320">
        <f>IF('CO Set Up'!H296="yes",(O295+O300+O301)*'Admin Set Up'!B297,0)</f>
        <v>0</v>
      </c>
      <c r="P302" s="370"/>
      <c r="Q302" s="32"/>
      <c r="R302" s="32"/>
      <c r="S302" s="32"/>
      <c r="T302" s="32"/>
      <c r="U302" s="32"/>
      <c r="V302" s="32"/>
    </row>
    <row r="303" spans="1:22" ht="16" thickBot="1" x14ac:dyDescent="0.25">
      <c r="A303" s="378" t="s">
        <v>338</v>
      </c>
      <c r="B303" s="379"/>
      <c r="C303" s="379"/>
      <c r="D303" s="379"/>
      <c r="E303" s="379"/>
      <c r="F303" s="379"/>
      <c r="G303" s="379"/>
      <c r="H303" s="379"/>
      <c r="I303" s="379"/>
      <c r="J303" s="379"/>
      <c r="K303" s="379"/>
      <c r="L303" s="379"/>
      <c r="M303" s="379"/>
      <c r="N303" s="379"/>
      <c r="O303" s="380">
        <f>+O295+O300+O301+O302</f>
        <v>0</v>
      </c>
      <c r="P303" s="381"/>
      <c r="Q303" s="32"/>
      <c r="R303" s="32"/>
      <c r="S303" s="32"/>
      <c r="T303" s="32"/>
      <c r="U303" s="32"/>
      <c r="V303" s="32"/>
    </row>
    <row r="304" spans="1:22" ht="16" thickTop="1" x14ac:dyDescent="0.2"/>
    <row r="309" spans="1:22" ht="33" customHeight="1" x14ac:dyDescent="0.2">
      <c r="A309" s="435"/>
      <c r="B309" s="435"/>
      <c r="C309" s="435"/>
      <c r="D309" s="435"/>
      <c r="E309" s="435"/>
      <c r="F309" s="435"/>
      <c r="G309" s="435"/>
      <c r="H309" s="435"/>
      <c r="I309" s="435"/>
      <c r="J309" s="435"/>
      <c r="K309" s="435"/>
      <c r="L309" s="435"/>
      <c r="M309" s="435"/>
      <c r="N309" s="435"/>
      <c r="O309" s="435"/>
      <c r="P309" s="435"/>
      <c r="Q309" s="435"/>
      <c r="R309" s="442">
        <f>SUM(R7:R308)</f>
        <v>0</v>
      </c>
      <c r="S309" s="442">
        <f>SUM(S7:S308)</f>
        <v>0</v>
      </c>
      <c r="T309" s="441">
        <f>SUM(T7:T308)</f>
        <v>0</v>
      </c>
      <c r="U309" s="435"/>
      <c r="V309" s="435"/>
    </row>
  </sheetData>
  <mergeCells count="103">
    <mergeCell ref="A2:P2"/>
    <mergeCell ref="B6:G6"/>
    <mergeCell ref="R2:T2"/>
    <mergeCell ref="L16:N16"/>
    <mergeCell ref="B21:G21"/>
    <mergeCell ref="A27:B27"/>
    <mergeCell ref="F27:G27"/>
    <mergeCell ref="L31:N31"/>
    <mergeCell ref="L32:N32"/>
    <mergeCell ref="L17:N17"/>
    <mergeCell ref="A12:B12"/>
    <mergeCell ref="F12:G12"/>
    <mergeCell ref="A3:P3"/>
    <mergeCell ref="B51:G51"/>
    <mergeCell ref="A57:B57"/>
    <mergeCell ref="F57:G57"/>
    <mergeCell ref="L61:N61"/>
    <mergeCell ref="L62:N62"/>
    <mergeCell ref="B36:G36"/>
    <mergeCell ref="A42:B42"/>
    <mergeCell ref="F42:G42"/>
    <mergeCell ref="L46:N46"/>
    <mergeCell ref="L47:N47"/>
    <mergeCell ref="B81:G81"/>
    <mergeCell ref="A87:B87"/>
    <mergeCell ref="F87:G87"/>
    <mergeCell ref="L91:N91"/>
    <mergeCell ref="L92:N92"/>
    <mergeCell ref="B66:G66"/>
    <mergeCell ref="A72:B72"/>
    <mergeCell ref="F72:G72"/>
    <mergeCell ref="L76:N76"/>
    <mergeCell ref="L77:N77"/>
    <mergeCell ref="B111:G111"/>
    <mergeCell ref="A117:B117"/>
    <mergeCell ref="F117:G117"/>
    <mergeCell ref="L121:N121"/>
    <mergeCell ref="L122:N122"/>
    <mergeCell ref="B96:G96"/>
    <mergeCell ref="A102:B102"/>
    <mergeCell ref="F102:G102"/>
    <mergeCell ref="L106:N106"/>
    <mergeCell ref="L107:N107"/>
    <mergeCell ref="B141:G141"/>
    <mergeCell ref="A147:B147"/>
    <mergeCell ref="F147:G147"/>
    <mergeCell ref="L151:N151"/>
    <mergeCell ref="L152:N152"/>
    <mergeCell ref="B126:G126"/>
    <mergeCell ref="A132:B132"/>
    <mergeCell ref="F132:G132"/>
    <mergeCell ref="L136:N136"/>
    <mergeCell ref="L137:N137"/>
    <mergeCell ref="B171:G171"/>
    <mergeCell ref="A177:B177"/>
    <mergeCell ref="F177:G177"/>
    <mergeCell ref="L181:N181"/>
    <mergeCell ref="L182:N182"/>
    <mergeCell ref="B156:G156"/>
    <mergeCell ref="A162:B162"/>
    <mergeCell ref="F162:G162"/>
    <mergeCell ref="L166:N166"/>
    <mergeCell ref="L167:N167"/>
    <mergeCell ref="B201:G201"/>
    <mergeCell ref="A207:B207"/>
    <mergeCell ref="F207:G207"/>
    <mergeCell ref="L211:N211"/>
    <mergeCell ref="L212:N212"/>
    <mergeCell ref="B186:G186"/>
    <mergeCell ref="A192:B192"/>
    <mergeCell ref="F192:G192"/>
    <mergeCell ref="L196:N196"/>
    <mergeCell ref="L197:N197"/>
    <mergeCell ref="B231:G231"/>
    <mergeCell ref="A237:B237"/>
    <mergeCell ref="F237:G237"/>
    <mergeCell ref="L241:N241"/>
    <mergeCell ref="L242:N242"/>
    <mergeCell ref="B216:G216"/>
    <mergeCell ref="A222:B222"/>
    <mergeCell ref="F222:G222"/>
    <mergeCell ref="L226:N226"/>
    <mergeCell ref="L227:N227"/>
    <mergeCell ref="B261:G261"/>
    <mergeCell ref="A267:B267"/>
    <mergeCell ref="F267:G267"/>
    <mergeCell ref="L271:N271"/>
    <mergeCell ref="L272:N272"/>
    <mergeCell ref="B246:G246"/>
    <mergeCell ref="A252:B252"/>
    <mergeCell ref="F252:G252"/>
    <mergeCell ref="L256:N256"/>
    <mergeCell ref="L257:N257"/>
    <mergeCell ref="B291:G291"/>
    <mergeCell ref="A297:B297"/>
    <mergeCell ref="F297:G297"/>
    <mergeCell ref="L301:N301"/>
    <mergeCell ref="L302:N302"/>
    <mergeCell ref="B276:G276"/>
    <mergeCell ref="A282:B282"/>
    <mergeCell ref="F282:G282"/>
    <mergeCell ref="L286:N286"/>
    <mergeCell ref="L287:N287"/>
  </mergeCells>
  <dataValidations xWindow="344" yWindow="533" count="5">
    <dataValidation type="list" allowBlank="1" showInputMessage="1" showErrorMessage="1" promptTitle="WW" prompt="Select Work Week" sqref="F9 F24 F39 F54 F69 F84 F99 F114 F129 F144 F159 F174 F189 F204 F219 F234 F249 F264 F279 F294">
      <formula1>ww</formula1>
    </dataValidation>
    <dataValidation type="list" allowBlank="1" showInputMessage="1" showErrorMessage="1" sqref="C9 C24 C39 C54 C69 C84 C99 C114 C129 C144 C159 C174 C189 C204 C219 C234 C249 C264 C279 C294">
      <formula1>material</formula1>
    </dataValidation>
    <dataValidation type="list" allowBlank="1" showInputMessage="1" showErrorMessage="1" promptTitle="Shift Type" prompt="Select Work Week" sqref="F8 F23 F38 F53 F68 F83 F98 F113 F128 F143 F158 F173 F188 F203 F218 F233 F248 F263 F278 F293">
      <formula1>ww</formula1>
    </dataValidation>
    <dataValidation type="list" allowBlank="1" showInputMessage="1" showErrorMessage="1" sqref="Q8 Q23 Q38 Q53 Q68 Q83 Q98 Q113 Q128 Q143 Q158 Q173 Q188 Q203 Q218 Q233 Q248 Q263 Q278 Q293">
      <formula1>cotrack</formula1>
    </dataValidation>
    <dataValidation type="list" allowBlank="1" showInputMessage="1" showErrorMessage="1" promptTitle="Cost Type" prompt="E - Equip_x000a_S- Support_x000a_SC-Sub Contractor_x000a_" sqref="D13:D14 D43:D44 D58:D59 D73:D74 D88:D89 D103:D104 D118:D119 D133:D134 D148:D149 D163:D164 D178:D179 D193:D194 D208:D209 D223:D224 D238:D239 D253:D254 D268:D269 D283:D284 D298:D299 D28:D29">
      <formula1>cologic</formula1>
    </dataValidation>
  </dataValidations>
  <pageMargins left="0.75" right="0.75" top="1" bottom="1" header="0.5" footer="0.5"/>
  <pageSetup orientation="portrait" horizontalDpi="4294967292" verticalDpi="4294967292"/>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O32"/>
  <sheetViews>
    <sheetView showZeros="0" zoomScale="125" zoomScaleNormal="125" zoomScalePageLayoutView="125" workbookViewId="0">
      <selection activeCell="C10" sqref="C10"/>
    </sheetView>
  </sheetViews>
  <sheetFormatPr baseColWidth="10" defaultColWidth="8.83203125" defaultRowHeight="15" x14ac:dyDescent="0.2"/>
  <cols>
    <col min="1" max="1" width="6.33203125" style="10" customWidth="1"/>
    <col min="2" max="2" width="8.83203125" style="10"/>
    <col min="3" max="3" width="38.1640625" style="10" customWidth="1"/>
    <col min="4" max="4" width="12.6640625" style="10" customWidth="1"/>
    <col min="5" max="5" width="8.83203125" style="10"/>
    <col min="6" max="6" width="4.33203125" style="10" customWidth="1"/>
    <col min="7" max="7" width="12.5" style="10" customWidth="1"/>
    <col min="8" max="16384" width="8.83203125" style="10"/>
  </cols>
  <sheetData>
    <row r="3" spans="1:15" ht="17" x14ac:dyDescent="0.25">
      <c r="C3" s="468" t="s">
        <v>372</v>
      </c>
    </row>
    <row r="4" spans="1:15" ht="9.75" customHeight="1" thickBot="1" x14ac:dyDescent="0.3">
      <c r="A4" s="1357"/>
      <c r="B4" s="1357"/>
      <c r="C4" s="1357"/>
      <c r="D4" s="465"/>
      <c r="E4" s="465"/>
      <c r="F4" s="465"/>
      <c r="G4" s="465"/>
      <c r="H4" s="465"/>
      <c r="I4" s="465"/>
      <c r="J4" s="465"/>
      <c r="K4" s="465"/>
      <c r="L4" s="465"/>
      <c r="M4" s="465"/>
      <c r="N4" s="465"/>
      <c r="O4" s="465"/>
    </row>
    <row r="5" spans="1:15" ht="16" thickBot="1" x14ac:dyDescent="0.25">
      <c r="A5" s="1358" t="s">
        <v>344</v>
      </c>
      <c r="B5" s="1359"/>
      <c r="C5" s="488" t="str">
        <f>+'Job Info'!B4</f>
        <v>Nike WHQ Exp - Merchandising Bldg</v>
      </c>
      <c r="D5" s="489" t="s">
        <v>304</v>
      </c>
      <c r="E5" s="1360"/>
      <c r="F5" s="1360"/>
      <c r="G5" s="1361"/>
      <c r="H5" s="465"/>
      <c r="I5" s="465"/>
      <c r="J5" s="465"/>
      <c r="K5" s="465"/>
      <c r="L5" s="465"/>
      <c r="M5" s="465"/>
      <c r="N5" s="465"/>
      <c r="O5" s="465"/>
    </row>
    <row r="6" spans="1:15" ht="6" customHeight="1" thickBot="1" x14ac:dyDescent="0.25">
      <c r="A6" s="469"/>
      <c r="B6" s="469"/>
      <c r="C6" s="469"/>
      <c r="D6" s="469"/>
      <c r="E6" s="469"/>
      <c r="F6" s="469"/>
      <c r="G6" s="469"/>
      <c r="H6" s="465"/>
      <c r="I6" s="465"/>
      <c r="J6" s="465"/>
      <c r="K6" s="465"/>
      <c r="L6" s="465"/>
      <c r="M6" s="465"/>
      <c r="N6" s="465"/>
      <c r="O6" s="465"/>
    </row>
    <row r="7" spans="1:15" ht="69.75" customHeight="1" x14ac:dyDescent="0.2">
      <c r="A7" s="470" t="s">
        <v>373</v>
      </c>
      <c r="B7" s="486" t="s">
        <v>301</v>
      </c>
      <c r="C7" s="471" t="s">
        <v>169</v>
      </c>
      <c r="D7" s="471" t="s">
        <v>8</v>
      </c>
      <c r="E7" s="472" t="s">
        <v>345</v>
      </c>
      <c r="F7" s="473" t="s">
        <v>374</v>
      </c>
      <c r="G7" s="474" t="s">
        <v>375</v>
      </c>
      <c r="H7" s="465"/>
      <c r="I7" s="465"/>
      <c r="J7" s="465"/>
      <c r="K7" s="465"/>
      <c r="L7" s="465"/>
      <c r="M7" s="465"/>
      <c r="N7" s="465"/>
      <c r="O7" s="465"/>
    </row>
    <row r="8" spans="1:15" ht="21" customHeight="1" x14ac:dyDescent="0.2">
      <c r="A8" s="490">
        <v>1</v>
      </c>
      <c r="B8" s="487">
        <f>+'Change Order'!A6</f>
        <v>0</v>
      </c>
      <c r="C8" s="487">
        <f>+'Change Order'!B6</f>
        <v>0</v>
      </c>
      <c r="D8" s="492">
        <f>'Change Order'!O18</f>
        <v>0</v>
      </c>
      <c r="E8" s="477"/>
      <c r="F8" s="478"/>
      <c r="G8" s="479">
        <f>IF(E8="pending",D8,0)</f>
        <v>0</v>
      </c>
      <c r="H8" s="465"/>
      <c r="I8" s="465"/>
      <c r="J8" s="465"/>
      <c r="K8" s="465"/>
      <c r="L8" s="465"/>
      <c r="M8" s="465"/>
      <c r="N8" s="465"/>
      <c r="O8" s="465"/>
    </row>
    <row r="9" spans="1:15" ht="21" customHeight="1" x14ac:dyDescent="0.2">
      <c r="A9" s="490">
        <v>2</v>
      </c>
      <c r="B9" s="487">
        <f>'Change Order'!A21</f>
        <v>0</v>
      </c>
      <c r="C9" s="487">
        <f>'Change Order'!B21</f>
        <v>0</v>
      </c>
      <c r="D9" s="493">
        <f>'Change Order'!O33</f>
        <v>0</v>
      </c>
      <c r="E9" s="477"/>
      <c r="F9" s="478"/>
      <c r="G9" s="480">
        <f t="shared" ref="G9:G28" si="0">IF(E9="pending",D9,0)</f>
        <v>0</v>
      </c>
      <c r="H9" s="465"/>
      <c r="I9" s="465"/>
      <c r="J9" s="465"/>
      <c r="K9" s="465"/>
      <c r="L9" s="465"/>
      <c r="M9" s="465"/>
      <c r="N9" s="465"/>
      <c r="O9" s="465"/>
    </row>
    <row r="10" spans="1:15" ht="21.75" customHeight="1" x14ac:dyDescent="0.2">
      <c r="A10" s="490">
        <v>3</v>
      </c>
      <c r="B10" s="487">
        <f>'Change Order'!A36</f>
        <v>0</v>
      </c>
      <c r="C10" s="487">
        <f>'Change Order'!B36</f>
        <v>0</v>
      </c>
      <c r="D10" s="493">
        <f>'Change Order'!O48</f>
        <v>0</v>
      </c>
      <c r="E10" s="477"/>
      <c r="F10" s="478"/>
      <c r="G10" s="480">
        <f t="shared" si="0"/>
        <v>0</v>
      </c>
      <c r="H10" s="465"/>
      <c r="I10" s="465"/>
      <c r="J10" s="465"/>
      <c r="K10" s="465"/>
      <c r="L10" s="465"/>
      <c r="M10" s="465"/>
      <c r="N10" s="465"/>
      <c r="O10" s="465"/>
    </row>
    <row r="11" spans="1:15" ht="22.5" customHeight="1" x14ac:dyDescent="0.2">
      <c r="A11" s="490">
        <v>4</v>
      </c>
      <c r="B11" s="487">
        <f>'Change Order'!A51</f>
        <v>0</v>
      </c>
      <c r="C11" s="487">
        <f>'Change Order'!B51</f>
        <v>0</v>
      </c>
      <c r="D11" s="493">
        <f>'Change Order'!O63</f>
        <v>0</v>
      </c>
      <c r="E11" s="477"/>
      <c r="F11" s="478"/>
      <c r="G11" s="480">
        <f t="shared" si="0"/>
        <v>0</v>
      </c>
      <c r="H11" s="465"/>
      <c r="I11" s="465"/>
      <c r="J11" s="465"/>
      <c r="K11" s="465"/>
      <c r="L11" s="465"/>
      <c r="M11" s="465"/>
      <c r="N11" s="465"/>
      <c r="O11" s="465"/>
    </row>
    <row r="12" spans="1:15" ht="22.5" customHeight="1" x14ac:dyDescent="0.2">
      <c r="A12" s="490">
        <v>5</v>
      </c>
      <c r="B12" s="487">
        <f>'Change Order'!A66</f>
        <v>0</v>
      </c>
      <c r="C12" s="487">
        <f>'Change Order'!B66</f>
        <v>0</v>
      </c>
      <c r="D12" s="493">
        <f>'Change Order'!O78</f>
        <v>0</v>
      </c>
      <c r="E12" s="477"/>
      <c r="F12" s="478"/>
      <c r="G12" s="480">
        <f t="shared" si="0"/>
        <v>0</v>
      </c>
      <c r="H12" s="465"/>
      <c r="I12" s="465"/>
      <c r="J12" s="465"/>
      <c r="K12" s="465"/>
      <c r="L12" s="465"/>
      <c r="M12" s="465"/>
      <c r="N12" s="465"/>
      <c r="O12" s="465"/>
    </row>
    <row r="13" spans="1:15" ht="22.5" customHeight="1" x14ac:dyDescent="0.2">
      <c r="A13" s="490">
        <v>6</v>
      </c>
      <c r="B13" s="487">
        <f>'Change Order'!A81</f>
        <v>0</v>
      </c>
      <c r="C13" s="487">
        <f>'Change Order'!B81</f>
        <v>0</v>
      </c>
      <c r="D13" s="493">
        <f>'Change Order'!O93</f>
        <v>0</v>
      </c>
      <c r="E13" s="477"/>
      <c r="F13" s="478"/>
      <c r="G13" s="480">
        <f t="shared" si="0"/>
        <v>0</v>
      </c>
      <c r="H13" s="465"/>
      <c r="I13" s="465"/>
      <c r="J13" s="465"/>
      <c r="K13" s="465"/>
      <c r="L13" s="465"/>
      <c r="M13" s="465"/>
      <c r="N13" s="465"/>
      <c r="O13" s="465"/>
    </row>
    <row r="14" spans="1:15" ht="22.5" customHeight="1" x14ac:dyDescent="0.2">
      <c r="A14" s="490">
        <v>7</v>
      </c>
      <c r="B14" s="487">
        <f>'Change Order'!A96</f>
        <v>0</v>
      </c>
      <c r="C14" s="487">
        <f>'Change Order'!B96</f>
        <v>0</v>
      </c>
      <c r="D14" s="493">
        <f>'Change Order'!O108</f>
        <v>0</v>
      </c>
      <c r="E14" s="477"/>
      <c r="F14" s="478"/>
      <c r="G14" s="480">
        <f t="shared" si="0"/>
        <v>0</v>
      </c>
      <c r="H14" s="465"/>
      <c r="I14" s="465"/>
      <c r="J14" s="465"/>
      <c r="K14" s="465"/>
      <c r="L14" s="465"/>
      <c r="M14" s="465"/>
      <c r="N14" s="465"/>
      <c r="O14" s="465"/>
    </row>
    <row r="15" spans="1:15" ht="22.5" customHeight="1" x14ac:dyDescent="0.2">
      <c r="A15" s="490">
        <v>8</v>
      </c>
      <c r="B15" s="487">
        <f>'Change Order'!A111</f>
        <v>0</v>
      </c>
      <c r="C15" s="487">
        <f>'Change Order'!B111</f>
        <v>0</v>
      </c>
      <c r="D15" s="493">
        <f>'Change Order'!O123</f>
        <v>0</v>
      </c>
      <c r="E15" s="477"/>
      <c r="F15" s="478"/>
      <c r="G15" s="480">
        <f t="shared" si="0"/>
        <v>0</v>
      </c>
      <c r="H15" s="465"/>
      <c r="I15" s="465"/>
      <c r="J15" s="465"/>
      <c r="K15" s="465"/>
      <c r="L15" s="465"/>
      <c r="M15" s="465"/>
      <c r="N15" s="465"/>
      <c r="O15" s="465"/>
    </row>
    <row r="16" spans="1:15" ht="22.5" customHeight="1" x14ac:dyDescent="0.2">
      <c r="A16" s="490">
        <v>9</v>
      </c>
      <c r="B16" s="487">
        <f>'Change Order'!A126</f>
        <v>0</v>
      </c>
      <c r="C16" s="487">
        <f>'Change Order'!B126</f>
        <v>0</v>
      </c>
      <c r="D16" s="493">
        <f>'Change Order'!O138</f>
        <v>0</v>
      </c>
      <c r="E16" s="477"/>
      <c r="F16" s="478"/>
      <c r="G16" s="480">
        <f t="shared" si="0"/>
        <v>0</v>
      </c>
      <c r="H16" s="465"/>
      <c r="I16" s="465"/>
      <c r="J16" s="465"/>
      <c r="K16" s="465"/>
      <c r="L16" s="465"/>
      <c r="M16" s="465"/>
      <c r="N16" s="465"/>
      <c r="O16" s="465"/>
    </row>
    <row r="17" spans="1:15" ht="22.5" customHeight="1" x14ac:dyDescent="0.2">
      <c r="A17" s="490">
        <v>10</v>
      </c>
      <c r="B17" s="487">
        <f>'Change Order'!A141</f>
        <v>0</v>
      </c>
      <c r="C17" s="487">
        <f>'Change Order'!B141</f>
        <v>0</v>
      </c>
      <c r="D17" s="493">
        <f>'Change Order'!O153</f>
        <v>0</v>
      </c>
      <c r="E17" s="477"/>
      <c r="F17" s="478"/>
      <c r="G17" s="480">
        <f t="shared" si="0"/>
        <v>0</v>
      </c>
      <c r="H17" s="465"/>
      <c r="I17" s="465"/>
      <c r="J17" s="465"/>
      <c r="K17" s="465"/>
      <c r="L17" s="465"/>
      <c r="M17" s="465"/>
      <c r="N17" s="465"/>
      <c r="O17" s="465"/>
    </row>
    <row r="18" spans="1:15" ht="22.5" customHeight="1" x14ac:dyDescent="0.2">
      <c r="A18" s="490">
        <v>11</v>
      </c>
      <c r="B18" s="487">
        <f>'Change Order'!A156</f>
        <v>0</v>
      </c>
      <c r="C18" s="487">
        <f>'Change Order'!B156</f>
        <v>0</v>
      </c>
      <c r="D18" s="493">
        <f>'Change Order'!O168</f>
        <v>0</v>
      </c>
      <c r="E18" s="477"/>
      <c r="F18" s="478"/>
      <c r="G18" s="480">
        <f t="shared" si="0"/>
        <v>0</v>
      </c>
      <c r="H18" s="465"/>
      <c r="I18" s="465"/>
      <c r="J18" s="465"/>
      <c r="K18" s="465"/>
      <c r="L18" s="465"/>
      <c r="M18" s="465"/>
      <c r="N18" s="465"/>
      <c r="O18" s="465"/>
    </row>
    <row r="19" spans="1:15" ht="22.5" customHeight="1" x14ac:dyDescent="0.2">
      <c r="A19" s="490">
        <v>12</v>
      </c>
      <c r="B19" s="487">
        <f>'Change Order'!A171</f>
        <v>0</v>
      </c>
      <c r="C19" s="487">
        <f>'Change Order'!B171</f>
        <v>0</v>
      </c>
      <c r="D19" s="493">
        <f>'Change Order'!O183</f>
        <v>0</v>
      </c>
      <c r="E19" s="477"/>
      <c r="F19" s="478"/>
      <c r="G19" s="480">
        <f t="shared" si="0"/>
        <v>0</v>
      </c>
      <c r="H19" s="465"/>
      <c r="I19" s="465"/>
      <c r="J19" s="465"/>
      <c r="K19" s="465"/>
      <c r="L19" s="465"/>
      <c r="M19" s="465"/>
      <c r="N19" s="465"/>
      <c r="O19" s="465"/>
    </row>
    <row r="20" spans="1:15" ht="22.5" customHeight="1" x14ac:dyDescent="0.2">
      <c r="A20" s="490">
        <v>13</v>
      </c>
      <c r="B20" s="487">
        <f>'Change Order'!A186</f>
        <v>0</v>
      </c>
      <c r="C20" s="487">
        <f>'Change Order'!B186</f>
        <v>0</v>
      </c>
      <c r="D20" s="493">
        <f>'Change Order'!O198</f>
        <v>0</v>
      </c>
      <c r="E20" s="477"/>
      <c r="F20" s="478"/>
      <c r="G20" s="480">
        <f t="shared" si="0"/>
        <v>0</v>
      </c>
      <c r="H20" s="465"/>
      <c r="I20" s="465"/>
      <c r="J20" s="465"/>
      <c r="K20" s="465"/>
      <c r="L20" s="465"/>
      <c r="M20" s="465"/>
      <c r="N20" s="465"/>
      <c r="O20" s="465"/>
    </row>
    <row r="21" spans="1:15" ht="22.5" customHeight="1" x14ac:dyDescent="0.2">
      <c r="A21" s="490">
        <v>14</v>
      </c>
      <c r="B21" s="487">
        <f>'Change Order'!A201</f>
        <v>0</v>
      </c>
      <c r="C21" s="487">
        <f>'Change Order'!B201</f>
        <v>0</v>
      </c>
      <c r="D21" s="493">
        <f>'Change Order'!O213</f>
        <v>0</v>
      </c>
      <c r="E21" s="477"/>
      <c r="F21" s="478"/>
      <c r="G21" s="480">
        <f t="shared" si="0"/>
        <v>0</v>
      </c>
      <c r="H21" s="465"/>
      <c r="I21" s="465"/>
      <c r="J21" s="465"/>
      <c r="K21" s="465"/>
      <c r="L21" s="465"/>
      <c r="M21" s="465"/>
      <c r="N21" s="465"/>
      <c r="O21" s="465"/>
    </row>
    <row r="22" spans="1:15" ht="22.5" customHeight="1" x14ac:dyDescent="0.2">
      <c r="A22" s="490">
        <v>15</v>
      </c>
      <c r="B22" s="487">
        <f>'Change Order'!A216</f>
        <v>0</v>
      </c>
      <c r="C22" s="487">
        <f>'Change Order'!B216</f>
        <v>0</v>
      </c>
      <c r="D22" s="493">
        <f>'Change Order'!O228</f>
        <v>0</v>
      </c>
      <c r="E22" s="477"/>
      <c r="F22" s="478"/>
      <c r="G22" s="480">
        <f t="shared" si="0"/>
        <v>0</v>
      </c>
      <c r="H22" s="465"/>
      <c r="I22" s="465"/>
      <c r="J22" s="465"/>
      <c r="K22" s="465"/>
      <c r="L22" s="465"/>
      <c r="M22" s="465"/>
      <c r="N22" s="465"/>
      <c r="O22" s="465"/>
    </row>
    <row r="23" spans="1:15" ht="22.5" customHeight="1" x14ac:dyDescent="0.2">
      <c r="A23" s="490">
        <v>16</v>
      </c>
      <c r="B23" s="487">
        <f>'Change Order'!A231</f>
        <v>0</v>
      </c>
      <c r="C23" s="487">
        <f>'Change Order'!B231</f>
        <v>0</v>
      </c>
      <c r="D23" s="493">
        <f>'Change Order'!O243</f>
        <v>0</v>
      </c>
      <c r="E23" s="477"/>
      <c r="F23" s="478"/>
      <c r="G23" s="480">
        <f t="shared" si="0"/>
        <v>0</v>
      </c>
      <c r="H23" s="465"/>
      <c r="I23" s="465"/>
      <c r="J23" s="465"/>
      <c r="K23" s="465"/>
      <c r="L23" s="465"/>
      <c r="M23" s="465"/>
      <c r="N23" s="465"/>
      <c r="O23" s="465"/>
    </row>
    <row r="24" spans="1:15" ht="22.5" customHeight="1" x14ac:dyDescent="0.2">
      <c r="A24" s="490">
        <v>17</v>
      </c>
      <c r="B24" s="487">
        <f>'Change Order'!A246</f>
        <v>0</v>
      </c>
      <c r="C24" s="487">
        <f>'Change Order'!B246</f>
        <v>0</v>
      </c>
      <c r="D24" s="493">
        <f>'Change Order'!O258</f>
        <v>0</v>
      </c>
      <c r="E24" s="477"/>
      <c r="F24" s="478"/>
      <c r="G24" s="480">
        <f t="shared" si="0"/>
        <v>0</v>
      </c>
      <c r="H24" s="465"/>
      <c r="I24" s="465"/>
      <c r="J24" s="465"/>
      <c r="K24" s="465"/>
      <c r="L24" s="465"/>
      <c r="M24" s="465"/>
      <c r="N24" s="465"/>
      <c r="O24" s="465"/>
    </row>
    <row r="25" spans="1:15" ht="21" customHeight="1" x14ac:dyDescent="0.2">
      <c r="A25" s="490">
        <v>18</v>
      </c>
      <c r="B25" s="487">
        <f>'Change Order'!A261</f>
        <v>0</v>
      </c>
      <c r="C25" s="487">
        <f>'Change Order'!B261</f>
        <v>0</v>
      </c>
      <c r="D25" s="493">
        <f>'Change Order'!O273</f>
        <v>0</v>
      </c>
      <c r="E25" s="477"/>
      <c r="F25" s="478"/>
      <c r="G25" s="480">
        <f t="shared" si="0"/>
        <v>0</v>
      </c>
      <c r="H25" s="465"/>
      <c r="I25" s="465"/>
      <c r="J25" s="465"/>
      <c r="K25" s="465"/>
      <c r="L25" s="465"/>
      <c r="M25" s="465"/>
      <c r="N25" s="465"/>
      <c r="O25" s="465"/>
    </row>
    <row r="26" spans="1:15" ht="21.75" customHeight="1" x14ac:dyDescent="0.2">
      <c r="A26" s="490">
        <v>19</v>
      </c>
      <c r="B26" s="487">
        <f>'Change Order'!A276</f>
        <v>0</v>
      </c>
      <c r="C26" s="487">
        <f>'Change Order'!B276</f>
        <v>0</v>
      </c>
      <c r="D26" s="493">
        <f>'Change Order'!O288</f>
        <v>0</v>
      </c>
      <c r="E26" s="477"/>
      <c r="F26" s="478"/>
      <c r="G26" s="480">
        <f t="shared" si="0"/>
        <v>0</v>
      </c>
      <c r="H26" s="465"/>
      <c r="I26" s="465"/>
      <c r="J26" s="465"/>
      <c r="K26" s="465"/>
      <c r="L26" s="465"/>
      <c r="M26" s="465"/>
      <c r="N26" s="465"/>
      <c r="O26" s="465"/>
    </row>
    <row r="27" spans="1:15" ht="21" customHeight="1" x14ac:dyDescent="0.2">
      <c r="A27" s="490">
        <v>20</v>
      </c>
      <c r="B27" s="487">
        <f>'Change Order'!A291</f>
        <v>0</v>
      </c>
      <c r="C27" s="487">
        <f>'Change Order'!B291</f>
        <v>0</v>
      </c>
      <c r="D27" s="493">
        <f>'Change Order'!O303</f>
        <v>0</v>
      </c>
      <c r="E27" s="477"/>
      <c r="F27" s="478"/>
      <c r="G27" s="480">
        <f t="shared" si="0"/>
        <v>0</v>
      </c>
      <c r="H27" s="465"/>
      <c r="I27" s="465"/>
      <c r="J27" s="465"/>
      <c r="K27" s="465"/>
      <c r="L27" s="465"/>
      <c r="M27" s="465"/>
      <c r="N27" s="465"/>
      <c r="O27" s="465"/>
    </row>
    <row r="28" spans="1:15" ht="21" customHeight="1" thickBot="1" x14ac:dyDescent="0.25">
      <c r="A28" s="490"/>
      <c r="B28" s="487"/>
      <c r="C28" s="475"/>
      <c r="D28" s="476"/>
      <c r="E28" s="477"/>
      <c r="F28" s="478"/>
      <c r="G28" s="480">
        <f t="shared" si="0"/>
        <v>0</v>
      </c>
      <c r="H28" s="465"/>
      <c r="I28" s="465"/>
      <c r="J28" s="465"/>
      <c r="K28" s="465"/>
      <c r="L28" s="465"/>
      <c r="M28" s="465"/>
      <c r="N28" s="465"/>
      <c r="O28" s="465"/>
    </row>
    <row r="29" spans="1:15" ht="16" thickBot="1" x14ac:dyDescent="0.25">
      <c r="A29" s="481"/>
      <c r="B29" s="482"/>
      <c r="C29" s="464" t="s">
        <v>101</v>
      </c>
      <c r="D29" s="483">
        <f>SUM(D8:D28)</f>
        <v>0</v>
      </c>
      <c r="E29" s="482"/>
      <c r="F29" s="482"/>
      <c r="G29" s="483">
        <f>SUM(G8:G28)</f>
        <v>0</v>
      </c>
      <c r="H29" s="484"/>
      <c r="I29" s="485"/>
      <c r="J29" s="465"/>
      <c r="K29" s="465"/>
      <c r="L29" s="465"/>
      <c r="M29" s="465"/>
      <c r="N29" s="465"/>
      <c r="O29" s="465"/>
    </row>
    <row r="30" spans="1:15" x14ac:dyDescent="0.2">
      <c r="A30" s="465"/>
      <c r="B30" s="465"/>
      <c r="C30" s="465"/>
      <c r="D30" s="465"/>
      <c r="E30" s="465"/>
      <c r="F30" s="465"/>
      <c r="G30" s="465"/>
      <c r="H30" s="465"/>
      <c r="I30" s="465"/>
      <c r="J30" s="465"/>
      <c r="K30" s="465"/>
      <c r="L30" s="465"/>
      <c r="M30" s="465"/>
      <c r="N30" s="465"/>
      <c r="O30" s="465"/>
    </row>
    <row r="31" spans="1:15" x14ac:dyDescent="0.2">
      <c r="A31" s="465"/>
      <c r="B31" s="465"/>
      <c r="C31" s="465"/>
      <c r="D31" s="465"/>
      <c r="E31" s="465"/>
      <c r="F31" s="465"/>
      <c r="G31" s="465"/>
      <c r="H31" s="465"/>
      <c r="I31" s="465"/>
      <c r="J31" s="465"/>
      <c r="K31" s="465"/>
      <c r="L31" s="465"/>
      <c r="M31" s="465"/>
      <c r="N31" s="465"/>
      <c r="O31" s="465"/>
    </row>
    <row r="32" spans="1:15" x14ac:dyDescent="0.2">
      <c r="A32" s="465"/>
      <c r="B32" s="465"/>
      <c r="C32" s="465"/>
      <c r="D32" s="465"/>
      <c r="E32" s="465"/>
      <c r="F32" s="465"/>
      <c r="G32" s="465"/>
      <c r="H32" s="465"/>
      <c r="I32" s="465"/>
      <c r="J32" s="465"/>
      <c r="K32" s="465"/>
      <c r="L32" s="465"/>
      <c r="M32" s="465"/>
      <c r="N32" s="465"/>
      <c r="O32" s="465"/>
    </row>
  </sheetData>
  <mergeCells count="3">
    <mergeCell ref="A4:C4"/>
    <mergeCell ref="A5:B5"/>
    <mergeCell ref="E5:G5"/>
  </mergeCells>
  <pageMargins left="0.45" right="0.45" top="0.75" bottom="0.75" header="0.3" footer="0.3"/>
  <pageSetup orientation="portrait"/>
  <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Data!$A$54:$A$57</xm:f>
          </x14:formula1>
          <xm:sqref>E8</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37"/>
  <sheetViews>
    <sheetView workbookViewId="0">
      <selection activeCell="N19" sqref="N19"/>
    </sheetView>
  </sheetViews>
  <sheetFormatPr baseColWidth="10" defaultColWidth="8.83203125" defaultRowHeight="15" x14ac:dyDescent="0.2"/>
  <cols>
    <col min="1" max="1" width="20.33203125" style="10" customWidth="1"/>
    <col min="2" max="16384" width="8.83203125" style="10"/>
  </cols>
  <sheetData>
    <row r="1" spans="1:13" ht="21" x14ac:dyDescent="0.3">
      <c r="A1" s="325" t="s">
        <v>339</v>
      </c>
      <c r="B1" s="11"/>
      <c r="C1" s="11"/>
      <c r="D1" s="11"/>
      <c r="E1" s="11"/>
      <c r="F1" s="11"/>
      <c r="G1" s="11"/>
      <c r="H1" s="11"/>
      <c r="I1" s="11"/>
      <c r="J1" s="11"/>
      <c r="K1" s="11"/>
      <c r="L1" s="11"/>
      <c r="M1" s="11"/>
    </row>
    <row r="2" spans="1:13" x14ac:dyDescent="0.2">
      <c r="A2" s="165" t="s">
        <v>341</v>
      </c>
      <c r="B2" s="11"/>
      <c r="C2" s="11"/>
      <c r="D2" s="11"/>
      <c r="E2" s="11"/>
      <c r="F2" s="11"/>
      <c r="G2" s="11"/>
      <c r="H2" s="11"/>
      <c r="I2" s="11"/>
      <c r="J2" s="11"/>
      <c r="K2" s="11"/>
      <c r="L2" s="11"/>
      <c r="M2" s="11"/>
    </row>
    <row r="3" spans="1:13" x14ac:dyDescent="0.2">
      <c r="A3" s="1370">
        <f>+'CO Set Up'!B9</f>
        <v>0</v>
      </c>
      <c r="B3" s="1371"/>
      <c r="C3" s="1372"/>
      <c r="D3" s="1366" t="s">
        <v>343</v>
      </c>
      <c r="E3" s="1366"/>
      <c r="F3" s="1367">
        <f>+'CO Set Up'!H4</f>
        <v>0</v>
      </c>
      <c r="G3" s="1368"/>
      <c r="H3" s="11"/>
      <c r="I3" s="11"/>
      <c r="J3" s="11"/>
      <c r="K3" s="11"/>
      <c r="L3" s="11"/>
      <c r="M3" s="11"/>
    </row>
    <row r="4" spans="1:13" x14ac:dyDescent="0.2">
      <c r="A4" s="1375">
        <f>+'CO Set Up'!B6</f>
        <v>0</v>
      </c>
      <c r="B4" s="1376"/>
      <c r="C4" s="1377"/>
      <c r="D4" s="1365" t="s">
        <v>344</v>
      </c>
      <c r="E4" s="1365"/>
      <c r="F4" s="1369">
        <f>+'CO Set Up'!B5</f>
        <v>0</v>
      </c>
      <c r="G4" s="1369"/>
      <c r="H4" s="1369"/>
      <c r="I4" s="1369"/>
      <c r="J4" s="11"/>
      <c r="K4" s="11"/>
      <c r="L4" s="11"/>
      <c r="M4" s="11"/>
    </row>
    <row r="5" spans="1:13" x14ac:dyDescent="0.2">
      <c r="A5" s="363" t="s">
        <v>342</v>
      </c>
      <c r="B5" s="1363">
        <f>+'CO Set Up'!B4</f>
        <v>0</v>
      </c>
      <c r="C5" s="1364"/>
      <c r="D5" s="11"/>
      <c r="E5" s="11"/>
      <c r="F5" s="11"/>
      <c r="G5" s="11"/>
      <c r="H5" s="11"/>
      <c r="I5" s="11"/>
      <c r="J5" s="11"/>
      <c r="K5" s="11"/>
      <c r="L5" s="11"/>
      <c r="M5" s="11"/>
    </row>
    <row r="6" spans="1:13" x14ac:dyDescent="0.2">
      <c r="A6" s="1373" t="s">
        <v>353</v>
      </c>
      <c r="B6" s="1373"/>
      <c r="C6" s="1373"/>
      <c r="D6" s="1373"/>
      <c r="E6" s="1373"/>
      <c r="F6" s="1373"/>
      <c r="G6" s="1373"/>
      <c r="H6" s="1373"/>
      <c r="I6" s="1373"/>
      <c r="J6" s="1373"/>
      <c r="K6" s="1373"/>
      <c r="L6" s="1373"/>
      <c r="M6" s="326"/>
    </row>
    <row r="7" spans="1:13" x14ac:dyDescent="0.2">
      <c r="A7" s="1373" t="s">
        <v>340</v>
      </c>
      <c r="B7" s="1373"/>
      <c r="C7" s="1373"/>
      <c r="D7" s="1373"/>
      <c r="E7" s="1373"/>
      <c r="F7" s="1373"/>
      <c r="G7" s="1373"/>
      <c r="H7" s="1373"/>
      <c r="I7" s="1373"/>
      <c r="J7" s="1373"/>
      <c r="K7" s="1373"/>
      <c r="L7" s="1373"/>
      <c r="M7" s="326"/>
    </row>
    <row r="8" spans="1:13" ht="5.25" customHeight="1" x14ac:dyDescent="0.2">
      <c r="A8" s="326"/>
      <c r="B8" s="326"/>
      <c r="C8" s="326"/>
      <c r="D8" s="326"/>
      <c r="E8" s="326"/>
      <c r="F8" s="326"/>
      <c r="G8" s="326"/>
      <c r="H8" s="326"/>
      <c r="I8" s="326"/>
      <c r="J8" s="326"/>
      <c r="K8" s="326"/>
      <c r="L8" s="326"/>
      <c r="M8" s="326"/>
    </row>
    <row r="9" spans="1:13" ht="8.25" customHeight="1" x14ac:dyDescent="0.2">
      <c r="A9" s="408"/>
      <c r="B9" s="408"/>
      <c r="C9" s="408"/>
      <c r="D9" s="408"/>
      <c r="E9" s="408"/>
      <c r="F9" s="408"/>
      <c r="G9" s="408"/>
      <c r="H9" s="408"/>
      <c r="I9" s="408"/>
      <c r="J9" s="408"/>
      <c r="K9" s="408"/>
      <c r="L9" s="90"/>
      <c r="M9" s="11"/>
    </row>
    <row r="10" spans="1:13" ht="17" x14ac:dyDescent="0.25">
      <c r="A10" s="327"/>
      <c r="B10" s="328"/>
      <c r="C10" s="328"/>
      <c r="D10" s="328"/>
      <c r="E10" s="328"/>
      <c r="F10" s="328"/>
      <c r="G10" s="328"/>
      <c r="H10" s="327"/>
      <c r="I10" s="324"/>
      <c r="J10" s="329"/>
      <c r="K10" s="330"/>
      <c r="L10" s="11"/>
      <c r="M10" s="11"/>
    </row>
    <row r="11" spans="1:13" x14ac:dyDescent="0.2">
      <c r="A11" s="331"/>
      <c r="B11" s="331"/>
      <c r="C11" s="332"/>
      <c r="D11" s="332"/>
      <c r="E11" s="333"/>
      <c r="F11" s="333"/>
      <c r="G11" s="334"/>
      <c r="H11" s="334"/>
      <c r="I11" s="335"/>
      <c r="J11" s="335"/>
      <c r="K11" s="335"/>
      <c r="L11" s="11"/>
      <c r="M11" s="11"/>
    </row>
    <row r="12" spans="1:13" ht="15" customHeight="1" x14ac:dyDescent="0.2">
      <c r="A12" s="336"/>
      <c r="B12" s="337"/>
      <c r="C12" s="338"/>
      <c r="D12" s="339"/>
      <c r="E12" s="340"/>
      <c r="F12" s="340"/>
      <c r="G12" s="341"/>
      <c r="H12" s="341"/>
      <c r="I12" s="338"/>
      <c r="J12" s="338"/>
      <c r="K12" s="338"/>
      <c r="L12" s="11"/>
      <c r="M12" s="11"/>
    </row>
    <row r="13" spans="1:13" x14ac:dyDescent="0.2">
      <c r="A13" s="342"/>
      <c r="B13" s="343"/>
      <c r="C13" s="344"/>
      <c r="D13" s="344"/>
      <c r="E13" s="345"/>
      <c r="F13" s="344"/>
      <c r="G13" s="346"/>
      <c r="H13" s="346"/>
      <c r="I13" s="347"/>
      <c r="J13" s="347"/>
      <c r="K13" s="348"/>
      <c r="L13" s="11"/>
      <c r="M13" s="11"/>
    </row>
    <row r="14" spans="1:13" x14ac:dyDescent="0.2">
      <c r="A14" s="342"/>
      <c r="B14" s="343"/>
      <c r="C14" s="344"/>
      <c r="D14" s="344"/>
      <c r="E14" s="345"/>
      <c r="F14" s="344"/>
      <c r="G14" s="346"/>
      <c r="H14" s="346"/>
      <c r="I14" s="347"/>
      <c r="J14" s="347"/>
      <c r="K14" s="348"/>
      <c r="L14" s="11"/>
      <c r="M14" s="11"/>
    </row>
    <row r="15" spans="1:13" x14ac:dyDescent="0.2">
      <c r="A15" s="342"/>
      <c r="B15" s="343"/>
      <c r="C15" s="344"/>
      <c r="D15" s="344"/>
      <c r="E15" s="344"/>
      <c r="F15" s="344"/>
      <c r="G15" s="346"/>
      <c r="H15" s="346"/>
      <c r="I15" s="347"/>
      <c r="J15" s="347"/>
      <c r="K15" s="348"/>
      <c r="L15" s="11"/>
      <c r="M15" s="11"/>
    </row>
    <row r="16" spans="1:13" x14ac:dyDescent="0.2">
      <c r="A16" s="349"/>
      <c r="B16" s="344"/>
      <c r="C16" s="350"/>
      <c r="D16" s="344"/>
      <c r="E16" s="344"/>
      <c r="F16" s="327"/>
      <c r="G16" s="351"/>
      <c r="H16" s="351"/>
      <c r="I16" s="352"/>
      <c r="J16" s="352"/>
      <c r="K16" s="352"/>
      <c r="L16" s="11"/>
      <c r="M16" s="11"/>
    </row>
    <row r="17" spans="1:13" x14ac:dyDescent="0.2">
      <c r="A17" s="353"/>
      <c r="B17" s="354"/>
      <c r="C17" s="323"/>
      <c r="D17" s="343"/>
      <c r="E17" s="343"/>
      <c r="F17" s="343"/>
      <c r="G17" s="355"/>
      <c r="H17" s="355"/>
      <c r="I17" s="356"/>
      <c r="J17" s="356"/>
      <c r="K17" s="189"/>
      <c r="L17" s="11"/>
      <c r="M17" s="11"/>
    </row>
    <row r="18" spans="1:13" x14ac:dyDescent="0.2">
      <c r="A18" s="357"/>
      <c r="B18" s="344"/>
      <c r="C18" s="358"/>
      <c r="D18" s="344"/>
      <c r="E18" s="344"/>
      <c r="F18" s="344"/>
      <c r="G18" s="346"/>
      <c r="H18" s="346"/>
      <c r="I18" s="347"/>
      <c r="J18" s="347"/>
      <c r="K18" s="352"/>
      <c r="L18" s="11"/>
      <c r="M18" s="11"/>
    </row>
    <row r="19" spans="1:13" x14ac:dyDescent="0.2">
      <c r="A19" s="327"/>
      <c r="B19" s="344"/>
      <c r="C19" s="350"/>
      <c r="D19" s="344"/>
      <c r="E19" s="344"/>
      <c r="F19" s="344"/>
      <c r="G19" s="346"/>
      <c r="H19" s="346"/>
      <c r="I19" s="347"/>
      <c r="J19" s="347"/>
      <c r="K19" s="352"/>
      <c r="L19" s="11"/>
      <c r="M19" s="11"/>
    </row>
    <row r="20" spans="1:13" x14ac:dyDescent="0.2">
      <c r="A20" s="327"/>
      <c r="B20" s="344"/>
      <c r="C20" s="350"/>
      <c r="D20" s="344"/>
      <c r="E20" s="344"/>
      <c r="F20" s="344"/>
      <c r="G20" s="346"/>
      <c r="H20" s="346"/>
      <c r="I20" s="347"/>
      <c r="J20" s="347"/>
      <c r="K20" s="352"/>
      <c r="L20" s="11"/>
      <c r="M20" s="11"/>
    </row>
    <row r="21" spans="1:13" x14ac:dyDescent="0.2">
      <c r="A21" s="359"/>
      <c r="B21" s="344"/>
      <c r="C21" s="344"/>
      <c r="D21" s="344"/>
      <c r="E21" s="344"/>
      <c r="F21" s="344"/>
      <c r="G21" s="344"/>
      <c r="H21" s="327"/>
      <c r="I21" s="1374"/>
      <c r="J21" s="1374"/>
      <c r="K21" s="360"/>
      <c r="L21" s="11"/>
      <c r="M21" s="11"/>
    </row>
    <row r="22" spans="1:13" x14ac:dyDescent="0.2">
      <c r="A22" s="7"/>
      <c r="B22" s="7"/>
      <c r="C22" s="7"/>
      <c r="D22" s="7"/>
      <c r="E22" s="7"/>
      <c r="F22" s="7"/>
      <c r="G22" s="7"/>
      <c r="H22" s="7"/>
      <c r="I22" s="7"/>
      <c r="J22" s="7"/>
      <c r="K22" s="7"/>
      <c r="L22" s="11"/>
      <c r="M22" s="11"/>
    </row>
    <row r="23" spans="1:13" x14ac:dyDescent="0.2">
      <c r="A23" s="7"/>
      <c r="B23" s="7"/>
      <c r="C23" s="7"/>
      <c r="D23" s="7"/>
      <c r="E23" s="7"/>
      <c r="F23" s="7"/>
      <c r="G23" s="7"/>
      <c r="H23" s="7"/>
      <c r="I23" s="7"/>
      <c r="J23" s="7"/>
      <c r="K23" s="7"/>
      <c r="L23" s="11"/>
      <c r="M23" s="11"/>
    </row>
    <row r="24" spans="1:13" x14ac:dyDescent="0.2">
      <c r="A24" s="7"/>
      <c r="B24" s="7"/>
      <c r="C24" s="7"/>
      <c r="D24" s="7"/>
      <c r="E24" s="7"/>
      <c r="F24" s="7"/>
      <c r="G24" s="7"/>
      <c r="H24" s="7"/>
      <c r="I24" s="7"/>
      <c r="J24" s="7"/>
      <c r="K24" s="7"/>
      <c r="L24" s="11"/>
      <c r="M24" s="11"/>
    </row>
    <row r="25" spans="1:13" ht="6.75" customHeight="1" x14ac:dyDescent="0.2">
      <c r="A25" s="408"/>
      <c r="B25" s="408"/>
      <c r="C25" s="408"/>
      <c r="D25" s="408"/>
      <c r="E25" s="408"/>
      <c r="F25" s="408"/>
      <c r="G25" s="408"/>
      <c r="H25" s="408"/>
      <c r="I25" s="408"/>
      <c r="J25" s="408"/>
      <c r="K25" s="408"/>
      <c r="L25" s="90"/>
      <c r="M25" s="11"/>
    </row>
    <row r="26" spans="1:13" x14ac:dyDescent="0.2">
      <c r="A26" s="11" t="s">
        <v>269</v>
      </c>
      <c r="B26" s="11"/>
      <c r="C26" s="11"/>
      <c r="D26" s="11"/>
      <c r="E26" s="11"/>
      <c r="F26" s="11"/>
      <c r="G26" s="11"/>
      <c r="H26" s="11"/>
      <c r="I26" s="11"/>
      <c r="J26" s="11"/>
      <c r="K26" s="11"/>
      <c r="L26" s="11"/>
      <c r="M26" s="11"/>
    </row>
    <row r="27" spans="1:13" x14ac:dyDescent="0.2">
      <c r="A27" s="11"/>
      <c r="B27" s="11"/>
      <c r="C27" s="11"/>
      <c r="D27" s="11"/>
      <c r="E27" s="11"/>
      <c r="F27" s="11"/>
      <c r="G27" s="11"/>
      <c r="H27" s="11"/>
      <c r="I27" s="11"/>
      <c r="J27" s="11"/>
      <c r="K27" s="11"/>
      <c r="L27" s="11"/>
      <c r="M27" s="11"/>
    </row>
    <row r="28" spans="1:13" x14ac:dyDescent="0.2">
      <c r="A28" s="361">
        <f>+'CO Set Up'!H5</f>
        <v>0</v>
      </c>
      <c r="B28" s="11"/>
      <c r="C28" s="11"/>
      <c r="D28" s="11"/>
      <c r="E28" s="11"/>
      <c r="F28" s="11"/>
      <c r="G28" s="11"/>
      <c r="H28" s="11"/>
      <c r="I28" s="11"/>
      <c r="J28" s="11"/>
      <c r="K28" s="11"/>
      <c r="L28" s="11"/>
      <c r="M28" s="11"/>
    </row>
    <row r="29" spans="1:13" x14ac:dyDescent="0.2">
      <c r="A29" s="11">
        <f>+'CO Set Up'!H6</f>
        <v>0</v>
      </c>
      <c r="B29" s="11"/>
      <c r="C29" s="11"/>
      <c r="D29" s="11"/>
      <c r="E29" s="11"/>
      <c r="F29" s="11"/>
      <c r="G29" s="11"/>
      <c r="H29" s="11"/>
      <c r="I29" s="11"/>
      <c r="J29" s="11"/>
      <c r="K29" s="11"/>
      <c r="L29" s="11"/>
      <c r="M29" s="11"/>
    </row>
    <row r="30" spans="1:13" x14ac:dyDescent="0.2">
      <c r="A30" s="11">
        <f>+'CO Set Up'!H7</f>
        <v>0</v>
      </c>
      <c r="B30" s="11"/>
      <c r="C30" s="11"/>
      <c r="D30" s="11"/>
      <c r="E30" s="11"/>
      <c r="F30" s="11"/>
      <c r="G30" s="11"/>
      <c r="H30" s="11"/>
      <c r="I30" s="11"/>
      <c r="J30" s="11"/>
      <c r="K30" s="11"/>
      <c r="L30" s="11"/>
      <c r="M30" s="11"/>
    </row>
    <row r="31" spans="1:13" x14ac:dyDescent="0.2">
      <c r="A31" s="11"/>
      <c r="B31" s="11"/>
      <c r="C31" s="11"/>
      <c r="D31" s="11"/>
      <c r="E31" s="11"/>
      <c r="F31" s="11"/>
      <c r="G31" s="11"/>
      <c r="H31" s="11"/>
      <c r="I31" s="11"/>
      <c r="J31" s="11"/>
      <c r="K31" s="11"/>
      <c r="L31" s="11"/>
      <c r="M31" s="11"/>
    </row>
    <row r="32" spans="1:13" x14ac:dyDescent="0.2">
      <c r="A32" s="1362" t="str">
        <f>+Proposal!A48</f>
        <v>848 3rd Avenue South, Kent, WA 98032</v>
      </c>
      <c r="B32" s="1362"/>
      <c r="C32" s="1362"/>
      <c r="D32" s="1362"/>
      <c r="E32" s="1362"/>
      <c r="F32" s="1362"/>
      <c r="G32" s="1362"/>
      <c r="H32" s="1362"/>
      <c r="I32" s="1362"/>
      <c r="J32" s="1362"/>
      <c r="K32" s="1362"/>
      <c r="L32" s="1362"/>
      <c r="M32" s="362"/>
    </row>
    <row r="33" spans="1:13" x14ac:dyDescent="0.2">
      <c r="A33" s="1362" t="str">
        <f>+Proposal!A49</f>
        <v>www.peningtonpainting.com</v>
      </c>
      <c r="B33" s="1362"/>
      <c r="C33" s="1362"/>
      <c r="D33" s="1362"/>
      <c r="E33" s="1362"/>
      <c r="F33" s="1362"/>
      <c r="G33" s="1362"/>
      <c r="H33" s="1362"/>
      <c r="I33" s="1362"/>
      <c r="J33" s="1362"/>
      <c r="K33" s="1362"/>
      <c r="L33" s="1362"/>
      <c r="M33" s="362"/>
    </row>
    <row r="34" spans="1:13" x14ac:dyDescent="0.2">
      <c r="A34" s="11"/>
      <c r="B34" s="11"/>
      <c r="C34" s="11"/>
      <c r="D34" s="11"/>
      <c r="E34" s="11"/>
      <c r="F34" s="11"/>
      <c r="G34" s="11"/>
      <c r="H34" s="11"/>
      <c r="I34" s="11"/>
      <c r="J34" s="11"/>
      <c r="K34" s="11"/>
      <c r="L34" s="11"/>
      <c r="M34" s="11"/>
    </row>
    <row r="35" spans="1:13" x14ac:dyDescent="0.2">
      <c r="A35" s="11"/>
      <c r="B35" s="11"/>
      <c r="C35" s="11"/>
      <c r="D35" s="11"/>
      <c r="E35" s="11"/>
      <c r="F35" s="11"/>
      <c r="G35" s="11"/>
      <c r="H35" s="11"/>
      <c r="I35" s="11"/>
      <c r="J35" s="11"/>
      <c r="K35" s="11"/>
      <c r="L35" s="11"/>
      <c r="M35" s="11"/>
    </row>
    <row r="36" spans="1:13" x14ac:dyDescent="0.2">
      <c r="A36" s="11"/>
      <c r="B36" s="11"/>
      <c r="C36" s="11"/>
      <c r="D36" s="11"/>
      <c r="E36" s="11"/>
      <c r="F36" s="11"/>
      <c r="G36" s="11"/>
      <c r="H36" s="11"/>
      <c r="I36" s="11"/>
      <c r="J36" s="11"/>
      <c r="K36" s="11"/>
      <c r="L36" s="11"/>
      <c r="M36" s="11"/>
    </row>
    <row r="37" spans="1:13" x14ac:dyDescent="0.2">
      <c r="A37" s="11"/>
      <c r="B37" s="11"/>
      <c r="C37" s="11"/>
      <c r="D37" s="11"/>
      <c r="E37" s="11"/>
      <c r="F37" s="11"/>
      <c r="G37" s="11"/>
      <c r="H37" s="11"/>
      <c r="I37" s="11"/>
      <c r="J37" s="11"/>
      <c r="K37" s="11"/>
      <c r="L37" s="11"/>
      <c r="M37" s="11"/>
    </row>
  </sheetData>
  <mergeCells count="12">
    <mergeCell ref="A33:L33"/>
    <mergeCell ref="B5:C5"/>
    <mergeCell ref="D4:E4"/>
    <mergeCell ref="D3:E3"/>
    <mergeCell ref="F3:G3"/>
    <mergeCell ref="F4:I4"/>
    <mergeCell ref="A3:C3"/>
    <mergeCell ref="A6:L6"/>
    <mergeCell ref="A7:L7"/>
    <mergeCell ref="I21:J21"/>
    <mergeCell ref="A32:L32"/>
    <mergeCell ref="A4:C4"/>
  </mergeCells>
  <dataValidations count="1">
    <dataValidation type="list" allowBlank="1" showInputMessage="1" showErrorMessage="1" sqref="D13:D14">
      <formula1>shift</formula1>
    </dataValidation>
  </dataValidations>
  <pageMargins left="0.7" right="0.7" top="0.5" bottom="0.5" header="0.3" footer="0.3"/>
  <pageSetup orientation="landscape"/>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95"/>
  <sheetViews>
    <sheetView topLeftCell="A49" workbookViewId="0">
      <selection activeCell="A66" sqref="A66"/>
    </sheetView>
  </sheetViews>
  <sheetFormatPr baseColWidth="10" defaultColWidth="8.83203125" defaultRowHeight="15" x14ac:dyDescent="0.2"/>
  <cols>
    <col min="1" max="1" width="31.5" customWidth="1"/>
    <col min="2" max="2" width="9.5" bestFit="1" customWidth="1"/>
    <col min="3" max="5" width="9" bestFit="1" customWidth="1"/>
  </cols>
  <sheetData>
    <row r="1" spans="1:7" x14ac:dyDescent="0.2">
      <c r="A1" s="4" t="s">
        <v>0</v>
      </c>
      <c r="C1" s="13"/>
      <c r="D1" s="13"/>
    </row>
    <row r="2" spans="1:7" x14ac:dyDescent="0.2">
      <c r="A2" s="5" t="s">
        <v>1</v>
      </c>
      <c r="C2" s="26"/>
      <c r="D2" s="27"/>
    </row>
    <row r="3" spans="1:7" x14ac:dyDescent="0.2">
      <c r="A3" s="5" t="s">
        <v>2</v>
      </c>
    </row>
    <row r="4" spans="1:7" x14ac:dyDescent="0.2">
      <c r="A4" s="2"/>
      <c r="G4" s="13"/>
    </row>
    <row r="5" spans="1:7" x14ac:dyDescent="0.2">
      <c r="A5" s="3" t="s">
        <v>16</v>
      </c>
    </row>
    <row r="6" spans="1:7" x14ac:dyDescent="0.2">
      <c r="A6" s="2" t="s">
        <v>4</v>
      </c>
    </row>
    <row r="7" spans="1:7" x14ac:dyDescent="0.2">
      <c r="A7" s="2" t="s">
        <v>6</v>
      </c>
    </row>
    <row r="8" spans="1:7" x14ac:dyDescent="0.2">
      <c r="A8" s="2" t="s">
        <v>5</v>
      </c>
    </row>
    <row r="9" spans="1:7" x14ac:dyDescent="0.2">
      <c r="A9" s="2" t="s">
        <v>17</v>
      </c>
    </row>
    <row r="10" spans="1:7" x14ac:dyDescent="0.2">
      <c r="A10" s="2"/>
    </row>
    <row r="11" spans="1:7" x14ac:dyDescent="0.2">
      <c r="A11" s="17" t="s">
        <v>71</v>
      </c>
    </row>
    <row r="12" spans="1:7" x14ac:dyDescent="0.2">
      <c r="A12" s="2" t="s">
        <v>73</v>
      </c>
    </row>
    <row r="13" spans="1:7" s="10" customFormat="1" x14ac:dyDescent="0.2">
      <c r="A13" s="13" t="s">
        <v>74</v>
      </c>
    </row>
    <row r="14" spans="1:7" s="10" customFormat="1" x14ac:dyDescent="0.2">
      <c r="A14" s="13" t="s">
        <v>75</v>
      </c>
    </row>
    <row r="15" spans="1:7" s="10" customFormat="1" x14ac:dyDescent="0.2">
      <c r="A15" s="13" t="s">
        <v>72</v>
      </c>
    </row>
    <row r="16" spans="1:7" s="10" customFormat="1" x14ac:dyDescent="0.2">
      <c r="A16" s="13" t="s">
        <v>76</v>
      </c>
    </row>
    <row r="17" spans="1:2" x14ac:dyDescent="0.2">
      <c r="A17" s="2" t="s">
        <v>77</v>
      </c>
    </row>
    <row r="18" spans="1:2" x14ac:dyDescent="0.2">
      <c r="A18" s="2"/>
    </row>
    <row r="19" spans="1:2" x14ac:dyDescent="0.2">
      <c r="A19" s="2"/>
    </row>
    <row r="20" spans="1:2" x14ac:dyDescent="0.2">
      <c r="A20" s="17" t="s">
        <v>172</v>
      </c>
      <c r="B20" s="31" t="s">
        <v>184</v>
      </c>
    </row>
    <row r="21" spans="1:2" x14ac:dyDescent="0.2">
      <c r="A21" s="69" t="s">
        <v>186</v>
      </c>
      <c r="B21" s="72">
        <v>400</v>
      </c>
    </row>
    <row r="22" spans="1:2" x14ac:dyDescent="0.2">
      <c r="A22" s="70" t="s">
        <v>189</v>
      </c>
      <c r="B22" s="73">
        <v>400</v>
      </c>
    </row>
    <row r="23" spans="1:2" x14ac:dyDescent="0.2">
      <c r="A23" s="70" t="s">
        <v>173</v>
      </c>
      <c r="B23" s="73">
        <v>200</v>
      </c>
    </row>
    <row r="24" spans="1:2" x14ac:dyDescent="0.2">
      <c r="A24" s="70" t="s">
        <v>187</v>
      </c>
      <c r="B24" s="73">
        <v>600</v>
      </c>
    </row>
    <row r="25" spans="1:2" x14ac:dyDescent="0.2">
      <c r="A25" s="70" t="s">
        <v>174</v>
      </c>
      <c r="B25" s="73">
        <v>500</v>
      </c>
    </row>
    <row r="26" spans="1:2" x14ac:dyDescent="0.2">
      <c r="A26" s="70" t="s">
        <v>188</v>
      </c>
      <c r="B26" s="73">
        <v>300</v>
      </c>
    </row>
    <row r="27" spans="1:2" x14ac:dyDescent="0.2">
      <c r="A27" s="71"/>
      <c r="B27" s="74"/>
    </row>
    <row r="28" spans="1:2" x14ac:dyDescent="0.2">
      <c r="A28" s="2"/>
    </row>
    <row r="29" spans="1:2" x14ac:dyDescent="0.2">
      <c r="A29" s="17" t="s">
        <v>206</v>
      </c>
    </row>
    <row r="30" spans="1:2" x14ac:dyDescent="0.2">
      <c r="A30" s="76" t="s">
        <v>207</v>
      </c>
    </row>
    <row r="31" spans="1:2" x14ac:dyDescent="0.2">
      <c r="A31" s="77" t="s">
        <v>208</v>
      </c>
    </row>
    <row r="32" spans="1:2" x14ac:dyDescent="0.2">
      <c r="A32" s="77" t="s">
        <v>68</v>
      </c>
    </row>
    <row r="33" spans="1:1" x14ac:dyDescent="0.2">
      <c r="A33" s="78"/>
    </row>
    <row r="34" spans="1:1" x14ac:dyDescent="0.2">
      <c r="A34" s="2"/>
    </row>
    <row r="35" spans="1:1" x14ac:dyDescent="0.2">
      <c r="A35" s="17" t="s">
        <v>124</v>
      </c>
    </row>
    <row r="36" spans="1:1" x14ac:dyDescent="0.2">
      <c r="A36" s="5">
        <v>40</v>
      </c>
    </row>
    <row r="37" spans="1:1" x14ac:dyDescent="0.2">
      <c r="A37" s="5">
        <v>50</v>
      </c>
    </row>
    <row r="38" spans="1:1" x14ac:dyDescent="0.2">
      <c r="A38" s="5">
        <v>60</v>
      </c>
    </row>
    <row r="39" spans="1:1" x14ac:dyDescent="0.2">
      <c r="A39" s="2"/>
    </row>
    <row r="40" spans="1:1" x14ac:dyDescent="0.2">
      <c r="A40" s="17" t="s">
        <v>234</v>
      </c>
    </row>
    <row r="41" spans="1:1" x14ac:dyDescent="0.2">
      <c r="A41" s="5" t="s">
        <v>235</v>
      </c>
    </row>
    <row r="42" spans="1:1" x14ac:dyDescent="0.2">
      <c r="A42" s="5" t="s">
        <v>236</v>
      </c>
    </row>
    <row r="43" spans="1:1" x14ac:dyDescent="0.2">
      <c r="A43" s="5" t="s">
        <v>237</v>
      </c>
    </row>
    <row r="44" spans="1:1" x14ac:dyDescent="0.2">
      <c r="A44" s="5" t="s">
        <v>368</v>
      </c>
    </row>
    <row r="45" spans="1:1" x14ac:dyDescent="0.2">
      <c r="A45" s="112"/>
    </row>
    <row r="47" spans="1:1" x14ac:dyDescent="0.2">
      <c r="A47" s="291" t="s">
        <v>329</v>
      </c>
    </row>
    <row r="48" spans="1:1" x14ac:dyDescent="0.2">
      <c r="A48" s="292" t="s">
        <v>330</v>
      </c>
    </row>
    <row r="49" spans="1:1" x14ac:dyDescent="0.2">
      <c r="A49" s="292" t="s">
        <v>331</v>
      </c>
    </row>
    <row r="50" spans="1:1" x14ac:dyDescent="0.2">
      <c r="A50" s="292" t="s">
        <v>332</v>
      </c>
    </row>
    <row r="51" spans="1:1" x14ac:dyDescent="0.2">
      <c r="A51" s="112"/>
    </row>
    <row r="53" spans="1:1" x14ac:dyDescent="0.2">
      <c r="A53" s="291" t="s">
        <v>351</v>
      </c>
    </row>
    <row r="54" spans="1:1" x14ac:dyDescent="0.2">
      <c r="A54" s="292" t="s">
        <v>1</v>
      </c>
    </row>
    <row r="55" spans="1:1" s="10" customFormat="1" x14ac:dyDescent="0.2">
      <c r="A55" s="292" t="s">
        <v>77</v>
      </c>
    </row>
    <row r="56" spans="1:1" x14ac:dyDescent="0.2">
      <c r="A56" s="292" t="s">
        <v>2</v>
      </c>
    </row>
    <row r="57" spans="1:1" x14ac:dyDescent="0.2">
      <c r="A57" s="292" t="s">
        <v>352</v>
      </c>
    </row>
    <row r="59" spans="1:1" x14ac:dyDescent="0.2">
      <c r="A59" s="17" t="s">
        <v>396</v>
      </c>
    </row>
    <row r="60" spans="1:1" x14ac:dyDescent="0.2">
      <c r="A60" s="292" t="s">
        <v>331</v>
      </c>
    </row>
    <row r="61" spans="1:1" x14ac:dyDescent="0.2">
      <c r="A61" s="292" t="s">
        <v>332</v>
      </c>
    </row>
    <row r="63" spans="1:1" s="10" customFormat="1" x14ac:dyDescent="0.2">
      <c r="A63" s="17" t="s">
        <v>416</v>
      </c>
    </row>
    <row r="64" spans="1:1" x14ac:dyDescent="0.2">
      <c r="A64" t="s">
        <v>415</v>
      </c>
    </row>
    <row r="65" spans="1:6" x14ac:dyDescent="0.2">
      <c r="A65" t="s">
        <v>1116</v>
      </c>
    </row>
    <row r="67" spans="1:6" x14ac:dyDescent="0.2">
      <c r="A67" s="17" t="s">
        <v>422</v>
      </c>
      <c r="B67" s="31"/>
      <c r="C67" s="31"/>
      <c r="D67" s="31"/>
      <c r="E67" s="31"/>
    </row>
    <row r="68" spans="1:6" x14ac:dyDescent="0.2">
      <c r="A68" s="5" t="str">
        <f>+Summary!B51</f>
        <v>Mech Screen Framing</v>
      </c>
      <c r="B68" s="565">
        <f>+Summary!G51</f>
        <v>95256.311437037046</v>
      </c>
      <c r="C68" s="565">
        <f>+Summary!J51</f>
        <v>111540.02578031023</v>
      </c>
      <c r="D68" s="565">
        <f>+Summary!L51</f>
        <v>0</v>
      </c>
      <c r="E68" s="565">
        <f>+Summary!M51</f>
        <v>37086.22577938137</v>
      </c>
      <c r="F68" s="13"/>
    </row>
    <row r="69" spans="1:6" x14ac:dyDescent="0.2">
      <c r="A69" s="5" t="str">
        <f>+Summary!B52</f>
        <v>Alt 15 - SC-1 @ Stairs</v>
      </c>
      <c r="B69" s="565">
        <f>+Summary!G52</f>
        <v>13701.485416666666</v>
      </c>
      <c r="C69" s="565">
        <f>+Summary!J52</f>
        <v>3707.4074074074069</v>
      </c>
      <c r="D69" s="565">
        <f>+Summary!L52</f>
        <v>0</v>
      </c>
      <c r="E69" s="565">
        <f>+Summary!M52</f>
        <v>3122.057859100727</v>
      </c>
    </row>
    <row r="70" spans="1:6" x14ac:dyDescent="0.2">
      <c r="A70" s="5" t="str">
        <f>+Summary!B53</f>
        <v>Alt 17 Conf/Office Wood to GWB</v>
      </c>
      <c r="B70" s="565">
        <f>+Summary!G53</f>
        <v>3195.6292754629635</v>
      </c>
      <c r="C70" s="565">
        <f>+Summary!J53</f>
        <v>1055.6786008230451</v>
      </c>
      <c r="D70" s="565">
        <f>+Summary!L53</f>
        <v>0</v>
      </c>
      <c r="E70" s="565">
        <f>+Summary!M53</f>
        <v>762.41661665359209</v>
      </c>
    </row>
    <row r="71" spans="1:6" x14ac:dyDescent="0.2">
      <c r="A71" s="5" t="str">
        <f>+Summary!B54</f>
        <v>Alt 20 - Lobby RR Walls to GWB</v>
      </c>
      <c r="B71" s="565">
        <f>+Summary!G54</f>
        <v>3205.4333333333334</v>
      </c>
      <c r="C71" s="565">
        <f>+Summary!J54</f>
        <v>698.51851851851848</v>
      </c>
      <c r="D71" s="565">
        <f>+Summary!L54</f>
        <v>0</v>
      </c>
      <c r="E71" s="565">
        <f>+Summary!M54</f>
        <v>700.12284432988758</v>
      </c>
    </row>
    <row r="72" spans="1:6" x14ac:dyDescent="0.2">
      <c r="A72" s="5" t="str">
        <f>+Summary!B55</f>
        <v>Alt 26 - Reduce Bridge 33%</v>
      </c>
      <c r="B72" s="565">
        <f>+Summary!G55</f>
        <v>-5091.1749417989413</v>
      </c>
      <c r="C72" s="565">
        <f>+Summary!J55</f>
        <v>-5605.1207524985293</v>
      </c>
      <c r="D72" s="565">
        <f>+Summary!L55</f>
        <v>0</v>
      </c>
      <c r="E72" s="565">
        <f>+Summary!M55</f>
        <v>-1918.2411180949321</v>
      </c>
    </row>
    <row r="73" spans="1:6" x14ac:dyDescent="0.2">
      <c r="A73" s="5" t="str">
        <f>+Summary!B56</f>
        <v>A6</v>
      </c>
      <c r="B73" s="565">
        <f>+Summary!G56</f>
        <v>0</v>
      </c>
      <c r="C73" s="565">
        <f>+Summary!J56</f>
        <v>0</v>
      </c>
      <c r="D73" s="565">
        <f>+Summary!L56</f>
        <v>0</v>
      </c>
      <c r="E73" s="565">
        <f>+Summary!M56</f>
        <v>0</v>
      </c>
    </row>
    <row r="74" spans="1:6" x14ac:dyDescent="0.2">
      <c r="A74" s="5" t="str">
        <f>+Summary!B57</f>
        <v>A7</v>
      </c>
      <c r="B74" s="565">
        <f>+Summary!G57</f>
        <v>0</v>
      </c>
      <c r="C74" s="565">
        <f>+Summary!J57</f>
        <v>0</v>
      </c>
      <c r="D74" s="565">
        <f>+Summary!L57</f>
        <v>0</v>
      </c>
      <c r="E74" s="565">
        <f>+Summary!M57</f>
        <v>0</v>
      </c>
    </row>
    <row r="75" spans="1:6" x14ac:dyDescent="0.2">
      <c r="A75" s="5" t="str">
        <f>+Summary!B58</f>
        <v>A8</v>
      </c>
      <c r="B75" s="565">
        <f>+Summary!G58</f>
        <v>0</v>
      </c>
      <c r="C75" s="565">
        <f>+Summary!J58</f>
        <v>0</v>
      </c>
      <c r="D75" s="565">
        <f>+Summary!L58</f>
        <v>0</v>
      </c>
      <c r="E75" s="565">
        <f>+Summary!M58</f>
        <v>0</v>
      </c>
    </row>
    <row r="76" spans="1:6" x14ac:dyDescent="0.2">
      <c r="A76" s="5" t="str">
        <f>+Summary!B59</f>
        <v>A9</v>
      </c>
      <c r="B76" s="565">
        <f>+Summary!G59</f>
        <v>0</v>
      </c>
      <c r="C76" s="565">
        <f>+Summary!J59</f>
        <v>0</v>
      </c>
      <c r="D76" s="565">
        <f>+Summary!L59</f>
        <v>0</v>
      </c>
      <c r="E76" s="565">
        <f>+Summary!M59</f>
        <v>0</v>
      </c>
    </row>
    <row r="77" spans="1:6" x14ac:dyDescent="0.2">
      <c r="A77" s="5" t="str">
        <f>+Summary!B60</f>
        <v>A10</v>
      </c>
      <c r="B77" s="565">
        <f>+Summary!G60</f>
        <v>0</v>
      </c>
      <c r="C77" s="565">
        <f>+Summary!J60</f>
        <v>0</v>
      </c>
      <c r="D77" s="565">
        <f>+Summary!L60</f>
        <v>0</v>
      </c>
      <c r="E77" s="565">
        <f>+Summary!M60</f>
        <v>0</v>
      </c>
    </row>
    <row r="79" spans="1:6" x14ac:dyDescent="0.2">
      <c r="A79" s="17" t="s">
        <v>430</v>
      </c>
    </row>
    <row r="80" spans="1:6" x14ac:dyDescent="0.2">
      <c r="A80" s="567" t="s">
        <v>431</v>
      </c>
      <c r="B80" s="568"/>
      <c r="C80" s="568"/>
      <c r="D80" s="568"/>
      <c r="E80" s="569"/>
    </row>
    <row r="81" spans="1:5" x14ac:dyDescent="0.2">
      <c r="A81" s="567" t="s">
        <v>432</v>
      </c>
      <c r="B81" s="568"/>
      <c r="C81" s="568"/>
      <c r="D81" s="568"/>
      <c r="E81" s="569"/>
    </row>
    <row r="82" spans="1:5" x14ac:dyDescent="0.2">
      <c r="A82" s="567" t="s">
        <v>433</v>
      </c>
      <c r="B82" s="568"/>
      <c r="C82" s="568"/>
      <c r="D82" s="568"/>
      <c r="E82" s="569"/>
    </row>
    <row r="83" spans="1:5" x14ac:dyDescent="0.2">
      <c r="A83" s="567" t="s">
        <v>434</v>
      </c>
      <c r="B83" s="568"/>
      <c r="C83" s="568"/>
      <c r="D83" s="568"/>
      <c r="E83" s="569"/>
    </row>
    <row r="84" spans="1:5" x14ac:dyDescent="0.2">
      <c r="A84" s="567" t="s">
        <v>435</v>
      </c>
      <c r="B84" s="568"/>
      <c r="C84" s="568"/>
      <c r="D84" s="568"/>
      <c r="E84" s="569"/>
    </row>
    <row r="85" spans="1:5" x14ac:dyDescent="0.2">
      <c r="A85" s="567" t="s">
        <v>436</v>
      </c>
      <c r="B85" s="568"/>
      <c r="C85" s="568"/>
      <c r="D85" s="568"/>
      <c r="E85" s="569"/>
    </row>
    <row r="86" spans="1:5" x14ac:dyDescent="0.2">
      <c r="A86" s="567" t="s">
        <v>437</v>
      </c>
      <c r="B86" s="568"/>
      <c r="C86" s="568"/>
      <c r="D86" s="568"/>
      <c r="E86" s="569"/>
    </row>
    <row r="87" spans="1:5" s="10" customFormat="1" x14ac:dyDescent="0.2">
      <c r="A87" s="567" t="s">
        <v>438</v>
      </c>
      <c r="B87" s="568"/>
      <c r="C87" s="568"/>
      <c r="D87" s="568"/>
      <c r="E87" s="569"/>
    </row>
    <row r="88" spans="1:5" s="10" customFormat="1" x14ac:dyDescent="0.2">
      <c r="A88" s="567"/>
      <c r="B88" s="568"/>
      <c r="C88" s="568"/>
      <c r="D88" s="568"/>
      <c r="E88" s="569"/>
    </row>
    <row r="89" spans="1:5" x14ac:dyDescent="0.2">
      <c r="A89" s="567"/>
      <c r="B89" s="568"/>
      <c r="C89" s="568"/>
      <c r="D89" s="568"/>
      <c r="E89" s="569"/>
    </row>
    <row r="91" spans="1:5" x14ac:dyDescent="0.2">
      <c r="A91" s="31" t="s">
        <v>439</v>
      </c>
    </row>
    <row r="92" spans="1:5" x14ac:dyDescent="0.2">
      <c r="A92" s="5" t="s">
        <v>440</v>
      </c>
    </row>
    <row r="93" spans="1:5" x14ac:dyDescent="0.2">
      <c r="A93" s="5" t="s">
        <v>441</v>
      </c>
    </row>
    <row r="94" spans="1:5" x14ac:dyDescent="0.2">
      <c r="A94" s="5" t="s">
        <v>442</v>
      </c>
    </row>
    <row r="95" spans="1:5" x14ac:dyDescent="0.2">
      <c r="A95" s="5" t="s">
        <v>443</v>
      </c>
    </row>
  </sheetData>
  <pageMargins left="0.7" right="0.7" top="0.75" bottom="0.75" header="0.3" footer="0.3"/>
  <pageSetup paperSize="0"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39"/>
  <sheetViews>
    <sheetView workbookViewId="0">
      <selection activeCell="B22" sqref="B22"/>
    </sheetView>
  </sheetViews>
  <sheetFormatPr baseColWidth="10" defaultColWidth="8.83203125" defaultRowHeight="15" x14ac:dyDescent="0.2"/>
  <cols>
    <col min="1" max="1" width="43.6640625" style="10" customWidth="1"/>
    <col min="2" max="2" width="10.1640625" style="10" customWidth="1"/>
    <col min="3" max="7" width="0" style="10" hidden="1" customWidth="1"/>
    <col min="8" max="16384" width="8.83203125" style="10"/>
  </cols>
  <sheetData>
    <row r="1" spans="1:12" x14ac:dyDescent="0.2">
      <c r="A1" s="11"/>
      <c r="B1" s="11"/>
      <c r="C1" s="11"/>
      <c r="D1" s="11"/>
      <c r="E1" s="11"/>
      <c r="F1" s="11"/>
      <c r="G1" s="11"/>
      <c r="H1" s="11"/>
      <c r="I1" s="11"/>
      <c r="J1" s="11"/>
      <c r="K1" s="11"/>
      <c r="L1" s="11"/>
    </row>
    <row r="2" spans="1:12" ht="17" x14ac:dyDescent="0.25">
      <c r="A2" s="1378" t="s">
        <v>132</v>
      </c>
      <c r="B2" s="1378"/>
      <c r="C2" s="11"/>
      <c r="D2" s="11"/>
      <c r="E2" s="11"/>
      <c r="F2" s="11"/>
      <c r="G2" s="11"/>
      <c r="H2" s="11"/>
      <c r="I2" s="11"/>
      <c r="J2" s="11"/>
      <c r="K2" s="11"/>
      <c r="L2" s="11"/>
    </row>
    <row r="3" spans="1:12" ht="7.5" customHeight="1" thickBot="1" x14ac:dyDescent="0.25">
      <c r="A3" s="11"/>
      <c r="B3" s="11"/>
      <c r="C3" s="11"/>
      <c r="D3" s="11"/>
      <c r="E3" s="11"/>
      <c r="F3" s="11"/>
      <c r="G3" s="11"/>
      <c r="H3" s="11"/>
      <c r="I3" s="11"/>
      <c r="J3" s="11"/>
      <c r="K3" s="11"/>
      <c r="L3" s="11"/>
    </row>
    <row r="4" spans="1:12" x14ac:dyDescent="0.2">
      <c r="A4" s="33" t="s">
        <v>133</v>
      </c>
      <c r="B4" s="34"/>
      <c r="C4" s="11"/>
      <c r="D4" s="11"/>
      <c r="E4" s="11"/>
      <c r="F4" s="11"/>
      <c r="G4" s="11"/>
      <c r="H4" s="11"/>
      <c r="I4" s="11"/>
      <c r="J4" s="11"/>
      <c r="K4" s="11"/>
      <c r="L4" s="11"/>
    </row>
    <row r="5" spans="1:12" x14ac:dyDescent="0.2">
      <c r="A5" s="35" t="s">
        <v>134</v>
      </c>
      <c r="B5" s="36"/>
      <c r="C5" s="11"/>
      <c r="D5" s="11"/>
      <c r="E5" s="11"/>
      <c r="F5" s="11"/>
      <c r="G5" s="11"/>
      <c r="H5" s="11"/>
      <c r="I5" s="11"/>
      <c r="J5" s="11"/>
      <c r="K5" s="11"/>
      <c r="L5" s="11"/>
    </row>
    <row r="6" spans="1:12" ht="16" thickBot="1" x14ac:dyDescent="0.25">
      <c r="A6" s="37" t="s">
        <v>135</v>
      </c>
      <c r="B6" s="38"/>
      <c r="C6" s="11"/>
      <c r="D6" s="11"/>
      <c r="E6" s="11"/>
      <c r="F6" s="11"/>
      <c r="G6" s="11"/>
      <c r="H6" s="11"/>
      <c r="I6" s="11"/>
      <c r="J6" s="11"/>
      <c r="K6" s="11"/>
      <c r="L6" s="11"/>
    </row>
    <row r="7" spans="1:12" ht="16" thickBot="1" x14ac:dyDescent="0.25">
      <c r="A7" s="24" t="s">
        <v>136</v>
      </c>
      <c r="B7" s="24" t="s">
        <v>62</v>
      </c>
      <c r="C7" s="39">
        <v>35</v>
      </c>
      <c r="D7" s="39">
        <v>25</v>
      </c>
      <c r="E7" s="39">
        <v>22</v>
      </c>
      <c r="F7" s="39">
        <v>20</v>
      </c>
      <c r="G7" s="39">
        <v>18</v>
      </c>
      <c r="H7" s="11"/>
      <c r="I7" s="11"/>
      <c r="J7" s="11"/>
      <c r="K7" s="11"/>
      <c r="L7" s="11"/>
    </row>
    <row r="8" spans="1:12" x14ac:dyDescent="0.2">
      <c r="A8" s="40" t="s">
        <v>137</v>
      </c>
      <c r="B8" s="41">
        <v>7.6499999999999999E-2</v>
      </c>
      <c r="C8" s="42">
        <f>+C7*$B$8</f>
        <v>2.6774999999999998</v>
      </c>
      <c r="D8" s="43">
        <f t="shared" ref="D8:G8" si="0">+D7*$B$8</f>
        <v>1.9124999999999999</v>
      </c>
      <c r="E8" s="43">
        <f t="shared" si="0"/>
        <v>1.6830000000000001</v>
      </c>
      <c r="F8" s="43">
        <f t="shared" si="0"/>
        <v>1.53</v>
      </c>
      <c r="G8" s="43">
        <f t="shared" si="0"/>
        <v>1.377</v>
      </c>
      <c r="H8" s="11"/>
      <c r="I8" s="11"/>
      <c r="J8" s="11"/>
      <c r="K8" s="11"/>
      <c r="L8" s="11"/>
    </row>
    <row r="9" spans="1:12" x14ac:dyDescent="0.2">
      <c r="A9" s="44" t="s">
        <v>138</v>
      </c>
      <c r="B9" s="45">
        <v>5.8599999999999999E-2</v>
      </c>
      <c r="C9" s="46">
        <f>+C7*$B$9</f>
        <v>2.0510000000000002</v>
      </c>
      <c r="D9" s="47">
        <f t="shared" ref="D9:G9" si="1">+D7*$B$9</f>
        <v>1.4650000000000001</v>
      </c>
      <c r="E9" s="47">
        <f t="shared" si="1"/>
        <v>1.2891999999999999</v>
      </c>
      <c r="F9" s="47">
        <f t="shared" si="1"/>
        <v>1.1719999999999999</v>
      </c>
      <c r="G9" s="47">
        <f t="shared" si="1"/>
        <v>1.0548</v>
      </c>
      <c r="H9" s="11"/>
      <c r="I9" s="11"/>
      <c r="J9" s="11"/>
      <c r="K9" s="11"/>
      <c r="L9" s="11"/>
    </row>
    <row r="10" spans="1:12" x14ac:dyDescent="0.2">
      <c r="A10" s="44" t="s">
        <v>139</v>
      </c>
      <c r="B10" s="45">
        <v>0.08</v>
      </c>
      <c r="C10" s="46">
        <f>+C7*$B$10</f>
        <v>2.8000000000000003</v>
      </c>
      <c r="D10" s="47">
        <f t="shared" ref="D10:G10" si="2">+D7*$B$10</f>
        <v>2</v>
      </c>
      <c r="E10" s="47">
        <f t="shared" si="2"/>
        <v>1.76</v>
      </c>
      <c r="F10" s="47">
        <f t="shared" si="2"/>
        <v>1.6</v>
      </c>
      <c r="G10" s="47">
        <f t="shared" si="2"/>
        <v>1.44</v>
      </c>
      <c r="H10" s="11"/>
      <c r="I10" s="11"/>
      <c r="J10" s="11"/>
      <c r="K10" s="11"/>
      <c r="L10" s="11"/>
    </row>
    <row r="11" spans="1:12" x14ac:dyDescent="0.2">
      <c r="A11" s="44" t="s">
        <v>140</v>
      </c>
      <c r="B11" s="45">
        <v>7.1099999999999997E-2</v>
      </c>
      <c r="C11" s="46">
        <f>+C7*$B$11</f>
        <v>2.4884999999999997</v>
      </c>
      <c r="D11" s="47">
        <f t="shared" ref="D11:G11" si="3">+D7*$B$11</f>
        <v>1.7774999999999999</v>
      </c>
      <c r="E11" s="47">
        <f t="shared" si="3"/>
        <v>1.5642</v>
      </c>
      <c r="F11" s="47">
        <f t="shared" si="3"/>
        <v>1.4219999999999999</v>
      </c>
      <c r="G11" s="47">
        <f t="shared" si="3"/>
        <v>1.2797999999999998</v>
      </c>
      <c r="H11" s="11"/>
      <c r="I11" s="11"/>
      <c r="J11" s="11"/>
      <c r="K11" s="11"/>
      <c r="L11" s="11"/>
    </row>
    <row r="12" spans="1:12" x14ac:dyDescent="0.2">
      <c r="A12" s="48" t="s">
        <v>10</v>
      </c>
      <c r="B12" s="45"/>
      <c r="C12" s="46">
        <f>+C7*$B$12</f>
        <v>0</v>
      </c>
      <c r="D12" s="47">
        <f t="shared" ref="D12:G12" si="4">+D7*$B$12</f>
        <v>0</v>
      </c>
      <c r="E12" s="47">
        <f t="shared" si="4"/>
        <v>0</v>
      </c>
      <c r="F12" s="47">
        <f t="shared" si="4"/>
        <v>0</v>
      </c>
      <c r="G12" s="47">
        <f t="shared" si="4"/>
        <v>0</v>
      </c>
      <c r="H12" s="11"/>
      <c r="I12" s="11"/>
      <c r="J12" s="11"/>
      <c r="K12" s="11"/>
      <c r="L12" s="11"/>
    </row>
    <row r="13" spans="1:12" ht="16" thickBot="1" x14ac:dyDescent="0.25">
      <c r="A13" s="49" t="s">
        <v>10</v>
      </c>
      <c r="B13" s="50"/>
      <c r="C13" s="51">
        <f>+C7*$B$13</f>
        <v>0</v>
      </c>
      <c r="D13" s="52">
        <f t="shared" ref="D13:G13" si="5">+D7*$B$13</f>
        <v>0</v>
      </c>
      <c r="E13" s="52">
        <f t="shared" si="5"/>
        <v>0</v>
      </c>
      <c r="F13" s="52">
        <f t="shared" si="5"/>
        <v>0</v>
      </c>
      <c r="G13" s="52">
        <f t="shared" si="5"/>
        <v>0</v>
      </c>
      <c r="H13" s="11"/>
      <c r="I13" s="11"/>
      <c r="J13" s="11"/>
      <c r="K13" s="11"/>
      <c r="L13" s="11"/>
    </row>
    <row r="14" spans="1:12" x14ac:dyDescent="0.2">
      <c r="A14" s="53" t="s">
        <v>141</v>
      </c>
      <c r="B14" s="54">
        <f>SUM(B8:B13)</f>
        <v>0.28620000000000001</v>
      </c>
      <c r="C14" s="55">
        <f>SUM(C8:C13)</f>
        <v>10.017000000000001</v>
      </c>
      <c r="D14" s="55">
        <f t="shared" ref="D14:G14" si="6">SUM(D8:D13)</f>
        <v>7.1549999999999994</v>
      </c>
      <c r="E14" s="55">
        <f t="shared" si="6"/>
        <v>6.2964000000000002</v>
      </c>
      <c r="F14" s="55">
        <f t="shared" si="6"/>
        <v>5.7239999999999993</v>
      </c>
      <c r="G14" s="55">
        <f t="shared" si="6"/>
        <v>5.1516000000000002</v>
      </c>
      <c r="H14" s="11"/>
      <c r="I14" s="11"/>
      <c r="J14" s="11"/>
      <c r="K14" s="11"/>
      <c r="L14" s="11"/>
    </row>
    <row r="15" spans="1:12" x14ac:dyDescent="0.2">
      <c r="A15" s="12"/>
      <c r="B15" s="12"/>
      <c r="C15" s="12"/>
      <c r="D15" s="12"/>
      <c r="E15" s="12"/>
      <c r="F15" s="12"/>
      <c r="G15" s="12"/>
      <c r="H15" s="11"/>
      <c r="I15" s="11"/>
      <c r="J15" s="11"/>
      <c r="K15" s="11"/>
      <c r="L15" s="11"/>
    </row>
    <row r="16" spans="1:12" ht="16" thickBot="1" x14ac:dyDescent="0.25">
      <c r="A16" s="24" t="s">
        <v>108</v>
      </c>
      <c r="B16" s="24" t="s">
        <v>142</v>
      </c>
      <c r="C16" s="56"/>
      <c r="D16" s="56"/>
      <c r="E16" s="56"/>
      <c r="F16" s="56"/>
      <c r="G16" s="56"/>
      <c r="H16" s="11"/>
      <c r="I16" s="11"/>
      <c r="J16" s="11"/>
      <c r="K16" s="11"/>
      <c r="L16" s="11"/>
    </row>
    <row r="17" spans="1:12" x14ac:dyDescent="0.2">
      <c r="A17" s="40" t="s">
        <v>143</v>
      </c>
      <c r="B17" s="57">
        <v>6.24</v>
      </c>
      <c r="C17" s="42">
        <f>+$B17</f>
        <v>6.24</v>
      </c>
      <c r="D17" s="43">
        <f t="shared" ref="D17:G17" si="7">+$B17</f>
        <v>6.24</v>
      </c>
      <c r="E17" s="43">
        <f t="shared" si="7"/>
        <v>6.24</v>
      </c>
      <c r="F17" s="43">
        <f t="shared" si="7"/>
        <v>6.24</v>
      </c>
      <c r="G17" s="43">
        <f t="shared" si="7"/>
        <v>6.24</v>
      </c>
      <c r="H17" s="11"/>
      <c r="I17" s="11"/>
      <c r="J17" s="11"/>
      <c r="K17" s="11"/>
      <c r="L17" s="11"/>
    </row>
    <row r="18" spans="1:12" x14ac:dyDescent="0.2">
      <c r="A18" s="44" t="s">
        <v>144</v>
      </c>
      <c r="B18" s="58">
        <v>2.82</v>
      </c>
      <c r="C18" s="46">
        <f t="shared" ref="C18:G24" si="8">+$B18</f>
        <v>2.82</v>
      </c>
      <c r="D18" s="47">
        <f t="shared" si="8"/>
        <v>2.82</v>
      </c>
      <c r="E18" s="47">
        <f t="shared" si="8"/>
        <v>2.82</v>
      </c>
      <c r="F18" s="47">
        <f t="shared" si="8"/>
        <v>2.82</v>
      </c>
      <c r="G18" s="47">
        <f t="shared" si="8"/>
        <v>2.82</v>
      </c>
      <c r="H18" s="11"/>
      <c r="I18" s="11"/>
      <c r="J18" s="11"/>
      <c r="K18" s="11"/>
      <c r="L18" s="11"/>
    </row>
    <row r="19" spans="1:12" x14ac:dyDescent="0.2">
      <c r="A19" s="44" t="s">
        <v>1118</v>
      </c>
      <c r="B19" s="58">
        <v>0.28000000000000003</v>
      </c>
      <c r="C19" s="46">
        <f t="shared" si="8"/>
        <v>0.28000000000000003</v>
      </c>
      <c r="D19" s="47">
        <f t="shared" si="8"/>
        <v>0.28000000000000003</v>
      </c>
      <c r="E19" s="47">
        <f t="shared" si="8"/>
        <v>0.28000000000000003</v>
      </c>
      <c r="F19" s="47">
        <f t="shared" si="8"/>
        <v>0.28000000000000003</v>
      </c>
      <c r="G19" s="47">
        <f t="shared" si="8"/>
        <v>0.28000000000000003</v>
      </c>
      <c r="H19" s="11"/>
      <c r="I19" s="11"/>
      <c r="J19" s="11"/>
      <c r="K19" s="11"/>
      <c r="L19" s="11"/>
    </row>
    <row r="20" spans="1:12" x14ac:dyDescent="0.2">
      <c r="A20" s="44" t="s">
        <v>82</v>
      </c>
      <c r="B20" s="58">
        <v>0.4</v>
      </c>
      <c r="C20" s="46">
        <f t="shared" si="8"/>
        <v>0.4</v>
      </c>
      <c r="D20" s="47">
        <f t="shared" si="8"/>
        <v>0.4</v>
      </c>
      <c r="E20" s="47">
        <f t="shared" si="8"/>
        <v>0.4</v>
      </c>
      <c r="F20" s="47">
        <f t="shared" si="8"/>
        <v>0.4</v>
      </c>
      <c r="G20" s="47">
        <f t="shared" si="8"/>
        <v>0.4</v>
      </c>
      <c r="H20" s="11"/>
      <c r="I20" s="11"/>
      <c r="J20" s="11"/>
      <c r="K20" s="11"/>
      <c r="L20" s="11"/>
    </row>
    <row r="21" spans="1:12" x14ac:dyDescent="0.2">
      <c r="A21" s="44" t="s">
        <v>145</v>
      </c>
      <c r="B21" s="58">
        <v>0</v>
      </c>
      <c r="C21" s="46">
        <f t="shared" si="8"/>
        <v>0</v>
      </c>
      <c r="D21" s="47">
        <f t="shared" si="8"/>
        <v>0</v>
      </c>
      <c r="E21" s="47">
        <f t="shared" si="8"/>
        <v>0</v>
      </c>
      <c r="F21" s="47">
        <f t="shared" si="8"/>
        <v>0</v>
      </c>
      <c r="G21" s="47">
        <f t="shared" si="8"/>
        <v>0</v>
      </c>
      <c r="H21" s="11"/>
      <c r="I21" s="11"/>
      <c r="J21" s="11"/>
      <c r="K21" s="11"/>
      <c r="L21" s="11"/>
    </row>
    <row r="22" spans="1:12" x14ac:dyDescent="0.2">
      <c r="A22" s="59" t="s">
        <v>1117</v>
      </c>
      <c r="B22" s="58">
        <v>0.79</v>
      </c>
      <c r="C22" s="46">
        <f t="shared" si="8"/>
        <v>0.79</v>
      </c>
      <c r="D22" s="47">
        <f t="shared" si="8"/>
        <v>0.79</v>
      </c>
      <c r="E22" s="47">
        <f t="shared" si="8"/>
        <v>0.79</v>
      </c>
      <c r="F22" s="47">
        <f t="shared" si="8"/>
        <v>0.79</v>
      </c>
      <c r="G22" s="47">
        <f t="shared" si="8"/>
        <v>0.79</v>
      </c>
      <c r="H22" s="11"/>
      <c r="I22" s="11"/>
    </row>
    <row r="23" spans="1:12" x14ac:dyDescent="0.2">
      <c r="A23" s="59" t="s">
        <v>10</v>
      </c>
      <c r="B23" s="58"/>
      <c r="C23" s="46">
        <f t="shared" si="8"/>
        <v>0</v>
      </c>
      <c r="D23" s="47">
        <f t="shared" si="8"/>
        <v>0</v>
      </c>
      <c r="E23" s="47">
        <f t="shared" si="8"/>
        <v>0</v>
      </c>
      <c r="F23" s="47">
        <f t="shared" si="8"/>
        <v>0</v>
      </c>
      <c r="G23" s="47">
        <f t="shared" si="8"/>
        <v>0</v>
      </c>
      <c r="H23" s="11"/>
      <c r="I23" s="11"/>
    </row>
    <row r="24" spans="1:12" ht="16" thickBot="1" x14ac:dyDescent="0.25">
      <c r="A24" s="60" t="s">
        <v>10</v>
      </c>
      <c r="B24" s="61"/>
      <c r="C24" s="51">
        <f t="shared" si="8"/>
        <v>0</v>
      </c>
      <c r="D24" s="52">
        <f t="shared" si="8"/>
        <v>0</v>
      </c>
      <c r="E24" s="52">
        <f t="shared" si="8"/>
        <v>0</v>
      </c>
      <c r="F24" s="52">
        <f t="shared" si="8"/>
        <v>0</v>
      </c>
      <c r="G24" s="52">
        <f t="shared" si="8"/>
        <v>0</v>
      </c>
      <c r="H24" s="11"/>
      <c r="I24" s="11"/>
    </row>
    <row r="25" spans="1:12" x14ac:dyDescent="0.2">
      <c r="A25" s="53" t="s">
        <v>146</v>
      </c>
      <c r="B25" s="62">
        <f>SUM(B17:B24)</f>
        <v>10.530000000000001</v>
      </c>
      <c r="C25" s="55">
        <f>SUM(C17:C24)</f>
        <v>10.530000000000001</v>
      </c>
      <c r="D25" s="55">
        <f t="shared" ref="D25:G25" si="9">SUM(D17:D24)</f>
        <v>10.530000000000001</v>
      </c>
      <c r="E25" s="55">
        <f t="shared" si="9"/>
        <v>10.530000000000001</v>
      </c>
      <c r="F25" s="55">
        <f t="shared" si="9"/>
        <v>10.530000000000001</v>
      </c>
      <c r="G25" s="55">
        <f t="shared" si="9"/>
        <v>10.530000000000001</v>
      </c>
      <c r="H25" s="11"/>
      <c r="I25" s="11"/>
    </row>
    <row r="26" spans="1:12" x14ac:dyDescent="0.2">
      <c r="A26" s="12"/>
      <c r="B26" s="12"/>
      <c r="C26" s="12"/>
      <c r="D26" s="12"/>
      <c r="E26" s="12"/>
      <c r="F26" s="12"/>
      <c r="G26" s="12"/>
      <c r="H26" s="11"/>
      <c r="I26" s="11"/>
    </row>
    <row r="27" spans="1:12" x14ac:dyDescent="0.2">
      <c r="A27" s="12"/>
      <c r="B27" s="12"/>
      <c r="C27" s="12"/>
      <c r="D27" s="12"/>
      <c r="E27" s="12"/>
      <c r="F27" s="12"/>
      <c r="G27" s="12"/>
      <c r="H27" s="11"/>
      <c r="I27" s="11"/>
    </row>
    <row r="28" spans="1:12" x14ac:dyDescent="0.2">
      <c r="A28" s="12"/>
      <c r="B28" s="12"/>
      <c r="C28" s="12"/>
      <c r="D28" s="12"/>
      <c r="E28" s="12"/>
      <c r="F28" s="12"/>
      <c r="G28" s="12"/>
      <c r="H28" s="11"/>
      <c r="I28" s="11"/>
    </row>
    <row r="29" spans="1:12" x14ac:dyDescent="0.2">
      <c r="A29" s="12"/>
      <c r="B29" s="11"/>
      <c r="C29" s="11"/>
      <c r="D29" s="11"/>
      <c r="E29" s="11"/>
      <c r="F29" s="11"/>
      <c r="G29" s="11"/>
      <c r="H29" s="11"/>
      <c r="I29" s="11"/>
    </row>
    <row r="30" spans="1:12" x14ac:dyDescent="0.2">
      <c r="A30" s="12"/>
      <c r="B30" s="11"/>
      <c r="C30" s="11"/>
      <c r="D30" s="11"/>
      <c r="E30" s="11"/>
      <c r="F30" s="11"/>
      <c r="G30" s="11"/>
      <c r="H30" s="11"/>
      <c r="I30" s="11"/>
    </row>
    <row r="31" spans="1:12" x14ac:dyDescent="0.2">
      <c r="A31" s="12"/>
      <c r="B31" s="11"/>
      <c r="C31" s="11"/>
      <c r="D31" s="11"/>
      <c r="E31" s="11"/>
      <c r="F31" s="11"/>
      <c r="G31" s="11"/>
      <c r="H31" s="11"/>
      <c r="I31" s="11"/>
    </row>
    <row r="32" spans="1:12" x14ac:dyDescent="0.2">
      <c r="A32" s="12"/>
      <c r="B32" s="11"/>
      <c r="C32" s="11"/>
      <c r="D32" s="11"/>
      <c r="E32" s="11"/>
      <c r="F32" s="11"/>
      <c r="G32" s="11"/>
      <c r="H32" s="11"/>
      <c r="I32" s="11"/>
    </row>
    <row r="33" spans="1:9" x14ac:dyDescent="0.2">
      <c r="A33" s="12"/>
      <c r="B33" s="11"/>
      <c r="C33" s="11"/>
      <c r="D33" s="11"/>
      <c r="E33" s="11"/>
      <c r="F33" s="11"/>
      <c r="G33" s="11"/>
      <c r="H33" s="11"/>
      <c r="I33" s="11"/>
    </row>
    <row r="34" spans="1:9" x14ac:dyDescent="0.2">
      <c r="A34" s="13"/>
    </row>
    <row r="35" spans="1:9" x14ac:dyDescent="0.2">
      <c r="A35" s="13"/>
    </row>
    <row r="36" spans="1:9" x14ac:dyDescent="0.2">
      <c r="A36" s="13"/>
    </row>
    <row r="37" spans="1:9" x14ac:dyDescent="0.2">
      <c r="A37" s="13"/>
    </row>
    <row r="38" spans="1:9" x14ac:dyDescent="0.2">
      <c r="A38" s="13"/>
    </row>
    <row r="39" spans="1:9" x14ac:dyDescent="0.2">
      <c r="A39" s="13"/>
    </row>
  </sheetData>
  <mergeCells count="1">
    <mergeCell ref="A2:B2"/>
  </mergeCells>
  <pageMargins left="0.7" right="0.7" top="0.75" bottom="0.75" header="0.3" footer="0.3"/>
  <pageSetup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24"/>
  <sheetViews>
    <sheetView workbookViewId="0">
      <selection activeCell="H5" sqref="H5"/>
    </sheetView>
  </sheetViews>
  <sheetFormatPr baseColWidth="10" defaultColWidth="8.83203125" defaultRowHeight="15" x14ac:dyDescent="0.2"/>
  <cols>
    <col min="1" max="1" width="15.6640625" style="10" customWidth="1"/>
    <col min="2" max="16384" width="8.83203125" style="10"/>
  </cols>
  <sheetData>
    <row r="1" spans="1:20" ht="29.25" customHeight="1" x14ac:dyDescent="0.2">
      <c r="A1" s="113" t="s">
        <v>239</v>
      </c>
    </row>
    <row r="2" spans="1:20" ht="77.25" customHeight="1" thickBot="1" x14ac:dyDescent="0.25">
      <c r="A2" s="115"/>
      <c r="B2" s="132" t="s">
        <v>98</v>
      </c>
      <c r="C2" s="132" t="s">
        <v>99</v>
      </c>
      <c r="D2" s="132" t="s">
        <v>100</v>
      </c>
      <c r="E2" s="133" t="s">
        <v>240</v>
      </c>
      <c r="F2" s="133" t="s">
        <v>248</v>
      </c>
      <c r="G2" s="132" t="s">
        <v>30</v>
      </c>
      <c r="H2" s="133" t="s">
        <v>241</v>
      </c>
      <c r="I2" s="132" t="s">
        <v>242</v>
      </c>
      <c r="J2" s="132" t="s">
        <v>10</v>
      </c>
      <c r="K2" s="134" t="s">
        <v>243</v>
      </c>
      <c r="L2" s="114"/>
      <c r="M2" s="114"/>
      <c r="N2" s="114"/>
      <c r="O2" s="114"/>
      <c r="P2" s="114"/>
      <c r="Q2" s="114"/>
      <c r="R2" s="114"/>
      <c r="S2" s="114"/>
      <c r="T2" s="114"/>
    </row>
    <row r="3" spans="1:20" ht="16" thickTop="1" x14ac:dyDescent="0.2">
      <c r="A3" s="116" t="s">
        <v>244</v>
      </c>
      <c r="B3" s="119">
        <v>19.5</v>
      </c>
      <c r="C3" s="119">
        <v>17.55</v>
      </c>
      <c r="D3" s="119">
        <v>13.39</v>
      </c>
      <c r="E3" s="119">
        <v>2</v>
      </c>
      <c r="F3" s="119">
        <v>12</v>
      </c>
      <c r="G3" s="120">
        <v>0.22</v>
      </c>
      <c r="H3" s="119">
        <v>5</v>
      </c>
      <c r="I3" s="119">
        <v>0.4</v>
      </c>
      <c r="J3" s="121"/>
      <c r="K3" s="122">
        <f>SUM(H3:J3)</f>
        <v>5.4</v>
      </c>
      <c r="L3" s="13"/>
      <c r="M3" s="13"/>
      <c r="N3" s="13"/>
      <c r="O3" s="13"/>
      <c r="P3" s="13"/>
      <c r="Q3" s="13"/>
    </row>
    <row r="4" spans="1:20" x14ac:dyDescent="0.2">
      <c r="A4" s="117" t="s">
        <v>245</v>
      </c>
      <c r="B4" s="123">
        <v>30</v>
      </c>
      <c r="C4" s="123">
        <v>23</v>
      </c>
      <c r="D4" s="123">
        <v>19</v>
      </c>
      <c r="E4" s="1379" t="s">
        <v>249</v>
      </c>
      <c r="F4" s="1380"/>
      <c r="G4" s="124">
        <v>0.22</v>
      </c>
      <c r="H4" s="123">
        <v>10.53</v>
      </c>
      <c r="I4" s="123">
        <v>0.4</v>
      </c>
      <c r="J4" s="125"/>
      <c r="K4" s="126">
        <f t="shared" ref="K4:K6" si="0">SUM(H4:J4)</f>
        <v>10.93</v>
      </c>
      <c r="L4" s="13"/>
      <c r="M4" s="13"/>
      <c r="N4" s="13"/>
      <c r="O4" s="13"/>
      <c r="P4" s="13"/>
      <c r="Q4" s="13"/>
    </row>
    <row r="5" spans="1:20" x14ac:dyDescent="0.2">
      <c r="A5" s="117" t="s">
        <v>246</v>
      </c>
      <c r="B5" s="123">
        <v>18.8</v>
      </c>
      <c r="C5" s="123">
        <v>17.8</v>
      </c>
      <c r="D5" s="123">
        <v>16.8</v>
      </c>
      <c r="E5" s="1381"/>
      <c r="F5" s="1382"/>
      <c r="G5" s="124">
        <v>0.25</v>
      </c>
      <c r="H5" s="123">
        <v>5.6</v>
      </c>
      <c r="I5" s="123">
        <v>0.4</v>
      </c>
      <c r="J5" s="125"/>
      <c r="K5" s="126">
        <f t="shared" si="0"/>
        <v>6</v>
      </c>
      <c r="L5" s="13"/>
      <c r="M5" s="13"/>
      <c r="N5" s="13"/>
      <c r="O5" s="13"/>
      <c r="P5" s="13"/>
      <c r="Q5" s="13"/>
    </row>
    <row r="6" spans="1:20" ht="16" thickBot="1" x14ac:dyDescent="0.25">
      <c r="A6" s="118" t="s">
        <v>368</v>
      </c>
      <c r="B6" s="127">
        <v>30.65</v>
      </c>
      <c r="C6" s="127">
        <v>23.61</v>
      </c>
      <c r="D6" s="127">
        <v>17.489999999999998</v>
      </c>
      <c r="E6" s="1383"/>
      <c r="F6" s="1384"/>
      <c r="G6" s="128">
        <v>0.22</v>
      </c>
      <c r="H6" s="127">
        <v>9</v>
      </c>
      <c r="I6" s="129">
        <v>0.4</v>
      </c>
      <c r="J6" s="130"/>
      <c r="K6" s="131">
        <f t="shared" si="0"/>
        <v>9.4</v>
      </c>
      <c r="L6" s="13"/>
      <c r="M6" s="13"/>
      <c r="N6" s="13"/>
      <c r="O6" s="13"/>
      <c r="P6" s="13"/>
      <c r="Q6" s="13"/>
    </row>
    <row r="7" spans="1:20" ht="16" thickTop="1" x14ac:dyDescent="0.2">
      <c r="A7" s="13"/>
      <c r="B7" s="13"/>
      <c r="C7" s="13"/>
      <c r="D7" s="13"/>
      <c r="E7" s="13"/>
      <c r="F7" s="13"/>
      <c r="G7" s="13"/>
      <c r="H7" s="13"/>
      <c r="I7" s="13"/>
      <c r="J7" s="13"/>
      <c r="K7" s="13"/>
      <c r="L7" s="13"/>
      <c r="M7" s="13"/>
      <c r="N7" s="13"/>
      <c r="O7" s="13"/>
      <c r="P7" s="13"/>
      <c r="Q7" s="13"/>
    </row>
    <row r="8" spans="1:20" x14ac:dyDescent="0.2">
      <c r="A8" s="13"/>
      <c r="B8" s="13"/>
      <c r="C8" s="13"/>
      <c r="D8" s="13"/>
      <c r="E8" s="13"/>
      <c r="F8" s="13"/>
      <c r="G8" s="13"/>
      <c r="H8" s="13"/>
      <c r="I8" s="13"/>
      <c r="J8" s="13"/>
      <c r="K8" s="13"/>
      <c r="L8" s="13"/>
      <c r="M8" s="13"/>
      <c r="N8" s="13"/>
      <c r="O8" s="13"/>
      <c r="P8" s="13"/>
      <c r="Q8" s="13"/>
    </row>
    <row r="9" spans="1:20" x14ac:dyDescent="0.2">
      <c r="A9" s="13"/>
      <c r="B9" s="13"/>
      <c r="C9" s="13"/>
      <c r="D9" s="13"/>
      <c r="E9" s="13"/>
      <c r="F9" s="13"/>
      <c r="G9" s="13"/>
      <c r="H9" s="13"/>
      <c r="I9" s="13"/>
      <c r="J9" s="13"/>
      <c r="K9" s="13"/>
      <c r="L9" s="13"/>
      <c r="M9" s="13"/>
      <c r="N9" s="13"/>
      <c r="O9" s="13"/>
      <c r="P9" s="13"/>
      <c r="Q9" s="13"/>
    </row>
    <row r="10" spans="1:20" x14ac:dyDescent="0.2">
      <c r="A10" s="13"/>
      <c r="B10" s="13"/>
      <c r="C10" s="13"/>
      <c r="D10" s="13"/>
      <c r="E10" s="13"/>
      <c r="F10" s="13"/>
      <c r="G10" s="13"/>
      <c r="H10" s="13"/>
      <c r="I10" s="13"/>
      <c r="J10" s="13"/>
      <c r="K10" s="13"/>
      <c r="L10" s="13"/>
      <c r="M10" s="13"/>
      <c r="N10" s="13"/>
      <c r="O10" s="13"/>
      <c r="P10" s="13"/>
      <c r="Q10" s="13"/>
    </row>
    <row r="11" spans="1:20" x14ac:dyDescent="0.2">
      <c r="A11" s="13"/>
      <c r="B11" s="13"/>
      <c r="C11" s="13"/>
      <c r="D11" s="13"/>
      <c r="E11" s="13"/>
      <c r="F11" s="13"/>
      <c r="G11" s="13"/>
      <c r="H11" s="13"/>
      <c r="I11" s="13"/>
      <c r="J11" s="13"/>
      <c r="K11" s="13"/>
      <c r="L11" s="13"/>
      <c r="M11" s="13"/>
      <c r="N11" s="13"/>
      <c r="O11" s="13"/>
      <c r="P11" s="13"/>
      <c r="Q11" s="13"/>
    </row>
    <row r="12" spans="1:20" x14ac:dyDescent="0.2">
      <c r="A12" s="13"/>
      <c r="B12" s="13"/>
      <c r="C12" s="13"/>
      <c r="D12" s="13"/>
      <c r="E12" s="13"/>
      <c r="F12" s="13"/>
      <c r="G12" s="13"/>
      <c r="H12" s="13"/>
      <c r="I12" s="13"/>
      <c r="J12" s="13"/>
      <c r="K12" s="13"/>
      <c r="L12" s="13"/>
      <c r="M12" s="13"/>
      <c r="N12" s="13"/>
      <c r="O12" s="13"/>
      <c r="P12" s="13"/>
      <c r="Q12" s="13"/>
    </row>
    <row r="13" spans="1:20" x14ac:dyDescent="0.2">
      <c r="A13" s="13"/>
      <c r="B13" s="13"/>
      <c r="C13" s="13"/>
      <c r="D13" s="13"/>
      <c r="E13" s="13"/>
      <c r="F13" s="13"/>
      <c r="G13" s="13"/>
      <c r="H13" s="13"/>
      <c r="I13" s="13"/>
      <c r="J13" s="13"/>
      <c r="K13" s="13"/>
      <c r="L13" s="13"/>
      <c r="M13" s="13"/>
      <c r="N13" s="13"/>
      <c r="O13" s="13"/>
      <c r="P13" s="13"/>
      <c r="Q13" s="13"/>
    </row>
    <row r="14" spans="1:20" x14ac:dyDescent="0.2">
      <c r="A14" s="13"/>
      <c r="B14" s="13"/>
      <c r="C14" s="13"/>
      <c r="D14" s="13"/>
      <c r="E14" s="13"/>
      <c r="F14" s="13"/>
      <c r="G14" s="13"/>
      <c r="H14" s="13"/>
      <c r="I14" s="13"/>
      <c r="J14" s="13"/>
      <c r="K14" s="13"/>
      <c r="L14" s="13"/>
      <c r="M14" s="13"/>
      <c r="N14" s="13"/>
      <c r="O14" s="13"/>
      <c r="P14" s="13"/>
      <c r="Q14" s="13"/>
    </row>
    <row r="15" spans="1:20" x14ac:dyDescent="0.2">
      <c r="A15" s="13"/>
      <c r="B15" s="13"/>
      <c r="C15" s="13"/>
      <c r="D15" s="13"/>
      <c r="E15" s="13"/>
      <c r="F15" s="13"/>
      <c r="G15" s="13"/>
      <c r="H15" s="13"/>
      <c r="I15" s="13"/>
      <c r="J15" s="13"/>
      <c r="K15" s="13"/>
      <c r="L15" s="13"/>
      <c r="M15" s="13"/>
      <c r="N15" s="13"/>
      <c r="O15" s="13"/>
      <c r="P15" s="13"/>
      <c r="Q15" s="13"/>
    </row>
    <row r="16" spans="1:20" x14ac:dyDescent="0.2">
      <c r="A16" s="13"/>
      <c r="B16" s="13"/>
      <c r="C16" s="13"/>
      <c r="D16" s="13"/>
      <c r="E16" s="13"/>
      <c r="F16" s="13"/>
      <c r="G16" s="13"/>
      <c r="H16" s="13"/>
      <c r="I16" s="13"/>
      <c r="J16" s="13"/>
      <c r="K16" s="13"/>
      <c r="L16" s="13"/>
      <c r="M16" s="13"/>
      <c r="N16" s="13"/>
      <c r="O16" s="13"/>
      <c r="P16" s="13"/>
      <c r="Q16" s="13"/>
    </row>
    <row r="17" spans="1:17" x14ac:dyDescent="0.2">
      <c r="A17" s="13"/>
      <c r="B17" s="13"/>
      <c r="C17" s="13"/>
      <c r="D17" s="13"/>
      <c r="E17" s="13"/>
      <c r="F17" s="13"/>
      <c r="G17" s="13"/>
      <c r="H17" s="13"/>
      <c r="I17" s="13"/>
      <c r="J17" s="13"/>
      <c r="K17" s="13"/>
      <c r="L17" s="13"/>
      <c r="M17" s="13"/>
      <c r="N17" s="13"/>
      <c r="O17" s="13"/>
      <c r="P17" s="13"/>
      <c r="Q17" s="13"/>
    </row>
    <row r="18" spans="1:17" x14ac:dyDescent="0.2">
      <c r="A18" s="13"/>
      <c r="B18" s="13"/>
      <c r="C18" s="13"/>
      <c r="D18" s="13"/>
      <c r="E18" s="13"/>
      <c r="F18" s="13"/>
      <c r="G18" s="13"/>
      <c r="H18" s="13"/>
      <c r="I18" s="13"/>
      <c r="J18" s="13"/>
      <c r="K18" s="13"/>
      <c r="L18" s="13"/>
      <c r="M18" s="13"/>
      <c r="N18" s="13"/>
      <c r="O18" s="13"/>
      <c r="P18" s="13"/>
      <c r="Q18" s="13"/>
    </row>
    <row r="19" spans="1:17" x14ac:dyDescent="0.2">
      <c r="A19" s="13"/>
      <c r="B19" s="13"/>
      <c r="C19" s="13"/>
      <c r="D19" s="13"/>
      <c r="E19" s="13"/>
      <c r="F19" s="13"/>
      <c r="G19" s="13"/>
      <c r="H19" s="13"/>
      <c r="I19" s="13"/>
      <c r="J19" s="13"/>
      <c r="K19" s="13"/>
      <c r="L19" s="13"/>
      <c r="M19" s="13"/>
      <c r="N19" s="13"/>
      <c r="O19" s="13"/>
      <c r="P19" s="13"/>
      <c r="Q19" s="13"/>
    </row>
    <row r="20" spans="1:17" x14ac:dyDescent="0.2">
      <c r="A20" s="13"/>
      <c r="B20" s="13"/>
      <c r="C20" s="13"/>
      <c r="D20" s="13"/>
      <c r="E20" s="13"/>
      <c r="F20" s="13"/>
      <c r="G20" s="13"/>
      <c r="H20" s="13"/>
      <c r="I20" s="13"/>
      <c r="J20" s="13"/>
      <c r="K20" s="13"/>
      <c r="L20" s="13"/>
      <c r="M20" s="13"/>
      <c r="N20" s="13"/>
      <c r="O20" s="13"/>
      <c r="P20" s="13"/>
      <c r="Q20" s="13"/>
    </row>
    <row r="21" spans="1:17" x14ac:dyDescent="0.2">
      <c r="A21" s="13"/>
      <c r="B21" s="13"/>
      <c r="C21" s="13"/>
      <c r="D21" s="13"/>
      <c r="E21" s="13"/>
      <c r="F21" s="13"/>
      <c r="G21" s="13"/>
      <c r="H21" s="13"/>
      <c r="I21" s="13"/>
      <c r="J21" s="13"/>
      <c r="K21" s="13"/>
      <c r="L21" s="13"/>
      <c r="M21" s="13"/>
      <c r="N21" s="13"/>
      <c r="O21" s="13"/>
      <c r="P21" s="13"/>
      <c r="Q21" s="13"/>
    </row>
    <row r="22" spans="1:17" x14ac:dyDescent="0.2">
      <c r="A22" s="13"/>
      <c r="B22" s="13"/>
      <c r="C22" s="13"/>
      <c r="D22" s="13"/>
      <c r="E22" s="13"/>
      <c r="F22" s="13"/>
      <c r="G22" s="13"/>
      <c r="H22" s="13"/>
      <c r="I22" s="13"/>
      <c r="J22" s="13"/>
      <c r="K22" s="13"/>
      <c r="L22" s="13"/>
      <c r="M22" s="13"/>
      <c r="N22" s="13"/>
      <c r="O22" s="13"/>
      <c r="P22" s="13"/>
      <c r="Q22" s="13"/>
    </row>
    <row r="23" spans="1:17" x14ac:dyDescent="0.2">
      <c r="A23" s="13"/>
      <c r="B23" s="13"/>
      <c r="C23" s="13"/>
      <c r="D23" s="13"/>
      <c r="E23" s="13"/>
      <c r="F23" s="13"/>
      <c r="G23" s="13"/>
      <c r="H23" s="13"/>
      <c r="I23" s="13"/>
      <c r="J23" s="13"/>
      <c r="K23" s="13"/>
      <c r="L23" s="13"/>
      <c r="M23" s="13"/>
      <c r="N23" s="13"/>
      <c r="O23" s="13"/>
      <c r="P23" s="13"/>
      <c r="Q23" s="13"/>
    </row>
    <row r="24" spans="1:17" x14ac:dyDescent="0.2">
      <c r="A24" s="13"/>
      <c r="B24" s="13"/>
      <c r="C24" s="13"/>
      <c r="D24" s="13"/>
      <c r="E24" s="13"/>
      <c r="F24" s="13"/>
      <c r="G24" s="13"/>
      <c r="H24" s="13"/>
      <c r="I24" s="13"/>
      <c r="J24" s="13"/>
      <c r="K24" s="13"/>
      <c r="L24" s="13"/>
      <c r="M24" s="13"/>
      <c r="N24" s="13"/>
      <c r="O24" s="13"/>
      <c r="P24" s="13"/>
      <c r="Q24" s="13"/>
    </row>
  </sheetData>
  <mergeCells count="1">
    <mergeCell ref="E4:F6"/>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J43"/>
  <sheetViews>
    <sheetView topLeftCell="A22" zoomScale="125" zoomScaleNormal="125" zoomScalePageLayoutView="125" workbookViewId="0">
      <selection activeCell="E31" sqref="E31"/>
    </sheetView>
  </sheetViews>
  <sheetFormatPr baseColWidth="10" defaultColWidth="8.83203125" defaultRowHeight="15" x14ac:dyDescent="0.2"/>
  <cols>
    <col min="1" max="1" width="22" style="847" customWidth="1"/>
    <col min="2" max="16384" width="8.83203125" style="847"/>
  </cols>
  <sheetData>
    <row r="3" spans="1:10" ht="26" x14ac:dyDescent="0.4">
      <c r="A3" s="1386" t="s">
        <v>103</v>
      </c>
      <c r="B3" s="1386"/>
      <c r="C3" s="1386"/>
      <c r="D3" s="1386"/>
    </row>
    <row r="5" spans="1:10" ht="16" x14ac:dyDescent="0.2">
      <c r="A5" s="848" t="s">
        <v>104</v>
      </c>
      <c r="B5" s="849"/>
      <c r="C5" s="849"/>
      <c r="D5" s="849"/>
      <c r="E5" s="850" t="s">
        <v>105</v>
      </c>
    </row>
    <row r="6" spans="1:10" ht="31.5" customHeight="1" thickBot="1" x14ac:dyDescent="0.25">
      <c r="A6" s="851" t="s">
        <v>106</v>
      </c>
      <c r="B6" s="852" t="s">
        <v>107</v>
      </c>
      <c r="C6" s="852" t="s">
        <v>30</v>
      </c>
      <c r="D6" s="852" t="s">
        <v>108</v>
      </c>
      <c r="E6" s="852" t="s">
        <v>109</v>
      </c>
      <c r="F6" s="853"/>
      <c r="G6" s="853"/>
    </row>
    <row r="7" spans="1:10" x14ac:dyDescent="0.2">
      <c r="A7" s="854" t="s">
        <v>96</v>
      </c>
      <c r="B7" s="855">
        <f>+'Crew Builder'!D6</f>
        <v>44</v>
      </c>
      <c r="C7" s="856">
        <f>+B7*'Crew Builder'!$B$20</f>
        <v>9.68</v>
      </c>
      <c r="D7" s="857">
        <f>+'Crew Builder'!$B$21</f>
        <v>10.93</v>
      </c>
      <c r="E7" s="858">
        <f>+B7+C7+D7</f>
        <v>64.61</v>
      </c>
      <c r="F7" s="859"/>
      <c r="G7" s="860"/>
      <c r="H7" s="847" t="s">
        <v>110</v>
      </c>
    </row>
    <row r="8" spans="1:10" x14ac:dyDescent="0.2">
      <c r="A8" s="861" t="s">
        <v>97</v>
      </c>
      <c r="B8" s="862">
        <f>+'Crew Builder'!D7</f>
        <v>32</v>
      </c>
      <c r="C8" s="863">
        <f>+B8*'Crew Builder'!$B$20</f>
        <v>7.04</v>
      </c>
      <c r="D8" s="864">
        <f>+'Crew Builder'!$B$21</f>
        <v>10.93</v>
      </c>
      <c r="E8" s="865">
        <f t="shared" ref="E8:E11" si="0">+B8+C8+D8</f>
        <v>49.97</v>
      </c>
      <c r="F8" s="859"/>
      <c r="G8" s="866"/>
      <c r="H8" s="847" t="s">
        <v>111</v>
      </c>
    </row>
    <row r="9" spans="1:10" x14ac:dyDescent="0.2">
      <c r="A9" s="861" t="s">
        <v>98</v>
      </c>
      <c r="B9" s="862">
        <f>+'Crew Builder'!D8</f>
        <v>30</v>
      </c>
      <c r="C9" s="863">
        <f>+B9*'Crew Builder'!$B$20</f>
        <v>6.6</v>
      </c>
      <c r="D9" s="864">
        <f>+'Crew Builder'!$B$21</f>
        <v>10.93</v>
      </c>
      <c r="E9" s="865">
        <f t="shared" si="0"/>
        <v>47.53</v>
      </c>
      <c r="F9" s="859"/>
      <c r="G9" s="867"/>
      <c r="H9" s="847" t="s">
        <v>112</v>
      </c>
    </row>
    <row r="10" spans="1:10" x14ac:dyDescent="0.2">
      <c r="A10" s="868" t="s">
        <v>99</v>
      </c>
      <c r="B10" s="862">
        <f>+'Crew Builder'!D9</f>
        <v>23</v>
      </c>
      <c r="C10" s="863">
        <f>+B10*'Crew Builder'!$B$20</f>
        <v>5.0599999999999996</v>
      </c>
      <c r="D10" s="864">
        <f>+'Crew Builder'!$B$21</f>
        <v>10.93</v>
      </c>
      <c r="E10" s="865">
        <f t="shared" si="0"/>
        <v>38.989999999999995</v>
      </c>
      <c r="F10" s="859"/>
      <c r="G10" s="869"/>
      <c r="H10" s="847" t="s">
        <v>113</v>
      </c>
      <c r="J10" s="870"/>
    </row>
    <row r="11" spans="1:10" ht="16" thickBot="1" x14ac:dyDescent="0.25">
      <c r="A11" s="871" t="s">
        <v>100</v>
      </c>
      <c r="B11" s="872">
        <f>+'Crew Builder'!D10</f>
        <v>19</v>
      </c>
      <c r="C11" s="873">
        <f>+B11*'Crew Builder'!$B$20</f>
        <v>4.18</v>
      </c>
      <c r="D11" s="874">
        <f>+'Crew Builder'!$B$21</f>
        <v>10.93</v>
      </c>
      <c r="E11" s="875">
        <f t="shared" si="0"/>
        <v>34.11</v>
      </c>
      <c r="F11" s="859"/>
      <c r="G11" s="859"/>
    </row>
    <row r="12" spans="1:10" x14ac:dyDescent="0.2">
      <c r="A12" s="876"/>
      <c r="B12" s="877"/>
      <c r="C12" s="877"/>
      <c r="D12" s="877"/>
      <c r="E12" s="877"/>
      <c r="F12" s="859"/>
      <c r="G12" s="859"/>
    </row>
    <row r="13" spans="1:10" ht="16" x14ac:dyDescent="0.2">
      <c r="A13" s="878" t="s">
        <v>114</v>
      </c>
      <c r="B13" s="879"/>
      <c r="C13" s="879"/>
      <c r="D13" s="879"/>
      <c r="E13" s="880" t="s">
        <v>115</v>
      </c>
      <c r="F13" s="859"/>
      <c r="G13" s="859"/>
    </row>
    <row r="14" spans="1:10" ht="30.75" customHeight="1" thickBot="1" x14ac:dyDescent="0.25">
      <c r="A14" s="851" t="s">
        <v>106</v>
      </c>
      <c r="B14" s="852" t="s">
        <v>116</v>
      </c>
      <c r="C14" s="852" t="s">
        <v>30</v>
      </c>
      <c r="D14" s="852" t="s">
        <v>108</v>
      </c>
      <c r="E14" s="852" t="s">
        <v>109</v>
      </c>
      <c r="F14" s="859"/>
      <c r="G14" s="859"/>
    </row>
    <row r="15" spans="1:10" x14ac:dyDescent="0.2">
      <c r="A15" s="854" t="s">
        <v>96</v>
      </c>
      <c r="B15" s="881">
        <f>+B7*1.5</f>
        <v>66</v>
      </c>
      <c r="C15" s="856">
        <f>+B15*'Crew Builder'!$B$20</f>
        <v>14.52</v>
      </c>
      <c r="D15" s="857">
        <f>+'Crew Builder'!$B$21</f>
        <v>10.93</v>
      </c>
      <c r="E15" s="882">
        <f>+B15+C15+D15</f>
        <v>91.449999999999989</v>
      </c>
      <c r="F15" s="859"/>
      <c r="G15" s="859"/>
    </row>
    <row r="16" spans="1:10" x14ac:dyDescent="0.2">
      <c r="A16" s="861" t="s">
        <v>97</v>
      </c>
      <c r="B16" s="883">
        <f t="shared" ref="B16:B19" si="1">+B8*1.5</f>
        <v>48</v>
      </c>
      <c r="C16" s="863">
        <f>+B16*'Crew Builder'!$B$20</f>
        <v>10.56</v>
      </c>
      <c r="D16" s="864">
        <f>+'Crew Builder'!$B$21</f>
        <v>10.93</v>
      </c>
      <c r="E16" s="884">
        <f t="shared" ref="E16:E19" si="2">+B16+C16+D16</f>
        <v>69.490000000000009</v>
      </c>
      <c r="F16" s="859"/>
      <c r="G16" s="859"/>
    </row>
    <row r="17" spans="1:10" x14ac:dyDescent="0.2">
      <c r="A17" s="861" t="s">
        <v>98</v>
      </c>
      <c r="B17" s="883">
        <f t="shared" si="1"/>
        <v>45</v>
      </c>
      <c r="C17" s="863">
        <f>+B17*'Crew Builder'!$B$20</f>
        <v>9.9</v>
      </c>
      <c r="D17" s="864">
        <f>+'Crew Builder'!$B$21</f>
        <v>10.93</v>
      </c>
      <c r="E17" s="884">
        <f t="shared" si="2"/>
        <v>65.83</v>
      </c>
      <c r="F17" s="859"/>
      <c r="G17" s="859"/>
      <c r="I17" s="885"/>
    </row>
    <row r="18" spans="1:10" x14ac:dyDescent="0.2">
      <c r="A18" s="868" t="s">
        <v>99</v>
      </c>
      <c r="B18" s="883">
        <f t="shared" si="1"/>
        <v>34.5</v>
      </c>
      <c r="C18" s="863">
        <f>+B18*'Crew Builder'!$B$20</f>
        <v>7.59</v>
      </c>
      <c r="D18" s="864">
        <f>+'Crew Builder'!$B$21</f>
        <v>10.93</v>
      </c>
      <c r="E18" s="884">
        <f t="shared" si="2"/>
        <v>53.02</v>
      </c>
      <c r="F18" s="859"/>
      <c r="G18" s="859"/>
    </row>
    <row r="19" spans="1:10" ht="16" thickBot="1" x14ac:dyDescent="0.25">
      <c r="A19" s="868" t="s">
        <v>100</v>
      </c>
      <c r="B19" s="886">
        <f t="shared" si="1"/>
        <v>28.5</v>
      </c>
      <c r="C19" s="873">
        <f>+B19*'Crew Builder'!$B$20</f>
        <v>6.2700000000000005</v>
      </c>
      <c r="D19" s="874">
        <f>+'Crew Builder'!$B$21</f>
        <v>10.93</v>
      </c>
      <c r="E19" s="887">
        <f t="shared" si="2"/>
        <v>45.7</v>
      </c>
      <c r="F19" s="859"/>
      <c r="G19" s="859"/>
    </row>
    <row r="20" spans="1:10" x14ac:dyDescent="0.2">
      <c r="A20" s="888"/>
      <c r="B20" s="877"/>
      <c r="C20" s="877"/>
      <c r="D20" s="877"/>
      <c r="E20" s="877"/>
      <c r="F20" s="859"/>
      <c r="G20" s="859"/>
    </row>
    <row r="21" spans="1:10" ht="24.75" customHeight="1" thickBot="1" x14ac:dyDescent="0.25">
      <c r="A21" s="1387" t="s">
        <v>117</v>
      </c>
      <c r="B21" s="1387"/>
      <c r="C21" s="1387"/>
      <c r="D21" s="1387"/>
      <c r="E21" s="1387"/>
      <c r="F21" s="1387"/>
      <c r="G21" s="1387"/>
    </row>
    <row r="22" spans="1:10" x14ac:dyDescent="0.2">
      <c r="A22" s="889"/>
      <c r="B22" s="890" t="s">
        <v>62</v>
      </c>
      <c r="C22" s="890" t="s">
        <v>85</v>
      </c>
      <c r="D22" s="891"/>
      <c r="E22" s="892" t="s">
        <v>118</v>
      </c>
      <c r="F22" s="893" t="s">
        <v>119</v>
      </c>
      <c r="G22" s="894" t="s">
        <v>120</v>
      </c>
      <c r="I22" s="895"/>
      <c r="J22" s="847" t="s">
        <v>121</v>
      </c>
    </row>
    <row r="23" spans="1:10" x14ac:dyDescent="0.2">
      <c r="A23" s="896" t="s">
        <v>106</v>
      </c>
      <c r="B23" s="897" t="s">
        <v>122</v>
      </c>
      <c r="C23" s="898" t="s">
        <v>123</v>
      </c>
      <c r="D23" s="899"/>
      <c r="E23" s="900" t="s">
        <v>124</v>
      </c>
      <c r="F23" s="900" t="s">
        <v>124</v>
      </c>
      <c r="G23" s="901" t="s">
        <v>124</v>
      </c>
    </row>
    <row r="24" spans="1:10" x14ac:dyDescent="0.2">
      <c r="A24" s="902" t="s">
        <v>96</v>
      </c>
      <c r="B24" s="903">
        <f>+'Crew Builder'!C6</f>
        <v>0.1</v>
      </c>
      <c r="C24" s="904">
        <f>+'Crew Builder'!B6</f>
        <v>1</v>
      </c>
      <c r="D24" s="905"/>
      <c r="E24" s="906">
        <f>(+C24*E7)*B24</f>
        <v>6.4610000000000003</v>
      </c>
      <c r="F24" s="907">
        <f>+((((E7*40)+(E15*10))*C24)*B24)/50</f>
        <v>6.9978000000000007</v>
      </c>
      <c r="G24" s="908">
        <f>+((((E7*40)+(E15*20))*C24)*B24)/60</f>
        <v>7.3556666666666661</v>
      </c>
      <c r="I24" s="909"/>
      <c r="J24" s="847" t="s">
        <v>125</v>
      </c>
    </row>
    <row r="25" spans="1:10" x14ac:dyDescent="0.2">
      <c r="A25" s="902" t="s">
        <v>97</v>
      </c>
      <c r="B25" s="903">
        <f>+'Crew Builder'!C7</f>
        <v>1</v>
      </c>
      <c r="C25" s="904">
        <f>+'Crew Builder'!B7</f>
        <v>1</v>
      </c>
      <c r="D25" s="905"/>
      <c r="E25" s="906">
        <f>(+C25*E8)*B25</f>
        <v>49.97</v>
      </c>
      <c r="F25" s="907">
        <f>+((((E8*40)+(E16*10))*C25)*B25)/50</f>
        <v>53.873999999999995</v>
      </c>
      <c r="G25" s="908">
        <f>+((((E8*40)+(E16*20))*C25)*B25)/60</f>
        <v>56.476666666666674</v>
      </c>
      <c r="I25" s="910"/>
      <c r="J25" s="847" t="s">
        <v>126</v>
      </c>
    </row>
    <row r="26" spans="1:10" x14ac:dyDescent="0.2">
      <c r="A26" s="902" t="s">
        <v>98</v>
      </c>
      <c r="B26" s="903">
        <f>+'Crew Builder'!C8</f>
        <v>1</v>
      </c>
      <c r="C26" s="904">
        <f>+'Crew Builder'!B8</f>
        <v>1</v>
      </c>
      <c r="D26" s="905"/>
      <c r="E26" s="906">
        <f>(+C26*E9)*B26</f>
        <v>47.53</v>
      </c>
      <c r="F26" s="907">
        <f>+((((E9*40)+(E17*10))*C26)*B26)/50</f>
        <v>51.19</v>
      </c>
      <c r="G26" s="908">
        <f>+((((E9*40)+(E17*20))*C26)*B26)/60</f>
        <v>53.63</v>
      </c>
      <c r="I26" s="911"/>
      <c r="J26" s="847" t="s">
        <v>127</v>
      </c>
    </row>
    <row r="27" spans="1:10" x14ac:dyDescent="0.2">
      <c r="A27" s="902" t="s">
        <v>99</v>
      </c>
      <c r="B27" s="903">
        <f>+'Crew Builder'!C9</f>
        <v>1</v>
      </c>
      <c r="C27" s="904">
        <f>+'Crew Builder'!B9</f>
        <v>3</v>
      </c>
      <c r="D27" s="905"/>
      <c r="E27" s="906">
        <f>(+C27*E10)*B27</f>
        <v>116.96999999999998</v>
      </c>
      <c r="F27" s="907">
        <f>+((((E10*40)+(E18*10))*C27)*B27)/50</f>
        <v>125.38800000000001</v>
      </c>
      <c r="G27" s="908">
        <f>+((((E10*40)+(E18*20))*C27)*B27)/60</f>
        <v>131</v>
      </c>
      <c r="I27" s="912"/>
      <c r="J27" s="847" t="s">
        <v>128</v>
      </c>
    </row>
    <row r="28" spans="1:10" x14ac:dyDescent="0.2">
      <c r="A28" s="902" t="s">
        <v>100</v>
      </c>
      <c r="B28" s="903">
        <f>+'Crew Builder'!C10</f>
        <v>1</v>
      </c>
      <c r="C28" s="904">
        <f>+'Crew Builder'!B10</f>
        <v>1</v>
      </c>
      <c r="D28" s="905"/>
      <c r="E28" s="906">
        <f>(+C28*E11)*B28</f>
        <v>34.11</v>
      </c>
      <c r="F28" s="907">
        <f>+((((E11*40)+(E19*10))*C28)*B28)/50</f>
        <v>36.428000000000004</v>
      </c>
      <c r="G28" s="908">
        <f>+((((E11*40)+(E19*20))*C28)*B28)/60</f>
        <v>37.973333333333336</v>
      </c>
    </row>
    <row r="29" spans="1:10" ht="16" thickBot="1" x14ac:dyDescent="0.25">
      <c r="A29" s="913" t="s">
        <v>101</v>
      </c>
      <c r="B29" s="914"/>
      <c r="C29" s="915">
        <f>(B24*C24)+(B25*C25)+(B26*C26)+(B27*C27)+(B28*C28)</f>
        <v>6.1</v>
      </c>
      <c r="D29" s="916"/>
      <c r="E29" s="917">
        <f>SUM(E24:E28)</f>
        <v>255.041</v>
      </c>
      <c r="F29" s="917">
        <f>SUM(F24:F28)</f>
        <v>273.87779999999998</v>
      </c>
      <c r="G29" s="917">
        <f>SUM(G24:G28)</f>
        <v>286.43566666666669</v>
      </c>
    </row>
    <row r="30" spans="1:10" x14ac:dyDescent="0.2">
      <c r="A30" s="1388" t="s">
        <v>129</v>
      </c>
      <c r="B30" s="1388"/>
      <c r="C30" s="1388"/>
      <c r="D30" s="918"/>
      <c r="E30" s="919">
        <f>IF($C$29=0,0,E29/$C$29)</f>
        <v>41.81</v>
      </c>
      <c r="F30" s="919">
        <f t="shared" ref="F30:G30" si="3">IF($C$29=0,0,F29/$C$29)</f>
        <v>44.897999999999996</v>
      </c>
      <c r="G30" s="919">
        <f t="shared" si="3"/>
        <v>46.956666666666671</v>
      </c>
    </row>
    <row r="31" spans="1:10" x14ac:dyDescent="0.2">
      <c r="A31" s="1385" t="s">
        <v>228</v>
      </c>
      <c r="B31" s="1385"/>
      <c r="C31" s="1385"/>
      <c r="D31" s="920"/>
      <c r="E31" s="921">
        <f>+E30/(1-'OH&amp;P'!$B$5)</f>
        <v>58.06944444444445</v>
      </c>
      <c r="F31" s="921">
        <f>+F30/(1-'OH&amp;P'!$B$5)</f>
        <v>62.358333333333327</v>
      </c>
      <c r="G31" s="921">
        <f>+G30/(1-'OH&amp;P'!$B$5)</f>
        <v>65.217592592592595</v>
      </c>
    </row>
    <row r="33" spans="1:7" ht="20" thickBot="1" x14ac:dyDescent="0.25">
      <c r="A33" s="1387" t="s">
        <v>130</v>
      </c>
      <c r="B33" s="1387"/>
      <c r="C33" s="1387"/>
      <c r="D33" s="1387"/>
      <c r="E33" s="1387"/>
      <c r="F33" s="1387"/>
      <c r="G33" s="1387"/>
    </row>
    <row r="34" spans="1:7" x14ac:dyDescent="0.2">
      <c r="A34" s="889"/>
      <c r="B34" s="890" t="s">
        <v>62</v>
      </c>
      <c r="C34" s="890" t="s">
        <v>85</v>
      </c>
      <c r="D34" s="891"/>
      <c r="E34" s="892" t="s">
        <v>118</v>
      </c>
      <c r="F34" s="893" t="s">
        <v>119</v>
      </c>
      <c r="G34" s="894" t="s">
        <v>120</v>
      </c>
    </row>
    <row r="35" spans="1:7" x14ac:dyDescent="0.2">
      <c r="A35" s="896" t="s">
        <v>106</v>
      </c>
      <c r="B35" s="897" t="s">
        <v>122</v>
      </c>
      <c r="C35" s="898" t="s">
        <v>123</v>
      </c>
      <c r="D35" s="899"/>
      <c r="E35" s="900" t="s">
        <v>124</v>
      </c>
      <c r="F35" s="900" t="s">
        <v>124</v>
      </c>
      <c r="G35" s="901" t="s">
        <v>124</v>
      </c>
    </row>
    <row r="36" spans="1:7" x14ac:dyDescent="0.2">
      <c r="A36" s="902" t="s">
        <v>96</v>
      </c>
      <c r="B36" s="903">
        <f>+'Crew Builder'!C14</f>
        <v>0.5</v>
      </c>
      <c r="C36" s="904">
        <f>+'Crew Builder'!B14</f>
        <v>1</v>
      </c>
      <c r="D36" s="905"/>
      <c r="E36" s="922">
        <f>(+C36*E7)*B36</f>
        <v>32.305</v>
      </c>
      <c r="F36" s="907">
        <f>+((((E7*40)+(E15*10))*C36)*B36)/50</f>
        <v>34.989000000000004</v>
      </c>
      <c r="G36" s="908">
        <f>+((((E7*40)+(E15*20))*C36)*B36)/60</f>
        <v>36.778333333333329</v>
      </c>
    </row>
    <row r="37" spans="1:7" x14ac:dyDescent="0.2">
      <c r="A37" s="902" t="s">
        <v>97</v>
      </c>
      <c r="B37" s="903">
        <f>+'Crew Builder'!C15</f>
        <v>0.5</v>
      </c>
      <c r="C37" s="904">
        <f>+'Crew Builder'!B15</f>
        <v>1</v>
      </c>
      <c r="D37" s="905"/>
      <c r="E37" s="922">
        <f>(+C37*E8)*B37</f>
        <v>24.984999999999999</v>
      </c>
      <c r="F37" s="907">
        <f>+((((E8*40)+(E16*10))*C37)*B37)/50</f>
        <v>26.936999999999998</v>
      </c>
      <c r="G37" s="908">
        <f>+((((E8*40)+(E16*20))*C37)*B37)/60</f>
        <v>28.238333333333337</v>
      </c>
    </row>
    <row r="38" spans="1:7" x14ac:dyDescent="0.2">
      <c r="A38" s="902" t="s">
        <v>98</v>
      </c>
      <c r="B38" s="903">
        <f>+'Crew Builder'!C16</f>
        <v>1</v>
      </c>
      <c r="C38" s="904">
        <f>+'Crew Builder'!B16</f>
        <v>1</v>
      </c>
      <c r="D38" s="905"/>
      <c r="E38" s="922">
        <f>(+C38*E9)*B38</f>
        <v>47.53</v>
      </c>
      <c r="F38" s="907">
        <f>+((((E9*40)+(E17*10))*C38)*B38)/50</f>
        <v>51.19</v>
      </c>
      <c r="G38" s="908">
        <f>+((((E9*40)+(E17*20))*C38)*B38)/60</f>
        <v>53.63</v>
      </c>
    </row>
    <row r="39" spans="1:7" x14ac:dyDescent="0.2">
      <c r="A39" s="902" t="s">
        <v>99</v>
      </c>
      <c r="B39" s="903">
        <f>+'Crew Builder'!C17</f>
        <v>1</v>
      </c>
      <c r="C39" s="904">
        <f>+'Crew Builder'!B17</f>
        <v>1</v>
      </c>
      <c r="D39" s="905"/>
      <c r="E39" s="922">
        <f>(+C39*E10)*B39</f>
        <v>38.989999999999995</v>
      </c>
      <c r="F39" s="907">
        <f>+((((E10*40)+(E18*10))*C39)*B39)/50</f>
        <v>41.796000000000006</v>
      </c>
      <c r="G39" s="908">
        <f>+((((E10*40)+(E18*20))*C39)*B39)/60</f>
        <v>43.666666666666664</v>
      </c>
    </row>
    <row r="40" spans="1:7" x14ac:dyDescent="0.2">
      <c r="A40" s="902" t="s">
        <v>100</v>
      </c>
      <c r="B40" s="903">
        <f>+'Crew Builder'!C18</f>
        <v>1</v>
      </c>
      <c r="C40" s="904">
        <f>+'Crew Builder'!B18</f>
        <v>0</v>
      </c>
      <c r="D40" s="905"/>
      <c r="E40" s="922">
        <f>(+C40*E11)*B40</f>
        <v>0</v>
      </c>
      <c r="F40" s="907">
        <f>+((((E11*40)+(E19*10))*C40)*B40)/50</f>
        <v>0</v>
      </c>
      <c r="G40" s="908">
        <f>+((((E11*40)+(E19*20))*C40)*B40)/60</f>
        <v>0</v>
      </c>
    </row>
    <row r="41" spans="1:7" ht="16" thickBot="1" x14ac:dyDescent="0.25">
      <c r="A41" s="913" t="s">
        <v>101</v>
      </c>
      <c r="B41" s="914"/>
      <c r="C41" s="915">
        <f>(B36*C36)+(B37*C37)+(B38*C38)+(B39*C39)+(B40*C40)</f>
        <v>3</v>
      </c>
      <c r="D41" s="916"/>
      <c r="E41" s="917">
        <f>SUM(E36:E40)</f>
        <v>143.81</v>
      </c>
      <c r="F41" s="917">
        <f>SUM(F36:F40)</f>
        <v>154.91200000000001</v>
      </c>
      <c r="G41" s="917">
        <f>SUM(G36:G40)</f>
        <v>162.31333333333333</v>
      </c>
    </row>
    <row r="42" spans="1:7" x14ac:dyDescent="0.2">
      <c r="A42" s="1388" t="s">
        <v>131</v>
      </c>
      <c r="B42" s="1388"/>
      <c r="C42" s="1388"/>
      <c r="D42" s="918"/>
      <c r="E42" s="919">
        <f>IF($C$41=0,0,E41/$C$41)</f>
        <v>47.936666666666667</v>
      </c>
      <c r="F42" s="919">
        <f t="shared" ref="F42:G42" si="4">IF($C$41=0,0,F41/$C$41)</f>
        <v>51.637333333333338</v>
      </c>
      <c r="G42" s="919">
        <f t="shared" si="4"/>
        <v>54.104444444444447</v>
      </c>
    </row>
    <row r="43" spans="1:7" x14ac:dyDescent="0.2">
      <c r="A43" s="1385" t="s">
        <v>131</v>
      </c>
      <c r="B43" s="1385"/>
      <c r="C43" s="1385"/>
      <c r="D43" s="920"/>
      <c r="E43" s="921">
        <f>+E42/(1-'OH&amp;P'!$B$5)</f>
        <v>66.578703703703709</v>
      </c>
      <c r="F43" s="921">
        <f>+F42/(1-'OH&amp;P'!$B$5)</f>
        <v>71.718518518518522</v>
      </c>
      <c r="G43" s="921">
        <f>+G42/(1-'OH&amp;P'!$B$5)</f>
        <v>75.145061728395063</v>
      </c>
    </row>
  </sheetData>
  <sheetProtection password="CC70" sheet="1" objects="1" scenarios="1"/>
  <mergeCells count="7">
    <mergeCell ref="A43:C43"/>
    <mergeCell ref="A3:D3"/>
    <mergeCell ref="A21:G21"/>
    <mergeCell ref="A30:C30"/>
    <mergeCell ref="A33:G33"/>
    <mergeCell ref="A42:C42"/>
    <mergeCell ref="A31:C31"/>
  </mergeCells>
  <pageMargins left="0.7" right="0.7" top="0.75" bottom="0.75" header="0.3" footer="0.3"/>
  <pageSetup orientation="portrait" horizontalDpi="4294967292" verticalDpi="429496729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57"/>
  <sheetViews>
    <sheetView workbookViewId="0">
      <selection activeCell="T12" sqref="T12"/>
    </sheetView>
  </sheetViews>
  <sheetFormatPr baseColWidth="10" defaultColWidth="8.83203125" defaultRowHeight="15" x14ac:dyDescent="0.2"/>
  <cols>
    <col min="6" max="6" width="11.33203125" customWidth="1"/>
  </cols>
  <sheetData>
    <row r="1" spans="1:19" ht="40.5" customHeight="1" x14ac:dyDescent="0.2">
      <c r="A1" s="1389" t="s">
        <v>361</v>
      </c>
      <c r="B1" s="1389"/>
      <c r="C1" s="1389"/>
      <c r="D1" s="1389"/>
      <c r="E1" s="1389"/>
      <c r="F1" s="1389"/>
      <c r="G1" s="1389"/>
      <c r="H1" s="1389"/>
      <c r="I1" s="1389"/>
      <c r="J1" s="1389"/>
      <c r="K1" s="1389"/>
      <c r="L1" s="1389"/>
      <c r="M1" s="1389"/>
      <c r="N1" s="1389"/>
      <c r="O1" s="1389"/>
      <c r="P1" s="1389"/>
      <c r="Q1" s="1389"/>
      <c r="R1" s="1389"/>
      <c r="S1" s="1389"/>
    </row>
    <row r="40" spans="1:11" x14ac:dyDescent="0.2">
      <c r="A40" s="1390" t="s">
        <v>364</v>
      </c>
      <c r="B40" s="1390"/>
      <c r="C40" s="1390"/>
      <c r="D40" s="1390"/>
      <c r="E40" s="456">
        <f>+Summary!E46</f>
        <v>14322.000116883113</v>
      </c>
      <c r="F40" s="12" t="s">
        <v>346</v>
      </c>
      <c r="G40" s="11"/>
      <c r="H40" s="11"/>
      <c r="I40" s="11"/>
      <c r="J40" s="11"/>
      <c r="K40" s="11"/>
    </row>
    <row r="41" spans="1:11" x14ac:dyDescent="0.2">
      <c r="A41" s="1390" t="s">
        <v>365</v>
      </c>
      <c r="B41" s="1390"/>
      <c r="C41" s="1390"/>
      <c r="D41" s="1390"/>
      <c r="E41" s="457">
        <f>+Summary!G46/Summary!E46</f>
        <v>58.069444444444464</v>
      </c>
      <c r="F41" s="12" t="s">
        <v>366</v>
      </c>
      <c r="G41" s="460"/>
      <c r="H41" s="461"/>
      <c r="I41" s="460"/>
      <c r="J41" s="461"/>
      <c r="K41" s="11"/>
    </row>
    <row r="42" spans="1:11" x14ac:dyDescent="0.2">
      <c r="A42" s="1390" t="s">
        <v>367</v>
      </c>
      <c r="B42" s="1390"/>
      <c r="C42" s="1390"/>
      <c r="D42" s="1390"/>
      <c r="E42" s="458">
        <f>(((+E41*(1-'OH&amp;P'!B5))-'Crew Builder'!B21))/(1+'Crew Builder'!B20)</f>
        <v>25.311475409836074</v>
      </c>
      <c r="F42" s="459" t="s">
        <v>366</v>
      </c>
      <c r="G42" s="11"/>
      <c r="H42" s="11"/>
      <c r="I42" s="11"/>
      <c r="J42" s="11"/>
      <c r="K42" s="11"/>
    </row>
    <row r="43" spans="1:11" x14ac:dyDescent="0.2">
      <c r="A43" s="11"/>
      <c r="B43" s="11"/>
      <c r="C43" s="11"/>
      <c r="D43" s="11"/>
      <c r="E43" s="11"/>
      <c r="F43" s="11"/>
      <c r="G43" s="11"/>
      <c r="H43" s="11"/>
      <c r="I43" s="11"/>
      <c r="J43" s="11"/>
      <c r="K43" s="11"/>
    </row>
    <row r="44" spans="1:11" x14ac:dyDescent="0.2">
      <c r="A44" s="11"/>
      <c r="B44" s="11"/>
      <c r="C44" s="11"/>
      <c r="D44" s="11"/>
      <c r="E44" s="11"/>
      <c r="F44" s="11"/>
      <c r="G44" s="11"/>
      <c r="H44" s="11"/>
      <c r="I44" s="11"/>
      <c r="J44" s="11"/>
      <c r="K44" s="11"/>
    </row>
    <row r="45" spans="1:11" x14ac:dyDescent="0.2">
      <c r="A45" s="11"/>
      <c r="B45" s="11"/>
      <c r="C45" s="11"/>
      <c r="D45" s="11"/>
      <c r="E45" s="11"/>
      <c r="F45" s="11"/>
      <c r="G45" s="11"/>
      <c r="H45" s="11"/>
      <c r="I45" s="11"/>
      <c r="J45" s="11"/>
      <c r="K45" s="11"/>
    </row>
    <row r="46" spans="1:11" x14ac:dyDescent="0.2">
      <c r="A46" s="11"/>
      <c r="B46" s="11"/>
      <c r="C46" s="11"/>
      <c r="D46" s="11"/>
      <c r="E46" s="11"/>
      <c r="F46" s="11"/>
      <c r="G46" s="11"/>
      <c r="H46" s="11"/>
      <c r="I46" s="11"/>
      <c r="J46" s="11"/>
      <c r="K46" s="11"/>
    </row>
    <row r="47" spans="1:11" x14ac:dyDescent="0.2">
      <c r="A47" s="11"/>
      <c r="B47" s="11"/>
      <c r="C47" s="11"/>
      <c r="D47" s="11"/>
      <c r="E47" s="11"/>
      <c r="F47" s="11"/>
      <c r="G47" s="11"/>
      <c r="H47" s="11"/>
      <c r="I47" s="11"/>
      <c r="J47" s="11"/>
      <c r="K47" s="11"/>
    </row>
    <row r="48" spans="1:11" x14ac:dyDescent="0.2">
      <c r="A48" s="11"/>
      <c r="B48" s="11"/>
      <c r="C48" s="11"/>
      <c r="D48" s="11"/>
      <c r="E48" s="11"/>
      <c r="F48" s="11"/>
      <c r="G48" s="11"/>
      <c r="H48" s="11"/>
      <c r="I48" s="11"/>
      <c r="J48" s="11"/>
      <c r="K48" s="11"/>
    </row>
    <row r="49" spans="1:11" x14ac:dyDescent="0.2">
      <c r="A49" s="11"/>
      <c r="B49" s="11"/>
      <c r="C49" s="11"/>
      <c r="D49" s="11"/>
      <c r="E49" s="11"/>
      <c r="F49" s="11"/>
      <c r="G49" s="11"/>
      <c r="H49" s="11"/>
      <c r="I49" s="11"/>
      <c r="J49" s="11"/>
      <c r="K49" s="11"/>
    </row>
    <row r="50" spans="1:11" x14ac:dyDescent="0.2">
      <c r="A50" s="11"/>
      <c r="B50" s="11"/>
      <c r="C50" s="11"/>
      <c r="D50" s="11"/>
      <c r="E50" s="11"/>
      <c r="F50" s="11"/>
      <c r="G50" s="11"/>
      <c r="H50" s="11"/>
      <c r="I50" s="11"/>
      <c r="J50" s="11"/>
      <c r="K50" s="11"/>
    </row>
    <row r="51" spans="1:11" x14ac:dyDescent="0.2">
      <c r="A51" s="11"/>
      <c r="B51" s="11"/>
      <c r="C51" s="11"/>
      <c r="D51" s="11"/>
      <c r="E51" s="11"/>
      <c r="F51" s="11"/>
      <c r="G51" s="11"/>
      <c r="H51" s="11"/>
      <c r="I51" s="11"/>
      <c r="J51" s="11"/>
      <c r="K51" s="11"/>
    </row>
    <row r="52" spans="1:11" x14ac:dyDescent="0.2">
      <c r="A52" s="11"/>
      <c r="B52" s="11"/>
      <c r="C52" s="11"/>
      <c r="D52" s="11"/>
      <c r="E52" s="11"/>
      <c r="F52" s="11"/>
      <c r="G52" s="11"/>
      <c r="H52" s="11"/>
      <c r="I52" s="11"/>
      <c r="J52" s="11"/>
      <c r="K52" s="11"/>
    </row>
    <row r="53" spans="1:11" x14ac:dyDescent="0.2">
      <c r="A53" s="11"/>
      <c r="B53" s="11"/>
      <c r="C53" s="11"/>
      <c r="D53" s="11"/>
      <c r="E53" s="11"/>
      <c r="F53" s="11"/>
      <c r="G53" s="11"/>
      <c r="H53" s="11"/>
      <c r="I53" s="11"/>
      <c r="J53" s="11"/>
      <c r="K53" s="11"/>
    </row>
    <row r="54" spans="1:11" x14ac:dyDescent="0.2">
      <c r="A54" s="11"/>
      <c r="B54" s="11"/>
      <c r="C54" s="11"/>
      <c r="D54" s="11"/>
      <c r="E54" s="11"/>
      <c r="F54" s="11"/>
      <c r="G54" s="11"/>
      <c r="H54" s="11"/>
      <c r="I54" s="11"/>
      <c r="J54" s="11"/>
      <c r="K54" s="11"/>
    </row>
    <row r="55" spans="1:11" x14ac:dyDescent="0.2">
      <c r="A55" s="11"/>
      <c r="B55" s="11"/>
      <c r="C55" s="11"/>
      <c r="D55" s="11"/>
      <c r="E55" s="11"/>
      <c r="F55" s="11"/>
      <c r="G55" s="11"/>
      <c r="H55" s="11"/>
      <c r="I55" s="11"/>
      <c r="J55" s="11"/>
      <c r="K55" s="11"/>
    </row>
    <row r="56" spans="1:11" x14ac:dyDescent="0.2">
      <c r="A56" s="11"/>
      <c r="B56" s="11"/>
      <c r="C56" s="11"/>
      <c r="D56" s="11"/>
      <c r="E56" s="11"/>
      <c r="F56" s="11"/>
      <c r="G56" s="11"/>
      <c r="H56" s="11"/>
      <c r="I56" s="11"/>
      <c r="J56" s="11"/>
      <c r="K56" s="11"/>
    </row>
    <row r="57" spans="1:11" x14ac:dyDescent="0.2">
      <c r="A57" s="11"/>
      <c r="B57" s="11"/>
      <c r="C57" s="11"/>
      <c r="D57" s="11"/>
      <c r="E57" s="11"/>
      <c r="F57" s="11"/>
      <c r="G57" s="11"/>
      <c r="H57" s="11"/>
      <c r="I57" s="11"/>
      <c r="J57" s="11"/>
      <c r="K57" s="11"/>
    </row>
  </sheetData>
  <mergeCells count="4">
    <mergeCell ref="A1:S1"/>
    <mergeCell ref="A40:D40"/>
    <mergeCell ref="A41:D41"/>
    <mergeCell ref="A42:D42"/>
  </mergeCells>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L24"/>
  <sheetViews>
    <sheetView workbookViewId="0">
      <selection activeCell="E4" sqref="E4"/>
    </sheetView>
  </sheetViews>
  <sheetFormatPr baseColWidth="10" defaultColWidth="8.83203125" defaultRowHeight="15" x14ac:dyDescent="0.2"/>
  <cols>
    <col min="1" max="1" width="21.5" style="571" customWidth="1"/>
    <col min="2" max="7" width="8.83203125" style="571"/>
    <col min="8" max="8" width="20.6640625" style="571" customWidth="1"/>
    <col min="9" max="9" width="11.83203125" style="571" customWidth="1"/>
    <col min="10" max="10" width="12.6640625" style="571" customWidth="1"/>
    <col min="11" max="11" width="11.6640625" style="571" customWidth="1"/>
    <col min="12" max="12" width="13" style="571" customWidth="1"/>
    <col min="13" max="16384" width="8.83203125" style="571"/>
  </cols>
  <sheetData>
    <row r="2" spans="1:12" ht="54" thickBot="1" x14ac:dyDescent="0.25">
      <c r="A2" s="923" t="s">
        <v>147</v>
      </c>
      <c r="B2" s="924" t="s">
        <v>148</v>
      </c>
      <c r="C2" s="924" t="s">
        <v>149</v>
      </c>
      <c r="D2" s="924" t="s">
        <v>150</v>
      </c>
      <c r="E2" s="924" t="s">
        <v>151</v>
      </c>
      <c r="F2" s="924" t="s">
        <v>152</v>
      </c>
      <c r="H2" s="925" t="s">
        <v>147</v>
      </c>
      <c r="I2" s="924" t="s">
        <v>360</v>
      </c>
      <c r="J2" s="924" t="s">
        <v>170</v>
      </c>
      <c r="K2" s="924" t="s">
        <v>319</v>
      </c>
      <c r="L2" s="924" t="s">
        <v>320</v>
      </c>
    </row>
    <row r="3" spans="1:12" x14ac:dyDescent="0.2">
      <c r="A3" s="926" t="s">
        <v>153</v>
      </c>
      <c r="B3" s="927">
        <v>0.2</v>
      </c>
      <c r="C3" s="927">
        <v>0.1</v>
      </c>
      <c r="D3" s="927">
        <v>0.05</v>
      </c>
      <c r="E3" s="927">
        <v>0.1</v>
      </c>
      <c r="F3" s="928">
        <v>0.05</v>
      </c>
      <c r="H3" s="929" t="s">
        <v>148</v>
      </c>
      <c r="I3" s="939">
        <f>+Summary!G46</f>
        <v>831670.59012067108</v>
      </c>
      <c r="J3" s="939">
        <f>+I3*(1-B5)</f>
        <v>598802.82488688314</v>
      </c>
      <c r="K3" s="939">
        <f>+J3/(1-B3)-J3</f>
        <v>149700.70622172079</v>
      </c>
      <c r="L3" s="940">
        <f>+I3-(J3+K3)</f>
        <v>83167.059012067155</v>
      </c>
    </row>
    <row r="4" spans="1:12" x14ac:dyDescent="0.2">
      <c r="A4" s="930" t="s">
        <v>154</v>
      </c>
      <c r="B4" s="931">
        <v>0.1</v>
      </c>
      <c r="C4" s="931">
        <v>0.1</v>
      </c>
      <c r="D4" s="931">
        <v>0.05</v>
      </c>
      <c r="E4" s="931">
        <v>0.05</v>
      </c>
      <c r="F4" s="932">
        <v>0.05</v>
      </c>
      <c r="H4" s="933" t="s">
        <v>149</v>
      </c>
      <c r="I4" s="941">
        <f>+Summary!J46</f>
        <v>377594.89624390693</v>
      </c>
      <c r="J4" s="941">
        <f>+I4*(1-C5)</f>
        <v>305851.86595756462</v>
      </c>
      <c r="K4" s="941">
        <f>+J4/(1-C3)-J4</f>
        <v>33983.540661951643</v>
      </c>
      <c r="L4" s="942">
        <f t="shared" ref="L4:L7" si="0">+I4-(J4+K4)</f>
        <v>37759.48962439067</v>
      </c>
    </row>
    <row r="5" spans="1:12" ht="16" thickBot="1" x14ac:dyDescent="0.25">
      <c r="A5" s="934" t="s">
        <v>155</v>
      </c>
      <c r="B5" s="937">
        <f>+(((1/(1-B3))/(1-B4))-1)/((1/(1-B3))/(1-B4))</f>
        <v>0.27999999999999997</v>
      </c>
      <c r="C5" s="937">
        <f t="shared" ref="C5:F5" si="1">+(((1/(1-C3))/(1-C4))-1)/((1/(1-C3))/(1-C4))</f>
        <v>0.18999999999999995</v>
      </c>
      <c r="D5" s="937">
        <f t="shared" si="1"/>
        <v>9.7500000000000059E-2</v>
      </c>
      <c r="E5" s="937">
        <f t="shared" si="1"/>
        <v>0.1450000000000001</v>
      </c>
      <c r="F5" s="938">
        <f t="shared" si="1"/>
        <v>9.7500000000000059E-2</v>
      </c>
      <c r="H5" s="933" t="s">
        <v>359</v>
      </c>
      <c r="I5" s="941">
        <f>+Summary!L46</f>
        <v>23416.435826408124</v>
      </c>
      <c r="J5" s="941">
        <f>+I5*(1-D5)</f>
        <v>21133.333333333332</v>
      </c>
      <c r="K5" s="941">
        <f>+J5/(1-D3)-J5</f>
        <v>1112.2807017543855</v>
      </c>
      <c r="L5" s="942">
        <f t="shared" si="0"/>
        <v>1170.8217913204062</v>
      </c>
    </row>
    <row r="6" spans="1:12" x14ac:dyDescent="0.2">
      <c r="H6" s="933" t="s">
        <v>151</v>
      </c>
      <c r="I6" s="941">
        <f>+Summary!M46</f>
        <v>216865.99220272907</v>
      </c>
      <c r="J6" s="941">
        <f>+I6*(1-E5)</f>
        <v>185420.42333333334</v>
      </c>
      <c r="K6" s="941">
        <f>+J6/(1-E3)-J6</f>
        <v>20602.26925925925</v>
      </c>
      <c r="L6" s="942">
        <f t="shared" si="0"/>
        <v>10843.299610136484</v>
      </c>
    </row>
    <row r="7" spans="1:12" ht="16" thickBot="1" x14ac:dyDescent="0.25">
      <c r="H7" s="935" t="s">
        <v>177</v>
      </c>
      <c r="I7" s="943">
        <f>+Summary!N45</f>
        <v>0</v>
      </c>
      <c r="J7" s="943">
        <f>+I7*(1-F5)</f>
        <v>0</v>
      </c>
      <c r="K7" s="943">
        <f>+J7/(1-F3)-J7</f>
        <v>0</v>
      </c>
      <c r="L7" s="944">
        <f t="shared" si="0"/>
        <v>0</v>
      </c>
    </row>
    <row r="8" spans="1:12" ht="27.75" customHeight="1" thickBot="1" x14ac:dyDescent="0.25">
      <c r="H8" s="936"/>
      <c r="I8" s="945">
        <f>SUM(I3:I7)</f>
        <v>1449547.9143937151</v>
      </c>
      <c r="J8" s="945">
        <f>SUM(J3:J7)</f>
        <v>1111208.4475111146</v>
      </c>
      <c r="K8" s="945">
        <f>SUM(K3:K7)</f>
        <v>205398.79684468606</v>
      </c>
      <c r="L8" s="946">
        <f>SUM(L3:L7)</f>
        <v>132940.67003791471</v>
      </c>
    </row>
    <row r="9" spans="1:12" x14ac:dyDescent="0.2">
      <c r="A9" s="775"/>
      <c r="B9" s="775"/>
      <c r="C9" s="775"/>
      <c r="D9" s="775"/>
      <c r="E9" s="775"/>
      <c r="F9" s="775"/>
      <c r="G9" s="775"/>
      <c r="H9" s="775"/>
    </row>
    <row r="10" spans="1:12" x14ac:dyDescent="0.2">
      <c r="A10" s="775"/>
      <c r="B10" s="775"/>
      <c r="C10" s="775"/>
      <c r="D10" s="775"/>
      <c r="E10" s="775"/>
      <c r="F10" s="775"/>
      <c r="G10" s="775"/>
      <c r="H10" s="775"/>
    </row>
    <row r="11" spans="1:12" x14ac:dyDescent="0.2">
      <c r="A11" s="775"/>
      <c r="B11" s="775"/>
      <c r="C11" s="775"/>
      <c r="D11" s="775"/>
      <c r="E11" s="775"/>
      <c r="F11" s="775"/>
      <c r="G11" s="775"/>
      <c r="H11" s="775"/>
    </row>
    <row r="12" spans="1:12" x14ac:dyDescent="0.2">
      <c r="A12" s="775"/>
      <c r="B12" s="775"/>
      <c r="C12" s="775"/>
      <c r="D12" s="775"/>
      <c r="E12" s="775"/>
      <c r="F12" s="775"/>
      <c r="G12" s="775"/>
      <c r="H12" s="775"/>
    </row>
    <row r="13" spans="1:12" x14ac:dyDescent="0.2">
      <c r="A13" s="775"/>
      <c r="B13" s="775"/>
      <c r="C13" s="775"/>
      <c r="D13" s="775"/>
      <c r="E13" s="775"/>
      <c r="F13" s="775"/>
      <c r="G13" s="775"/>
      <c r="H13" s="775"/>
    </row>
    <row r="14" spans="1:12" x14ac:dyDescent="0.2">
      <c r="A14" s="775"/>
      <c r="B14" s="775"/>
      <c r="C14" s="775"/>
      <c r="D14" s="775"/>
      <c r="E14" s="775"/>
      <c r="F14" s="775"/>
      <c r="G14" s="775"/>
      <c r="H14" s="775"/>
    </row>
    <row r="15" spans="1:12" x14ac:dyDescent="0.2">
      <c r="A15" s="775"/>
      <c r="B15" s="775"/>
      <c r="C15" s="775"/>
      <c r="D15" s="775"/>
      <c r="E15" s="775"/>
      <c r="F15" s="775"/>
      <c r="G15" s="775"/>
      <c r="H15" s="775"/>
    </row>
    <row r="16" spans="1:12" x14ac:dyDescent="0.2">
      <c r="A16" s="775"/>
      <c r="B16" s="775"/>
      <c r="C16" s="775"/>
      <c r="D16" s="775"/>
      <c r="E16" s="775"/>
      <c r="F16" s="775"/>
      <c r="G16" s="775"/>
      <c r="H16" s="775"/>
    </row>
    <row r="17" spans="1:8" x14ac:dyDescent="0.2">
      <c r="A17" s="775"/>
      <c r="B17" s="775"/>
      <c r="C17" s="775"/>
      <c r="D17" s="775"/>
      <c r="E17" s="775"/>
      <c r="F17" s="775"/>
      <c r="G17" s="775"/>
      <c r="H17" s="775"/>
    </row>
    <row r="18" spans="1:8" x14ac:dyDescent="0.2">
      <c r="A18" s="775"/>
      <c r="B18" s="775"/>
      <c r="C18" s="775"/>
      <c r="D18" s="775"/>
      <c r="E18" s="775"/>
      <c r="F18" s="775"/>
      <c r="G18" s="775"/>
      <c r="H18" s="775"/>
    </row>
    <row r="19" spans="1:8" x14ac:dyDescent="0.2">
      <c r="A19" s="775"/>
      <c r="B19" s="775"/>
      <c r="C19" s="775"/>
      <c r="D19" s="775"/>
      <c r="E19" s="775"/>
      <c r="F19" s="775"/>
      <c r="G19" s="775"/>
      <c r="H19" s="775"/>
    </row>
    <row r="20" spans="1:8" x14ac:dyDescent="0.2">
      <c r="A20" s="775"/>
      <c r="B20" s="775"/>
      <c r="C20" s="775"/>
      <c r="D20" s="775"/>
      <c r="E20" s="775"/>
      <c r="F20" s="775"/>
      <c r="G20" s="775"/>
      <c r="H20" s="775"/>
    </row>
    <row r="21" spans="1:8" x14ac:dyDescent="0.2">
      <c r="A21" s="775"/>
      <c r="B21" s="775"/>
      <c r="C21" s="775"/>
      <c r="D21" s="775"/>
      <c r="E21" s="775"/>
      <c r="F21" s="775"/>
      <c r="G21" s="775"/>
      <c r="H21" s="775"/>
    </row>
    <row r="22" spans="1:8" x14ac:dyDescent="0.2">
      <c r="A22" s="775"/>
      <c r="B22" s="775"/>
      <c r="C22" s="775"/>
      <c r="D22" s="775"/>
      <c r="E22" s="775"/>
      <c r="F22" s="775"/>
      <c r="G22" s="775"/>
      <c r="H22" s="775"/>
    </row>
    <row r="23" spans="1:8" x14ac:dyDescent="0.2">
      <c r="A23" s="775"/>
      <c r="B23" s="775"/>
      <c r="C23" s="775"/>
      <c r="D23" s="775"/>
      <c r="E23" s="775"/>
      <c r="F23" s="775"/>
      <c r="G23" s="775"/>
      <c r="H23" s="775"/>
    </row>
    <row r="24" spans="1:8" x14ac:dyDescent="0.2">
      <c r="A24" s="775"/>
      <c r="B24" s="775"/>
      <c r="C24" s="775"/>
      <c r="D24" s="775"/>
      <c r="E24" s="775"/>
      <c r="F24" s="775"/>
      <c r="G24" s="775"/>
      <c r="H24" s="775"/>
    </row>
  </sheetData>
  <sheetProtection password="CC70" sheet="1" objects="1" scenarios="1"/>
  <pageMargins left="0.7" right="0.7" top="0.75" bottom="0.75" header="0.3" footer="0.3"/>
  <pageSetup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
  <sheetViews>
    <sheetView zoomScale="125" zoomScaleNormal="125" zoomScalePageLayoutView="125" workbookViewId="0">
      <selection activeCell="C4" sqref="C4"/>
    </sheetView>
  </sheetViews>
  <sheetFormatPr baseColWidth="10" defaultColWidth="11.5" defaultRowHeight="15" x14ac:dyDescent="0.2"/>
  <sheetData>
    <row r="1" spans="1:3" s="10" customFormat="1" x14ac:dyDescent="0.2">
      <c r="A1" s="1391" t="s">
        <v>185</v>
      </c>
      <c r="B1" s="1391"/>
      <c r="C1" s="1391"/>
    </row>
  </sheetData>
  <mergeCells count="1">
    <mergeCell ref="A1:C1"/>
  </mergeCells>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29"/>
  <sheetViews>
    <sheetView workbookViewId="0">
      <selection activeCell="A12" sqref="A12"/>
    </sheetView>
  </sheetViews>
  <sheetFormatPr baseColWidth="10" defaultColWidth="8.83203125" defaultRowHeight="15" x14ac:dyDescent="0.2"/>
  <cols>
    <col min="1" max="1" width="22.33203125" customWidth="1"/>
  </cols>
  <sheetData>
    <row r="1" spans="1:1" x14ac:dyDescent="0.2">
      <c r="A1" s="17" t="s">
        <v>149</v>
      </c>
    </row>
    <row r="2" spans="1:1" x14ac:dyDescent="0.2">
      <c r="A2" s="5" t="s">
        <v>229</v>
      </c>
    </row>
    <row r="3" spans="1:1" x14ac:dyDescent="0.2">
      <c r="A3" s="5" t="s">
        <v>230</v>
      </c>
    </row>
    <row r="4" spans="1:1" x14ac:dyDescent="0.2">
      <c r="A4" s="5" t="s">
        <v>231</v>
      </c>
    </row>
    <row r="5" spans="1:1" s="10" customFormat="1" x14ac:dyDescent="0.2">
      <c r="A5" s="5" t="s">
        <v>369</v>
      </c>
    </row>
    <row r="6" spans="1:1" x14ac:dyDescent="0.2">
      <c r="A6" s="5"/>
    </row>
    <row r="7" spans="1:1" x14ac:dyDescent="0.2">
      <c r="A7" s="13"/>
    </row>
    <row r="8" spans="1:1" x14ac:dyDescent="0.2">
      <c r="A8" s="13"/>
    </row>
    <row r="9" spans="1:1" x14ac:dyDescent="0.2">
      <c r="A9" s="13"/>
    </row>
    <row r="10" spans="1:1" x14ac:dyDescent="0.2">
      <c r="A10" s="13"/>
    </row>
    <row r="11" spans="1:1" x14ac:dyDescent="0.2">
      <c r="A11" s="13"/>
    </row>
    <row r="12" spans="1:1" x14ac:dyDescent="0.2">
      <c r="A12" s="13"/>
    </row>
    <row r="13" spans="1:1" x14ac:dyDescent="0.2">
      <c r="A13" s="13"/>
    </row>
    <row r="14" spans="1:1" x14ac:dyDescent="0.2">
      <c r="A14" s="13"/>
    </row>
    <row r="15" spans="1:1" x14ac:dyDescent="0.2">
      <c r="A15" s="13"/>
    </row>
    <row r="16" spans="1:1" x14ac:dyDescent="0.2">
      <c r="A16" s="13"/>
    </row>
    <row r="17" spans="1:1" x14ac:dyDescent="0.2">
      <c r="A17" s="13"/>
    </row>
    <row r="18" spans="1:1" x14ac:dyDescent="0.2">
      <c r="A18" s="13"/>
    </row>
    <row r="19" spans="1:1" x14ac:dyDescent="0.2">
      <c r="A19" s="13"/>
    </row>
    <row r="20" spans="1:1" x14ac:dyDescent="0.2">
      <c r="A20" s="13"/>
    </row>
    <row r="21" spans="1:1" x14ac:dyDescent="0.2">
      <c r="A21" s="13"/>
    </row>
    <row r="22" spans="1:1" x14ac:dyDescent="0.2">
      <c r="A22" s="13"/>
    </row>
    <row r="23" spans="1:1" x14ac:dyDescent="0.2">
      <c r="A23" s="13"/>
    </row>
    <row r="24" spans="1:1" x14ac:dyDescent="0.2">
      <c r="A24" s="13"/>
    </row>
    <row r="25" spans="1:1" x14ac:dyDescent="0.2">
      <c r="A25" s="13"/>
    </row>
    <row r="26" spans="1:1" x14ac:dyDescent="0.2">
      <c r="A26" s="13"/>
    </row>
    <row r="27" spans="1:1" x14ac:dyDescent="0.2">
      <c r="A27" s="13"/>
    </row>
    <row r="28" spans="1:1" x14ac:dyDescent="0.2">
      <c r="A28" s="13"/>
    </row>
    <row r="29" spans="1:1" x14ac:dyDescent="0.2">
      <c r="A29" s="1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25</vt:i4>
      </vt:variant>
    </vt:vector>
  </HeadingPairs>
  <TitlesOfParts>
    <vt:vector size="25" baseType="lpstr">
      <vt:lpstr>Job Info</vt:lpstr>
      <vt:lpstr>Crew Builder</vt:lpstr>
      <vt:lpstr>Admin Set Up</vt:lpstr>
      <vt:lpstr>Take Off</vt:lpstr>
      <vt:lpstr>Misc Take Off</vt:lpstr>
      <vt:lpstr>Base Estimate</vt:lpstr>
      <vt:lpstr>Alternate Estimate</vt:lpstr>
      <vt:lpstr>Equipment</vt:lpstr>
      <vt:lpstr>Support</vt:lpstr>
      <vt:lpstr>New Proposal</vt:lpstr>
      <vt:lpstr>Proposal</vt:lpstr>
      <vt:lpstr>Hour Tracking</vt:lpstr>
      <vt:lpstr>Summary</vt:lpstr>
      <vt:lpstr>CO Set Up</vt:lpstr>
      <vt:lpstr>Change Order</vt:lpstr>
      <vt:lpstr>CO Log</vt:lpstr>
      <vt:lpstr>CR Template</vt:lpstr>
      <vt:lpstr>Data</vt:lpstr>
      <vt:lpstr>Labor Burden</vt:lpstr>
      <vt:lpstr>Labor Rates</vt:lpstr>
      <vt:lpstr>Labor Calc</vt:lpstr>
      <vt:lpstr>Job Analysis</vt:lpstr>
      <vt:lpstr>OH&amp;P</vt:lpstr>
      <vt:lpstr>Notes</vt:lpstr>
      <vt:lpstr>Product</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 Kichler</dc:creator>
  <cp:lastModifiedBy>Microsoft Office User</cp:lastModifiedBy>
  <cp:lastPrinted>2016-03-10T18:01:19Z</cp:lastPrinted>
  <dcterms:created xsi:type="dcterms:W3CDTF">2012-11-07T14:33:59Z</dcterms:created>
  <dcterms:modified xsi:type="dcterms:W3CDTF">2016-12-12T21:59:31Z</dcterms:modified>
</cp:coreProperties>
</file>