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wner\Documents\GitHub\Sandbox\Stack\Estimating\"/>
    </mc:Choice>
  </mc:AlternateContent>
  <bookViews>
    <workbookView minimized="1" xWindow="0" yWindow="0" windowWidth="20490" windowHeight="7530" xr2:uid="{C9CAF444-56F3-46A4-B542-A505968EBB46}"/>
  </bookViews>
  <sheets>
    <sheet name="REPORT SYNC" sheetId="1" r:id="rId1"/>
    <sheet name="ESTIMATE" sheetId="3" r:id="rId2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4" i="1" l="1"/>
  <c r="F13" i="1"/>
  <c r="F12" i="1"/>
  <c r="F11" i="1"/>
  <c r="F10" i="1"/>
  <c r="F9" i="1"/>
  <c r="F8" i="1"/>
  <c r="F7" i="1"/>
  <c r="F6" i="1"/>
  <c r="F5" i="1"/>
  <c r="F4" i="1"/>
  <c r="F3" i="1"/>
</calcChain>
</file>

<file path=xl/sharedStrings.xml><?xml version="1.0" encoding="utf-8"?>
<sst xmlns="http://schemas.openxmlformats.org/spreadsheetml/2006/main" count="73" uniqueCount="47">
  <si>
    <t>Name</t>
  </si>
  <si>
    <t>Add Report Info Below:</t>
  </si>
  <si>
    <t>Units</t>
  </si>
  <si>
    <t>Qty</t>
  </si>
  <si>
    <t>Unit Cost ($)</t>
  </si>
  <si>
    <t>Waste (%)</t>
  </si>
  <si>
    <t>Overhead ($)</t>
  </si>
  <si>
    <t>Profit Margin (%)</t>
  </si>
  <si>
    <t>Ceramic Tile 12 x 12 x 0.25</t>
  </si>
  <si>
    <t>Square Feet</t>
  </si>
  <si>
    <t>Ceramic Tile 6 x 6 x 0.25</t>
  </si>
  <si>
    <t>Thin-set Master Blend Applied W/ #3 Trowel</t>
  </si>
  <si>
    <t>50 Lb Bags</t>
  </si>
  <si>
    <t>Tile Grout Sanded</t>
  </si>
  <si>
    <t>25 Lb Bags</t>
  </si>
  <si>
    <t>Cove Base 4" High</t>
  </si>
  <si>
    <t>LinFt</t>
  </si>
  <si>
    <t>Cove Base Cement</t>
  </si>
  <si>
    <t>Gallons</t>
  </si>
  <si>
    <t>Rubber Cove Base</t>
  </si>
  <si>
    <t>Ceramic Tile 6 x 12 x 0.25</t>
  </si>
  <si>
    <t>SCOFIELD® Cureseal-W Concrete Curing Compound and Sealer</t>
  </si>
  <si>
    <t>5-gallon drum</t>
  </si>
  <si>
    <t>Subtotal ($)</t>
  </si>
  <si>
    <t>Total ($)</t>
  </si>
  <si>
    <t>Extended Cost ($)</t>
  </si>
  <si>
    <t>09.21.01 (1)Carpenter</t>
  </si>
  <si>
    <t>CR</t>
  </si>
  <si>
    <t>Crew Hours</t>
  </si>
  <si>
    <t>09.90.07 (7) Painters</t>
  </si>
  <si>
    <t>2-1/2 in x 20 gauge track</t>
  </si>
  <si>
    <t>MA</t>
  </si>
  <si>
    <t>LF</t>
  </si>
  <si>
    <t>4 in x 14 gauge - 10 ft high</t>
  </si>
  <si>
    <t>EA</t>
  </si>
  <si>
    <t>Gypsum Board Wall Area to Paint</t>
  </si>
  <si>
    <t>SU</t>
  </si>
  <si>
    <t>Interior Enamel Oil Base Semi-Gloss</t>
  </si>
  <si>
    <t>Linear Feet of Interior Wall To Paint</t>
  </si>
  <si>
    <t>Linear Feet</t>
  </si>
  <si>
    <t>Metal Partition</t>
  </si>
  <si>
    <t>PT-13</t>
  </si>
  <si>
    <t>Powder Activated Fastener, 3/4"</t>
  </si>
  <si>
    <t>Box of 100</t>
  </si>
  <si>
    <t>Primer, Interior Latex</t>
  </si>
  <si>
    <t>Screws, Pro-Twist #7 7/16"</t>
  </si>
  <si>
    <t>Box of 1,000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</si>
</sst>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$&quot;#,##0.00_);\(&quot;$&quot;#,##0.00\)"/>
    <numFmt numFmtId="8" formatCode="&quot;$&quot;#,##0.00_);[Red]\(&quot;$&quot;#,##0.00\)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D8E7FF"/>
        <bgColor indexed="64"/>
      </patternFill>
    </fill>
  </fills>
  <borders count="12">
    <border>
      <left/>
      <right/>
      <top/>
      <bottom/>
      <diagonal/>
    </border>
    <border>
      <left style="thin">
        <color rgb="FFD4D4D4"/>
      </left>
      <right style="thin">
        <color rgb="FFD4D4D4"/>
      </right>
      <top style="thin">
        <color rgb="FFD4D4D4"/>
      </top>
      <bottom style="thin">
        <color rgb="FFD4D4D4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2" borderId="1" xfId="0" applyFill="1" applyBorder="1" applyProtection="1"/>
    <xf numFmtId="0" fontId="0" fillId="0" borderId="0" xfId="0" applyProtection="1">
      <protection locked="0"/>
    </xf>
    <xf numFmtId="0" fontId="0" fillId="2" borderId="1" xfId="0" applyFill="1" applyBorder="1" applyProtection="1">
      <protection locked="0"/>
    </xf>
    <xf numFmtId="0" fontId="0" fillId="0" borderId="2" xfId="0" applyBorder="1"/>
    <xf numFmtId="0" fontId="0" fillId="0" borderId="0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7" fontId="0" fillId="0" borderId="3" xfId="0" applyNumberFormat="1" applyBorder="1"/>
    <xf numFmtId="7" fontId="0" fillId="0" borderId="5" xfId="0" applyNumberFormat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7" fontId="0" fillId="0" borderId="9" xfId="0" applyNumberFormat="1" applyBorder="1"/>
    <xf numFmtId="0" fontId="2" fillId="0" borderId="4" xfId="0" applyFont="1" applyBorder="1"/>
    <xf numFmtId="0" fontId="2" fillId="0" borderId="10" xfId="0" applyFont="1" applyBorder="1"/>
    <xf numFmtId="0" fontId="0" fillId="2" borderId="11" xfId="0" applyFill="1" applyBorder="1" applyProtection="1">
      <protection locked="0"/>
    </xf>
    <xf numFmtId="8" fontId="0" fillId="0" borderId="0" xfId="0" applyNumberFormat="1" applyProtection="1">
      <protection locked="0"/>
    </xf>
    <xf numFmtId="0" fontId="2" fillId="0" borderId="0" xfId="0" applyFont="1" applyBorder="1"/>
    <xf numFmtId="0" fontId="2" fillId="0" borderId="4" xfId="0" applyFont="1" applyBorder="1"/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0</xdr:row>
          <xdr:rowOff>57150</xdr:rowOff>
        </xdr:from>
        <xdr:to>
          <xdr:col>8</xdr:col>
          <xdr:colOff>952500</xdr:colOff>
          <xdr:row>2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Estimate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466725</xdr:colOff>
          <xdr:row>0</xdr:row>
          <xdr:rowOff>57150</xdr:rowOff>
        </xdr:from>
        <xdr:to>
          <xdr:col>9</xdr:col>
          <xdr:colOff>1200150</xdr:colOff>
          <xdr:row>2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6D62A63-D8AB-4581-B6A4-29BE52AF4FD9}">
  <we:reference id="wa104381262" version="1.0.0.0" store="en-US" storeType="OMEX"/>
  <we:alternateReferences>
    <we:reference id="wa104381262" version="1.0.0.0" store="WA104381262" storeType="OMEX"/>
  </we:alternateReferences>
  <we:properties/>
  <we:bindings>
    <we:binding id="'REPORT SYNC'!A13:project-955877:item-48580:name-48580" type="matrix" appref="{D6986C10-E6D0-4817-8FC0-B150DE4BD88D}"/>
    <we:binding id="'REPORT SYNC'!B13:project-955877:item-48580:type-48580" type="matrix" appref="{E4348FAD-58DD-43E6-A00F-B4B19D59B33C}"/>
    <we:binding id="'REPORT SYNC'!C13:project-955877:item-48580:cost-48580" type="matrix" appref="{5F1940D1-B7E7-4823-970B-4445FEB58B35}"/>
    <we:binding id="'REPORT SYNC'!D13:project-955877:item-48580:qty-48580" type="matrix" appref="{101668F5-EB4D-4388-A3C2-F80E3A427F9A}"/>
    <we:binding id="'REPORT SYNC'!E13:project-955877:item-48580:units-48580" type="matrix" appref="{217A421A-2321-48E5-AB8D-0162FCBA72CC}"/>
    <we:binding id="'REPORT SYNC'!A14:project-955877:item-50613:name-50613" type="matrix" appref="{834548C0-9CC5-4A13-A563-54545A390556}"/>
    <we:binding id="'REPORT SYNC'!B14:project-955877:item-50613:type-50613" type="matrix" appref="{781703C9-CF42-4C44-BA2A-2F195F73FD99}"/>
    <we:binding id="'REPORT SYNC'!C14:project-955877:item-50613:cost-50613" type="matrix" appref="{81907A18-17B6-4F4E-91C9-EBA4F302462A}"/>
    <we:binding id="'REPORT SYNC'!D14:project-955877:item-50613:qty-50613" type="matrix" appref="{8E3FF59A-ADCB-4D95-BBA1-0600B95431CB}"/>
    <we:binding id="'REPORT SYNC'!E14:project-955877:item-50613:units-50613" type="matrix" appref="{7EE565B0-1672-4164-9374-7247ED0010A8}"/>
  </we:bindings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DA270-383C-4E03-AEB3-ABB017E9C70F}">
  <sheetPr codeName="Sheet1"/>
  <dimension ref="A1:H14"/>
  <sheetViews>
    <sheetView tabSelected="1" workbookViewId="0">
      <selection activeCell="F12" sqref="F12"/>
    </sheetView>
  </sheetViews>
  <sheetFormatPr defaultColWidth="24" defaultRowHeight="15" x14ac:dyDescent="0.25"/>
  <cols>
    <col min="1" max="1" width="24.5703125" style="2" customWidth="1"/>
    <col min="2" max="2" width="9.5703125" style="2" bestFit="1" customWidth="1"/>
    <col min="3" max="3" width="14.7109375" style="2" bestFit="1" customWidth="1"/>
    <col min="4" max="4" width="11.85546875" style="2" bestFit="1" customWidth="1"/>
    <col min="5" max="5" width="10" style="2" bestFit="1" customWidth="1"/>
    <col min="6" max="6" width="24" style="2"/>
    <col min="7" max="7" width="12.5703125" style="2" bestFit="1" customWidth="1"/>
    <col min="8" max="8" width="16.140625" style="2" bestFit="1" customWidth="1"/>
    <col min="9" max="16384" width="24" style="2"/>
  </cols>
  <sheetData>
    <row r="1" spans="1:8" x14ac:dyDescent="0.25">
      <c r="A1" s="1" t="s">
        <v>1</v>
      </c>
      <c r="B1" s="1"/>
      <c r="C1" s="1"/>
      <c r="D1" s="1"/>
      <c r="E1" s="1"/>
      <c r="F1" s="3"/>
      <c r="G1" s="3" t="s">
        <v>6</v>
      </c>
      <c r="H1" s="3" t="s">
        <v>7</v>
      </c>
    </row>
    <row r="2" spans="1:8" x14ac:dyDescent="0.25">
      <c r="A2" s="1" t="s">
        <v>0</v>
      </c>
      <c r="B2" s="1" t="s">
        <v>3</v>
      </c>
      <c r="C2" s="1" t="s">
        <v>2</v>
      </c>
      <c r="D2" s="1" t="s">
        <v>4</v>
      </c>
      <c r="E2" s="1" t="s">
        <v>5</v>
      </c>
      <c r="F2" s="3"/>
      <c r="G2" s="18"/>
      <c r="H2" s="18"/>
    </row>
    <row r="3" spans="1:8" x14ac:dyDescent="0.25">
      <c r="A3" s="2" t="s">
        <v>26</v>
      </c>
      <c r="B3" s="2" t="s">
        <v>27</v>
      </c>
      <c r="C3" s="19">
        <v>0</v>
      </c>
      <c r="D3" s="2">
        <v>36.880000000000003</v>
      </c>
      <c r="E3" s="2" t="s">
        <v>28</v>
      </c>
      <c r="F3" s="19">
        <f>C3*D3</f>
        <v>0</v>
      </c>
    </row>
    <row r="4" spans="1:8" x14ac:dyDescent="0.25">
      <c r="A4" s="2" t="s">
        <v>29</v>
      </c>
      <c r="B4" s="2" t="s">
        <v>27</v>
      </c>
      <c r="C4" s="19">
        <v>0</v>
      </c>
      <c r="D4" s="2">
        <v>0</v>
      </c>
      <c r="E4" s="2" t="s">
        <v>28</v>
      </c>
      <c r="F4" s="19">
        <f>C4*D4</f>
        <v>0</v>
      </c>
    </row>
    <row r="5" spans="1:8" x14ac:dyDescent="0.25">
      <c r="A5" s="2" t="s">
        <v>30</v>
      </c>
      <c r="B5" s="2" t="s">
        <v>31</v>
      </c>
      <c r="C5" s="19">
        <v>0</v>
      </c>
      <c r="D5" s="2">
        <v>387.16</v>
      </c>
      <c r="E5" s="2" t="s">
        <v>32</v>
      </c>
      <c r="F5" s="19">
        <f>C5*D5</f>
        <v>0</v>
      </c>
    </row>
    <row r="6" spans="1:8" x14ac:dyDescent="0.25">
      <c r="A6" s="2" t="s">
        <v>33</v>
      </c>
      <c r="B6" s="2" t="s">
        <v>31</v>
      </c>
      <c r="C6" s="19">
        <v>0</v>
      </c>
      <c r="D6" s="2">
        <v>145.19999999999999</v>
      </c>
      <c r="E6" s="2" t="s">
        <v>34</v>
      </c>
      <c r="F6" s="19">
        <f>C6*D6</f>
        <v>0</v>
      </c>
    </row>
    <row r="7" spans="1:8" x14ac:dyDescent="0.25">
      <c r="A7" s="2" t="s">
        <v>35</v>
      </c>
      <c r="B7" s="2" t="s">
        <v>36</v>
      </c>
      <c r="C7" s="19">
        <v>0</v>
      </c>
      <c r="D7" s="2">
        <v>0</v>
      </c>
      <c r="E7" s="2" t="s">
        <v>9</v>
      </c>
      <c r="F7" s="19">
        <f>C7*D7</f>
        <v>0</v>
      </c>
    </row>
    <row r="8" spans="1:8" x14ac:dyDescent="0.25">
      <c r="A8" s="2" t="s">
        <v>37</v>
      </c>
      <c r="B8" s="2" t="s">
        <v>31</v>
      </c>
      <c r="C8" s="19">
        <v>0</v>
      </c>
      <c r="D8" s="2">
        <v>0</v>
      </c>
      <c r="E8" s="2" t="s">
        <v>18</v>
      </c>
      <c r="F8" s="19">
        <f>C8*D8</f>
        <v>0</v>
      </c>
    </row>
    <row r="9" spans="1:8" x14ac:dyDescent="0.25">
      <c r="A9" s="2" t="s">
        <v>38</v>
      </c>
      <c r="B9" s="2" t="s">
        <v>36</v>
      </c>
      <c r="C9" s="19">
        <v>0</v>
      </c>
      <c r="D9" s="2">
        <v>184.38</v>
      </c>
      <c r="E9" s="2" t="s">
        <v>39</v>
      </c>
      <c r="F9" s="19">
        <f>C9*D9</f>
        <v>0</v>
      </c>
    </row>
    <row r="10" spans="1:8" x14ac:dyDescent="0.25">
      <c r="A10" s="2" t="s">
        <v>40</v>
      </c>
      <c r="B10" s="2" t="s">
        <v>36</v>
      </c>
      <c r="C10" s="19">
        <v>0</v>
      </c>
      <c r="D10" s="2">
        <v>184.38</v>
      </c>
      <c r="E10" s="2" t="s">
        <v>39</v>
      </c>
      <c r="F10" s="19">
        <f>C10*D10</f>
        <v>0</v>
      </c>
    </row>
    <row r="11" spans="1:8" x14ac:dyDescent="0.25">
      <c r="A11" s="2" t="s">
        <v>41</v>
      </c>
      <c r="B11" s="2" t="s">
        <v>31</v>
      </c>
      <c r="C11" s="19">
        <v>0</v>
      </c>
      <c r="D11" s="2">
        <v>0</v>
      </c>
      <c r="E11" s="2" t="s">
        <v>18</v>
      </c>
      <c r="F11" s="19">
        <f>C11*D11</f>
        <v>0</v>
      </c>
    </row>
    <row r="12" spans="1:8" x14ac:dyDescent="0.25">
      <c r="A12" s="2" t="s">
        <v>42</v>
      </c>
      <c r="B12" s="2" t="s">
        <v>31</v>
      </c>
      <c r="C12" s="19">
        <v>0</v>
      </c>
      <c r="D12" s="2">
        <v>0.92</v>
      </c>
      <c r="E12" s="2" t="s">
        <v>43</v>
      </c>
      <c r="F12" s="19">
        <f>C12*D12</f>
        <v>0</v>
      </c>
    </row>
    <row r="13" spans="1:8" x14ac:dyDescent="0.25">
      <c r="A13" s="2" t="s">
        <v>44</v>
      </c>
      <c r="B13" s="2" t="s">
        <v>31</v>
      </c>
      <c r="C13" s="19">
        <v>0</v>
      </c>
      <c r="D13" s="2">
        <v>0</v>
      </c>
      <c r="E13" s="2" t="s">
        <v>18</v>
      </c>
      <c r="F13" s="19">
        <f>C13*D13</f>
        <v>0</v>
      </c>
    </row>
    <row r="14" spans="1:8" x14ac:dyDescent="0.25">
      <c r="A14" s="2" t="s">
        <v>45</v>
      </c>
      <c r="B14" s="2" t="s">
        <v>31</v>
      </c>
      <c r="C14" s="19">
        <v>0</v>
      </c>
      <c r="D14" s="2">
        <v>0.05</v>
      </c>
      <c r="E14" s="2" t="s">
        <v>46</v>
      </c>
      <c r="F14" s="19">
        <f>C14*D14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Generate_Estimate">
                <anchor moveWithCells="1">
                  <from>
                    <xdr:col>8</xdr:col>
                    <xdr:colOff>133350</xdr:colOff>
                    <xdr:row>0</xdr:row>
                    <xdr:rowOff>57150</xdr:rowOff>
                  </from>
                  <to>
                    <xdr:col>8</xdr:col>
                    <xdr:colOff>952500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hisWorkbook.workbook_open">
                <anchor moveWithCells="1">
                  <from>
                    <xdr:col>9</xdr:col>
                    <xdr:colOff>466725</xdr:colOff>
                    <xdr:row>0</xdr:row>
                    <xdr:rowOff>57150</xdr:rowOff>
                  </from>
                  <to>
                    <xdr:col>9</xdr:col>
                    <xdr:colOff>1200150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5="http://schemas.microsoft.com/office/spreadsheetml/2010/11/main" uri="{F7C9EE02-42E1-4005-9D12-6889AFFD525C}">
      <x15:webExtensions xmlns:xm="http://schemas.microsoft.com/office/excel/2006/main">
        <x15:webExtension appRef="{D6986C10-E6D0-4817-8FC0-B150DE4BD88D}">
          <xm:f>'REPORT SYNC'!A13</xm:f>
        </x15:webExtension>
        <x15:webExtension appRef="{E4348FAD-58DD-43E6-A00F-B4B19D59B33C}">
          <xm:f>'REPORT SYNC'!B13</xm:f>
        </x15:webExtension>
        <x15:webExtension appRef="{5F1940D1-B7E7-4823-970B-4445FEB58B35}">
          <xm:f>'REPORT SYNC'!C13</xm:f>
        </x15:webExtension>
        <x15:webExtension appRef="{101668F5-EB4D-4388-A3C2-F80E3A427F9A}">
          <xm:f>'REPORT SYNC'!D13</xm:f>
        </x15:webExtension>
        <x15:webExtension appRef="{217A421A-2321-48E5-AB8D-0162FCBA72CC}">
          <xm:f>'REPORT SYNC'!E13</xm:f>
        </x15:webExtension>
        <x15:webExtension appRef="{834548C0-9CC5-4A13-A563-54545A390556}">
          <xm:f>'REPORT SYNC'!A14</xm:f>
        </x15:webExtension>
        <x15:webExtension appRef="{781703C9-CF42-4C44-BA2A-2F195F73FD99}">
          <xm:f>'REPORT SYNC'!B14</xm:f>
        </x15:webExtension>
        <x15:webExtension appRef="{81907A18-17B6-4F4E-91C9-EBA4F302462A}">
          <xm:f>'REPORT SYNC'!C14</xm:f>
        </x15:webExtension>
        <x15:webExtension appRef="{8E3FF59A-ADCB-4D95-BBA1-0600B95431CB}">
          <xm:f>'REPORT SYNC'!D14</xm:f>
        </x15:webExtension>
        <x15:webExtension appRef="{7EE565B0-1672-4164-9374-7247ED0010A8}">
          <xm:f>'REPORT SYNC'!E14</xm:f>
        </x15:webExtension>
      </x15:webExtens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AB5FFC-A3C0-44AC-81BC-FC3E1B3553BD}">
  <sheetPr codeName="Sheet3"/>
  <dimension ref="A2:G16"/>
  <sheetViews>
    <sheetView workbookViewId="0">
      <selection activeCell="G20" sqref="G20"/>
    </sheetView>
  </sheetViews>
  <sheetFormatPr defaultRowHeight="15" x14ac:dyDescent="0.25"/>
  <cols>
    <col min="1" max="1" width="26.85546875" customWidth="1"/>
    <col min="2" max="2" width="16.85546875" customWidth="1"/>
    <col min="3" max="3" width="13.42578125" bestFit="1" customWidth="1"/>
    <col min="4" max="4" width="11.85546875" bestFit="1" customWidth="1"/>
    <col min="5" max="5" width="12" bestFit="1" customWidth="1"/>
    <col min="6" max="6" width="10" bestFit="1" customWidth="1"/>
    <col min="7" max="7" width="12" bestFit="1" customWidth="1"/>
  </cols>
  <sheetData>
    <row r="2" spans="1:7" x14ac:dyDescent="0.25">
      <c r="A2" s="20" t="s">
        <v>0</v>
      </c>
      <c r="B2" s="20" t="s">
        <v>3</v>
      </c>
      <c r="C2" s="20" t="s">
        <v>2</v>
      </c>
      <c r="D2" s="20" t="s">
        <v>4</v>
      </c>
      <c r="E2" s="20" t="s">
        <v>23</v>
      </c>
      <c r="F2" s="20" t="s">
        <v>5</v>
      </c>
      <c r="G2" s="20" t="s">
        <v>25</v>
      </c>
    </row>
    <row r="3" spans="1:7" x14ac:dyDescent="0.25">
      <c r="A3" s="7" t="s">
        <v>8</v>
      </c>
      <c r="B3" s="6">
        <v>2436.4899999999998</v>
      </c>
      <c r="C3" s="6" t="s">
        <v>9</v>
      </c>
      <c r="D3" s="9">
        <v>0.6</v>
      </c>
      <c r="E3" s="6">
        <v>1461.8939999999998</v>
      </c>
      <c r="F3" s="6">
        <v>1</v>
      </c>
      <c r="G3" s="11">
        <v>1476.5129399999998</v>
      </c>
    </row>
    <row r="4" spans="1:7" x14ac:dyDescent="0.25">
      <c r="A4" s="5" t="s">
        <v>10</v>
      </c>
      <c r="B4" s="8">
        <v>30.65</v>
      </c>
      <c r="C4" s="8" t="s">
        <v>9</v>
      </c>
      <c r="D4" s="10">
        <v>2</v>
      </c>
      <c r="E4" s="8">
        <v>61.3</v>
      </c>
      <c r="F4" s="8">
        <v>2</v>
      </c>
      <c r="G4" s="12">
        <v>62.525999999999996</v>
      </c>
    </row>
    <row r="5" spans="1:7" x14ac:dyDescent="0.25">
      <c r="A5" s="5" t="s">
        <v>11</v>
      </c>
      <c r="B5" s="8">
        <v>57.59</v>
      </c>
      <c r="C5" s="8" t="s">
        <v>12</v>
      </c>
      <c r="D5" s="10">
        <v>14.47</v>
      </c>
      <c r="E5" s="8">
        <v>833.32730000000004</v>
      </c>
      <c r="F5" s="8">
        <v>3</v>
      </c>
      <c r="G5" s="12">
        <v>858.32711900000004</v>
      </c>
    </row>
    <row r="6" spans="1:7" x14ac:dyDescent="0.25">
      <c r="A6" s="5" t="s">
        <v>13</v>
      </c>
      <c r="B6" s="8">
        <v>9.16</v>
      </c>
      <c r="C6" s="8" t="s">
        <v>14</v>
      </c>
      <c r="D6" s="10">
        <v>14.47</v>
      </c>
      <c r="E6" s="8">
        <v>132.54519999999999</v>
      </c>
      <c r="F6" s="8">
        <v>4</v>
      </c>
      <c r="G6" s="12">
        <v>137.84700799999999</v>
      </c>
    </row>
    <row r="7" spans="1:7" x14ac:dyDescent="0.25">
      <c r="A7" s="5" t="s">
        <v>15</v>
      </c>
      <c r="B7" s="8">
        <v>49.83</v>
      </c>
      <c r="C7" s="8" t="s">
        <v>16</v>
      </c>
      <c r="D7" s="10">
        <v>0.49</v>
      </c>
      <c r="E7" s="8">
        <v>24.416699999999999</v>
      </c>
      <c r="F7" s="8">
        <v>5</v>
      </c>
      <c r="G7" s="12">
        <v>25.637535</v>
      </c>
    </row>
    <row r="8" spans="1:7" x14ac:dyDescent="0.25">
      <c r="A8" s="5" t="s">
        <v>17</v>
      </c>
      <c r="B8" s="8">
        <v>0.25</v>
      </c>
      <c r="C8" s="8" t="s">
        <v>18</v>
      </c>
      <c r="D8" s="10">
        <v>23.97</v>
      </c>
      <c r="E8" s="8">
        <v>5.9924999999999997</v>
      </c>
      <c r="F8" s="8">
        <v>6</v>
      </c>
      <c r="G8" s="12">
        <v>6.3520499999999993</v>
      </c>
    </row>
    <row r="9" spans="1:7" x14ac:dyDescent="0.25">
      <c r="A9" s="5" t="s">
        <v>19</v>
      </c>
      <c r="B9" s="8">
        <v>49.83</v>
      </c>
      <c r="C9" s="8" t="s">
        <v>16</v>
      </c>
      <c r="D9" s="10">
        <v>0.95</v>
      </c>
      <c r="E9" s="8">
        <v>47.338499999999996</v>
      </c>
      <c r="F9" s="8">
        <v>7</v>
      </c>
      <c r="G9" s="12">
        <v>50.652194999999999</v>
      </c>
    </row>
    <row r="10" spans="1:7" x14ac:dyDescent="0.25">
      <c r="A10" s="5" t="s">
        <v>20</v>
      </c>
      <c r="B10" s="8">
        <v>124.38</v>
      </c>
      <c r="C10" s="8" t="s">
        <v>9</v>
      </c>
      <c r="D10" s="10">
        <v>4.99</v>
      </c>
      <c r="E10" s="8">
        <v>620.65620000000001</v>
      </c>
      <c r="F10" s="8">
        <v>8</v>
      </c>
      <c r="G10" s="12">
        <v>670.30869600000005</v>
      </c>
    </row>
    <row r="11" spans="1:7" x14ac:dyDescent="0.25">
      <c r="A11" s="4" t="s">
        <v>21</v>
      </c>
      <c r="B11" s="14">
        <v>3.2</v>
      </c>
      <c r="C11" s="14" t="s">
        <v>22</v>
      </c>
      <c r="D11" s="15">
        <v>265.19</v>
      </c>
      <c r="E11" s="14">
        <v>848.60800000000006</v>
      </c>
      <c r="F11" s="14">
        <v>9</v>
      </c>
      <c r="G11" s="13">
        <v>924.98272000000009</v>
      </c>
    </row>
    <row r="13" spans="1:7" x14ac:dyDescent="0.25">
      <c r="A13" s="21" t="s">
        <v>23</v>
      </c>
      <c r="B13" s="21"/>
      <c r="C13" s="21"/>
      <c r="D13" s="21"/>
      <c r="E13" s="21"/>
      <c r="F13" s="21"/>
      <c r="G13" s="16">
        <v>4213.1462630000005</v>
      </c>
    </row>
    <row r="14" spans="1:7" x14ac:dyDescent="0.25">
      <c r="A14" s="21" t="s">
        <v>6</v>
      </c>
      <c r="B14" s="21"/>
      <c r="C14" s="21"/>
      <c r="D14" s="21"/>
      <c r="E14" s="21"/>
      <c r="F14" s="21"/>
      <c r="G14" s="16">
        <v>1000</v>
      </c>
    </row>
    <row r="15" spans="1:7" x14ac:dyDescent="0.25">
      <c r="A15" s="21" t="s">
        <v>7</v>
      </c>
      <c r="B15" s="21"/>
      <c r="C15" s="21"/>
      <c r="D15" s="21"/>
      <c r="E15" s="21"/>
      <c r="F15" s="21"/>
      <c r="G15" s="16">
        <v>20</v>
      </c>
    </row>
    <row r="16" spans="1:7" x14ac:dyDescent="0.25">
      <c r="A16" s="22" t="s">
        <v>24</v>
      </c>
      <c r="B16" s="22"/>
      <c r="C16" s="22"/>
      <c r="D16" s="22"/>
      <c r="E16" s="22"/>
      <c r="F16" s="22"/>
      <c r="G16" s="17">
        <v>6516.4328287500011</v>
      </c>
    </row>
  </sheetData>
  <sheetProtection sheet="1" objects="1" scenarios="1"/>
  <mergeCells count="4">
    <mergeCell ref="A13:F13"/>
    <mergeCell ref="A14:F14"/>
    <mergeCell ref="A15:F15"/>
    <mergeCell ref="A16:F1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REPORT SYNC</vt:lpstr>
      <vt:lpstr>ESTIMATE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Capecchi</dc:creator>
  <cp:lastModifiedBy>Bill Capecchi</cp:lastModifiedBy>
  <dcterms:created xsi:type="dcterms:W3CDTF">2017-12-10T15:07:59Z</dcterms:created>
  <dcterms:modified xsi:type="dcterms:W3CDTF">2017-12-17T15:03:18Z</dcterms:modified>
</cp:coreProperties>
</file>